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wb547395\Repos\cpat_ai\excel_ai\active_workbooks\"/>
    </mc:Choice>
  </mc:AlternateContent>
  <xr:revisionPtr revIDLastSave="0" documentId="13_ncr:1_{8A5AA9EA-C307-465D-AB4E-A10DFF120498}" xr6:coauthVersionLast="47" xr6:coauthVersionMax="47" xr10:uidLastSave="{00000000-0000-0000-0000-000000000000}"/>
  <bookViews>
    <workbookView xWindow="-98" yWindow="-98" windowWidth="19396" windowHeight="11475" xr2:uid="{00000000-000D-0000-FFFF-FFFF00000000}"/>
  </bookViews>
  <sheets>
    <sheet name="UserGuide" sheetId="1" r:id="rId1"/>
    <sheet name="Settings" sheetId="2" r:id="rId2"/>
    <sheet name="StoredScenarios" sheetId="3" r:id="rId3"/>
    <sheet name="CompareStored" sheetId="4" r:id="rId4"/>
  </sheets>
  <functionGroups builtInGroupCount="19"/>
  <definedNames>
    <definedName name="CSCatLab">CompareStored!$B$105:$B$200</definedName>
    <definedName name="CSCatStem">CompareStored!$A$105:$A$200</definedName>
    <definedName name="CSCatUnit">CompareStored!$C$105:$C$200</definedName>
    <definedName name="DataRows">Settings!$C$6</definedName>
    <definedName name="DataSource">Settings!$C$5</definedName>
    <definedName name="DataSrcTable">Settings!$F$5:$H$9</definedName>
    <definedName name="ModTable">UserGuide!$A$15:$G$17</definedName>
    <definedName name="SCYc">CompareStored!$C$10</definedName>
    <definedName name="SCYear">StoredScenarios!$L$1:$AE$1</definedName>
    <definedName name="SSAll">StoredScenarios!$A$1:$HV$1186</definedName>
    <definedName name="SSDesc">StoredScenarios!$H$1:$H$1186</definedName>
    <definedName name="SSName">StoredScenarios!$A$4:$HV$4</definedName>
    <definedName name="SSScen">StoredScenarios!$A$5:$HV$5</definedName>
    <definedName name="SSStem">StoredScenarios!$A$1:$A$1186</definedName>
    <definedName name="SSUnit">StoredScenarios!$I$1:$I$1186</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4" l="1"/>
  <c r="B200" i="4"/>
  <c r="C199" i="4"/>
  <c r="B199" i="4"/>
  <c r="C198" i="4"/>
  <c r="B198" i="4"/>
  <c r="C197" i="4"/>
  <c r="B197" i="4"/>
  <c r="C196" i="4"/>
  <c r="B196" i="4"/>
  <c r="C195" i="4"/>
  <c r="B195" i="4"/>
  <c r="B86" i="4" s="1"/>
  <c r="C194" i="4"/>
  <c r="B194" i="4"/>
  <c r="C193" i="4"/>
  <c r="B193" i="4"/>
  <c r="C192" i="4"/>
  <c r="B192" i="4"/>
  <c r="C191" i="4"/>
  <c r="B191" i="4"/>
  <c r="C190" i="4"/>
  <c r="B190" i="4"/>
  <c r="C189" i="4"/>
  <c r="B189" i="4"/>
  <c r="C188" i="4"/>
  <c r="B188" i="4"/>
  <c r="C187" i="4"/>
  <c r="B187" i="4"/>
  <c r="C186" i="4"/>
  <c r="B186" i="4"/>
  <c r="C185" i="4"/>
  <c r="B185" i="4"/>
  <c r="B52" i="4" s="1"/>
  <c r="C184" i="4"/>
  <c r="B184" i="4"/>
  <c r="C183" i="4"/>
  <c r="B183" i="4"/>
  <c r="C182" i="4"/>
  <c r="B182" i="4"/>
  <c r="C181" i="4"/>
  <c r="B181" i="4"/>
  <c r="C180" i="4"/>
  <c r="B180" i="4"/>
  <c r="C179" i="4"/>
  <c r="B179" i="4"/>
  <c r="C178" i="4"/>
  <c r="B178" i="4"/>
  <c r="C177" i="4"/>
  <c r="B177" i="4"/>
  <c r="C176" i="4"/>
  <c r="B176" i="4"/>
  <c r="C175" i="4"/>
  <c r="B175" i="4"/>
  <c r="C174" i="4"/>
  <c r="B174" i="4"/>
  <c r="C173" i="4"/>
  <c r="B173" i="4"/>
  <c r="C172" i="4"/>
  <c r="B172" i="4"/>
  <c r="C171" i="4"/>
  <c r="B171" i="4"/>
  <c r="C170" i="4"/>
  <c r="B170" i="4"/>
  <c r="C169" i="4"/>
  <c r="B169" i="4"/>
  <c r="C168" i="4"/>
  <c r="B168" i="4"/>
  <c r="C167" i="4"/>
  <c r="B167" i="4"/>
  <c r="C166" i="4"/>
  <c r="B166" i="4"/>
  <c r="C165" i="4"/>
  <c r="B165" i="4"/>
  <c r="C164" i="4"/>
  <c r="B164" i="4"/>
  <c r="C163" i="4"/>
  <c r="B163" i="4"/>
  <c r="C162" i="4"/>
  <c r="B162" i="4"/>
  <c r="C161" i="4"/>
  <c r="B161" i="4"/>
  <c r="C160" i="4"/>
  <c r="B160" i="4"/>
  <c r="C159" i="4"/>
  <c r="B159" i="4"/>
  <c r="C158" i="4"/>
  <c r="B158" i="4"/>
  <c r="C157" i="4"/>
  <c r="B157" i="4"/>
  <c r="C156" i="4"/>
  <c r="B156" i="4"/>
  <c r="C155" i="4"/>
  <c r="B155" i="4"/>
  <c r="C154" i="4"/>
  <c r="B154" i="4"/>
  <c r="C153" i="4"/>
  <c r="B153" i="4"/>
  <c r="C152" i="4"/>
  <c r="B152" i="4"/>
  <c r="C151" i="4"/>
  <c r="B151" i="4"/>
  <c r="C150" i="4"/>
  <c r="B150" i="4"/>
  <c r="C149" i="4"/>
  <c r="B149" i="4"/>
  <c r="C148" i="4"/>
  <c r="B148" i="4"/>
  <c r="C147" i="4"/>
  <c r="B147" i="4"/>
  <c r="C146" i="4"/>
  <c r="B146" i="4"/>
  <c r="C145" i="4"/>
  <c r="B145" i="4"/>
  <c r="C144" i="4"/>
  <c r="B144" i="4"/>
  <c r="C143" i="4"/>
  <c r="B143" i="4"/>
  <c r="C142" i="4"/>
  <c r="B142" i="4"/>
  <c r="C141" i="4"/>
  <c r="B141" i="4"/>
  <c r="C140" i="4"/>
  <c r="B140" i="4"/>
  <c r="C139" i="4"/>
  <c r="B139" i="4"/>
  <c r="C138" i="4"/>
  <c r="B138" i="4"/>
  <c r="C137" i="4"/>
  <c r="B137" i="4"/>
  <c r="C136" i="4"/>
  <c r="B136" i="4"/>
  <c r="C135" i="4"/>
  <c r="B135" i="4"/>
  <c r="C134" i="4"/>
  <c r="B134" i="4"/>
  <c r="C133" i="4"/>
  <c r="B133" i="4"/>
  <c r="B35" i="4" s="1"/>
  <c r="C132" i="4"/>
  <c r="B132" i="4"/>
  <c r="C131" i="4"/>
  <c r="B131" i="4"/>
  <c r="C130" i="4"/>
  <c r="B130" i="4"/>
  <c r="C129" i="4"/>
  <c r="B129" i="4"/>
  <c r="C128" i="4"/>
  <c r="B128" i="4"/>
  <c r="C127" i="4"/>
  <c r="B127" i="4"/>
  <c r="C126" i="4"/>
  <c r="B126" i="4"/>
  <c r="C125" i="4"/>
  <c r="B125" i="4"/>
  <c r="C124" i="4"/>
  <c r="B124" i="4"/>
  <c r="C123" i="4"/>
  <c r="B123" i="4"/>
  <c r="C122" i="4"/>
  <c r="B122" i="4"/>
  <c r="C121" i="4"/>
  <c r="B121" i="4"/>
  <c r="C120" i="4"/>
  <c r="B120" i="4"/>
  <c r="C119" i="4"/>
  <c r="B119" i="4"/>
  <c r="C118" i="4"/>
  <c r="B118" i="4"/>
  <c r="C117" i="4"/>
  <c r="B117" i="4"/>
  <c r="C116" i="4"/>
  <c r="B116" i="4"/>
  <c r="C115" i="4"/>
  <c r="B115" i="4"/>
  <c r="C114" i="4"/>
  <c r="B114" i="4"/>
  <c r="C113" i="4"/>
  <c r="B113" i="4"/>
  <c r="C112" i="4"/>
  <c r="B112" i="4"/>
  <c r="C111" i="4"/>
  <c r="B111" i="4"/>
  <c r="C110" i="4"/>
  <c r="B110" i="4"/>
  <c r="C109" i="4"/>
  <c r="B109" i="4"/>
  <c r="C108" i="4"/>
  <c r="B108" i="4"/>
  <c r="C107" i="4"/>
  <c r="B107" i="4"/>
  <c r="C106" i="4"/>
  <c r="B106" i="4"/>
  <c r="C105" i="4"/>
  <c r="B105" i="4"/>
  <c r="B69" i="4" s="1"/>
  <c r="B62" i="4"/>
  <c r="K62" i="4" s="1"/>
  <c r="C31" i="4"/>
  <c r="C30" i="4"/>
  <c r="C28" i="4"/>
  <c r="L27" i="4"/>
  <c r="C27" i="4"/>
  <c r="C25" i="4"/>
  <c r="C24" i="4"/>
  <c r="C22" i="4"/>
  <c r="C21" i="4"/>
  <c r="C19" i="4"/>
  <c r="L18" i="4"/>
  <c r="C18" i="4"/>
  <c r="I15" i="4"/>
  <c r="M13" i="4"/>
  <c r="L13" i="4"/>
  <c r="K13" i="4"/>
  <c r="K27" i="4" s="1"/>
  <c r="J13" i="4"/>
  <c r="B94" i="4" s="1"/>
  <c r="I13" i="4"/>
  <c r="I24" i="4" s="1"/>
  <c r="H13" i="4"/>
  <c r="H14" i="4" s="1"/>
  <c r="G13" i="4"/>
  <c r="B91" i="4" s="1"/>
  <c r="F13" i="4"/>
  <c r="B90" i="4" s="1"/>
  <c r="E13" i="4"/>
  <c r="D13" i="4"/>
  <c r="B54" i="4" s="1"/>
  <c r="C10" i="4"/>
  <c r="G24" i="4" s="1"/>
  <c r="B79" i="4" l="1"/>
  <c r="L21" i="4"/>
  <c r="L30" i="4"/>
  <c r="L14" i="4"/>
  <c r="B57" i="4"/>
  <c r="M30" i="4"/>
  <c r="M27" i="4"/>
  <c r="B80" i="4"/>
  <c r="R80" i="4" s="1"/>
  <c r="M21" i="4"/>
  <c r="M14" i="4"/>
  <c r="C97" i="4" s="1"/>
  <c r="B55" i="4"/>
  <c r="B38" i="4"/>
  <c r="B41" i="4"/>
  <c r="G14" i="4"/>
  <c r="B96" i="4"/>
  <c r="T79" i="4"/>
  <c r="F79" i="4"/>
  <c r="E79" i="4"/>
  <c r="M79" i="4"/>
  <c r="L79" i="4"/>
  <c r="D80" i="4"/>
  <c r="D21" i="4"/>
  <c r="D22" i="4" s="1"/>
  <c r="C80" i="4"/>
  <c r="B42" i="4"/>
  <c r="V42" i="4" s="1"/>
  <c r="Q96" i="4"/>
  <c r="I14" i="4"/>
  <c r="C42" i="4" s="1"/>
  <c r="I21" i="4"/>
  <c r="I23" i="4" s="1"/>
  <c r="E27" i="4"/>
  <c r="B63" i="4"/>
  <c r="K63" i="4" s="1"/>
  <c r="R96" i="4"/>
  <c r="G80" i="4"/>
  <c r="D96" i="4"/>
  <c r="M15" i="4"/>
  <c r="D30" i="4"/>
  <c r="D31" i="4" s="1"/>
  <c r="I80" i="4"/>
  <c r="E96" i="4"/>
  <c r="D24" i="4"/>
  <c r="D25" i="4" s="1"/>
  <c r="E30" i="4"/>
  <c r="S80" i="4"/>
  <c r="F96" i="4"/>
  <c r="L15" i="4"/>
  <c r="B97" i="4"/>
  <c r="D97" i="4" s="1"/>
  <c r="G18" i="4"/>
  <c r="E24" i="4"/>
  <c r="G30" i="4"/>
  <c r="B45" i="4"/>
  <c r="P45" i="4" s="1"/>
  <c r="B74" i="4"/>
  <c r="U80" i="4"/>
  <c r="G96" i="4"/>
  <c r="H18" i="4"/>
  <c r="H19" i="4" s="1"/>
  <c r="H24" i="4"/>
  <c r="I30" i="4"/>
  <c r="B46" i="4"/>
  <c r="N46" i="4" s="1"/>
  <c r="W80" i="4"/>
  <c r="I96" i="4"/>
  <c r="B93" i="4"/>
  <c r="V93" i="4" s="1"/>
  <c r="W96" i="4"/>
  <c r="J96" i="4"/>
  <c r="M18" i="4"/>
  <c r="M19" i="4" s="1"/>
  <c r="L24" i="4"/>
  <c r="L25" i="4" s="1"/>
  <c r="K96" i="4"/>
  <c r="M24" i="4"/>
  <c r="L96" i="4"/>
  <c r="H20" i="4"/>
  <c r="A86" i="4"/>
  <c r="C86" i="4"/>
  <c r="Q94" i="4"/>
  <c r="L94" i="4"/>
  <c r="S94" i="4"/>
  <c r="E94" i="4"/>
  <c r="R94" i="4"/>
  <c r="D94" i="4"/>
  <c r="T94" i="4"/>
  <c r="P94" i="4"/>
  <c r="O94" i="4"/>
  <c r="M94" i="4"/>
  <c r="K94" i="4"/>
  <c r="J94" i="4"/>
  <c r="V94" i="4"/>
  <c r="I94" i="4"/>
  <c r="U94" i="4"/>
  <c r="H94" i="4"/>
  <c r="G94" i="4"/>
  <c r="F94" i="4"/>
  <c r="N94" i="4"/>
  <c r="W94" i="4"/>
  <c r="A69" i="4"/>
  <c r="C69" i="4"/>
  <c r="C35" i="4"/>
  <c r="A35" i="4"/>
  <c r="C75" i="4"/>
  <c r="C92" i="4"/>
  <c r="C58" i="4"/>
  <c r="C41" i="4"/>
  <c r="K15" i="4"/>
  <c r="H21" i="4"/>
  <c r="D23" i="4"/>
  <c r="K24" i="4"/>
  <c r="K25" i="4" s="1"/>
  <c r="J27" i="4"/>
  <c r="F30" i="4"/>
  <c r="S42" i="4"/>
  <c r="I45" i="4"/>
  <c r="G46" i="4"/>
  <c r="C52" i="4"/>
  <c r="G63" i="4"/>
  <c r="B71" i="4"/>
  <c r="B77" i="4"/>
  <c r="N79" i="4"/>
  <c r="J80" i="4"/>
  <c r="C62" i="4"/>
  <c r="C79" i="4"/>
  <c r="B39" i="4"/>
  <c r="Q62" i="4"/>
  <c r="L62" i="4"/>
  <c r="S62" i="4"/>
  <c r="E62" i="4"/>
  <c r="R62" i="4"/>
  <c r="D62" i="4"/>
  <c r="I22" i="4"/>
  <c r="B89" i="4"/>
  <c r="B43" i="4"/>
  <c r="B60" i="4"/>
  <c r="J24" i="4"/>
  <c r="J18" i="4"/>
  <c r="B44" i="4"/>
  <c r="K14" i="4"/>
  <c r="K18" i="4"/>
  <c r="F27" i="4"/>
  <c r="A52" i="4"/>
  <c r="J62" i="4"/>
  <c r="K42" i="4"/>
  <c r="L42" i="4"/>
  <c r="M62" i="4"/>
  <c r="K80" i="4"/>
  <c r="N97" i="4"/>
  <c r="L28" i="4"/>
  <c r="N62" i="4"/>
  <c r="L80" i="4"/>
  <c r="O79" i="4"/>
  <c r="J21" i="4"/>
  <c r="I46" i="4"/>
  <c r="F14" i="4"/>
  <c r="K21" i="4"/>
  <c r="J30" i="4"/>
  <c r="W42" i="4"/>
  <c r="O62" i="4"/>
  <c r="R79" i="4"/>
  <c r="P80" i="4"/>
  <c r="M96" i="4"/>
  <c r="V96" i="4"/>
  <c r="H96" i="4"/>
  <c r="O96" i="4"/>
  <c r="N96" i="4"/>
  <c r="T96" i="4"/>
  <c r="P97" i="4"/>
  <c r="E46" i="4"/>
  <c r="I62" i="4"/>
  <c r="J15" i="4"/>
  <c r="E14" i="4"/>
  <c r="P79" i="4"/>
  <c r="B95" i="4"/>
  <c r="C40" i="4"/>
  <c r="C91" i="4"/>
  <c r="E18" i="4"/>
  <c r="K30" i="4"/>
  <c r="E42" i="4"/>
  <c r="B61" i="4"/>
  <c r="P62" i="4"/>
  <c r="B78" i="4"/>
  <c r="S79" i="4"/>
  <c r="Q80" i="4"/>
  <c r="C96" i="4"/>
  <c r="F15" i="4"/>
  <c r="B56" i="4"/>
  <c r="F21" i="4"/>
  <c r="W62" i="4"/>
  <c r="F18" i="4"/>
  <c r="M23" i="4"/>
  <c r="M46" i="4"/>
  <c r="T62" i="4"/>
  <c r="B73" i="4"/>
  <c r="D18" i="4"/>
  <c r="B37" i="4"/>
  <c r="D14" i="4"/>
  <c r="B88" i="4"/>
  <c r="U62" i="4"/>
  <c r="V79" i="4"/>
  <c r="H79" i="4"/>
  <c r="Q79" i="4"/>
  <c r="J79" i="4"/>
  <c r="W79" i="4"/>
  <c r="I79" i="4"/>
  <c r="U79" i="4"/>
  <c r="G19" i="4"/>
  <c r="E21" i="4"/>
  <c r="B72" i="4"/>
  <c r="J14" i="4"/>
  <c r="V62" i="4"/>
  <c r="D79" i="4"/>
  <c r="M80" i="4"/>
  <c r="V80" i="4"/>
  <c r="H80" i="4"/>
  <c r="O80" i="4"/>
  <c r="N80" i="4"/>
  <c r="T80" i="4"/>
  <c r="T97" i="4"/>
  <c r="S97" i="4"/>
  <c r="E25" i="4"/>
  <c r="B75" i="4"/>
  <c r="B92" i="4"/>
  <c r="H30" i="4"/>
  <c r="H31" i="4" s="1"/>
  <c r="H15" i="4"/>
  <c r="H27" i="4"/>
  <c r="D15" i="4"/>
  <c r="L20" i="4"/>
  <c r="F24" i="4"/>
  <c r="C46" i="4"/>
  <c r="C63" i="4"/>
  <c r="C45" i="4"/>
  <c r="F62" i="4"/>
  <c r="G62" i="4"/>
  <c r="V63" i="4"/>
  <c r="G79" i="4"/>
  <c r="E80" i="4"/>
  <c r="L93" i="4"/>
  <c r="N93" i="4"/>
  <c r="M93" i="4"/>
  <c r="B59" i="4"/>
  <c r="I18" i="4"/>
  <c r="B76" i="4"/>
  <c r="I27" i="4"/>
  <c r="E15" i="4"/>
  <c r="D27" i="4"/>
  <c r="K28" i="4" s="1"/>
  <c r="V46" i="4"/>
  <c r="B58" i="4"/>
  <c r="H62" i="4"/>
  <c r="D63" i="4"/>
  <c r="K79" i="4"/>
  <c r="F80" i="4"/>
  <c r="G15" i="4"/>
  <c r="B40" i="4"/>
  <c r="G21" i="4"/>
  <c r="G27" i="4"/>
  <c r="G28" i="4" s="1"/>
  <c r="G93" i="4" l="1"/>
  <c r="R97" i="4"/>
  <c r="Q45" i="4"/>
  <c r="D42" i="4"/>
  <c r="U93" i="4"/>
  <c r="G42" i="4"/>
  <c r="J25" i="4"/>
  <c r="E45" i="4"/>
  <c r="M42" i="4"/>
  <c r="L97" i="4"/>
  <c r="P42" i="4"/>
  <c r="I93" i="4"/>
  <c r="F42" i="4"/>
  <c r="H93" i="4"/>
  <c r="F93" i="4"/>
  <c r="U63" i="4"/>
  <c r="L23" i="4"/>
  <c r="L63" i="4"/>
  <c r="T42" i="4"/>
  <c r="W45" i="4"/>
  <c r="V45" i="4"/>
  <c r="Q97" i="4"/>
  <c r="I97" i="4"/>
  <c r="D45" i="4"/>
  <c r="O97" i="4"/>
  <c r="J93" i="4"/>
  <c r="C93" i="4"/>
  <c r="W97" i="4"/>
  <c r="K93" i="4"/>
  <c r="M22" i="4"/>
  <c r="M25" i="4"/>
  <c r="T45" i="4"/>
  <c r="T93" i="4"/>
  <c r="E97" i="4"/>
  <c r="J31" i="4"/>
  <c r="I28" i="4"/>
  <c r="I63" i="4"/>
  <c r="S45" i="4"/>
  <c r="R45" i="4"/>
  <c r="M45" i="4"/>
  <c r="N63" i="4"/>
  <c r="W63" i="4"/>
  <c r="F97" i="4"/>
  <c r="N45" i="4"/>
  <c r="K45" i="4"/>
  <c r="F25" i="4"/>
  <c r="J45" i="4"/>
  <c r="G31" i="4"/>
  <c r="M20" i="4"/>
  <c r="H45" i="4"/>
  <c r="J63" i="4"/>
  <c r="G45" i="4"/>
  <c r="Q63" i="4"/>
  <c r="M97" i="4"/>
  <c r="U45" i="4"/>
  <c r="M63" i="4"/>
  <c r="H97" i="4"/>
  <c r="H63" i="4"/>
  <c r="G20" i="4"/>
  <c r="L45" i="4"/>
  <c r="K31" i="4"/>
  <c r="L31" i="4"/>
  <c r="I31" i="4"/>
  <c r="E31" i="4"/>
  <c r="F31" i="4"/>
  <c r="O45" i="4"/>
  <c r="F45" i="4"/>
  <c r="M31" i="4"/>
  <c r="P96" i="4"/>
  <c r="S96" i="4"/>
  <c r="U96" i="4"/>
  <c r="C74" i="4"/>
  <c r="C57" i="4"/>
  <c r="J46" i="4"/>
  <c r="P46" i="4"/>
  <c r="S46" i="4"/>
  <c r="K46" i="4"/>
  <c r="R46" i="4"/>
  <c r="H46" i="4"/>
  <c r="D46" i="4"/>
  <c r="F46" i="4"/>
  <c r="U46" i="4"/>
  <c r="W46" i="4"/>
  <c r="O46" i="4"/>
  <c r="Q46" i="4"/>
  <c r="L46" i="4"/>
  <c r="T46" i="4"/>
  <c r="O93" i="4"/>
  <c r="P93" i="4"/>
  <c r="E93" i="4"/>
  <c r="D93" i="4"/>
  <c r="W93" i="4"/>
  <c r="S93" i="4"/>
  <c r="R93" i="4"/>
  <c r="Q93" i="4"/>
  <c r="O63" i="4"/>
  <c r="P63" i="4"/>
  <c r="E63" i="4"/>
  <c r="T63" i="4"/>
  <c r="S63" i="4"/>
  <c r="R63" i="4"/>
  <c r="F63" i="4"/>
  <c r="G25" i="4"/>
  <c r="C59" i="4"/>
  <c r="C76" i="4"/>
  <c r="H25" i="4"/>
  <c r="U42" i="4"/>
  <c r="N42" i="4"/>
  <c r="J42" i="4"/>
  <c r="R42" i="4"/>
  <c r="Q42" i="4"/>
  <c r="O42" i="4"/>
  <c r="I42" i="4"/>
  <c r="H42" i="4"/>
  <c r="I25" i="4"/>
  <c r="U97" i="4"/>
  <c r="V97" i="4"/>
  <c r="K97" i="4"/>
  <c r="J97" i="4"/>
  <c r="G97" i="4"/>
  <c r="L22" i="4"/>
  <c r="G23" i="4"/>
  <c r="G22" i="4"/>
  <c r="O56" i="4"/>
  <c r="J56" i="4"/>
  <c r="P56" i="4"/>
  <c r="V56" i="4"/>
  <c r="U44" i="4"/>
  <c r="G44" i="4"/>
  <c r="P44" i="4"/>
  <c r="W44" i="4"/>
  <c r="I44" i="4"/>
  <c r="V44" i="4"/>
  <c r="H44" i="4"/>
  <c r="J44" i="4"/>
  <c r="F44" i="4"/>
  <c r="E44" i="4"/>
  <c r="T44" i="4"/>
  <c r="D44" i="4"/>
  <c r="S44" i="4"/>
  <c r="L44" i="4"/>
  <c r="R44" i="4"/>
  <c r="K44" i="4"/>
  <c r="Q44" i="4"/>
  <c r="O44" i="4"/>
  <c r="N44" i="4"/>
  <c r="M44" i="4"/>
  <c r="L77" i="4"/>
  <c r="U77" i="4"/>
  <c r="G77" i="4"/>
  <c r="N77" i="4"/>
  <c r="M77" i="4"/>
  <c r="Q77" i="4"/>
  <c r="P77" i="4"/>
  <c r="O77" i="4"/>
  <c r="J77" i="4"/>
  <c r="I77" i="4"/>
  <c r="K77" i="4"/>
  <c r="H77" i="4"/>
  <c r="F77" i="4"/>
  <c r="D77" i="4"/>
  <c r="R77" i="4"/>
  <c r="E77" i="4"/>
  <c r="W77" i="4"/>
  <c r="V77" i="4"/>
  <c r="S77" i="4"/>
  <c r="T77" i="4"/>
  <c r="H22" i="4"/>
  <c r="H23" i="4"/>
  <c r="A88" i="4"/>
  <c r="D88" i="4" s="1"/>
  <c r="A89" i="4"/>
  <c r="V89" i="4" s="1"/>
  <c r="A96" i="4"/>
  <c r="A93" i="4"/>
  <c r="A97" i="4"/>
  <c r="A91" i="4"/>
  <c r="A94" i="4"/>
  <c r="A90" i="4"/>
  <c r="A95" i="4"/>
  <c r="A92" i="4"/>
  <c r="G92" i="4" s="1"/>
  <c r="U76" i="4"/>
  <c r="G76" i="4"/>
  <c r="P76" i="4"/>
  <c r="W76" i="4"/>
  <c r="I76" i="4"/>
  <c r="V76" i="4"/>
  <c r="H76" i="4"/>
  <c r="S76" i="4"/>
  <c r="R76" i="4"/>
  <c r="Q76" i="4"/>
  <c r="N76" i="4"/>
  <c r="M76" i="4"/>
  <c r="L76" i="4"/>
  <c r="O76" i="4"/>
  <c r="K76" i="4"/>
  <c r="T76" i="4"/>
  <c r="J76" i="4"/>
  <c r="F76" i="4"/>
  <c r="E76" i="4"/>
  <c r="D76" i="4"/>
  <c r="A56" i="4"/>
  <c r="W56" i="4" s="1"/>
  <c r="A57" i="4"/>
  <c r="A58" i="4"/>
  <c r="U58" i="4" s="1"/>
  <c r="A63" i="4"/>
  <c r="A62" i="4"/>
  <c r="A60" i="4"/>
  <c r="A61" i="4"/>
  <c r="A55" i="4"/>
  <c r="A54" i="4"/>
  <c r="A59" i="4"/>
  <c r="I19" i="4"/>
  <c r="I20" i="4"/>
  <c r="J22" i="4"/>
  <c r="J23" i="4"/>
  <c r="M71" i="4"/>
  <c r="G71" i="4"/>
  <c r="D71" i="4"/>
  <c r="F71" i="4"/>
  <c r="P59" i="4"/>
  <c r="K59" i="4"/>
  <c r="R59" i="4"/>
  <c r="D59" i="4"/>
  <c r="Q59" i="4"/>
  <c r="S59" i="4"/>
  <c r="O59" i="4"/>
  <c r="N59" i="4"/>
  <c r="L59" i="4"/>
  <c r="J59" i="4"/>
  <c r="I59" i="4"/>
  <c r="M59" i="4"/>
  <c r="H59" i="4"/>
  <c r="T59" i="4"/>
  <c r="G59" i="4"/>
  <c r="E59" i="4"/>
  <c r="F59" i="4"/>
  <c r="U59" i="4"/>
  <c r="W59" i="4"/>
  <c r="V59" i="4"/>
  <c r="F58" i="4"/>
  <c r="S58" i="4"/>
  <c r="I58" i="4"/>
  <c r="H58" i="4"/>
  <c r="E20" i="4"/>
  <c r="E19" i="4"/>
  <c r="C88" i="4"/>
  <c r="C54" i="4"/>
  <c r="C37" i="4"/>
  <c r="C71" i="4"/>
  <c r="Q78" i="4"/>
  <c r="L78" i="4"/>
  <c r="S78" i="4"/>
  <c r="E78" i="4"/>
  <c r="R78" i="4"/>
  <c r="D78" i="4"/>
  <c r="M78" i="4"/>
  <c r="K78" i="4"/>
  <c r="J78" i="4"/>
  <c r="H78" i="4"/>
  <c r="G78" i="4"/>
  <c r="F78" i="4"/>
  <c r="W78" i="4"/>
  <c r="N78" i="4"/>
  <c r="V78" i="4"/>
  <c r="U78" i="4"/>
  <c r="O78" i="4"/>
  <c r="T78" i="4"/>
  <c r="I78" i="4"/>
  <c r="P78" i="4"/>
  <c r="F89" i="4"/>
  <c r="O89" i="4"/>
  <c r="R89" i="4"/>
  <c r="V95" i="4"/>
  <c r="H95" i="4"/>
  <c r="Q95" i="4"/>
  <c r="J95" i="4"/>
  <c r="W95" i="4"/>
  <c r="I95" i="4"/>
  <c r="O95" i="4"/>
  <c r="N95" i="4"/>
  <c r="M95" i="4"/>
  <c r="K95" i="4"/>
  <c r="G95" i="4"/>
  <c r="F95" i="4"/>
  <c r="L95" i="4"/>
  <c r="E95" i="4"/>
  <c r="P95" i="4"/>
  <c r="D95" i="4"/>
  <c r="U95" i="4"/>
  <c r="T95" i="4"/>
  <c r="R95" i="4"/>
  <c r="S95" i="4"/>
  <c r="H28" i="4"/>
  <c r="D20" i="4"/>
  <c r="D19" i="4"/>
  <c r="F20" i="4"/>
  <c r="F19" i="4"/>
  <c r="A40" i="4"/>
  <c r="S40" i="4" s="1"/>
  <c r="A41" i="4"/>
  <c r="A37" i="4"/>
  <c r="K37" i="4" s="1"/>
  <c r="A46" i="4"/>
  <c r="A45" i="4"/>
  <c r="A39" i="4"/>
  <c r="S39" i="4" s="1"/>
  <c r="A44" i="4"/>
  <c r="A38" i="4"/>
  <c r="A43" i="4"/>
  <c r="A42" i="4"/>
  <c r="J20" i="4"/>
  <c r="J19" i="4"/>
  <c r="C94" i="4"/>
  <c r="C43" i="4"/>
  <c r="C77" i="4"/>
  <c r="C60" i="4"/>
  <c r="L61" i="4"/>
  <c r="U61" i="4"/>
  <c r="G61" i="4"/>
  <c r="N61" i="4"/>
  <c r="M61" i="4"/>
  <c r="J61" i="4"/>
  <c r="I61" i="4"/>
  <c r="H61" i="4"/>
  <c r="E61" i="4"/>
  <c r="W61" i="4"/>
  <c r="D61" i="4"/>
  <c r="F61" i="4"/>
  <c r="V61" i="4"/>
  <c r="T61" i="4"/>
  <c r="R61" i="4"/>
  <c r="K61" i="4"/>
  <c r="S61" i="4"/>
  <c r="Q61" i="4"/>
  <c r="O61" i="4"/>
  <c r="P61" i="4"/>
  <c r="F28" i="4"/>
  <c r="K39" i="4"/>
  <c r="F39" i="4"/>
  <c r="I39" i="4"/>
  <c r="M28" i="4"/>
  <c r="D28" i="4"/>
  <c r="G72" i="4"/>
  <c r="W72" i="4"/>
  <c r="K22" i="4"/>
  <c r="K23" i="4"/>
  <c r="U60" i="4"/>
  <c r="G60" i="4"/>
  <c r="P60" i="4"/>
  <c r="W60" i="4"/>
  <c r="I60" i="4"/>
  <c r="V60" i="4"/>
  <c r="H60" i="4"/>
  <c r="N60" i="4"/>
  <c r="M60" i="4"/>
  <c r="L60" i="4"/>
  <c r="J60" i="4"/>
  <c r="F60" i="4"/>
  <c r="E60" i="4"/>
  <c r="Q60" i="4"/>
  <c r="K60" i="4"/>
  <c r="D60" i="4"/>
  <c r="S60" i="4"/>
  <c r="O60" i="4"/>
  <c r="T60" i="4"/>
  <c r="R60" i="4"/>
  <c r="J28" i="4"/>
  <c r="A72" i="4"/>
  <c r="I72" i="4" s="1"/>
  <c r="A73" i="4"/>
  <c r="U73" i="4" s="1"/>
  <c r="A80" i="4"/>
  <c r="A75" i="4"/>
  <c r="Q75" i="4" s="1"/>
  <c r="A74" i="4"/>
  <c r="A79" i="4"/>
  <c r="A77" i="4"/>
  <c r="A71" i="4"/>
  <c r="E71" i="4" s="1"/>
  <c r="A76" i="4"/>
  <c r="A78" i="4"/>
  <c r="E22" i="4"/>
  <c r="E23" i="4"/>
  <c r="L19" i="4"/>
  <c r="C56" i="4"/>
  <c r="C39" i="4"/>
  <c r="C73" i="4"/>
  <c r="C90" i="4"/>
  <c r="K20" i="4"/>
  <c r="K19" i="4"/>
  <c r="P43" i="4"/>
  <c r="K43" i="4"/>
  <c r="R43" i="4"/>
  <c r="D43" i="4"/>
  <c r="Q43" i="4"/>
  <c r="L43" i="4"/>
  <c r="J43" i="4"/>
  <c r="I43" i="4"/>
  <c r="G43" i="4"/>
  <c r="F43" i="4"/>
  <c r="H43" i="4"/>
  <c r="W43" i="4"/>
  <c r="E43" i="4"/>
  <c r="N43" i="4"/>
  <c r="V43" i="4"/>
  <c r="T43" i="4"/>
  <c r="M43" i="4"/>
  <c r="U43" i="4"/>
  <c r="S43" i="4"/>
  <c r="O43" i="4"/>
  <c r="H73" i="4"/>
  <c r="J73" i="4"/>
  <c r="I73" i="4"/>
  <c r="E73" i="4"/>
  <c r="F22" i="4"/>
  <c r="F23" i="4"/>
  <c r="C72" i="4"/>
  <c r="C38" i="4"/>
  <c r="C55" i="4"/>
  <c r="C89" i="4"/>
  <c r="E28" i="4"/>
  <c r="C78" i="4"/>
  <c r="C95" i="4"/>
  <c r="C44" i="4"/>
  <c r="C61" i="4"/>
  <c r="J37" i="4" l="1"/>
  <c r="L37" i="4"/>
  <c r="I37" i="4"/>
  <c r="V73" i="4"/>
  <c r="L75" i="4"/>
  <c r="T89" i="4"/>
  <c r="F75" i="4"/>
  <c r="J39" i="4"/>
  <c r="R58" i="4"/>
  <c r="H71" i="4"/>
  <c r="O75" i="4"/>
  <c r="T58" i="4"/>
  <c r="Q73" i="4"/>
  <c r="K58" i="4"/>
  <c r="I56" i="4"/>
  <c r="P73" i="4"/>
  <c r="U56" i="4"/>
  <c r="R73" i="4"/>
  <c r="D56" i="4"/>
  <c r="G58" i="4"/>
  <c r="O71" i="4"/>
  <c r="J58" i="4"/>
  <c r="J71" i="4"/>
  <c r="P71" i="4"/>
  <c r="L71" i="4"/>
  <c r="V58" i="4"/>
  <c r="S71" i="4"/>
  <c r="W58" i="4"/>
  <c r="T92" i="4"/>
  <c r="N58" i="4"/>
  <c r="U71" i="4"/>
  <c r="R92" i="4"/>
  <c r="N71" i="4"/>
  <c r="N56" i="4"/>
  <c r="M37" i="4"/>
  <c r="O58" i="4"/>
  <c r="O73" i="4"/>
  <c r="H92" i="4"/>
  <c r="G37" i="4"/>
  <c r="P58" i="4"/>
  <c r="V71" i="4"/>
  <c r="R56" i="4"/>
  <c r="U37" i="4"/>
  <c r="I92" i="4"/>
  <c r="S37" i="4"/>
  <c r="N37" i="4"/>
  <c r="V75" i="4"/>
  <c r="W92" i="4"/>
  <c r="E72" i="4"/>
  <c r="Q92" i="4"/>
  <c r="D39" i="4"/>
  <c r="F37" i="4"/>
  <c r="H72" i="4"/>
  <c r="S92" i="4"/>
  <c r="J75" i="4"/>
  <c r="K72" i="4"/>
  <c r="D92" i="4"/>
  <c r="R37" i="4"/>
  <c r="O37" i="4"/>
  <c r="M75" i="4"/>
  <c r="L72" i="4"/>
  <c r="E92" i="4"/>
  <c r="Q37" i="4"/>
  <c r="P37" i="4"/>
  <c r="Q58" i="4"/>
  <c r="R71" i="4"/>
  <c r="T56" i="4"/>
  <c r="W37" i="4"/>
  <c r="K92" i="4"/>
  <c r="L92" i="4"/>
  <c r="P92" i="4"/>
  <c r="D37" i="4"/>
  <c r="D89" i="4"/>
  <c r="R75" i="4"/>
  <c r="S72" i="4"/>
  <c r="U92" i="4"/>
  <c r="P39" i="4"/>
  <c r="V37" i="4"/>
  <c r="Q89" i="4"/>
  <c r="O72" i="4"/>
  <c r="U75" i="4"/>
  <c r="T37" i="4"/>
  <c r="D75" i="4"/>
  <c r="M92" i="4"/>
  <c r="H37" i="4"/>
  <c r="M89" i="4"/>
  <c r="L58" i="4"/>
  <c r="Q71" i="4"/>
  <c r="J72" i="4"/>
  <c r="S75" i="4"/>
  <c r="V92" i="4"/>
  <c r="M39" i="4"/>
  <c r="N92" i="4"/>
  <c r="K75" i="4"/>
  <c r="N72" i="4"/>
  <c r="O92" i="4"/>
  <c r="H39" i="4"/>
  <c r="P75" i="4"/>
  <c r="U72" i="4"/>
  <c r="J92" i="4"/>
  <c r="Q39" i="4"/>
  <c r="E37" i="4"/>
  <c r="P89" i="4"/>
  <c r="K88" i="4"/>
  <c r="D58" i="4"/>
  <c r="M58" i="4"/>
  <c r="K71" i="4"/>
  <c r="F73" i="4"/>
  <c r="L88" i="4"/>
  <c r="R40" i="4"/>
  <c r="S73" i="4"/>
  <c r="T73" i="4"/>
  <c r="G75" i="4"/>
  <c r="T72" i="4"/>
  <c r="M72" i="4"/>
  <c r="R39" i="4"/>
  <c r="I89" i="4"/>
  <c r="R88" i="4"/>
  <c r="U40" i="4"/>
  <c r="T71" i="4"/>
  <c r="F56" i="4"/>
  <c r="L73" i="4"/>
  <c r="U39" i="4"/>
  <c r="E89" i="4"/>
  <c r="M88" i="4"/>
  <c r="T40" i="4"/>
  <c r="M73" i="4"/>
  <c r="N75" i="4"/>
  <c r="D72" i="4"/>
  <c r="P72" i="4"/>
  <c r="T39" i="4"/>
  <c r="J89" i="4"/>
  <c r="E88" i="4"/>
  <c r="S88" i="4"/>
  <c r="G40" i="4"/>
  <c r="D40" i="4"/>
  <c r="L56" i="4"/>
  <c r="G56" i="4"/>
  <c r="W73" i="4"/>
  <c r="T75" i="4"/>
  <c r="V72" i="4"/>
  <c r="Q72" i="4"/>
  <c r="V39" i="4"/>
  <c r="K89" i="4"/>
  <c r="W88" i="4"/>
  <c r="T88" i="4"/>
  <c r="I40" i="4"/>
  <c r="V40" i="4"/>
  <c r="I71" i="4"/>
  <c r="K56" i="4"/>
  <c r="H56" i="4"/>
  <c r="D73" i="4"/>
  <c r="W39" i="4"/>
  <c r="H38" i="4"/>
  <c r="D38" i="4"/>
  <c r="L38" i="4"/>
  <c r="K38" i="4"/>
  <c r="J38" i="4"/>
  <c r="W38" i="4"/>
  <c r="M38" i="4"/>
  <c r="Q38" i="4"/>
  <c r="V38" i="4"/>
  <c r="S38" i="4"/>
  <c r="E38" i="4"/>
  <c r="N38" i="4"/>
  <c r="U38" i="4"/>
  <c r="O38" i="4"/>
  <c r="G38" i="4"/>
  <c r="P38" i="4"/>
  <c r="R38" i="4"/>
  <c r="T38" i="4"/>
  <c r="I38" i="4"/>
  <c r="F38" i="4"/>
  <c r="N89" i="4"/>
  <c r="F88" i="4"/>
  <c r="Q88" i="4"/>
  <c r="K40" i="4"/>
  <c r="Q40" i="4"/>
  <c r="K90" i="4"/>
  <c r="O90" i="4"/>
  <c r="T90" i="4"/>
  <c r="U90" i="4"/>
  <c r="F90" i="4"/>
  <c r="S90" i="4"/>
  <c r="M90" i="4"/>
  <c r="P90" i="4"/>
  <c r="L90" i="4"/>
  <c r="R90" i="4"/>
  <c r="N90" i="4"/>
  <c r="Q90" i="4"/>
  <c r="J90" i="4"/>
  <c r="I90" i="4"/>
  <c r="G90" i="4"/>
  <c r="E90" i="4"/>
  <c r="W90" i="4"/>
  <c r="D90" i="4"/>
  <c r="H90" i="4"/>
  <c r="V90" i="4"/>
  <c r="M56" i="4"/>
  <c r="Q56" i="4"/>
  <c r="G89" i="4"/>
  <c r="W40" i="4"/>
  <c r="O40" i="4"/>
  <c r="N40" i="4"/>
  <c r="V88" i="4"/>
  <c r="P88" i="4"/>
  <c r="H40" i="4"/>
  <c r="P40" i="4"/>
  <c r="F91" i="4"/>
  <c r="L91" i="4"/>
  <c r="J91" i="4"/>
  <c r="K91" i="4"/>
  <c r="H91" i="4"/>
  <c r="G91" i="4"/>
  <c r="S91" i="4"/>
  <c r="U91" i="4"/>
  <c r="R91" i="4"/>
  <c r="I91" i="4"/>
  <c r="M91" i="4"/>
  <c r="D91" i="4"/>
  <c r="Q91" i="4"/>
  <c r="O91" i="4"/>
  <c r="V91" i="4"/>
  <c r="E91" i="4"/>
  <c r="N91" i="4"/>
  <c r="W91" i="4"/>
  <c r="T91" i="4"/>
  <c r="P91" i="4"/>
  <c r="K73" i="4"/>
  <c r="E75" i="4"/>
  <c r="R72" i="4"/>
  <c r="O39" i="4"/>
  <c r="L39" i="4"/>
  <c r="S89" i="4"/>
  <c r="U89" i="4"/>
  <c r="U88" i="4"/>
  <c r="L40" i="4"/>
  <c r="G88" i="4"/>
  <c r="J88" i="4"/>
  <c r="E40" i="4"/>
  <c r="J40" i="4"/>
  <c r="G73" i="4"/>
  <c r="H75" i="4"/>
  <c r="W75" i="4"/>
  <c r="F72" i="4"/>
  <c r="G39" i="4"/>
  <c r="E39" i="4"/>
  <c r="L89" i="4"/>
  <c r="H89" i="4"/>
  <c r="I88" i="4"/>
  <c r="F40" i="4"/>
  <c r="E56" i="4"/>
  <c r="W74" i="4"/>
  <c r="D74" i="4"/>
  <c r="S74" i="4"/>
  <c r="I74" i="4"/>
  <c r="H74" i="4"/>
  <c r="V74" i="4"/>
  <c r="O74" i="4"/>
  <c r="Q74" i="4"/>
  <c r="K74" i="4"/>
  <c r="T74" i="4"/>
  <c r="R74" i="4"/>
  <c r="N74" i="4"/>
  <c r="F74" i="4"/>
  <c r="M74" i="4"/>
  <c r="E74" i="4"/>
  <c r="J74" i="4"/>
  <c r="P74" i="4"/>
  <c r="L74" i="4"/>
  <c r="G74" i="4"/>
  <c r="U74" i="4"/>
  <c r="H88" i="4"/>
  <c r="O88" i="4"/>
  <c r="S56" i="4"/>
  <c r="N73" i="4"/>
  <c r="I75" i="4"/>
  <c r="F92" i="4"/>
  <c r="N39" i="4"/>
  <c r="W89" i="4"/>
  <c r="N88" i="4"/>
  <c r="E58" i="4"/>
  <c r="M40" i="4"/>
  <c r="W71" i="4"/>
  <c r="K55" i="4"/>
  <c r="O55" i="4"/>
  <c r="M55" i="4"/>
  <c r="P55" i="4"/>
  <c r="I55" i="4"/>
  <c r="H55" i="4"/>
  <c r="F55" i="4"/>
  <c r="W55" i="4"/>
  <c r="D55" i="4"/>
  <c r="V55" i="4"/>
  <c r="G55" i="4"/>
  <c r="U55" i="4"/>
  <c r="J55" i="4"/>
  <c r="Q55" i="4"/>
  <c r="S55" i="4"/>
  <c r="N55" i="4"/>
  <c r="E55" i="4"/>
  <c r="T55" i="4"/>
  <c r="L55" i="4"/>
  <c r="R55" i="4"/>
  <c r="W57" i="4"/>
  <c r="S57" i="4"/>
  <c r="I57" i="4"/>
  <c r="E57" i="4"/>
  <c r="N57" i="4"/>
  <c r="L57" i="4"/>
  <c r="T57" i="4"/>
  <c r="R57" i="4"/>
  <c r="F57" i="4"/>
  <c r="K57" i="4"/>
  <c r="V57" i="4"/>
  <c r="H57" i="4"/>
  <c r="D57" i="4"/>
  <c r="J57" i="4"/>
  <c r="M57" i="4"/>
  <c r="U57" i="4"/>
  <c r="G57" i="4"/>
  <c r="Q57" i="4"/>
  <c r="P57" i="4"/>
  <c r="O57" i="4"/>
  <c r="N41" i="4"/>
  <c r="S41" i="4"/>
  <c r="E41" i="4"/>
  <c r="M41" i="4"/>
  <c r="R41" i="4"/>
  <c r="T41" i="4"/>
  <c r="I41" i="4"/>
  <c r="F41" i="4"/>
  <c r="O41" i="4"/>
  <c r="V41" i="4"/>
  <c r="K41" i="4"/>
  <c r="H41" i="4"/>
  <c r="W41" i="4"/>
  <c r="L41" i="4"/>
  <c r="U41" i="4"/>
  <c r="P41" i="4"/>
  <c r="G41" i="4"/>
  <c r="D41" i="4"/>
  <c r="J41" i="4"/>
  <c r="Q41" i="4"/>
  <c r="H54" i="4"/>
  <c r="Q54" i="4"/>
  <c r="S54" i="4"/>
  <c r="K54" i="4"/>
  <c r="E54" i="4"/>
  <c r="D54" i="4"/>
  <c r="N54" i="4"/>
  <c r="W54" i="4"/>
  <c r="U54" i="4"/>
  <c r="P54" i="4"/>
  <c r="G54" i="4"/>
  <c r="V54" i="4"/>
  <c r="T54" i="4"/>
  <c r="R54" i="4"/>
  <c r="F54" i="4"/>
  <c r="O54" i="4"/>
  <c r="M54" i="4"/>
  <c r="L54" i="4"/>
  <c r="J54" i="4"/>
  <c r="I54" i="4"/>
</calcChain>
</file>

<file path=xl/sharedStrings.xml><?xml version="1.0" encoding="utf-8"?>
<sst xmlns="http://schemas.openxmlformats.org/spreadsheetml/2006/main" count="9606" uniqueCount="6398">
  <si>
    <t>CPAT-AI-Master_UserGuide v1.2.0: the user guide of the CPAT-AI workbooks, and their macros</t>
  </si>
  <si>
    <t>The Climate Policy Assessment Tool in Excel (CPAT-AI): one workbook per module, without macros; this Master opens them, activates them, feeds them and stores their results. Buttons on the right.</t>
  </si>
  <si>
    <t>How to use it</t>
  </si>
  <si>
    <t>1.</t>
  </si>
  <si>
    <t>Keep this workbook in excel_ai/active_workbooks of the repository (git clone or the SyncRepo script); the modules are then found locally, else downloaded from GitHub (the links below).</t>
  </si>
  <si>
    <t>2.</t>
  </si>
  <si>
    <t>Activate: the module's .xlsx ships with formulas to 2035 (smaller, faster to open). Activation copies the 2035 column across to 2041, recalculates and saves the module as .xlsb next to this workbook. Work in the .xlsb.</t>
  </si>
  <si>
    <t>3.</t>
  </si>
  <si>
    <t>Scenarios: in the mitigation workbook, MTInputs (ScenarioDefinition): J = baseline, K = the live policy scenario, L onwards = definitions (Run? = Yes for the batch run). Results: MTOutputs (scenarios side by side) and ScenarioCompare. F9 recalculates.</t>
  </si>
  <si>
    <t>4.</t>
  </si>
  <si>
    <t>Data: choose the data source and the rows (one country or all countries) on tab Settings, then Update data tables (Power Query; the mitigation workbook keeps the source on its tab FromMaster).</t>
  </si>
  <si>
    <t>5.</t>
  </si>
  <si>
    <t>Distribution: Update Distribution from Mitigation copies the exports of Mitigation (section 19a) into the distribution workbook.</t>
  </si>
  <si>
    <t>6.</t>
  </si>
  <si>
    <t>Store: Store live scenarios copies the scenario groups of MTOutputs into StoredScenarios (values); Run stored scenarios runs every definition through the live column and stores each. CompareStored compares the stored scenarios.</t>
  </si>
  <si>
    <t>The modules: latest version and where to find them</t>
  </si>
  <si>
    <t>Module</t>
  </si>
  <si>
    <t>Latest version</t>
  </si>
  <si>
    <t>Unactivated workbook (.xlsx, in the repository, relative to excel_ai)</t>
  </si>
  <si>
    <t>GitHub link (the same file)</t>
  </si>
  <si>
    <t>Activated workbook (.xlsb, next to this workbook)</t>
  </si>
  <si>
    <t>Filled on activation (sheets)</t>
  </si>
  <si>
    <t>Last activated (here)</t>
  </si>
  <si>
    <t>Mitigation</t>
  </si>
  <si>
    <t>1.2.0</t>
  </si>
  <si>
    <t>mitigation/CPAT-AI-Mitigation_latest.xlsx</t>
  </si>
  <si>
    <t>https://github.com/cpmodelai/cpat_ai/raw/main/excel_ai/mitigation/CPAT-AI-Mitigation_latest.xlsx</t>
  </si>
  <si>
    <t>CPAT-AI-Mitigation_latest.xlsb</t>
  </si>
  <si>
    <t>Mitigation,MTOutputs</t>
  </si>
  <si>
    <t>Distribution</t>
  </si>
  <si>
    <t>distribution/CPAT-AI-Distribution_latest.xlsx</t>
  </si>
  <si>
    <t>https://github.com/cpmodelai/cpat_ai/raw/main/excel_ai/distribution/CPAT-AI-Distribution_latest.xlsx</t>
  </si>
  <si>
    <t>CPAT-AI-Distribution_latest.xlsb</t>
  </si>
  <si>
    <t>Air pollution</t>
  </si>
  <si>
    <t>0.3</t>
  </si>
  <si>
    <t>air_pollution/CPAT-AI-AirPollution_latest.xlsx</t>
  </si>
  <si>
    <t>https://github.com/cpmodelai/cpat_ai/raw/main/excel_ai/air_pollution/CPAT-AI-AirPollution_latest.xlsx</t>
  </si>
  <si>
    <t>CPAT-AI-AirPollution_latest.xlsb</t>
  </si>
  <si>
    <t>Storage (NORMS 5a)</t>
  </si>
  <si>
    <t>excel_ai/&lt;module&gt;/&lt;name&gt;_latest.xlsx: the latest unactivated module (built by its builder; versions in &lt;module&gt;/releases/).</t>
  </si>
  <si>
    <t>excel_ai/active_workbooks/: this Master (.xlsm) and the activated modules (&lt;name&gt;_latest.xlsb). The .xlsb are generated files: on a git conflict take either side and activate again; never merge them.</t>
  </si>
  <si>
    <t>Version log</t>
  </si>
  <si>
    <t>First version (user 2026-10-31): user guide, module table, activation (fill 2035 across to 2041, recalculate, save as .xlsb), every macro of CPAT-AI (data tables, distribution from mitigation, batch runs), stored scenarios (ten slots) and their comparison.</t>
  </si>
  <si>
    <t>2026-10-31</t>
  </si>
  <si>
    <t>Settings: the data source of the linked data tables of the modules</t>
  </si>
  <si>
    <t>Update data tables (UserGuide) loads the linked tabs of the activated mitigation workbook from this source and writes it on the module's tab FromMaster.</t>
  </si>
  <si>
    <t>Source</t>
  </si>
  <si>
    <t>Kind</t>
  </si>
  <si>
    <t>Path or URL (file: blank = CPAT_LegacyData.xlsx in &lt;repo&gt;/data/Public01/legacy_xlsx/; web: the raw file address; SharePoint: File &gt; Info &gt; Copy path)</t>
  </si>
  <si>
    <t>Data source</t>
  </si>
  <si>
    <t>Embedded (shipped data, no update)</t>
  </si>
  <si>
    <t>none</t>
  </si>
  <si>
    <t>Rows to load</t>
  </si>
  <si>
    <t>Country</t>
  </si>
  <si>
    <t>Country: the rows of the country of the module (MTInputs, Model settings); All countries: every row of every linked table (larger, slower)</t>
  </si>
  <si>
    <t>Public01 - GitHub (public repository)</t>
  </si>
  <si>
    <t>web</t>
  </si>
  <si>
    <t>https://raw.githubusercontent.com/cpmodelai/cpat_ai/main/data/Public01/legacy_xlsx/CPAT_LegacyData.xlsx</t>
  </si>
  <si>
    <t>Public01 - local file</t>
  </si>
  <si>
    <t>file</t>
  </si>
  <si>
    <t>Data repository (type its URL)</t>
  </si>
  <si>
    <t>SharePoint (type its URL)</t>
  </si>
  <si>
    <t>Output (code stem)</t>
  </si>
  <si>
    <t>Legacy CPAT code</t>
  </si>
  <si>
    <t>Indicator</t>
  </si>
  <si>
    <t>Unit</t>
  </si>
  <si>
    <t>Slot 1: output code</t>
  </si>
  <si>
    <t>Slot 2: output code</t>
  </si>
  <si>
    <t>Slot 3: output code</t>
  </si>
  <si>
    <t>Slot 4: output code</t>
  </si>
  <si>
    <t>Slot 5: output code</t>
  </si>
  <si>
    <t>Slot 6: output code</t>
  </si>
  <si>
    <t>Slot 7: output code</t>
  </si>
  <si>
    <t>Slot 8: output code</t>
  </si>
  <si>
    <t>Slot 9: output code</t>
  </si>
  <si>
    <t>Slot 10: output code</t>
  </si>
  <si>
    <t>StoredScenarios: scenario results stored as values (the rows of MTOutputs; one slot per scenario)</t>
  </si>
  <si>
    <t>Values only. Store live scenarios and Run stored scenarios (UserGuide) write the slots; row 5 the scenario ID, row 4 its name, row 6 when and from which file. CompareStored compares them.</t>
  </si>
  <si>
    <t>Scenario name</t>
  </si>
  <si>
    <t>Baseline (no carbon price)</t>
  </si>
  <si>
    <t>Carbon price $20/tCO2 from 2027</t>
  </si>
  <si>
    <t>Package A: carbon tax to $50 by 2030 + feebates (transport, industry)</t>
  </si>
  <si>
    <t>Package B: ETS on power and industry (cap -5% 2027 to -20% 2035) + carbon tax $25 elsewhere</t>
  </si>
  <si>
    <t>Carbon price $50/tCO2 from 2027</t>
  </si>
  <si>
    <t>Scenario ID</t>
  </si>
  <si>
    <t>Stored</t>
  </si>
  <si>
    <t>stored by the build of mitigation v1.2.0 (Python emulation of the batch run), EGY</t>
  </si>
  <si>
    <t>Policy characteristics</t>
  </si>
  <si>
    <t>mit.cov.ct.all.all</t>
  </si>
  <si>
    <t>mit</t>
  </si>
  <si>
    <t>mit.co2cov</t>
  </si>
  <si>
    <t>Share of energy CO2 covered by the new carbon tax | All sectors | All fuels</t>
  </si>
  <si>
    <t>%</t>
  </si>
  <si>
    <t>egy.mit.cov.ct.all.all.1</t>
  </si>
  <si>
    <t>egy.mit.cov.ct.all.all.3</t>
  </si>
  <si>
    <t>egy.mit.cov.ct.all.all.4</t>
  </si>
  <si>
    <t>egy.mit.cov.ct.all.all.5</t>
  </si>
  <si>
    <t>egy.mit.cov.ct.all.all.6</t>
  </si>
  <si>
    <t>mit.cptraj</t>
  </si>
  <si>
    <t>Carbon price trajectory used</t>
  </si>
  <si>
    <t>USD/tCO2 real</t>
  </si>
  <si>
    <t>egy.mit.cptraj.1</t>
  </si>
  <si>
    <t>egy.mit.cptraj.3</t>
  </si>
  <si>
    <t>egy.mit.cptraj.4</t>
  </si>
  <si>
    <t>egy.mit.cptraj.5</t>
  </si>
  <si>
    <t>egy.mit.cptraj.6</t>
  </si>
  <si>
    <t>mit.cpeff.all.all</t>
  </si>
  <si>
    <t>mit.eff.cptraj</t>
  </si>
  <si>
    <t>Effective carbon tax: carbon price x share of energy CO2 covered by it | All sectors | All fuels</t>
  </si>
  <si>
    <t>USD/tCO2</t>
  </si>
  <si>
    <t>egy.mit.cpeff.all.all.1</t>
  </si>
  <si>
    <t>egy.mit.cpeff.all.all.3</t>
  </si>
  <si>
    <t>egy.mit.cpeff.all.all.4</t>
  </si>
  <si>
    <t>egy.mit.cpeff.all.all.5</t>
  </si>
  <si>
    <t>egy.mit.cpeff.all.all.6</t>
  </si>
  <si>
    <t>mit.ets.p</t>
  </si>
  <si>
    <t>mit.etstraj</t>
  </si>
  <si>
    <t>ETS permit price used</t>
  </si>
  <si>
    <t>egy.mit.ets.p.1</t>
  </si>
  <si>
    <t>egy.mit.ets.p.3</t>
  </si>
  <si>
    <t>egy.mit.ets.p.4</t>
  </si>
  <si>
    <t>egy.mit.ets.p.5</t>
  </si>
  <si>
    <t>egy.mit.ets.p.6</t>
  </si>
  <si>
    <t>mit.cov.ct.pow.all</t>
  </si>
  <si>
    <t>mit.co2cov.pow.cont</t>
  </si>
  <si>
    <t>Share of energy CO2 covered by the new carbon tax | Power | All fuels</t>
  </si>
  <si>
    <t>egy.mit.cov.ct.pow.all.1</t>
  </si>
  <si>
    <t>egy.mit.cov.ct.pow.all.3</t>
  </si>
  <si>
    <t>egy.mit.cov.ct.pow.all.4</t>
  </si>
  <si>
    <t>egy.mit.cov.ct.pow.all.5</t>
  </si>
  <si>
    <t>egy.mit.cov.ct.pow.all.6</t>
  </si>
  <si>
    <t>mit.cov.ct.tra.all</t>
  </si>
  <si>
    <t>mit.co2cov.tra.cont</t>
  </si>
  <si>
    <t>Share of energy CO2 covered by the new carbon tax | Transport | All fuels</t>
  </si>
  <si>
    <t>egy.mit.cov.ct.tra.all.1</t>
  </si>
  <si>
    <t>egy.mit.cov.ct.tra.all.3</t>
  </si>
  <si>
    <t>egy.mit.cov.ct.tra.all.4</t>
  </si>
  <si>
    <t>egy.mit.cov.ct.tra.all.5</t>
  </si>
  <si>
    <t>egy.mit.cov.ct.tra.all.6</t>
  </si>
  <si>
    <t>mit.cov.ct.bld.all</t>
  </si>
  <si>
    <t>mit.co2cov.res.cont</t>
  </si>
  <si>
    <t>Share of energy CO2 covered by the new carbon tax | Buildings | All fuels</t>
  </si>
  <si>
    <t>egy.mit.cov.ct.bld.all.1</t>
  </si>
  <si>
    <t>egy.mit.cov.ct.bld.all.3</t>
  </si>
  <si>
    <t>egy.mit.cov.ct.bld.all.4</t>
  </si>
  <si>
    <t>egy.mit.cov.ct.bld.all.5</t>
  </si>
  <si>
    <t>egy.mit.cov.ct.bld.all.6</t>
  </si>
  <si>
    <t>mit.cov.ct.ind.all</t>
  </si>
  <si>
    <t>mit.co2cov.ind.cont</t>
  </si>
  <si>
    <t>Share of energy CO2 covered by the new carbon tax | Industry | All fuels</t>
  </si>
  <si>
    <t>egy.mit.cov.ct.ind.all.1</t>
  </si>
  <si>
    <t>egy.mit.cov.ct.ind.all.3</t>
  </si>
  <si>
    <t>egy.mit.cov.ct.ind.all.4</t>
  </si>
  <si>
    <t>egy.mit.cov.ct.ind.all.5</t>
  </si>
  <si>
    <t>egy.mit.cov.ct.ind.all.6</t>
  </si>
  <si>
    <t>mit.cov.ct.oen.all</t>
  </si>
  <si>
    <t>mit.co2cov.oth.cont</t>
  </si>
  <si>
    <t>Share of energy CO2 covered by the new carbon tax | Other energy use | All fuels</t>
  </si>
  <si>
    <t>egy.mit.cov.ct.oen.all.1</t>
  </si>
  <si>
    <t>egy.mit.cov.ct.oen.all.3</t>
  </si>
  <si>
    <t>egy.mit.cov.ct.oen.all.4</t>
  </si>
  <si>
    <t>egy.mit.cov.ct.oen.all.5</t>
  </si>
  <si>
    <t>egy.mit.cov.ct.oen.all.6</t>
  </si>
  <si>
    <t>Macro effects</t>
  </si>
  <si>
    <t>mit.gdp.base.all.all</t>
  </si>
  <si>
    <t>mit.gdp.pre.pct</t>
  </si>
  <si>
    <t>Real GDP growth, baseline (before the GDP feedback) | All sectors | All fuels</t>
  </si>
  <si>
    <t>egy.mit.gdp.base.all.all.1</t>
  </si>
  <si>
    <t>egy.mit.gdp.base.all.all.3</t>
  </si>
  <si>
    <t>egy.mit.gdp.base.all.all.4</t>
  </si>
  <si>
    <t>egy.mit.gdp.base.all.all.5</t>
  </si>
  <si>
    <t>egy.mit.gdp.base.all.all.6</t>
  </si>
  <si>
    <t>mit.gdpg.all.exc</t>
  </si>
  <si>
    <t>mit.gdp.exc.pct</t>
  </si>
  <si>
    <t>Real GDP growth effect of a revenue use (memo) | All sectors | Revenue (energy tax increase)</t>
  </si>
  <si>
    <t>share</t>
  </si>
  <si>
    <t>egy.mit.gdpg.all.exc.1</t>
  </si>
  <si>
    <t>egy.mit.gdpg.all.exc.3</t>
  </si>
  <si>
    <t>egy.mit.gdpg.all.exc.4</t>
  </si>
  <si>
    <t>egy.mit.gdpg.all.exc.5</t>
  </si>
  <si>
    <t>egy.mit.gdpg.all.exc.6</t>
  </si>
  <si>
    <t>mit.gdpg.all.pit</t>
  </si>
  <si>
    <t>mit.gdp.pit.pct</t>
  </si>
  <si>
    <t>Real GDP growth effect of a revenue use (memo) | All sectors | Labour tax cuts</t>
  </si>
  <si>
    <t>egy.mit.gdpg.all.pit.1</t>
  </si>
  <si>
    <t>egy.mit.gdpg.all.pit.3</t>
  </si>
  <si>
    <t>egy.mit.gdpg.all.pit.4</t>
  </si>
  <si>
    <t>egy.mit.gdpg.all.pit.5</t>
  </si>
  <si>
    <t>egy.mit.gdpg.all.pit.6</t>
  </si>
  <si>
    <t>mit.gdpg.all.capt</t>
  </si>
  <si>
    <t>mit.gdp.inv.pct</t>
  </si>
  <si>
    <t>Real GDP growth effect of a revenue use (memo) | All sectors | Public investment</t>
  </si>
  <si>
    <t>egy.mit.gdpg.all.capt.1</t>
  </si>
  <si>
    <t>egy.mit.gdpg.all.capt.3</t>
  </si>
  <si>
    <t>egy.mit.gdpg.all.capt.4</t>
  </si>
  <si>
    <t>egy.mit.gdpg.all.capt.5</t>
  </si>
  <si>
    <t>egy.mit.gdpg.all.capt.6</t>
  </si>
  <si>
    <t>mit.gdpg.all.gnfs</t>
  </si>
  <si>
    <t>mit.gdp.cur.pct</t>
  </si>
  <si>
    <t>Real GDP growth effect of a revenue use (memo) | All sectors | Current spending</t>
  </si>
  <si>
    <t>egy.mit.gdpg.all.gnfs.1</t>
  </si>
  <si>
    <t>egy.mit.gdpg.all.gnfs.3</t>
  </si>
  <si>
    <t>egy.mit.gdpg.all.gnfs.4</t>
  </si>
  <si>
    <t>egy.mit.gdpg.all.gnfs.5</t>
  </si>
  <si>
    <t>egy.mit.gdpg.all.gnfs.6</t>
  </si>
  <si>
    <t>mit.gdpg.all.trns</t>
  </si>
  <si>
    <t>mit.gdp.tra.pct</t>
  </si>
  <si>
    <t>Real GDP growth effect of a revenue use (memo) | All sectors | Targeted transfers</t>
  </si>
  <si>
    <t>egy.mit.gdpg.all.trns.1</t>
  </si>
  <si>
    <t>egy.mit.gdpg.all.trns.3</t>
  </si>
  <si>
    <t>egy.mit.gdpg.all.trns.4</t>
  </si>
  <si>
    <t>egy.mit.gdpg.all.trns.5</t>
  </si>
  <si>
    <t>egy.mit.gdpg.all.trns.6</t>
  </si>
  <si>
    <t>mit.gdp.pct.tot</t>
  </si>
  <si>
    <t>mit.gdp.tot.pct</t>
  </si>
  <si>
    <t>Real GDP growth effect of a revenue use (memo) | All sectors | All fuels</t>
  </si>
  <si>
    <t>egy.mit.gdp.pct.tot.1</t>
  </si>
  <si>
    <t>egy.mit.gdp.pct.tot.3</t>
  </si>
  <si>
    <t>egy.mit.gdp.pct.tot.4</t>
  </si>
  <si>
    <t>egy.mit.gdp.pct.tot.5</t>
  </si>
  <si>
    <t>egy.mit.gdp.pct.tot.6</t>
  </si>
  <si>
    <t>mit.rev.usd.tot</t>
  </si>
  <si>
    <t>mit.rev.new.usd</t>
  </si>
  <si>
    <t>Total revenue (net existing + new policies + methane fee) | All sectors | All fuels</t>
  </si>
  <si>
    <t>USD m real</t>
  </si>
  <si>
    <t>egy.mit.rev.usd.tot.1</t>
  </si>
  <si>
    <t>egy.mit.rev.usd.tot.3</t>
  </si>
  <si>
    <t>egy.mit.rev.usd.tot.4</t>
  </si>
  <si>
    <t>egy.mit.rev.usd.tot.5</t>
  </si>
  <si>
    <t>egy.mit.rev.usd.tot.6</t>
  </si>
  <si>
    <t>mit.rpct.all.tot</t>
  </si>
  <si>
    <t>mit.rev.new.pct</t>
  </si>
  <si>
    <t xml:space="preserve">Revenue as a share of baseline real GDP | All sectors | </t>
  </si>
  <si>
    <t>% of GDP</t>
  </si>
  <si>
    <t>egy.mit.rpct.all.tot.1</t>
  </si>
  <si>
    <t>egy.mit.rpct.all.tot.3</t>
  </si>
  <si>
    <t>egy.mit.rpct.all.tot.4</t>
  </si>
  <si>
    <t>egy.mit.rpct.all.tot.5</t>
  </si>
  <si>
    <t>egy.mit.rpct.all.tot.6</t>
  </si>
  <si>
    <t>mit.rpct.all.be</t>
  </si>
  <si>
    <t>mit.ers</t>
  </si>
  <si>
    <t>egy.mit.rpct.all.be.1</t>
  </si>
  <si>
    <t>egy.mit.rpct.all.be.3</t>
  </si>
  <si>
    <t>egy.mit.rpct.all.be.4</t>
  </si>
  <si>
    <t>egy.mit.rpct.all.be.5</t>
  </si>
  <si>
    <t>egy.mit.rpct.all.be.6</t>
  </si>
  <si>
    <t>mit.rcp</t>
  </si>
  <si>
    <t>Revenues - Carbon tax, % of GDP</t>
  </si>
  <si>
    <t>mit.rcp.pow</t>
  </si>
  <si>
    <t>Power sector carbon tax revenues</t>
  </si>
  <si>
    <t>mit.rcp.trs</t>
  </si>
  <si>
    <t>Transport sector carbon tax revenues</t>
  </si>
  <si>
    <t>mit.rcp.bld</t>
  </si>
  <si>
    <t>Buildings sector carbon tax revenues</t>
  </si>
  <si>
    <t>mit.rcp.ind</t>
  </si>
  <si>
    <t>Industry sector carbon tax revenues</t>
  </si>
  <si>
    <t>mit.ln.gdppc</t>
  </si>
  <si>
    <t>Baseline ln(GDP per capita)</t>
  </si>
  <si>
    <t>unitless</t>
  </si>
  <si>
    <t>mit.gdp.usd.all.all</t>
  </si>
  <si>
    <t>mit.gdp.pre.lvl</t>
  </si>
  <si>
    <t>Real GDP, baseline (USD bn, sheet WEO; legacy row 465): the basis of every % of GDP row (12d, 16); moved up from section 16 (v0.3.13)</t>
  </si>
  <si>
    <t>USD bn</t>
  </si>
  <si>
    <t>egy.mit.gdp.usd.all.all.1</t>
  </si>
  <si>
    <t>egy.mit.gdp.usd.all.all.3</t>
  </si>
  <si>
    <t>egy.mit.gdp.usd.all.all.4</t>
  </si>
  <si>
    <t>egy.mit.gdp.usd.all.all.5</t>
  </si>
  <si>
    <t>egy.mit.gdp.usd.all.all.6</t>
  </si>
  <si>
    <t>mit.gdp.pos.usd.all.all</t>
  </si>
  <si>
    <t>mit.gdp.pst.lvl</t>
  </si>
  <si>
    <t>Real GDP after the feedback | All sectors | All fuels</t>
  </si>
  <si>
    <t>egy.mit.gdp.pos.usd.all.all.1</t>
  </si>
  <si>
    <t>egy.mit.gdp.pos.usd.all.all.3</t>
  </si>
  <si>
    <t>egy.mit.gdp.pos.usd.all.all.4</t>
  </si>
  <si>
    <t>egy.mit.gdp.pos.usd.all.all.5</t>
  </si>
  <si>
    <t>egy.mit.gdp.pos.usd.all.all.6</t>
  </si>
  <si>
    <t>mit.kaya.all.pop</t>
  </si>
  <si>
    <t>mit.pop.mn</t>
  </si>
  <si>
    <t xml:space="preserve">Kaya identity: population (mn), GDP per capita (thousand USD), total primary energy supply (ktoe), energy intensity (ktoe per USD bn), carbon intensity (ktCO2 per ktoe) | All sectors | </t>
  </si>
  <si>
    <t>mixed</t>
  </si>
  <si>
    <t>egy.mit.kaya.all.pop.1</t>
  </si>
  <si>
    <t>egy.mit.kaya.all.pop.3</t>
  </si>
  <si>
    <t>egy.mit.kaya.all.pop.4</t>
  </si>
  <si>
    <t>egy.mit.kaya.all.pop.5</t>
  </si>
  <si>
    <t>egy.mit.kaya.all.pop.6</t>
  </si>
  <si>
    <t>Emissions</t>
  </si>
  <si>
    <t>mit.ghg.tot.tot</t>
  </si>
  <si>
    <t>mit.ghg.tot.exc</t>
  </si>
  <si>
    <t>GHG emissions | All sectors | All fuels</t>
  </si>
  <si>
    <t>Mt CO2e</t>
  </si>
  <si>
    <t>egy.mit.ghg.tot.tot.1</t>
  </si>
  <si>
    <t>egy.mit.ghg.tot.tot.3</t>
  </si>
  <si>
    <t>egy.mit.ghg.tot.tot.4</t>
  </si>
  <si>
    <t>egy.mit.ghg.tot.tot.5</t>
  </si>
  <si>
    <t>egy.mit.ghg.tot.tot.6</t>
  </si>
  <si>
    <t>mit.ghg.inc.all.all</t>
  </si>
  <si>
    <t>mit.ghg.tot.inc</t>
  </si>
  <si>
    <t>GHG emissions including LULUCF | All sectors | All fuels</t>
  </si>
  <si>
    <t>egy.mit.ghg.inc.all.all.1</t>
  </si>
  <si>
    <t>egy.mit.ghg.inc.all.all.3</t>
  </si>
  <si>
    <t>egy.mit.ghg.inc.all.all.4</t>
  </si>
  <si>
    <t>egy.mit.ghg.inc.all.all.5</t>
  </si>
  <si>
    <t>egy.mit.ghg.inc.all.all.6</t>
  </si>
  <si>
    <t>mit.ghg.enr.tot</t>
  </si>
  <si>
    <t>GHG emissions | Energy | All fuels</t>
  </si>
  <si>
    <t>egy.mit.ghg.enr.tot.1</t>
  </si>
  <si>
    <t>egy.mit.ghg.enr.tot.3</t>
  </si>
  <si>
    <t>egy.mit.ghg.enr.tot.4</t>
  </si>
  <si>
    <t>egy.mit.ghg.enr.tot.5</t>
  </si>
  <si>
    <t>egy.mit.ghg.enr.tot.6</t>
  </si>
  <si>
    <t>mit.ghg.ipr.tot</t>
  </si>
  <si>
    <t>GHG emissions | Industrial processes | All fuels</t>
  </si>
  <si>
    <t>egy.mit.ghg.ipr.tot.1</t>
  </si>
  <si>
    <t>egy.mit.ghg.ipr.tot.3</t>
  </si>
  <si>
    <t>egy.mit.ghg.ipr.tot.4</t>
  </si>
  <si>
    <t>egy.mit.ghg.ipr.tot.5</t>
  </si>
  <si>
    <t>egy.mit.ghg.ipr.tot.6</t>
  </si>
  <si>
    <t>mit.ghg.agr.tot</t>
  </si>
  <si>
    <t>GHG emissions | Agriculture | All fuels</t>
  </si>
  <si>
    <t>egy.mit.ghg.agr.tot.1</t>
  </si>
  <si>
    <t>egy.mit.ghg.agr.tot.3</t>
  </si>
  <si>
    <t>egy.mit.ghg.agr.tot.4</t>
  </si>
  <si>
    <t>egy.mit.ghg.agr.tot.5</t>
  </si>
  <si>
    <t>egy.mit.ghg.agr.tot.6</t>
  </si>
  <si>
    <t>mit.ghg.wst.tot</t>
  </si>
  <si>
    <t>GHG emissions | Waste | All fuels</t>
  </si>
  <si>
    <t>egy.mit.ghg.wst.tot.1</t>
  </si>
  <si>
    <t>egy.mit.ghg.wst.tot.3</t>
  </si>
  <si>
    <t>egy.mit.ghg.wst.tot.4</t>
  </si>
  <si>
    <t>egy.mit.ghg.wst.tot.5</t>
  </si>
  <si>
    <t>egy.mit.ghg.wst.tot.6</t>
  </si>
  <si>
    <t>mit.ghg.lucf.tot</t>
  </si>
  <si>
    <t>GHG emissions | LULUCF | All fuels</t>
  </si>
  <si>
    <t>egy.mit.ghg.lucf.tot.1</t>
  </si>
  <si>
    <t>egy.mit.ghg.lucf.tot.3</t>
  </si>
  <si>
    <t>egy.mit.ghg.lucf.tot.4</t>
  </si>
  <si>
    <t>egy.mit.ghg.lucf.tot.5</t>
  </si>
  <si>
    <t>egy.mit.ghg.lucf.tot.6</t>
  </si>
  <si>
    <t>mit.co2.tot</t>
  </si>
  <si>
    <t>GHG emissions | All sectors | CO2</t>
  </si>
  <si>
    <t>egy.mit.co2.tot.1</t>
  </si>
  <si>
    <t>egy.mit.co2.tot.3</t>
  </si>
  <si>
    <t>egy.mit.co2.tot.4</t>
  </si>
  <si>
    <t>egy.mit.co2.tot.5</t>
  </si>
  <si>
    <t>egy.mit.co2.tot.6</t>
  </si>
  <si>
    <t>mit.co2.tot.tot</t>
  </si>
  <si>
    <t>mit.co2.enr.tot</t>
  </si>
  <si>
    <t>CO2 emissions from fuel combustion | All sectors | All fuels</t>
  </si>
  <si>
    <t>MtCO2</t>
  </si>
  <si>
    <t>egy.mit.co2.tot.tot.1</t>
  </si>
  <si>
    <t>egy.mit.co2.tot.tot.3</t>
  </si>
  <si>
    <t>egy.mit.co2.tot.tot.4</t>
  </si>
  <si>
    <t>egy.mit.co2.tot.tot.5</t>
  </si>
  <si>
    <t>egy.mit.co2.tot.tot.6</t>
  </si>
  <si>
    <t>mit.co2.tot.coa</t>
  </si>
  <si>
    <t>mit.co2.coa</t>
  </si>
  <si>
    <t>CO2 emissions from fuel combustion | All sectors | Coal</t>
  </si>
  <si>
    <t>egy.mit.co2.tot.coa.1</t>
  </si>
  <si>
    <t>egy.mit.co2.tot.coa.3</t>
  </si>
  <si>
    <t>egy.mit.co2.tot.coa.4</t>
  </si>
  <si>
    <t>egy.mit.co2.tot.coa.5</t>
  </si>
  <si>
    <t>egy.mit.co2.tot.coa.6</t>
  </si>
  <si>
    <t>mit.co2.tot.nga</t>
  </si>
  <si>
    <t>mit.co2.nga</t>
  </si>
  <si>
    <t>CO2 emissions from fuel combustion | All sectors | Natural gas</t>
  </si>
  <si>
    <t>egy.mit.co2.tot.nga.1</t>
  </si>
  <si>
    <t>egy.mit.co2.tot.nga.3</t>
  </si>
  <si>
    <t>egy.mit.co2.tot.nga.4</t>
  </si>
  <si>
    <t>egy.mit.co2.tot.nga.5</t>
  </si>
  <si>
    <t>egy.mit.co2.tot.nga.6</t>
  </si>
  <si>
    <t>mit.co2.tot.oop</t>
  </si>
  <si>
    <t>mit.co2.oil</t>
  </si>
  <si>
    <t>CO2 emissions from fuel combustion | All sectors | Other oil products</t>
  </si>
  <si>
    <t>egy.mit.co2.tot.oop.1</t>
  </si>
  <si>
    <t>egy.mit.co2.tot.oop.3</t>
  </si>
  <si>
    <t>egy.mit.co2.tot.oop.4</t>
  </si>
  <si>
    <t>egy.mit.co2.tot.oop.5</t>
  </si>
  <si>
    <t>egy.mit.co2.tot.oop.6</t>
  </si>
  <si>
    <t>mit.co2.tot.gso</t>
  </si>
  <si>
    <t>mit.co2.gso</t>
  </si>
  <si>
    <t>CO2 emissions from fuel combustion | All sectors | Gasoline</t>
  </si>
  <si>
    <t>egy.mit.co2.tot.gso.1</t>
  </si>
  <si>
    <t>egy.mit.co2.tot.gso.3</t>
  </si>
  <si>
    <t>egy.mit.co2.tot.gso.4</t>
  </si>
  <si>
    <t>egy.mit.co2.tot.gso.5</t>
  </si>
  <si>
    <t>egy.mit.co2.tot.gso.6</t>
  </si>
  <si>
    <t>mit.co2.tot.die</t>
  </si>
  <si>
    <t>mit.co2.die</t>
  </si>
  <si>
    <t>CO2 emissions from fuel combustion | All sectors | Diesel</t>
  </si>
  <si>
    <t>egy.mit.co2.tot.die.1</t>
  </si>
  <si>
    <t>egy.mit.co2.tot.die.3</t>
  </si>
  <si>
    <t>egy.mit.co2.tot.die.4</t>
  </si>
  <si>
    <t>egy.mit.co2.tot.die.5</t>
  </si>
  <si>
    <t>egy.mit.co2.tot.die.6</t>
  </si>
  <si>
    <t>mit.co2.tot.lpg</t>
  </si>
  <si>
    <t>mit.co2.lpg</t>
  </si>
  <si>
    <t>CO2 emissions from fuel combustion | All sectors | LPG</t>
  </si>
  <si>
    <t>egy.mit.co2.tot.lpg.1</t>
  </si>
  <si>
    <t>egy.mit.co2.tot.lpg.3</t>
  </si>
  <si>
    <t>egy.mit.co2.tot.lpg.4</t>
  </si>
  <si>
    <t>egy.mit.co2.tot.lpg.5</t>
  </si>
  <si>
    <t>egy.mit.co2.tot.lpg.6</t>
  </si>
  <si>
    <t>mit.co2.tot.ker</t>
  </si>
  <si>
    <t>mit.co2.ker</t>
  </si>
  <si>
    <t>CO2 emissions from fuel combustion | All sectors | Kerosene</t>
  </si>
  <si>
    <t>egy.mit.co2.tot.ker.1</t>
  </si>
  <si>
    <t>egy.mit.co2.tot.ker.3</t>
  </si>
  <si>
    <t>egy.mit.co2.tot.ker.4</t>
  </si>
  <si>
    <t>egy.mit.co2.tot.ker.5</t>
  </si>
  <si>
    <t>egy.mit.co2.tot.ker.6</t>
  </si>
  <si>
    <t>mit.co2.pow.tot</t>
  </si>
  <si>
    <t>mit.co2.pow</t>
  </si>
  <si>
    <t>CO2 emissions from fuel combustion | Power | All fuels</t>
  </si>
  <si>
    <t>egy.mit.co2.pow.tot.1</t>
  </si>
  <si>
    <t>egy.mit.co2.pow.tot.3</t>
  </si>
  <si>
    <t>egy.mit.co2.pow.tot.4</t>
  </si>
  <si>
    <t>egy.mit.co2.pow.tot.5</t>
  </si>
  <si>
    <t>egy.mit.co2.pow.tot.6</t>
  </si>
  <si>
    <t>mit.co2.tra.tot</t>
  </si>
  <si>
    <t>mit.co2.tra</t>
  </si>
  <si>
    <t>CO2 emissions from fuel combustion | Transport | All fuels</t>
  </si>
  <si>
    <t>egy.mit.co2.tra.tot.1</t>
  </si>
  <si>
    <t>egy.mit.co2.tra.tot.3</t>
  </si>
  <si>
    <t>egy.mit.co2.tra.tot.4</t>
  </si>
  <si>
    <t>egy.mit.co2.tra.tot.5</t>
  </si>
  <si>
    <t>egy.mit.co2.tra.tot.6</t>
  </si>
  <si>
    <t>mit.co2.bld.tot</t>
  </si>
  <si>
    <t>mit.co2.res</t>
  </si>
  <si>
    <t>CO2 emissions from fuel combustion | Buildings | All fuels</t>
  </si>
  <si>
    <t>egy.mit.co2.bld.tot.1</t>
  </si>
  <si>
    <t>egy.mit.co2.bld.tot.3</t>
  </si>
  <si>
    <t>egy.mit.co2.bld.tot.4</t>
  </si>
  <si>
    <t>egy.mit.co2.bld.tot.5</t>
  </si>
  <si>
    <t>egy.mit.co2.bld.tot.6</t>
  </si>
  <si>
    <t>mit.co2.ind.tot</t>
  </si>
  <si>
    <t>mit.co2.ind</t>
  </si>
  <si>
    <t>CO2 emissions from fuel combustion | Industry | All fuels</t>
  </si>
  <si>
    <t>egy.mit.co2.ind.tot.1</t>
  </si>
  <si>
    <t>egy.mit.co2.ind.tot.3</t>
  </si>
  <si>
    <t>egy.mit.co2.ind.tot.4</t>
  </si>
  <si>
    <t>egy.mit.co2.ind.tot.5</t>
  </si>
  <si>
    <t>egy.mit.co2.ind.tot.6</t>
  </si>
  <si>
    <t>mit.co2.oen.tot</t>
  </si>
  <si>
    <t>mit.co2.oth</t>
  </si>
  <si>
    <t>CO2 emissions from fuel combustion | Other energy use | All fuels</t>
  </si>
  <si>
    <t>egy.mit.co2.oen.tot.1</t>
  </si>
  <si>
    <t>egy.mit.co2.oen.tot.3</t>
  </si>
  <si>
    <t>egy.mit.co2.oen.tot.4</t>
  </si>
  <si>
    <t>egy.mit.co2.oen.tot.5</t>
  </si>
  <si>
    <t>egy.mit.co2.oen.tot.6</t>
  </si>
  <si>
    <t>mit.co2.pct.all.all</t>
  </si>
  <si>
    <t>mit.co2.tot.red.pct</t>
  </si>
  <si>
    <t>Change in CO2 emissions vs scenario 1 | All sectors | All fuels</t>
  </si>
  <si>
    <t>egy.mit.co2.pct.all.all.1</t>
  </si>
  <si>
    <t>egy.mit.co2.pct.all.all.3</t>
  </si>
  <si>
    <t>egy.mit.co2.pct.all.all.4</t>
  </si>
  <si>
    <t>egy.mit.co2.pct.all.all.5</t>
  </si>
  <si>
    <t>egy.mit.co2.pct.all.all.6</t>
  </si>
  <si>
    <t>mit.ch4.tot</t>
  </si>
  <si>
    <t>GHG emissions | All sectors | CH4</t>
  </si>
  <si>
    <t>egy.mit.ch4.tot.1</t>
  </si>
  <si>
    <t>egy.mit.ch4.tot.3</t>
  </si>
  <si>
    <t>egy.mit.ch4.tot.4</t>
  </si>
  <si>
    <t>egy.mit.ch4.tot.5</t>
  </si>
  <si>
    <t>egy.mit.ch4.tot.6</t>
  </si>
  <si>
    <t>mit.n2o.tot</t>
  </si>
  <si>
    <t>mit.nox.tot</t>
  </si>
  <si>
    <t>GHG emissions | All sectors | N2O</t>
  </si>
  <si>
    <t>egy.mit.n2o.tot.1</t>
  </si>
  <si>
    <t>egy.mit.n2o.tot.3</t>
  </si>
  <si>
    <t>egy.mit.n2o.tot.4</t>
  </si>
  <si>
    <t>egy.mit.n2o.tot.5</t>
  </si>
  <si>
    <t>egy.mit.n2o.tot.6</t>
  </si>
  <si>
    <t>mit.fga.tot</t>
  </si>
  <si>
    <t>GHG emissions | All sectors | F-gases</t>
  </si>
  <si>
    <t>egy.mit.fga.tot.1</t>
  </si>
  <si>
    <t>egy.mit.fga.tot.3</t>
  </si>
  <si>
    <t>egy.mit.fga.tot.4</t>
  </si>
  <si>
    <t>egy.mit.fga.tot.5</t>
  </si>
  <si>
    <t>egy.mit.fga.tot.6</t>
  </si>
  <si>
    <t>mit.ghg.tot.inc.ch4</t>
  </si>
  <si>
    <t>Total methane, incl. LULUCF (baseline)</t>
  </si>
  <si>
    <t>mtco2e</t>
  </si>
  <si>
    <t>mit.ghg.enr.ch4</t>
  </si>
  <si>
    <t>GHG emissions | Energy | CH4</t>
  </si>
  <si>
    <t>egy.mit.ghg.enr.ch4.1</t>
  </si>
  <si>
    <t>egy.mit.ghg.enr.ch4.3</t>
  </si>
  <si>
    <t>egy.mit.ghg.enr.ch4.4</t>
  </si>
  <si>
    <t>egy.mit.ghg.enr.ch4.5</t>
  </si>
  <si>
    <t>egy.mit.ghg.enr.ch4.6</t>
  </si>
  <si>
    <t>mit.ghg.ipr.ch4</t>
  </si>
  <si>
    <t>GHG emissions | Industrial processes | CH4</t>
  </si>
  <si>
    <t>egy.mit.ghg.ipr.ch4.1</t>
  </si>
  <si>
    <t>egy.mit.ghg.ipr.ch4.3</t>
  </si>
  <si>
    <t>egy.mit.ghg.ipr.ch4.4</t>
  </si>
  <si>
    <t>egy.mit.ghg.ipr.ch4.5</t>
  </si>
  <si>
    <t>egy.mit.ghg.ipr.ch4.6</t>
  </si>
  <si>
    <t>mit.ghg.agr.ch4</t>
  </si>
  <si>
    <t>GHG emissions | Agriculture | CH4</t>
  </si>
  <si>
    <t>egy.mit.ghg.agr.ch4.1</t>
  </si>
  <si>
    <t>egy.mit.ghg.agr.ch4.3</t>
  </si>
  <si>
    <t>egy.mit.ghg.agr.ch4.4</t>
  </si>
  <si>
    <t>egy.mit.ghg.agr.ch4.5</t>
  </si>
  <si>
    <t>egy.mit.ghg.agr.ch4.6</t>
  </si>
  <si>
    <t>mit.ghg.lucf.ch4</t>
  </si>
  <si>
    <t>GHG emissions | LULUCF | CH4</t>
  </si>
  <si>
    <t>egy.mit.ghg.lucf.ch4.1</t>
  </si>
  <si>
    <t>egy.mit.ghg.lucf.ch4.3</t>
  </si>
  <si>
    <t>egy.mit.ghg.lucf.ch4.4</t>
  </si>
  <si>
    <t>egy.mit.ghg.lucf.ch4.5</t>
  </si>
  <si>
    <t>egy.mit.ghg.lucf.ch4.6</t>
  </si>
  <si>
    <t>mit.ghg.wst.ch4</t>
  </si>
  <si>
    <t>GHG emissions | Waste | CH4</t>
  </si>
  <si>
    <t>egy.mit.ghg.wst.ch4.1</t>
  </si>
  <si>
    <t>egy.mit.ghg.wst.ch4.3</t>
  </si>
  <si>
    <t>egy.mit.ghg.wst.ch4.4</t>
  </si>
  <si>
    <t>egy.mit.ghg.wst.ch4.5</t>
  </si>
  <si>
    <t>egy.mit.ghg.wst.ch4.6</t>
  </si>
  <si>
    <t>mit.ghg.oth.ch4</t>
  </si>
  <si>
    <t>GHG emissions | Other | CH4</t>
  </si>
  <si>
    <t>egy.mit.ghg.oth.ch4.1</t>
  </si>
  <si>
    <t>egy.mit.ghg.oth.ch4.3</t>
  </si>
  <si>
    <t>egy.mit.ghg.oth.ch4.4</t>
  </si>
  <si>
    <t>egy.mit.ghg.oth.ch4.5</t>
  </si>
  <si>
    <t>egy.mit.ghg.oth.ch4.6</t>
  </si>
  <si>
    <t>mit.ghg.fug.ch4</t>
  </si>
  <si>
    <t>Methane: memo energy distribution (baseline)</t>
  </si>
  <si>
    <t>mit.ghg.index</t>
  </si>
  <si>
    <t>GHG emissions, baseline (2018=100)</t>
  </si>
  <si>
    <t>index</t>
  </si>
  <si>
    <t>mit.ghg.pct.all.all</t>
  </si>
  <si>
    <t>mit.ghg.tot.inc.red.pct</t>
  </si>
  <si>
    <t>Change in GHG emissions vs scenario 1 | All sectors | All fuels</t>
  </si>
  <si>
    <t>egy.mit.ghg.pct.all.all.1</t>
  </si>
  <si>
    <t>egy.mit.ghg.pct.all.all.3</t>
  </si>
  <si>
    <t>egy.mit.ghg.pct.all.all.4</t>
  </si>
  <si>
    <t>egy.mit.ghg.pct.all.all.5</t>
  </si>
  <si>
    <t>egy.mit.ghg.pct.all.all.6</t>
  </si>
  <si>
    <t>mit.ndc.key.all.all</t>
  </si>
  <si>
    <t>mit.ndc.option</t>
  </si>
  <si>
    <t>NDC: country|submission key (MTInputs NDCs: First round, Second round, else Latest*) | All sectors | All fuels</t>
  </si>
  <si>
    <t>text</t>
  </si>
  <si>
    <t>egy.mit.ndc.key.all.all.1</t>
  </si>
  <si>
    <t>EGY|Latest*</t>
  </si>
  <si>
    <t>egy.mit.ndc.key.all.all.3</t>
  </si>
  <si>
    <t>egy.mit.ndc.key.all.all.4</t>
  </si>
  <si>
    <t>egy.mit.ndc.key.all.all.5</t>
  </si>
  <si>
    <t>egy.mit.ndc.key.all.all.6</t>
  </si>
  <si>
    <t>mit.ndc.alt.all.all</t>
  </si>
  <si>
    <t>mit.ndc.targetyear</t>
  </si>
  <si>
    <t>NDC: second target year used | All sectors | All fuels</t>
  </si>
  <si>
    <t>TRUE/FALSE</t>
  </si>
  <si>
    <t>egy.mit.ndc.alt.all.all.1</t>
  </si>
  <si>
    <t>egy.mit.ndc.alt.all.all.3</t>
  </si>
  <si>
    <t>egy.mit.ndc.alt.all.all.4</t>
  </si>
  <si>
    <t>egy.mit.ndc.alt.all.all.5</t>
  </si>
  <si>
    <t>egy.mit.ndc.alt.all.all.6</t>
  </si>
  <si>
    <t>mit.ndc.desc.lng</t>
  </si>
  <si>
    <t>NDC, description - long</t>
  </si>
  <si>
    <t>mit.ndc.desc.sht</t>
  </si>
  <si>
    <t>NDC, description - short</t>
  </si>
  <si>
    <t>mit.ndc.idx.all.u</t>
  </si>
  <si>
    <t>mit.undc.index</t>
  </si>
  <si>
    <t xml:space="preserve">NDC target against GHGs incl. LULUCF of the base year (scenario 1) | All sectors | </t>
  </si>
  <si>
    <t>ratio</t>
  </si>
  <si>
    <t>egy.mit.ndc.idx.all.u.1</t>
  </si>
  <si>
    <t>egy.mit.ndc.idx.all.u.3</t>
  </si>
  <si>
    <t>egy.mit.ndc.idx.all.u.4</t>
  </si>
  <si>
    <t>egy.mit.ndc.idx.all.u.5</t>
  </si>
  <si>
    <t>egy.mit.ndc.idx.all.u.6</t>
  </si>
  <si>
    <t>mit.ndc.idx.all.c</t>
  </si>
  <si>
    <t>mit.cndc.index</t>
  </si>
  <si>
    <t>egy.mit.ndc.idx.all.c.1</t>
  </si>
  <si>
    <t>N/A</t>
  </si>
  <si>
    <t>egy.mit.ndc.idx.all.c.3</t>
  </si>
  <si>
    <t>egy.mit.ndc.idx.all.c.4</t>
  </si>
  <si>
    <t>egy.mit.ndc.idx.all.c.5</t>
  </si>
  <si>
    <t>egy.mit.ndc.idx.all.c.6</t>
  </si>
  <si>
    <t>mit.ndc.lvl.all.u</t>
  </si>
  <si>
    <t>mit.undc.trg.ton</t>
  </si>
  <si>
    <t xml:space="preserve">NDC target, GHGs incl. LULUCF | All sectors | </t>
  </si>
  <si>
    <t>egy.mit.ndc.lvl.all.u.1</t>
  </si>
  <si>
    <t>egy.mit.ndc.lvl.all.u.3</t>
  </si>
  <si>
    <t>egy.mit.ndc.lvl.all.u.4</t>
  </si>
  <si>
    <t>egy.mit.ndc.lvl.all.u.5</t>
  </si>
  <si>
    <t>egy.mit.ndc.lvl.all.u.6</t>
  </si>
  <si>
    <t>mit.ndc.lvl.all.c</t>
  </si>
  <si>
    <t>mit.cndc.trg.ton</t>
  </si>
  <si>
    <t>egy.mit.ndc.lvl.all.c.1</t>
  </si>
  <si>
    <t>egy.mit.ndc.lvl.all.c.3</t>
  </si>
  <si>
    <t>egy.mit.ndc.lvl.all.c.4</t>
  </si>
  <si>
    <t>egy.mit.ndc.lvl.all.c.5</t>
  </si>
  <si>
    <t>egy.mit.ndc.lvl.all.c.6</t>
  </si>
  <si>
    <t>mit.ndc.r.all.u</t>
  </si>
  <si>
    <t>mit.undc.2030.pct</t>
  </si>
  <si>
    <t xml:space="preserve">NDC: reduction against the modelled BAU (u, c, a average, sel chosen by Conditionality) | All sectors | </t>
  </si>
  <si>
    <t>egy.mit.ndc.r.all.u.1</t>
  </si>
  <si>
    <t>egy.mit.ndc.r.all.u.3</t>
  </si>
  <si>
    <t>egy.mit.ndc.r.all.u.4</t>
  </si>
  <si>
    <t>egy.mit.ndc.r.all.u.5</t>
  </si>
  <si>
    <t>egy.mit.ndc.r.all.u.6</t>
  </si>
  <si>
    <t>mit.ndc.r.all.c</t>
  </si>
  <si>
    <t>mit.cndc.2030.pct</t>
  </si>
  <si>
    <t>egy.mit.ndc.r.all.c.1</t>
  </si>
  <si>
    <t>egy.mit.ndc.r.all.c.3</t>
  </si>
  <si>
    <t>egy.mit.ndc.r.all.c.4</t>
  </si>
  <si>
    <t>egy.mit.ndc.r.all.c.5</t>
  </si>
  <si>
    <t>egy.mit.ndc.r.all.c.6</t>
  </si>
  <si>
    <t>mit.ndc.r.all.a</t>
  </si>
  <si>
    <t>mit.andc.2030.pct</t>
  </si>
  <si>
    <t>egy.mit.ndc.r.all.a.1</t>
  </si>
  <si>
    <t>egy.mit.ndc.r.all.a.3</t>
  </si>
  <si>
    <t>egy.mit.ndc.r.all.a.4</t>
  </si>
  <si>
    <t>egy.mit.ndc.r.all.a.5</t>
  </si>
  <si>
    <t>egy.mit.ndc.r.all.a.6</t>
  </si>
  <si>
    <t>Industrial sector CO2 emissions intensity of output (tCO2 per $m GVA)</t>
  </si>
  <si>
    <t>mit.emin.cem</t>
  </si>
  <si>
    <t>CO2 emissions intensity of output,cement (tCO2 per $m GVA)</t>
  </si>
  <si>
    <t>mit.emin.irn</t>
  </si>
  <si>
    <t>CO2 emissions intensity of output, iron/steel (tCO2 per $m GVA)</t>
  </si>
  <si>
    <t>mit.emin.mch</t>
  </si>
  <si>
    <t>CO2 emissions intensity of output, mining (tCO2 per $m GVA)</t>
  </si>
  <si>
    <t>mit.emin.man</t>
  </si>
  <si>
    <t>CO2 emissions intensity of output, manufactures (tCO2 per $m GVA)</t>
  </si>
  <si>
    <t>mit.emin.oth</t>
  </si>
  <si>
    <t>CO2 emissions intensity of output, other metals (tCO2 per $m GVA)</t>
  </si>
  <si>
    <t>mit.emin.foo</t>
  </si>
  <si>
    <t>CO2 emissions intensity of output, food (tCO2 per $m GVA)</t>
  </si>
  <si>
    <t>mit.emin.srv</t>
  </si>
  <si>
    <t>CO2 emissions intensity of output, services (tCO2 per $m GVA)</t>
  </si>
  <si>
    <t>mit.emin.mac</t>
  </si>
  <si>
    <t>CO2 emissions intensity of output, machinery (tCO2 per $m GVA)</t>
  </si>
  <si>
    <t>mit.emin.cst</t>
  </si>
  <si>
    <t>CO2 emissions intensity of output, construction (tCO2 per $m GVA)</t>
  </si>
  <si>
    <t>Cumulative industrial sector CO2 emissions and gross value added (GVA) by sector</t>
  </si>
  <si>
    <t>mit.emin.ftr</t>
  </si>
  <si>
    <t>CO2 emissions and GVA, fuel refining</t>
  </si>
  <si>
    <t>CO2 emissions and GVA, food</t>
  </si>
  <si>
    <t>CO2 emissions and GVA, mining</t>
  </si>
  <si>
    <t>CO2 emissions and GVA, manufactures</t>
  </si>
  <si>
    <t>CO2 emissions and GVA, cement</t>
  </si>
  <si>
    <t>CO2 emissions and GVA, iron/steel</t>
  </si>
  <si>
    <t>mit.emin.con</t>
  </si>
  <si>
    <t>CO2 emissions and GVA, construction</t>
  </si>
  <si>
    <t>CO2 emissions and GVA, machinery</t>
  </si>
  <si>
    <t>CO2 emissions and GVA, other metals</t>
  </si>
  <si>
    <t>CO2 emissions and GVA, services</t>
  </si>
  <si>
    <t>Energy prices</t>
  </si>
  <si>
    <t>mit.pav.leg.all.ecy</t>
  </si>
  <si>
    <t>mit.rp.all.ecy.wtd</t>
  </si>
  <si>
    <t>Average price as legacy F5b (coal, gas: power, residential, industry prices at scenario-1 quantities; electricity: own quantities; oil products: the price of the .all block; others: the unit value) | All sectors | Electricity</t>
  </si>
  <si>
    <t>USD/GJ real</t>
  </si>
  <si>
    <t>egy.mit.pav.leg.all.ecy.1</t>
  </si>
  <si>
    <t>egy.mit.pav.leg.all.ecy.3</t>
  </si>
  <si>
    <t>egy.mit.pav.leg.all.ecy.4</t>
  </si>
  <si>
    <t>egy.mit.pav.leg.all.ecy.5</t>
  </si>
  <si>
    <t>egy.mit.pav.leg.all.ecy.6</t>
  </si>
  <si>
    <t>mit.pav.leg.all.coa</t>
  </si>
  <si>
    <t>mit.rp.all.coa.wtd</t>
  </si>
  <si>
    <t>Average price as legacy F5b (coal, gas: power, residential, industry prices at scenario-1 quantities; electricity: own quantities; oil products: the price of the .all block; others: the unit value) | All sectors | Coal</t>
  </si>
  <si>
    <t>egy.mit.pav.leg.all.coa.1</t>
  </si>
  <si>
    <t>egy.mit.pav.leg.all.coa.3</t>
  </si>
  <si>
    <t>egy.mit.pav.leg.all.coa.4</t>
  </si>
  <si>
    <t>egy.mit.pav.leg.all.coa.5</t>
  </si>
  <si>
    <t>egy.mit.pav.leg.all.coa.6</t>
  </si>
  <si>
    <t>mit.pav.leg.all.nga</t>
  </si>
  <si>
    <t>mit.rp.all.nga.wtd</t>
  </si>
  <si>
    <t>Average price as legacy F5b (coal, gas: power, residential, industry prices at scenario-1 quantities; electricity: own quantities; oil products: the price of the .all block; others: the unit value) | All sectors | Natural gas</t>
  </si>
  <si>
    <t>egy.mit.pav.leg.all.nga.1</t>
  </si>
  <si>
    <t>egy.mit.pav.leg.all.nga.3</t>
  </si>
  <si>
    <t>egy.mit.pav.leg.all.nga.4</t>
  </si>
  <si>
    <t>egy.mit.pav.leg.all.nga.5</t>
  </si>
  <si>
    <t>egy.mit.pav.leg.all.nga.6</t>
  </si>
  <si>
    <t>mit.pav.leg.all.oop</t>
  </si>
  <si>
    <t>mit.rp.all.oil.wtd</t>
  </si>
  <si>
    <t>Average price as legacy F5b (coal, gas: power, residential, industry prices at scenario-1 quantities; electricity: own quantities; oil products: the price of the .all block; others: the unit value) | All sectors | Other oil products</t>
  </si>
  <si>
    <t>egy.mit.pav.leg.all.oop.1</t>
  </si>
  <si>
    <t>egy.mit.pav.leg.all.oop.3</t>
  </si>
  <si>
    <t>egy.mit.pav.leg.all.oop.4</t>
  </si>
  <si>
    <t>egy.mit.pav.leg.all.oop.5</t>
  </si>
  <si>
    <t>egy.mit.pav.leg.all.oop.6</t>
  </si>
  <si>
    <t>mit.pav.leg.all.gso</t>
  </si>
  <si>
    <t>mit.rp.all.gso.wtd</t>
  </si>
  <si>
    <t>Average price as legacy F5b (coal, gas: power, residential, industry prices at scenario-1 quantities; electricity: own quantities; oil products: the price of the .all block; others: the unit value) | All sectors | Gasoline</t>
  </si>
  <si>
    <t>egy.mit.pav.leg.all.gso.1</t>
  </si>
  <si>
    <t>egy.mit.pav.leg.all.gso.3</t>
  </si>
  <si>
    <t>egy.mit.pav.leg.all.gso.4</t>
  </si>
  <si>
    <t>egy.mit.pav.leg.all.gso.5</t>
  </si>
  <si>
    <t>egy.mit.pav.leg.all.gso.6</t>
  </si>
  <si>
    <t>mit.pav.leg.all.die</t>
  </si>
  <si>
    <t>mit.rp.all.die.wtd</t>
  </si>
  <si>
    <t>Average price as legacy F5b (coal, gas: power, residential, industry prices at scenario-1 quantities; electricity: own quantities; oil products: the price of the .all block; others: the unit value) | All sectors | Diesel</t>
  </si>
  <si>
    <t>egy.mit.pav.leg.all.die.1</t>
  </si>
  <si>
    <t>egy.mit.pav.leg.all.die.3</t>
  </si>
  <si>
    <t>egy.mit.pav.leg.all.die.4</t>
  </si>
  <si>
    <t>egy.mit.pav.leg.all.die.5</t>
  </si>
  <si>
    <t>egy.mit.pav.leg.all.die.6</t>
  </si>
  <si>
    <t>mit.pav.leg.all.lpg</t>
  </si>
  <si>
    <t>mit.rp.all.lpg.wtd</t>
  </si>
  <si>
    <t>Average price as legacy F5b (coal, gas: power, residential, industry prices at scenario-1 quantities; electricity: own quantities; oil products: the price of the .all block; others: the unit value) | All sectors | LPG</t>
  </si>
  <si>
    <t>egy.mit.pav.leg.all.lpg.1</t>
  </si>
  <si>
    <t>egy.mit.pav.leg.all.lpg.3</t>
  </si>
  <si>
    <t>egy.mit.pav.leg.all.lpg.4</t>
  </si>
  <si>
    <t>egy.mit.pav.leg.all.lpg.5</t>
  </si>
  <si>
    <t>egy.mit.pav.leg.all.lpg.6</t>
  </si>
  <si>
    <t>mit.pav.leg.all.ker</t>
  </si>
  <si>
    <t>mit.rp.all.ker.wtd</t>
  </si>
  <si>
    <t>Average price as legacy F5b (coal, gas: power, residential, industry prices at scenario-1 quantities; electricity: own quantities; oil products: the price of the .all block; others: the unit value) | All sectors | Kerosene</t>
  </si>
  <si>
    <t>egy.mit.pav.leg.all.ker.1</t>
  </si>
  <si>
    <t>egy.mit.pav.leg.all.ker.3</t>
  </si>
  <si>
    <t>egy.mit.pav.leg.all.ker.4</t>
  </si>
  <si>
    <t>egy.mit.pav.leg.all.ker.5</t>
  </si>
  <si>
    <t>egy.mit.pav.leg.all.ker.6</t>
  </si>
  <si>
    <t>mit.pav.lidx.all.ecy</t>
  </si>
  <si>
    <t>mit.rp.all.ecy.pct</t>
  </si>
  <si>
    <t>Legacy average price against scenario 1 (scenario 1 = 1; fuels without a legacy average: pav.las) | All sectors | Electricity</t>
  </si>
  <si>
    <t>egy.mit.pav.lidx.all.ecy.1</t>
  </si>
  <si>
    <t>egy.mit.pav.lidx.all.ecy.3</t>
  </si>
  <si>
    <t>egy.mit.pav.lidx.all.ecy.4</t>
  </si>
  <si>
    <t>egy.mit.pav.lidx.all.ecy.5</t>
  </si>
  <si>
    <t>egy.mit.pav.lidx.all.ecy.6</t>
  </si>
  <si>
    <t>mit.pav.lidx.all.coa</t>
  </si>
  <si>
    <t>mit.rp.all.coa.pct</t>
  </si>
  <si>
    <t>Legacy average price against scenario 1 (scenario 1 = 1; fuels without a legacy average: pav.las) | All sectors | Coal</t>
  </si>
  <si>
    <t>egy.mit.pav.lidx.all.coa.1</t>
  </si>
  <si>
    <t>egy.mit.pav.lidx.all.coa.3</t>
  </si>
  <si>
    <t>egy.mit.pav.lidx.all.coa.4</t>
  </si>
  <si>
    <t>egy.mit.pav.lidx.all.coa.5</t>
  </si>
  <si>
    <t>egy.mit.pav.lidx.all.coa.6</t>
  </si>
  <si>
    <t>mit.pav.lidx.all.nga</t>
  </si>
  <si>
    <t>mit.rp.all.nga.pct</t>
  </si>
  <si>
    <t>Legacy average price against scenario 1 (scenario 1 = 1; fuels without a legacy average: pav.las) | All sectors | Natural gas</t>
  </si>
  <si>
    <t>egy.mit.pav.lidx.all.nga.1</t>
  </si>
  <si>
    <t>egy.mit.pav.lidx.all.nga.3</t>
  </si>
  <si>
    <t>egy.mit.pav.lidx.all.nga.4</t>
  </si>
  <si>
    <t>egy.mit.pav.lidx.all.nga.5</t>
  </si>
  <si>
    <t>egy.mit.pav.lidx.all.nga.6</t>
  </si>
  <si>
    <t>mit.pav.lidx.all.oop</t>
  </si>
  <si>
    <t>mit.rp.all.oil.pct</t>
  </si>
  <si>
    <t>Legacy average price against scenario 1 (scenario 1 = 1; fuels without a legacy average: pav.las) | All sectors | Other oil products</t>
  </si>
  <si>
    <t>egy.mit.pav.lidx.all.oop.1</t>
  </si>
  <si>
    <t>egy.mit.pav.lidx.all.oop.3</t>
  </si>
  <si>
    <t>egy.mit.pav.lidx.all.oop.4</t>
  </si>
  <si>
    <t>egy.mit.pav.lidx.all.oop.5</t>
  </si>
  <si>
    <t>egy.mit.pav.lidx.all.oop.6</t>
  </si>
  <si>
    <t>mit.pav.lidx.all.gso</t>
  </si>
  <si>
    <t>mit.rp.all.gso.pct</t>
  </si>
  <si>
    <t>Legacy average price against scenario 1 (scenario 1 = 1; fuels without a legacy average: pav.las) | All sectors | Gasoline</t>
  </si>
  <si>
    <t>egy.mit.pav.lidx.all.gso.1</t>
  </si>
  <si>
    <t>egy.mit.pav.lidx.all.gso.3</t>
  </si>
  <si>
    <t>egy.mit.pav.lidx.all.gso.4</t>
  </si>
  <si>
    <t>egy.mit.pav.lidx.all.gso.5</t>
  </si>
  <si>
    <t>egy.mit.pav.lidx.all.gso.6</t>
  </si>
  <si>
    <t>mit.pav.lidx.all.die</t>
  </si>
  <si>
    <t>mit.rp.all.die.pct</t>
  </si>
  <si>
    <t>Legacy average price against scenario 1 (scenario 1 = 1; fuels without a legacy average: pav.las) | All sectors | Diesel</t>
  </si>
  <si>
    <t>egy.mit.pav.lidx.all.die.1</t>
  </si>
  <si>
    <t>egy.mit.pav.lidx.all.die.3</t>
  </si>
  <si>
    <t>egy.mit.pav.lidx.all.die.4</t>
  </si>
  <si>
    <t>egy.mit.pav.lidx.all.die.5</t>
  </si>
  <si>
    <t>egy.mit.pav.lidx.all.die.6</t>
  </si>
  <si>
    <t>mit.pav.lidx.all.lpg</t>
  </si>
  <si>
    <t>mit.rp.all.lpg.pct</t>
  </si>
  <si>
    <t>Legacy average price against scenario 1 (scenario 1 = 1; fuels without a legacy average: pav.las) | All sectors | LPG</t>
  </si>
  <si>
    <t>egy.mit.pav.lidx.all.lpg.1</t>
  </si>
  <si>
    <t>egy.mit.pav.lidx.all.lpg.3</t>
  </si>
  <si>
    <t>egy.mit.pav.lidx.all.lpg.4</t>
  </si>
  <si>
    <t>egy.mit.pav.lidx.all.lpg.5</t>
  </si>
  <si>
    <t>egy.mit.pav.lidx.all.lpg.6</t>
  </si>
  <si>
    <t>mit.pav.lidx.all.ker</t>
  </si>
  <si>
    <t>mit.rp.all.ker.pct</t>
  </si>
  <si>
    <t>Legacy average price against scenario 1 (scenario 1 = 1; fuels without a legacy average: pav.las) | All sectors | Kerosene</t>
  </si>
  <si>
    <t>egy.mit.pav.lidx.all.ker.1</t>
  </si>
  <si>
    <t>egy.mit.pav.lidx.all.ker.3</t>
  </si>
  <si>
    <t>egy.mit.pav.lidx.all.ker.4</t>
  </si>
  <si>
    <t>egy.mit.pav.lidx.all.ker.5</t>
  </si>
  <si>
    <t>egy.mit.pav.lidx.all.ker.6</t>
  </si>
  <si>
    <t>mit.co2.ela.eco</t>
  </si>
  <si>
    <t>Implied economy-wide CO2 elasticity</t>
  </si>
  <si>
    <t>unitusdless</t>
  </si>
  <si>
    <t>mit.ndc.ecr</t>
  </si>
  <si>
    <t>Implied additional carbon price to achieve NDC (US$ per ton CO2)</t>
  </si>
  <si>
    <t>usdtco2</t>
  </si>
  <si>
    <t>mit.ecr.all.all</t>
  </si>
  <si>
    <t>mit.ecr</t>
  </si>
  <si>
    <t>Effective carbon rate, economy-wide: revenue net of subsidies (incl. electricity VAT and subsidy gap) per tonne of energy CO2 | All sectors | All fuels</t>
  </si>
  <si>
    <t>egy.mit.ecr.all.all.1</t>
  </si>
  <si>
    <t>egy.mit.ecr.all.all.3</t>
  </si>
  <si>
    <t>egy.mit.ecr.all.all.4</t>
  </si>
  <si>
    <t>egy.mit.ecr.all.all.5</t>
  </si>
  <si>
    <t>egy.mit.ecr.all.all.6</t>
  </si>
  <si>
    <t>mit.rp.ind.ecy</t>
  </si>
  <si>
    <t>mit.rp.ind.ecy.t</t>
  </si>
  <si>
    <t>End-user electricity price | Industry | Electricity</t>
  </si>
  <si>
    <t>USD/kWh real</t>
  </si>
  <si>
    <t>egy.mit.rp.ind.ecy.1</t>
  </si>
  <si>
    <t>egy.mit.rp.ind.ecy.3</t>
  </si>
  <si>
    <t>egy.mit.rp.ind.ecy.4</t>
  </si>
  <si>
    <t>egy.mit.rp.ind.ecy.5</t>
  </si>
  <si>
    <t>egy.mit.rp.ind.ecy.6</t>
  </si>
  <si>
    <t>mit.rp.res.ecy</t>
  </si>
  <si>
    <t>mit.rp.res.ecy.t</t>
  </si>
  <si>
    <t>End-user electricity price | Residential | Electricity</t>
  </si>
  <si>
    <t>egy.mit.rp.res.ecy.1</t>
  </si>
  <si>
    <t>egy.mit.rp.res.ecy.3</t>
  </si>
  <si>
    <t>egy.mit.rp.res.ecy.4</t>
  </si>
  <si>
    <t>egy.mit.rp.res.ecy.5</t>
  </si>
  <si>
    <t>egy.mit.rp.res.ecy.6</t>
  </si>
  <si>
    <t>mit.rpn.ind.coa</t>
  </si>
  <si>
    <t>mit.rp.ind.coa.a</t>
  </si>
  <si>
    <t>Retail price incl. new taxes and subsidies (fuel-use weighted average of the after-tax prices atp of the subsectors priced by the block; rpb where they use none) | Industry | Coal</t>
  </si>
  <si>
    <t>egy.mit.rpn.ind.coa.1</t>
  </si>
  <si>
    <t>egy.mit.rpn.ind.coa.3</t>
  </si>
  <si>
    <t>egy.mit.rpn.ind.coa.4</t>
  </si>
  <si>
    <t>egy.mit.rpn.ind.coa.5</t>
  </si>
  <si>
    <t>egy.mit.rpn.ind.coa.6</t>
  </si>
  <si>
    <t>mit.rpn.ind.nga</t>
  </si>
  <si>
    <t>mit.rp.ind.nga.a</t>
  </si>
  <si>
    <t>Retail price incl. new taxes and subsidies (fuel-use weighted average of the after-tax prices atp of the subsectors priced by the block; rpb where they use none) | Industry | Natural gas</t>
  </si>
  <si>
    <t>egy.mit.rpn.ind.nga.1</t>
  </si>
  <si>
    <t>egy.mit.rpn.ind.nga.3</t>
  </si>
  <si>
    <t>egy.mit.rpn.ind.nga.4</t>
  </si>
  <si>
    <t>egy.mit.rpn.ind.nga.5</t>
  </si>
  <si>
    <t>egy.mit.rpn.ind.nga.6</t>
  </si>
  <si>
    <t>mit.rpn.res.coa</t>
  </si>
  <si>
    <t>mit.rp.res.coa.a</t>
  </si>
  <si>
    <t>Retail price incl. new taxes and subsidies (fuel-use weighted average of the after-tax prices atp of the subsectors priced by the block; rpb where they use none) | Residential | Coal</t>
  </si>
  <si>
    <t>egy.mit.rpn.res.coa.1</t>
  </si>
  <si>
    <t>egy.mit.rpn.res.coa.3</t>
  </si>
  <si>
    <t>egy.mit.rpn.res.coa.4</t>
  </si>
  <si>
    <t>egy.mit.rpn.res.coa.5</t>
  </si>
  <si>
    <t>egy.mit.rpn.res.coa.6</t>
  </si>
  <si>
    <t>mit.rpn.res.nga</t>
  </si>
  <si>
    <t>mit.rp.res.nga.a</t>
  </si>
  <si>
    <t>Retail price incl. new taxes and subsidies (fuel-use weighted average of the after-tax prices atp of the subsectors priced by the block; rpb where they use none) | Residential | Natural gas</t>
  </si>
  <si>
    <t>egy.mit.rpn.res.nga.1</t>
  </si>
  <si>
    <t>egy.mit.rpn.res.nga.3</t>
  </si>
  <si>
    <t>egy.mit.rpn.res.nga.4</t>
  </si>
  <si>
    <t>egy.mit.rpn.res.nga.5</t>
  </si>
  <si>
    <t>egy.mit.rpn.res.nga.6</t>
  </si>
  <si>
    <t>mit.rpn.pow.coa</t>
  </si>
  <si>
    <t>mit.rp.pow.coa.a</t>
  </si>
  <si>
    <t>Retail price incl. new taxes and subsidies (fuel-use weighted average of the after-tax prices atp of the subsectors priced by the block; rpb where they use none) | Power | Coal</t>
  </si>
  <si>
    <t>egy.mit.rpn.pow.coa.1</t>
  </si>
  <si>
    <t>egy.mit.rpn.pow.coa.3</t>
  </si>
  <si>
    <t>egy.mit.rpn.pow.coa.4</t>
  </si>
  <si>
    <t>egy.mit.rpn.pow.coa.5</t>
  </si>
  <si>
    <t>egy.mit.rpn.pow.coa.6</t>
  </si>
  <si>
    <t>mit.rpn.pow.nga</t>
  </si>
  <si>
    <t>mit.rp.pow.nga.a</t>
  </si>
  <si>
    <t>Retail price incl. new taxes and subsidies (fuel-use weighted average of the after-tax prices atp of the subsectors priced by the block; rpb where they use none) | Power | Natural gas</t>
  </si>
  <si>
    <t>egy.mit.rpn.pow.nga.1</t>
  </si>
  <si>
    <t>egy.mit.rpn.pow.nga.3</t>
  </si>
  <si>
    <t>egy.mit.rpn.pow.nga.4</t>
  </si>
  <si>
    <t>egy.mit.rpn.pow.nga.5</t>
  </si>
  <si>
    <t>egy.mit.rpn.pow.nga.6</t>
  </si>
  <si>
    <t>Energy price components (baseline)</t>
  </si>
  <si>
    <t>mit.sup.cost.ind.ecy</t>
  </si>
  <si>
    <t>mit.sup.cost.ecy.ind</t>
  </si>
  <si>
    <t>Efficient price: supply cost of scenario 1 | Industry | Electricity</t>
  </si>
  <si>
    <t>USD per price unit</t>
  </si>
  <si>
    <t>egy.mit.sup.cost.ind.ecy.1</t>
  </si>
  <si>
    <t>egy.mit.sup.cost.ind.ecy.3</t>
  </si>
  <si>
    <t>egy.mit.sup.cost.ind.ecy.4</t>
  </si>
  <si>
    <t>egy.mit.sup.cost.ind.ecy.5</t>
  </si>
  <si>
    <t>egy.mit.sup.cost.ind.ecy.6</t>
  </si>
  <si>
    <t>mit.sup.cost.res.ecy</t>
  </si>
  <si>
    <t>mit.sup.cost.ecy.res</t>
  </si>
  <si>
    <t>Efficient price: supply cost of scenario 1 | Residential | Electricity</t>
  </si>
  <si>
    <t>egy.mit.sup.cost.res.ecy.1</t>
  </si>
  <si>
    <t>egy.mit.sup.cost.res.ecy.3</t>
  </si>
  <si>
    <t>egy.mit.sup.cost.res.ecy.4</t>
  </si>
  <si>
    <t>egy.mit.sup.cost.res.ecy.5</t>
  </si>
  <si>
    <t>egy.mit.sup.cost.res.ecy.6</t>
  </si>
  <si>
    <t>mit.sp.ind.coa</t>
  </si>
  <si>
    <t>mit.sp.ind.coa.a</t>
  </si>
  <si>
    <t>Supply cost (pre-tax price) | Industry | Coal</t>
  </si>
  <si>
    <t>egy.mit.sp.ind.coa.1</t>
  </si>
  <si>
    <t>egy.mit.sp.ind.coa.3</t>
  </si>
  <si>
    <t>egy.mit.sp.ind.coa.4</t>
  </si>
  <si>
    <t>egy.mit.sp.ind.coa.5</t>
  </si>
  <si>
    <t>egy.mit.sp.ind.coa.6</t>
  </si>
  <si>
    <t>mit.sp.ind.nga</t>
  </si>
  <si>
    <t>mit.sp.ind.nga.a</t>
  </si>
  <si>
    <t>Supply cost (pre-tax price) | Industry | Natural gas</t>
  </si>
  <si>
    <t>egy.mit.sp.ind.nga.1</t>
  </si>
  <si>
    <t>egy.mit.sp.ind.nga.3</t>
  </si>
  <si>
    <t>egy.mit.sp.ind.nga.4</t>
  </si>
  <si>
    <t>egy.mit.sp.ind.nga.5</t>
  </si>
  <si>
    <t>egy.mit.sp.ind.nga.6</t>
  </si>
  <si>
    <t>mit.sp.res.coa</t>
  </si>
  <si>
    <t>mit.sp.res.coa.a</t>
  </si>
  <si>
    <t>Supply cost (pre-tax price) | Residential | Coal</t>
  </si>
  <si>
    <t>egy.mit.sp.res.coa.1</t>
  </si>
  <si>
    <t>egy.mit.sp.res.coa.3</t>
  </si>
  <si>
    <t>egy.mit.sp.res.coa.4</t>
  </si>
  <si>
    <t>egy.mit.sp.res.coa.5</t>
  </si>
  <si>
    <t>egy.mit.sp.res.coa.6</t>
  </si>
  <si>
    <t>mit.sp.res.nga</t>
  </si>
  <si>
    <t>mit.sp.res.nga.a</t>
  </si>
  <si>
    <t>Supply cost (pre-tax price) | Residential | Natural gas</t>
  </si>
  <si>
    <t>egy.mit.sp.res.nga.1</t>
  </si>
  <si>
    <t>egy.mit.sp.res.nga.3</t>
  </si>
  <si>
    <t>egy.mit.sp.res.nga.4</t>
  </si>
  <si>
    <t>egy.mit.sp.res.nga.5</t>
  </si>
  <si>
    <t>egy.mit.sp.res.nga.6</t>
  </si>
  <si>
    <t>mit.sp.pow.coa</t>
  </si>
  <si>
    <t>mit.sp.pow.coa.a</t>
  </si>
  <si>
    <t>Supply cost (pre-tax price) | Power | Coal</t>
  </si>
  <si>
    <t>egy.mit.sp.pow.coa.1</t>
  </si>
  <si>
    <t>egy.mit.sp.pow.coa.3</t>
  </si>
  <si>
    <t>egy.mit.sp.pow.coa.4</t>
  </si>
  <si>
    <t>egy.mit.sp.pow.coa.5</t>
  </si>
  <si>
    <t>egy.mit.sp.pow.coa.6</t>
  </si>
  <si>
    <t>mit.sp.pow.nga</t>
  </si>
  <si>
    <t>mit.sp.pow.nga.a</t>
  </si>
  <si>
    <t>Supply cost (pre-tax price) | Power | Natural gas</t>
  </si>
  <si>
    <t>egy.mit.sp.pow.nga.1</t>
  </si>
  <si>
    <t>egy.mit.sp.pow.nga.3</t>
  </si>
  <si>
    <t>egy.mit.sp.pow.nga.4</t>
  </si>
  <si>
    <t>egy.mit.sp.pow.nga.5</t>
  </si>
  <si>
    <t>egy.mit.sp.pow.nga.6</t>
  </si>
  <si>
    <t>mit.sp.all.oop</t>
  </si>
  <si>
    <t>mit.sp.all.oop.a</t>
  </si>
  <si>
    <t>Supply cost (pre-tax price) | All sectors | Other oil products</t>
  </si>
  <si>
    <t>egy.mit.sp.all.oop.1</t>
  </si>
  <si>
    <t>egy.mit.sp.all.oop.3</t>
  </si>
  <si>
    <t>egy.mit.sp.all.oop.4</t>
  </si>
  <si>
    <t>egy.mit.sp.all.oop.5</t>
  </si>
  <si>
    <t>egy.mit.sp.all.oop.6</t>
  </si>
  <si>
    <t>mit.sp.all.gso</t>
  </si>
  <si>
    <t>mit.sp.all.gso.a</t>
  </si>
  <si>
    <t>Supply cost (pre-tax price) | All sectors | Gasoline</t>
  </si>
  <si>
    <t>egy.mit.sp.all.gso.1</t>
  </si>
  <si>
    <t>egy.mit.sp.all.gso.3</t>
  </si>
  <si>
    <t>egy.mit.sp.all.gso.4</t>
  </si>
  <si>
    <t>egy.mit.sp.all.gso.5</t>
  </si>
  <si>
    <t>egy.mit.sp.all.gso.6</t>
  </si>
  <si>
    <t>mit.sp.all.die</t>
  </si>
  <si>
    <t>mit.sp.all.die.a</t>
  </si>
  <si>
    <t>Supply cost (pre-tax price) | All sectors | Diesel</t>
  </si>
  <si>
    <t>egy.mit.sp.all.die.1</t>
  </si>
  <si>
    <t>egy.mit.sp.all.die.3</t>
  </si>
  <si>
    <t>egy.mit.sp.all.die.4</t>
  </si>
  <si>
    <t>egy.mit.sp.all.die.5</t>
  </si>
  <si>
    <t>egy.mit.sp.all.die.6</t>
  </si>
  <si>
    <t>mit.sp.all.lpg</t>
  </si>
  <si>
    <t>mit.sp.all.lpg.a</t>
  </si>
  <si>
    <t>Supply cost (pre-tax price) | All sectors | LPG</t>
  </si>
  <si>
    <t>egy.mit.sp.all.lpg.1</t>
  </si>
  <si>
    <t>egy.mit.sp.all.lpg.3</t>
  </si>
  <si>
    <t>egy.mit.sp.all.lpg.4</t>
  </si>
  <si>
    <t>egy.mit.sp.all.lpg.5</t>
  </si>
  <si>
    <t>egy.mit.sp.all.lpg.6</t>
  </si>
  <si>
    <t>mit.sp.all.ker</t>
  </si>
  <si>
    <t>mit.sp.all.ker.a</t>
  </si>
  <si>
    <t>Supply cost (pre-tax price) | All sectors | Kerosene</t>
  </si>
  <si>
    <t>egy.mit.sp.all.ker.1</t>
  </si>
  <si>
    <t>egy.mit.sp.all.ker.3</t>
  </si>
  <si>
    <t>egy.mit.sp.all.ker.4</t>
  </si>
  <si>
    <t>egy.mit.sp.all.ker.5</t>
  </si>
  <si>
    <t>egy.mit.sp.all.ker.6</t>
  </si>
  <si>
    <t>mit.txe.ind.ecy</t>
  </si>
  <si>
    <t>mit.txo.ind.ecy.t</t>
  </si>
  <si>
    <t>Electricity consumer tax / subsidy (dataset, last price year held) | Industry | Electricity</t>
  </si>
  <si>
    <t>egy.mit.txe.ind.ecy.1</t>
  </si>
  <si>
    <t>egy.mit.txe.ind.ecy.3</t>
  </si>
  <si>
    <t>egy.mit.txe.ind.ecy.4</t>
  </si>
  <si>
    <t>egy.mit.txe.ind.ecy.5</t>
  </si>
  <si>
    <t>egy.mit.txe.ind.ecy.6</t>
  </si>
  <si>
    <t>mit.txe.res.ecy</t>
  </si>
  <si>
    <t>mit.txo.res.ecy.t</t>
  </si>
  <si>
    <t>Electricity consumer tax / subsidy (dataset, last price year held) | Residential | Electricity</t>
  </si>
  <si>
    <t>egy.mit.txe.res.ecy.1</t>
  </si>
  <si>
    <t>egy.mit.txe.res.ecy.3</t>
  </si>
  <si>
    <t>egy.mit.txe.res.ecy.4</t>
  </si>
  <si>
    <t>egy.mit.txe.res.ecy.5</t>
  </si>
  <si>
    <t>egy.mit.txe.res.ecy.6</t>
  </si>
  <si>
    <t>mit.txo.ind.coa</t>
  </si>
  <si>
    <t>mit.txo.ind.coa.a</t>
  </si>
  <si>
    <t>Excise and other taxes (before new policies) | Industry | Coal</t>
  </si>
  <si>
    <t>egy.mit.txo.ind.coa.1</t>
  </si>
  <si>
    <t>egy.mit.txo.ind.coa.3</t>
  </si>
  <si>
    <t>egy.mit.txo.ind.coa.4</t>
  </si>
  <si>
    <t>egy.mit.txo.ind.coa.5</t>
  </si>
  <si>
    <t>egy.mit.txo.ind.coa.6</t>
  </si>
  <si>
    <t>mit.txo.ind.nga</t>
  </si>
  <si>
    <t>mit.txo.ind.nga.a</t>
  </si>
  <si>
    <t>Excise and other taxes (before new policies) | Industry | Natural gas</t>
  </si>
  <si>
    <t>egy.mit.txo.ind.nga.1</t>
  </si>
  <si>
    <t>egy.mit.txo.ind.nga.3</t>
  </si>
  <si>
    <t>egy.mit.txo.ind.nga.4</t>
  </si>
  <si>
    <t>egy.mit.txo.ind.nga.5</t>
  </si>
  <si>
    <t>egy.mit.txo.ind.nga.6</t>
  </si>
  <si>
    <t>mit.txo.res.coa</t>
  </si>
  <si>
    <t>mit.txo.res.coa.a</t>
  </si>
  <si>
    <t>Excise and other taxes (before new policies) | Residential | Coal</t>
  </si>
  <si>
    <t>egy.mit.txo.res.coa.1</t>
  </si>
  <si>
    <t>egy.mit.txo.res.coa.3</t>
  </si>
  <si>
    <t>egy.mit.txo.res.coa.4</t>
  </si>
  <si>
    <t>egy.mit.txo.res.coa.5</t>
  </si>
  <si>
    <t>egy.mit.txo.res.coa.6</t>
  </si>
  <si>
    <t>mit.txo.res.nga</t>
  </si>
  <si>
    <t>mit.txo.res.nga.a</t>
  </si>
  <si>
    <t>Excise and other taxes (before new policies) | Residential | Natural gas</t>
  </si>
  <si>
    <t>egy.mit.txo.res.nga.1</t>
  </si>
  <si>
    <t>egy.mit.txo.res.nga.3</t>
  </si>
  <si>
    <t>egy.mit.txo.res.nga.4</t>
  </si>
  <si>
    <t>egy.mit.txo.res.nga.5</t>
  </si>
  <si>
    <t>egy.mit.txo.res.nga.6</t>
  </si>
  <si>
    <t>mit.txo.pow.coa</t>
  </si>
  <si>
    <t>mit.txo.pow.coa.a</t>
  </si>
  <si>
    <t>Excise and other taxes (before new policies) | Power | Coal</t>
  </si>
  <si>
    <t>egy.mit.txo.pow.coa.1</t>
  </si>
  <si>
    <t>egy.mit.txo.pow.coa.3</t>
  </si>
  <si>
    <t>egy.mit.txo.pow.coa.4</t>
  </si>
  <si>
    <t>egy.mit.txo.pow.coa.5</t>
  </si>
  <si>
    <t>egy.mit.txo.pow.coa.6</t>
  </si>
  <si>
    <t>mit.txo.pow.nga</t>
  </si>
  <si>
    <t>mit.txo.pow.nga.a</t>
  </si>
  <si>
    <t>Excise and other taxes (before new policies) | Power | Natural gas</t>
  </si>
  <si>
    <t>egy.mit.txo.pow.nga.1</t>
  </si>
  <si>
    <t>egy.mit.txo.pow.nga.3</t>
  </si>
  <si>
    <t>egy.mit.txo.pow.nga.4</t>
  </si>
  <si>
    <t>egy.mit.txo.pow.nga.5</t>
  </si>
  <si>
    <t>egy.mit.txo.pow.nga.6</t>
  </si>
  <si>
    <t>mit.txo.all.oop</t>
  </si>
  <si>
    <t>mit.txo.all.oop.a</t>
  </si>
  <si>
    <t>Excise and other taxes (before new policies) | All sectors | Other oil products</t>
  </si>
  <si>
    <t>egy.mit.txo.all.oop.1</t>
  </si>
  <si>
    <t>egy.mit.txo.all.oop.3</t>
  </si>
  <si>
    <t>egy.mit.txo.all.oop.4</t>
  </si>
  <si>
    <t>egy.mit.txo.all.oop.5</t>
  </si>
  <si>
    <t>egy.mit.txo.all.oop.6</t>
  </si>
  <si>
    <t>mit.txo.all.gso</t>
  </si>
  <si>
    <t>mit.txo.all.gso.a</t>
  </si>
  <si>
    <t>Excise and other taxes (before new policies) | All sectors | Gasoline</t>
  </si>
  <si>
    <t>egy.mit.txo.all.gso.1</t>
  </si>
  <si>
    <t>egy.mit.txo.all.gso.3</t>
  </si>
  <si>
    <t>egy.mit.txo.all.gso.4</t>
  </si>
  <si>
    <t>egy.mit.txo.all.gso.5</t>
  </si>
  <si>
    <t>egy.mit.txo.all.gso.6</t>
  </si>
  <si>
    <t>mit.txo.all.die</t>
  </si>
  <si>
    <t>mit.txo.all.die.a</t>
  </si>
  <si>
    <t>Excise and other taxes (before new policies) | All sectors | Diesel</t>
  </si>
  <si>
    <t>egy.mit.txo.all.die.1</t>
  </si>
  <si>
    <t>egy.mit.txo.all.die.3</t>
  </si>
  <si>
    <t>egy.mit.txo.all.die.4</t>
  </si>
  <si>
    <t>egy.mit.txo.all.die.5</t>
  </si>
  <si>
    <t>egy.mit.txo.all.die.6</t>
  </si>
  <si>
    <t>mit.txo.all.lpg</t>
  </si>
  <si>
    <t>mit.txo.all.lpg.a</t>
  </si>
  <si>
    <t>Excise and other taxes (before new policies) | All sectors | LPG</t>
  </si>
  <si>
    <t>egy.mit.txo.all.lpg.1</t>
  </si>
  <si>
    <t>egy.mit.txo.all.lpg.3</t>
  </si>
  <si>
    <t>egy.mit.txo.all.lpg.4</t>
  </si>
  <si>
    <t>egy.mit.txo.all.lpg.5</t>
  </si>
  <si>
    <t>egy.mit.txo.all.lpg.6</t>
  </si>
  <si>
    <t>mit.txo.all.ker</t>
  </si>
  <si>
    <t>mit.txo.all.ker.a</t>
  </si>
  <si>
    <t>Excise and other taxes (before new policies) | All sectors | Kerosene</t>
  </si>
  <si>
    <t>egy.mit.txo.all.ker.1</t>
  </si>
  <si>
    <t>egy.mit.txo.all.ker.3</t>
  </si>
  <si>
    <t>egy.mit.txo.all.ker.4</t>
  </si>
  <si>
    <t>egy.mit.txo.all.ker.5</t>
  </si>
  <si>
    <t>egy.mit.txo.all.ker.6</t>
  </si>
  <si>
    <t>c</t>
  </si>
  <si>
    <t>mit.vat.ind.ecy.t</t>
  </si>
  <si>
    <t>Electricity, VAT in industry, ($/kWh)</t>
  </si>
  <si>
    <t>usdkwh</t>
  </si>
  <si>
    <t>mit.vat.res.ecy.t</t>
  </si>
  <si>
    <t>Electricity, VAT in residential use, ($/kWh)</t>
  </si>
  <si>
    <t>mit.vat.ind.coa</t>
  </si>
  <si>
    <t>mit.vat.ind.coa.a</t>
  </si>
  <si>
    <t>VAT payment before new policies | Industry | Coal</t>
  </si>
  <si>
    <t>egy.mit.vat.ind.coa.1</t>
  </si>
  <si>
    <t>egy.mit.vat.ind.coa.3</t>
  </si>
  <si>
    <t>egy.mit.vat.ind.coa.4</t>
  </si>
  <si>
    <t>egy.mit.vat.ind.coa.5</t>
  </si>
  <si>
    <t>egy.mit.vat.ind.coa.6</t>
  </si>
  <si>
    <t>mit.vat.ind.nga</t>
  </si>
  <si>
    <t>mit.vat.ind.nga.a</t>
  </si>
  <si>
    <t>VAT payment before new policies | Industry | Natural gas</t>
  </si>
  <si>
    <t>egy.mit.vat.ind.nga.1</t>
  </si>
  <si>
    <t>egy.mit.vat.ind.nga.3</t>
  </si>
  <si>
    <t>egy.mit.vat.ind.nga.4</t>
  </si>
  <si>
    <t>egy.mit.vat.ind.nga.5</t>
  </si>
  <si>
    <t>egy.mit.vat.ind.nga.6</t>
  </si>
  <si>
    <t>mit.vat.res.coa</t>
  </si>
  <si>
    <t>mit.vat.res.coa.a</t>
  </si>
  <si>
    <t>VAT payment before new policies | Residential | Coal</t>
  </si>
  <si>
    <t>egy.mit.vat.res.coa.1</t>
  </si>
  <si>
    <t>egy.mit.vat.res.coa.3</t>
  </si>
  <si>
    <t>egy.mit.vat.res.coa.4</t>
  </si>
  <si>
    <t>egy.mit.vat.res.coa.5</t>
  </si>
  <si>
    <t>egy.mit.vat.res.coa.6</t>
  </si>
  <si>
    <t>mit.vat.res.nga</t>
  </si>
  <si>
    <t>mit.vat.res.nga.a</t>
  </si>
  <si>
    <t>VAT payment before new policies | Residential | Natural gas</t>
  </si>
  <si>
    <t>egy.mit.vat.res.nga.1</t>
  </si>
  <si>
    <t>egy.mit.vat.res.nga.3</t>
  </si>
  <si>
    <t>egy.mit.vat.res.nga.4</t>
  </si>
  <si>
    <t>egy.mit.vat.res.nga.5</t>
  </si>
  <si>
    <t>egy.mit.vat.res.nga.6</t>
  </si>
  <si>
    <t>mit.vat.pow.coa</t>
  </si>
  <si>
    <t>mit.vat.pow.coa.a</t>
  </si>
  <si>
    <t>VAT payment before new policies | Power | Coal</t>
  </si>
  <si>
    <t>egy.mit.vat.pow.coa.1</t>
  </si>
  <si>
    <t>egy.mit.vat.pow.coa.3</t>
  </si>
  <si>
    <t>egy.mit.vat.pow.coa.4</t>
  </si>
  <si>
    <t>egy.mit.vat.pow.coa.5</t>
  </si>
  <si>
    <t>egy.mit.vat.pow.coa.6</t>
  </si>
  <si>
    <t>mit.vat.pow.nga</t>
  </si>
  <si>
    <t>mit.vat.pow.nga.a</t>
  </si>
  <si>
    <t>VAT payment before new policies | Power | Natural gas</t>
  </si>
  <si>
    <t>egy.mit.vat.pow.nga.1</t>
  </si>
  <si>
    <t>egy.mit.vat.pow.nga.3</t>
  </si>
  <si>
    <t>egy.mit.vat.pow.nga.4</t>
  </si>
  <si>
    <t>egy.mit.vat.pow.nga.5</t>
  </si>
  <si>
    <t>egy.mit.vat.pow.nga.6</t>
  </si>
  <si>
    <t>mit.vat.all.oop</t>
  </si>
  <si>
    <t>mit.vat.all.oop.a</t>
  </si>
  <si>
    <t>VAT payment before new policies | All sectors | Other oil products</t>
  </si>
  <si>
    <t>egy.mit.vat.all.oop.1</t>
  </si>
  <si>
    <t>egy.mit.vat.all.oop.3</t>
  </si>
  <si>
    <t>egy.mit.vat.all.oop.4</t>
  </si>
  <si>
    <t>egy.mit.vat.all.oop.5</t>
  </si>
  <si>
    <t>egy.mit.vat.all.oop.6</t>
  </si>
  <si>
    <t>mit.vat.all.gso</t>
  </si>
  <si>
    <t>mit.vat.all.gso.a</t>
  </si>
  <si>
    <t>VAT payment before new policies | All sectors | Gasoline</t>
  </si>
  <si>
    <t>egy.mit.vat.all.gso.1</t>
  </si>
  <si>
    <t>egy.mit.vat.all.gso.3</t>
  </si>
  <si>
    <t>egy.mit.vat.all.gso.4</t>
  </si>
  <si>
    <t>egy.mit.vat.all.gso.5</t>
  </si>
  <si>
    <t>egy.mit.vat.all.gso.6</t>
  </si>
  <si>
    <t>mit.vat.all.die</t>
  </si>
  <si>
    <t>mit.vat.all.die.a</t>
  </si>
  <si>
    <t>VAT payment before new policies | All sectors | Diesel</t>
  </si>
  <si>
    <t>egy.mit.vat.all.die.1</t>
  </si>
  <si>
    <t>egy.mit.vat.all.die.3</t>
  </si>
  <si>
    <t>egy.mit.vat.all.die.4</t>
  </si>
  <si>
    <t>egy.mit.vat.all.die.5</t>
  </si>
  <si>
    <t>egy.mit.vat.all.die.6</t>
  </si>
  <si>
    <t>mit.vat.all.lpg</t>
  </si>
  <si>
    <t>mit.vat.all.lpg.a</t>
  </si>
  <si>
    <t>VAT payment before new policies | All sectors | LPG</t>
  </si>
  <si>
    <t>egy.mit.vat.all.lpg.1</t>
  </si>
  <si>
    <t>egy.mit.vat.all.lpg.3</t>
  </si>
  <si>
    <t>egy.mit.vat.all.lpg.4</t>
  </si>
  <si>
    <t>egy.mit.vat.all.lpg.5</t>
  </si>
  <si>
    <t>egy.mit.vat.all.lpg.6</t>
  </si>
  <si>
    <t>mit.vat.all.ker</t>
  </si>
  <si>
    <t>mit.vat.all.ker.a</t>
  </si>
  <si>
    <t>VAT payment before new policies | All sectors | Kerosene</t>
  </si>
  <si>
    <t>egy.mit.vat.all.ker.1</t>
  </si>
  <si>
    <t>egy.mit.vat.all.ker.3</t>
  </si>
  <si>
    <t>egy.mit.vat.all.ker.4</t>
  </si>
  <si>
    <t>egy.mit.vat.all.ker.5</t>
  </si>
  <si>
    <t>egy.mit.vat.all.ker.6</t>
  </si>
  <si>
    <t>mit.ctx.ind.ecy.t</t>
  </si>
  <si>
    <t>Electricity, Current Carbon Tax in industry, ($/kWh)</t>
  </si>
  <si>
    <t>mit.ctx.res.ecy.t</t>
  </si>
  <si>
    <t>Electricity, Current Carbon Tax in residential use, ($/kWh)</t>
  </si>
  <si>
    <t>mit.ctx.ind.coa.a</t>
  </si>
  <si>
    <t>Coal, Current Carbon Tax in industry, ($/GJ)</t>
  </si>
  <si>
    <t>usdgj</t>
  </si>
  <si>
    <t>mit.ctx.ind.nga.a</t>
  </si>
  <si>
    <t>Natural gas, Current Carbon Tax in industry, ($/GJ)</t>
  </si>
  <si>
    <t>mit.ctx.res.coa.a</t>
  </si>
  <si>
    <t>Coal, Current Carbon Tax in residential use, ($/GJ)</t>
  </si>
  <si>
    <t>mit.ctx.res.nga.a</t>
  </si>
  <si>
    <t>Natural gas, Current Carbon Tax in residential use, ($/GJ)</t>
  </si>
  <si>
    <t>mit.ctx.pow.coa.a</t>
  </si>
  <si>
    <t>Coal, Current Carbon Tax in power sector, ($/GJ)</t>
  </si>
  <si>
    <t>mit.ctx.pow.nga.a</t>
  </si>
  <si>
    <t>Natural gas, Current Carbon Tax in power sector, ($/GJ)</t>
  </si>
  <si>
    <t>mit.ctx.all.oop.a</t>
  </si>
  <si>
    <t>Oil, Current Carbon Tax, ($/bbl)</t>
  </si>
  <si>
    <t>bbusdl</t>
  </si>
  <si>
    <t>mit.ctx.all.gso.a</t>
  </si>
  <si>
    <t>Gasoline, Current Carbon Tax, ($/liter)</t>
  </si>
  <si>
    <t>usdl</t>
  </si>
  <si>
    <t>mit.ctx.all.die.a</t>
  </si>
  <si>
    <t>Diesel, Current Carbon Tax, ($/liter)</t>
  </si>
  <si>
    <t>mit.ctx.all.lpg.a</t>
  </si>
  <si>
    <t>LPG, Current Carbon Tax, ($/liter)</t>
  </si>
  <si>
    <t>mit.ctx.all.ker.a</t>
  </si>
  <si>
    <t>Kerosene, Current Carbon Tax, ($/liter)</t>
  </si>
  <si>
    <t>mit.ets.ind.ecy.t</t>
  </si>
  <si>
    <t>Electricity, Current ETS in industry, ($/kWh)</t>
  </si>
  <si>
    <t>mit.ets.res.ecy.t</t>
  </si>
  <si>
    <t>Electricity, Current ETS in residential use, ($/kWh)</t>
  </si>
  <si>
    <t>mit.ets.ind.coa.a</t>
  </si>
  <si>
    <t>Coal, Current ETS in industry, ($/GJ)</t>
  </si>
  <si>
    <t>mit.ets.ind.nga.a</t>
  </si>
  <si>
    <t>Natural gas, Current ETS in industry, ($/GJ)</t>
  </si>
  <si>
    <t>mit.ets.res.coa.a</t>
  </si>
  <si>
    <t>Coal, Current ETS in residential use, ($/GJ)</t>
  </si>
  <si>
    <t>mit.ets.res.nga.a</t>
  </si>
  <si>
    <t>Natural gas, Current ETS in residential use, ($/GJ)</t>
  </si>
  <si>
    <t>mit.ets.pow.coa.a</t>
  </si>
  <si>
    <t>Coal, Current ETS in power sector, ($/GJ)</t>
  </si>
  <si>
    <t>mit.ets.pow.nga.a</t>
  </si>
  <si>
    <t>Natural gas, Current ETS in power sector, ($/GJ)</t>
  </si>
  <si>
    <t>mit.ets.all.oop.a</t>
  </si>
  <si>
    <t>Oil, Current ETS, ($/bbl)</t>
  </si>
  <si>
    <t>mit.ets.all.gso.a</t>
  </si>
  <si>
    <t>Gasoline, Current ETS, ($/liter)</t>
  </si>
  <si>
    <t>mit.ets.all.die.a</t>
  </si>
  <si>
    <t>Diesel, Current ETS, ($/liter)</t>
  </si>
  <si>
    <t>mit.ets.all.lpg.a</t>
  </si>
  <si>
    <t>LPG, Current ETS, ($/liter)</t>
  </si>
  <si>
    <t>mit.ets.all.ker.a</t>
  </si>
  <si>
    <t>Kerosene, Current ETS, ($/liter)</t>
  </si>
  <si>
    <t>Total Carbon Price</t>
  </si>
  <si>
    <t>mit.tcp.all.coa</t>
  </si>
  <si>
    <t>mit.tcp.all.coa.a</t>
  </si>
  <si>
    <t>Implicit carbon price by fuel: existing taxes, subsidies and new policies per tonne of CO2 | All sectors | Coal</t>
  </si>
  <si>
    <t>egy.mit.tcp.all.coa.1</t>
  </si>
  <si>
    <t>egy.mit.tcp.all.coa.3</t>
  </si>
  <si>
    <t>egy.mit.tcp.all.coa.4</t>
  </si>
  <si>
    <t>egy.mit.tcp.all.coa.5</t>
  </si>
  <si>
    <t>egy.mit.tcp.all.coa.6</t>
  </si>
  <si>
    <t>mit.tcp.all.nga</t>
  </si>
  <si>
    <t>mit.tcp.all.nga.a</t>
  </si>
  <si>
    <t>Implicit carbon price by fuel: existing taxes, subsidies and new policies per tonne of CO2 | All sectors | Natural gas</t>
  </si>
  <si>
    <t>egy.mit.tcp.all.nga.1</t>
  </si>
  <si>
    <t>egy.mit.tcp.all.nga.3</t>
  </si>
  <si>
    <t>egy.mit.tcp.all.nga.4</t>
  </si>
  <si>
    <t>egy.mit.tcp.all.nga.5</t>
  </si>
  <si>
    <t>egy.mit.tcp.all.nga.6</t>
  </si>
  <si>
    <t>mit.tcp.all.gso</t>
  </si>
  <si>
    <t>mit.tcp_csf.rod.gso.a</t>
  </si>
  <si>
    <t>Implicit carbon price by fuel: existing taxes, subsidies and new policies per tonne of CO2 | All sectors | Gasoline</t>
  </si>
  <si>
    <t>egy.mit.tcp.all.gso.1</t>
  </si>
  <si>
    <t>egy.mit.tcp.all.gso.3</t>
  </si>
  <si>
    <t>egy.mit.tcp.all.gso.4</t>
  </si>
  <si>
    <t>egy.mit.tcp.all.gso.5</t>
  </si>
  <si>
    <t>egy.mit.tcp.all.gso.6</t>
  </si>
  <si>
    <t>mit.tcp.all.die</t>
  </si>
  <si>
    <t>mit.tcp_csf.rod.die.a1</t>
  </si>
  <si>
    <t>Implicit carbon price by fuel: existing taxes, subsidies and new policies per tonne of CO2 | All sectors | Diesel</t>
  </si>
  <si>
    <t>egy.mit.tcp.all.die.1</t>
  </si>
  <si>
    <t>egy.mit.tcp.all.die.3</t>
  </si>
  <si>
    <t>egy.mit.tcp.all.die.4</t>
  </si>
  <si>
    <t>egy.mit.tcp.all.die.5</t>
  </si>
  <si>
    <t>egy.mit.tcp.all.die.6</t>
  </si>
  <si>
    <t>mit.tcp.all.lpg</t>
  </si>
  <si>
    <t>mit.tcp_csf.res.lpg.a</t>
  </si>
  <si>
    <t>Implicit carbon price by fuel: existing taxes, subsidies and new policies per tonne of CO2 | All sectors | LPG</t>
  </si>
  <si>
    <t>egy.mit.tcp.all.lpg.1</t>
  </si>
  <si>
    <t>egy.mit.tcp.all.lpg.3</t>
  </si>
  <si>
    <t>egy.mit.tcp.all.lpg.4</t>
  </si>
  <si>
    <t>egy.mit.tcp.all.lpg.5</t>
  </si>
  <si>
    <t>egy.mit.tcp.all.lpg.6</t>
  </si>
  <si>
    <t>mit.tcp.all.ker</t>
  </si>
  <si>
    <t>mit.tcp_csf.all.ker.a</t>
  </si>
  <si>
    <t>Implicit carbon price by fuel: existing taxes, subsidies and new policies per tonne of CO2 | All sectors | Kerosene</t>
  </si>
  <si>
    <t>egy.mit.tcp.all.ker.1</t>
  </si>
  <si>
    <t>egy.mit.tcp.all.ker.3</t>
  </si>
  <si>
    <t>egy.mit.tcp.all.ker.4</t>
  </si>
  <si>
    <t>egy.mit.tcp.all.ker.5</t>
  </si>
  <si>
    <t>egy.mit.tcp.all.ker.6</t>
  </si>
  <si>
    <t>mit.tcp.all.oop</t>
  </si>
  <si>
    <t>mit.tcp_csf.all.oop.a</t>
  </si>
  <si>
    <t>Implicit carbon price by fuel: existing taxes, subsidies and new policies per tonne of CO2 | All sectors | Other oil products</t>
  </si>
  <si>
    <t>egy.mit.tcp.all.oop.1</t>
  </si>
  <si>
    <t>egy.mit.tcp.all.oop.3</t>
  </si>
  <si>
    <t>egy.mit.tcp.all.oop.4</t>
  </si>
  <si>
    <t>egy.mit.tcp.all.oop.5</t>
  </si>
  <si>
    <t>egy.mit.tcp.all.oop.6</t>
  </si>
  <si>
    <t>mit.tcp.all.all</t>
  </si>
  <si>
    <t>mit.tcp.all.all.a</t>
  </si>
  <si>
    <t>Implicit carbon price by fuel: existing taxes, subsidies and new policies per tonne of CO2 | All sectors | All fuels</t>
  </si>
  <si>
    <t>egy.mit.tcp.all.all.1</t>
  </si>
  <si>
    <t>egy.mit.tcp.all.all.3</t>
  </si>
  <si>
    <t>egy.mit.tcp.all.all.4</t>
  </si>
  <si>
    <t>egy.mit.tcp.all.all.5</t>
  </si>
  <si>
    <t>egy.mit.tcp.all.all.6</t>
  </si>
  <si>
    <t>Pigouvian taxes</t>
  </si>
  <si>
    <t>mit.eff.price.all.gso</t>
  </si>
  <si>
    <t>mit.eff.price.gso.all</t>
  </si>
  <si>
    <t>Efficient price | All sectors | Gasoline</t>
  </si>
  <si>
    <t>egy.mit.eff.price.all.gso.1</t>
  </si>
  <si>
    <t>egy.mit.eff.price.all.gso.3</t>
  </si>
  <si>
    <t>egy.mit.eff.price.all.gso.4</t>
  </si>
  <si>
    <t>egy.mit.eff.price.all.gso.5</t>
  </si>
  <si>
    <t>egy.mit.eff.price.all.gso.6</t>
  </si>
  <si>
    <t>mit.sup.cost.all.gso</t>
  </si>
  <si>
    <t>mit.sup.cost.gso.all</t>
  </si>
  <si>
    <t>Efficient price: supply cost of scenario 1 | All sectors | Gasoline</t>
  </si>
  <si>
    <t>egy.mit.sup.cost.all.gso.1</t>
  </si>
  <si>
    <t>egy.mit.sup.cost.all.gso.3</t>
  </si>
  <si>
    <t>egy.mit.sup.cost.all.gso.4</t>
  </si>
  <si>
    <t>egy.mit.sup.cost.all.gso.5</t>
  </si>
  <si>
    <t>egy.mit.sup.cost.all.gso.6</t>
  </si>
  <si>
    <t>mit.airpol.cost.all.gso</t>
  </si>
  <si>
    <t>mit.airpol.cost.gso.all</t>
  </si>
  <si>
    <t>Air-pollution cost per unit of fuel, marginal damages (coal, gas, other oil products USD/GJ; gasoline, diesel, LPG, kerosene USD/l) | All sectors | Gasoline</t>
  </si>
  <si>
    <t>USD per unit</t>
  </si>
  <si>
    <t>egy.mit.airpol.cost.all.gso.1</t>
  </si>
  <si>
    <t>egy.mit.airpol.cost.all.gso.3</t>
  </si>
  <si>
    <t>egy.mit.airpol.cost.all.gso.4</t>
  </si>
  <si>
    <t>egy.mit.airpol.cost.all.gso.5</t>
  </si>
  <si>
    <t>egy.mit.airpol.cost.all.gso.6</t>
  </si>
  <si>
    <t>mit.acc.cost.all.gso</t>
  </si>
  <si>
    <t>mit.acc.cost.gso.all</t>
  </si>
  <si>
    <t>Efficient price: accident cost per litre (scenario) | All sectors | Gasoline</t>
  </si>
  <si>
    <t>USD/l</t>
  </si>
  <si>
    <t>egy.mit.acc.cost.all.gso.1</t>
  </si>
  <si>
    <t>egy.mit.acc.cost.all.gso.3</t>
  </si>
  <si>
    <t>egy.mit.acc.cost.all.gso.4</t>
  </si>
  <si>
    <t>egy.mit.acc.cost.all.gso.5</t>
  </si>
  <si>
    <t>egy.mit.acc.cost.all.gso.6</t>
  </si>
  <si>
    <t>mit.con.cost.all.gso</t>
  </si>
  <si>
    <t>mit.con.cost.gso.all</t>
  </si>
  <si>
    <t>Efficient price: congestion cost per litre (scenario) | All sectors | Gasoline</t>
  </si>
  <si>
    <t>egy.mit.con.cost.all.gso.1</t>
  </si>
  <si>
    <t>egy.mit.con.cost.all.gso.3</t>
  </si>
  <si>
    <t>egy.mit.con.cost.all.gso.4</t>
  </si>
  <si>
    <t>egy.mit.con.cost.all.gso.5</t>
  </si>
  <si>
    <t>egy.mit.con.cost.all.gso.6</t>
  </si>
  <si>
    <t>mit.rdm.cost.gso.all</t>
  </si>
  <si>
    <t>Road damage costs, gso, all</t>
  </si>
  <si>
    <t>usdliter</t>
  </si>
  <si>
    <t>mit.scc.cost.all.gso</t>
  </si>
  <si>
    <t>mit.scc.cost.gso.all</t>
  </si>
  <si>
    <t>Efficient price: climate damage (national SCC) | All sectors | Gasoline</t>
  </si>
  <si>
    <t>egy.mit.scc.cost.all.gso.1</t>
  </si>
  <si>
    <t>egy.mit.scc.cost.all.gso.3</t>
  </si>
  <si>
    <t>egy.mit.scc.cost.all.gso.4</t>
  </si>
  <si>
    <t>egy.mit.scc.cost.all.gso.5</t>
  </si>
  <si>
    <t>egy.mit.scc.cost.all.gso.6</t>
  </si>
  <si>
    <t>mit.vat.cost.all.gso</t>
  </si>
  <si>
    <t>mit.vat.cost.gso.all</t>
  </si>
  <si>
    <t>Efficient price: potential VAT | All sectors | Gasoline</t>
  </si>
  <si>
    <t>egy.mit.vat.cost.all.gso.1</t>
  </si>
  <si>
    <t>egy.mit.vat.cost.all.gso.3</t>
  </si>
  <si>
    <t>egy.mit.vat.cost.all.gso.4</t>
  </si>
  <si>
    <t>egy.mit.vat.cost.all.gso.5</t>
  </si>
  <si>
    <t>egy.mit.vat.cost.all.gso.6</t>
  </si>
  <si>
    <t>mit.rp.eff.all.gso</t>
  </si>
  <si>
    <t>mit.rp.gso.all</t>
  </si>
  <si>
    <t>Efficient price block: retail price of the scenario | All sectors | Gasoline</t>
  </si>
  <si>
    <t>egy.mit.rp.eff.all.gso.1</t>
  </si>
  <si>
    <t>egy.mit.rp.eff.all.gso.3</t>
  </si>
  <si>
    <t>egy.mit.rp.eff.all.gso.4</t>
  </si>
  <si>
    <t>egy.mit.rp.eff.all.gso.5</t>
  </si>
  <si>
    <t>egy.mit.rp.eff.all.gso.6</t>
  </si>
  <si>
    <t>mit.tgap.all.gso</t>
  </si>
  <si>
    <t>mit.tgap.gso.all</t>
  </si>
  <si>
    <t>Tax gap: retail price - efficient price | All sectors | Gasoline</t>
  </si>
  <si>
    <t>egy.mit.tgap.all.gso.1</t>
  </si>
  <si>
    <t>egy.mit.tgap.all.gso.3</t>
  </si>
  <si>
    <t>egy.mit.tgap.all.gso.4</t>
  </si>
  <si>
    <t>egy.mit.tgap.all.gso.5</t>
  </si>
  <si>
    <t>egy.mit.tgap.all.gso.6</t>
  </si>
  <si>
    <t>mit.txo.co2e.all.gso</t>
  </si>
  <si>
    <t>mit.txo.co2e.gso.all</t>
  </si>
  <si>
    <t>Excise and other taxes of scenario 1 per tonne of CO2 | All sectors | Gasoline</t>
  </si>
  <si>
    <t>egy.mit.txo.co2e.all.gso.1</t>
  </si>
  <si>
    <t>egy.mit.txo.co2e.all.gso.3</t>
  </si>
  <si>
    <t>egy.mit.txo.co2e.all.gso.4</t>
  </si>
  <si>
    <t>egy.mit.txo.co2e.all.gso.5</t>
  </si>
  <si>
    <t>egy.mit.txo.co2e.all.gso.6</t>
  </si>
  <si>
    <t>mit.pig.all.gso</t>
  </si>
  <si>
    <t>mit.pig.gso.all</t>
  </si>
  <si>
    <t>Pigouvian tax: all externalities (reference) | All sectors | Gasoline</t>
  </si>
  <si>
    <t>egy.mit.pig.all.gso.1</t>
  </si>
  <si>
    <t>egy.mit.pig.all.gso.3</t>
  </si>
  <si>
    <t>egy.mit.pig.all.gso.4</t>
  </si>
  <si>
    <t>egy.mit.pig.all.gso.5</t>
  </si>
  <si>
    <t>egy.mit.pig.all.gso.6</t>
  </si>
  <si>
    <t>mit.pig.co2e.all.gso</t>
  </si>
  <si>
    <t>mit.pig.co2e.gso.all</t>
  </si>
  <si>
    <t>Pigouvian tax per tonne of CO2 (fuel lines; avg: weighted by the fuel use of the scenario) | All sectors | Gasoline</t>
  </si>
  <si>
    <t>egy.mit.pig.co2e.all.gso.1</t>
  </si>
  <si>
    <t>egy.mit.pig.co2e.all.gso.3</t>
  </si>
  <si>
    <t>egy.mit.pig.co2e.all.gso.4</t>
  </si>
  <si>
    <t>egy.mit.pig.co2e.all.gso.5</t>
  </si>
  <si>
    <t>egy.mit.pig.co2e.all.gso.6</t>
  </si>
  <si>
    <t>mit.eff.price.all.die</t>
  </si>
  <si>
    <t>mit.eff.price.die.all</t>
  </si>
  <si>
    <t>Efficient price | All sectors | Diesel</t>
  </si>
  <si>
    <t>egy.mit.eff.price.all.die.1</t>
  </si>
  <si>
    <t>egy.mit.eff.price.all.die.3</t>
  </si>
  <si>
    <t>egy.mit.eff.price.all.die.4</t>
  </si>
  <si>
    <t>egy.mit.eff.price.all.die.5</t>
  </si>
  <si>
    <t>egy.mit.eff.price.all.die.6</t>
  </si>
  <si>
    <t>mit.sup.cost.all.die</t>
  </si>
  <si>
    <t>mit.sup.cost.die.all</t>
  </si>
  <si>
    <t>Efficient price: supply cost of scenario 1 | All sectors | Diesel</t>
  </si>
  <si>
    <t>egy.mit.sup.cost.all.die.1</t>
  </si>
  <si>
    <t>egy.mit.sup.cost.all.die.3</t>
  </si>
  <si>
    <t>egy.mit.sup.cost.all.die.4</t>
  </si>
  <si>
    <t>egy.mit.sup.cost.all.die.5</t>
  </si>
  <si>
    <t>egy.mit.sup.cost.all.die.6</t>
  </si>
  <si>
    <t>mit.airpol.cost.all.die</t>
  </si>
  <si>
    <t>mit.airpol.cost.die.all</t>
  </si>
  <si>
    <t>Air-pollution cost per unit of fuel, marginal damages (coal, gas, other oil products USD/GJ; gasoline, diesel, LPG, kerosene USD/l) | All sectors | Diesel</t>
  </si>
  <si>
    <t>egy.mit.airpol.cost.all.die.1</t>
  </si>
  <si>
    <t>egy.mit.airpol.cost.all.die.3</t>
  </si>
  <si>
    <t>egy.mit.airpol.cost.all.die.4</t>
  </si>
  <si>
    <t>egy.mit.airpol.cost.all.die.5</t>
  </si>
  <si>
    <t>egy.mit.airpol.cost.all.die.6</t>
  </si>
  <si>
    <t>mit.acc.cost.all.die</t>
  </si>
  <si>
    <t>mit.acc.cost.die.all</t>
  </si>
  <si>
    <t>Efficient price: accident cost per litre (scenario) | All sectors | Diesel</t>
  </si>
  <si>
    <t>egy.mit.acc.cost.all.die.1</t>
  </si>
  <si>
    <t>egy.mit.acc.cost.all.die.3</t>
  </si>
  <si>
    <t>egy.mit.acc.cost.all.die.4</t>
  </si>
  <si>
    <t>egy.mit.acc.cost.all.die.5</t>
  </si>
  <si>
    <t>egy.mit.acc.cost.all.die.6</t>
  </si>
  <si>
    <t>mit.con.cost.all.die</t>
  </si>
  <si>
    <t>mit.con.cost.die.all</t>
  </si>
  <si>
    <t>Efficient price: congestion cost per litre (scenario) | All sectors | Diesel</t>
  </si>
  <si>
    <t>egy.mit.con.cost.all.die.1</t>
  </si>
  <si>
    <t>egy.mit.con.cost.all.die.3</t>
  </si>
  <si>
    <t>egy.mit.con.cost.all.die.4</t>
  </si>
  <si>
    <t>egy.mit.con.cost.all.die.5</t>
  </si>
  <si>
    <t>egy.mit.con.cost.all.die.6</t>
  </si>
  <si>
    <t>mit.rdm.cost.all.die</t>
  </si>
  <si>
    <t>mit.rdm.cost.die.all</t>
  </si>
  <si>
    <t>Efficient price: road damage cost per litre of diesel (scenario) | All sectors | Diesel</t>
  </si>
  <si>
    <t>egy.mit.rdm.cost.all.die.1</t>
  </si>
  <si>
    <t>egy.mit.rdm.cost.all.die.3</t>
  </si>
  <si>
    <t>egy.mit.rdm.cost.all.die.4</t>
  </si>
  <si>
    <t>egy.mit.rdm.cost.all.die.5</t>
  </si>
  <si>
    <t>egy.mit.rdm.cost.all.die.6</t>
  </si>
  <si>
    <t>mit.scc.cost.all.die</t>
  </si>
  <si>
    <t>mit.scc.cost.die.all</t>
  </si>
  <si>
    <t>Efficient price: climate damage (national SCC) | All sectors | Diesel</t>
  </si>
  <si>
    <t>egy.mit.scc.cost.all.die.1</t>
  </si>
  <si>
    <t>egy.mit.scc.cost.all.die.3</t>
  </si>
  <si>
    <t>egy.mit.scc.cost.all.die.4</t>
  </si>
  <si>
    <t>egy.mit.scc.cost.all.die.5</t>
  </si>
  <si>
    <t>egy.mit.scc.cost.all.die.6</t>
  </si>
  <si>
    <t>mit.vat.cost.all.die</t>
  </si>
  <si>
    <t>mit.vat.cost.die.all</t>
  </si>
  <si>
    <t>Efficient price: potential VAT | All sectors | Diesel</t>
  </si>
  <si>
    <t>egy.mit.vat.cost.all.die.1</t>
  </si>
  <si>
    <t>egy.mit.vat.cost.all.die.3</t>
  </si>
  <si>
    <t>egy.mit.vat.cost.all.die.4</t>
  </si>
  <si>
    <t>egy.mit.vat.cost.all.die.5</t>
  </si>
  <si>
    <t>egy.mit.vat.cost.all.die.6</t>
  </si>
  <si>
    <t>mit.rp.eff.all.die</t>
  </si>
  <si>
    <t>mit.rp.die.all</t>
  </si>
  <si>
    <t>Efficient price block: retail price of the scenario | All sectors | Diesel</t>
  </si>
  <si>
    <t>egy.mit.rp.eff.all.die.1</t>
  </si>
  <si>
    <t>egy.mit.rp.eff.all.die.3</t>
  </si>
  <si>
    <t>egy.mit.rp.eff.all.die.4</t>
  </si>
  <si>
    <t>egy.mit.rp.eff.all.die.5</t>
  </si>
  <si>
    <t>egy.mit.rp.eff.all.die.6</t>
  </si>
  <si>
    <t>mit.tgap.all.die</t>
  </si>
  <si>
    <t>mit.tgap.die.all</t>
  </si>
  <si>
    <t>Tax gap: retail price - efficient price | All sectors | Diesel</t>
  </si>
  <si>
    <t>egy.mit.tgap.all.die.1</t>
  </si>
  <si>
    <t>egy.mit.tgap.all.die.3</t>
  </si>
  <si>
    <t>egy.mit.tgap.all.die.4</t>
  </si>
  <si>
    <t>egy.mit.tgap.all.die.5</t>
  </si>
  <si>
    <t>egy.mit.tgap.all.die.6</t>
  </si>
  <si>
    <t>mit.txo.co2e.all.die</t>
  </si>
  <si>
    <t>mit.txo.co2e.die.all</t>
  </si>
  <si>
    <t>Excise and other taxes of scenario 1 per tonne of CO2 | All sectors | Diesel</t>
  </si>
  <si>
    <t>egy.mit.txo.co2e.all.die.1</t>
  </si>
  <si>
    <t>egy.mit.txo.co2e.all.die.3</t>
  </si>
  <si>
    <t>egy.mit.txo.co2e.all.die.4</t>
  </si>
  <si>
    <t>egy.mit.txo.co2e.all.die.5</t>
  </si>
  <si>
    <t>egy.mit.txo.co2e.all.die.6</t>
  </si>
  <si>
    <t>mit.pig.all.die</t>
  </si>
  <si>
    <t>mit.pig.die.all</t>
  </si>
  <si>
    <t>Pigouvian tax: all externalities (reference) | All sectors | Diesel</t>
  </si>
  <si>
    <t>egy.mit.pig.all.die.1</t>
  </si>
  <si>
    <t>egy.mit.pig.all.die.3</t>
  </si>
  <si>
    <t>egy.mit.pig.all.die.4</t>
  </si>
  <si>
    <t>egy.mit.pig.all.die.5</t>
  </si>
  <si>
    <t>egy.mit.pig.all.die.6</t>
  </si>
  <si>
    <t>mit.pig.co2e.all.die</t>
  </si>
  <si>
    <t>mit.pig.co2e.die.all</t>
  </si>
  <si>
    <t>Pigouvian tax per tonne of CO2 (fuel lines; avg: weighted by the fuel use of the scenario) | All sectors | Diesel</t>
  </si>
  <si>
    <t>egy.mit.pig.co2e.all.die.1</t>
  </si>
  <si>
    <t>egy.mit.pig.co2e.all.die.3</t>
  </si>
  <si>
    <t>egy.mit.pig.co2e.all.die.4</t>
  </si>
  <si>
    <t>egy.mit.pig.co2e.all.die.5</t>
  </si>
  <si>
    <t>egy.mit.pig.co2e.all.die.6</t>
  </si>
  <si>
    <t>mit.eff.price.all.lpg</t>
  </si>
  <si>
    <t>mit.eff.price.lpg.all</t>
  </si>
  <si>
    <t>Efficient price | All sectors | LPG</t>
  </si>
  <si>
    <t>egy.mit.eff.price.all.lpg.1</t>
  </si>
  <si>
    <t>egy.mit.eff.price.all.lpg.3</t>
  </si>
  <si>
    <t>egy.mit.eff.price.all.lpg.4</t>
  </si>
  <si>
    <t>egy.mit.eff.price.all.lpg.5</t>
  </si>
  <si>
    <t>egy.mit.eff.price.all.lpg.6</t>
  </si>
  <si>
    <t>mit.sup.cost.all.lpg</t>
  </si>
  <si>
    <t>mit.sup.cost.lpg.all</t>
  </si>
  <si>
    <t>Efficient price: supply cost of scenario 1 | All sectors | LPG</t>
  </si>
  <si>
    <t>egy.mit.sup.cost.all.lpg.1</t>
  </si>
  <si>
    <t>egy.mit.sup.cost.all.lpg.3</t>
  </si>
  <si>
    <t>egy.mit.sup.cost.all.lpg.4</t>
  </si>
  <si>
    <t>egy.mit.sup.cost.all.lpg.5</t>
  </si>
  <si>
    <t>egy.mit.sup.cost.all.lpg.6</t>
  </si>
  <si>
    <t>mit.airpol.cost.all.lpg</t>
  </si>
  <si>
    <t>mit.airpol.cost.lpg.all</t>
  </si>
  <si>
    <t>Air-pollution cost per unit of fuel, marginal damages (coal, gas, other oil products USD/GJ; gasoline, diesel, LPG, kerosene USD/l) | All sectors | LPG</t>
  </si>
  <si>
    <t>egy.mit.airpol.cost.all.lpg.1</t>
  </si>
  <si>
    <t>egy.mit.airpol.cost.all.lpg.3</t>
  </si>
  <si>
    <t>egy.mit.airpol.cost.all.lpg.4</t>
  </si>
  <si>
    <t>egy.mit.airpol.cost.all.lpg.5</t>
  </si>
  <si>
    <t>egy.mit.airpol.cost.all.lpg.6</t>
  </si>
  <si>
    <t>mit.scc.cost.all.lpg</t>
  </si>
  <si>
    <t>mit.scc.cost.lpg.all</t>
  </si>
  <si>
    <t>Efficient price: climate damage (national SCC) | All sectors | LPG</t>
  </si>
  <si>
    <t>egy.mit.scc.cost.all.lpg.1</t>
  </si>
  <si>
    <t>egy.mit.scc.cost.all.lpg.3</t>
  </si>
  <si>
    <t>egy.mit.scc.cost.all.lpg.4</t>
  </si>
  <si>
    <t>egy.mit.scc.cost.all.lpg.5</t>
  </si>
  <si>
    <t>egy.mit.scc.cost.all.lpg.6</t>
  </si>
  <si>
    <t>mit.vat.cost.all.lpg</t>
  </si>
  <si>
    <t>mit.vat.cost.lpg.all</t>
  </si>
  <si>
    <t>Efficient price: potential VAT | All sectors | LPG</t>
  </si>
  <si>
    <t>egy.mit.vat.cost.all.lpg.1</t>
  </si>
  <si>
    <t>egy.mit.vat.cost.all.lpg.3</t>
  </si>
  <si>
    <t>egy.mit.vat.cost.all.lpg.4</t>
  </si>
  <si>
    <t>egy.mit.vat.cost.all.lpg.5</t>
  </si>
  <si>
    <t>egy.mit.vat.cost.all.lpg.6</t>
  </si>
  <si>
    <t>mit.rp.eff.all.lpg</t>
  </si>
  <si>
    <t>mit.rp.lpg.all</t>
  </si>
  <si>
    <t>Efficient price block: retail price of the scenario | All sectors | LPG</t>
  </si>
  <si>
    <t>egy.mit.rp.eff.all.lpg.1</t>
  </si>
  <si>
    <t>egy.mit.rp.eff.all.lpg.3</t>
  </si>
  <si>
    <t>egy.mit.rp.eff.all.lpg.4</t>
  </si>
  <si>
    <t>egy.mit.rp.eff.all.lpg.5</t>
  </si>
  <si>
    <t>egy.mit.rp.eff.all.lpg.6</t>
  </si>
  <si>
    <t>mit.tgap.all.lpg</t>
  </si>
  <si>
    <t>mit.tgap.lpg.all</t>
  </si>
  <si>
    <t>Tax gap: retail price - efficient price | All sectors | LPG</t>
  </si>
  <si>
    <t>egy.mit.tgap.all.lpg.1</t>
  </si>
  <si>
    <t>egy.mit.tgap.all.lpg.3</t>
  </si>
  <si>
    <t>egy.mit.tgap.all.lpg.4</t>
  </si>
  <si>
    <t>egy.mit.tgap.all.lpg.5</t>
  </si>
  <si>
    <t>egy.mit.tgap.all.lpg.6</t>
  </si>
  <si>
    <t>mit.txo.co2e.all.lpg</t>
  </si>
  <si>
    <t>mit.txo.co2e.lpg.all</t>
  </si>
  <si>
    <t>Excise and other taxes of scenario 1 per tonne of CO2 | All sectors | LPG</t>
  </si>
  <si>
    <t>egy.mit.txo.co2e.all.lpg.1</t>
  </si>
  <si>
    <t>egy.mit.txo.co2e.all.lpg.3</t>
  </si>
  <si>
    <t>egy.mit.txo.co2e.all.lpg.4</t>
  </si>
  <si>
    <t>egy.mit.txo.co2e.all.lpg.5</t>
  </si>
  <si>
    <t>egy.mit.txo.co2e.all.lpg.6</t>
  </si>
  <si>
    <t>mit.pig.all.lpg</t>
  </si>
  <si>
    <t>mit.pig.lpg.all</t>
  </si>
  <si>
    <t>Pigouvian tax: all externalities (reference) | All sectors | LPG</t>
  </si>
  <si>
    <t>egy.mit.pig.all.lpg.1</t>
  </si>
  <si>
    <t>egy.mit.pig.all.lpg.3</t>
  </si>
  <si>
    <t>egy.mit.pig.all.lpg.4</t>
  </si>
  <si>
    <t>egy.mit.pig.all.lpg.5</t>
  </si>
  <si>
    <t>egy.mit.pig.all.lpg.6</t>
  </si>
  <si>
    <t>mit.pig.co2e.all.lpg</t>
  </si>
  <si>
    <t>mit.pig.co2e.lpg.all</t>
  </si>
  <si>
    <t>Pigouvian tax per tonne of CO2 (fuel lines; avg: weighted by the fuel use of the scenario) | All sectors | LPG</t>
  </si>
  <si>
    <t>egy.mit.pig.co2e.all.lpg.1</t>
  </si>
  <si>
    <t>egy.mit.pig.co2e.all.lpg.3</t>
  </si>
  <si>
    <t>egy.mit.pig.co2e.all.lpg.4</t>
  </si>
  <si>
    <t>egy.mit.pig.co2e.all.lpg.5</t>
  </si>
  <si>
    <t>egy.mit.pig.co2e.all.lpg.6</t>
  </si>
  <si>
    <t>mit.eff.price.all.ker</t>
  </si>
  <si>
    <t>mit.eff.price.ker.all</t>
  </si>
  <si>
    <t>Efficient price | All sectors | Kerosene</t>
  </si>
  <si>
    <t>egy.mit.eff.price.all.ker.1</t>
  </si>
  <si>
    <t>egy.mit.eff.price.all.ker.3</t>
  </si>
  <si>
    <t>egy.mit.eff.price.all.ker.4</t>
  </si>
  <si>
    <t>egy.mit.eff.price.all.ker.5</t>
  </si>
  <si>
    <t>egy.mit.eff.price.all.ker.6</t>
  </si>
  <si>
    <t>mit.sup.cost.all.ker</t>
  </si>
  <si>
    <t>mit.sup.cost.ker.all</t>
  </si>
  <si>
    <t>Efficient price: supply cost of scenario 1 | All sectors | Kerosene</t>
  </si>
  <si>
    <t>egy.mit.sup.cost.all.ker.1</t>
  </si>
  <si>
    <t>egy.mit.sup.cost.all.ker.3</t>
  </si>
  <si>
    <t>egy.mit.sup.cost.all.ker.4</t>
  </si>
  <si>
    <t>egy.mit.sup.cost.all.ker.5</t>
  </si>
  <si>
    <t>egy.mit.sup.cost.all.ker.6</t>
  </si>
  <si>
    <t>mit.airpol.cost.all.ker</t>
  </si>
  <si>
    <t>mit.airpol.cost.ker.all</t>
  </si>
  <si>
    <t>Air-pollution cost per unit of fuel, marginal damages (coal, gas, other oil products USD/GJ; gasoline, diesel, LPG, kerosene USD/l) | All sectors | Kerosene</t>
  </si>
  <si>
    <t>egy.mit.airpol.cost.all.ker.1</t>
  </si>
  <si>
    <t>egy.mit.airpol.cost.all.ker.3</t>
  </si>
  <si>
    <t>egy.mit.airpol.cost.all.ker.4</t>
  </si>
  <si>
    <t>egy.mit.airpol.cost.all.ker.5</t>
  </si>
  <si>
    <t>egy.mit.airpol.cost.all.ker.6</t>
  </si>
  <si>
    <t>mit.scc.cost.all.ker</t>
  </si>
  <si>
    <t>mit.scc.cost.ker.all</t>
  </si>
  <si>
    <t>Efficient price: climate damage (national SCC) | All sectors | Kerosene</t>
  </si>
  <si>
    <t>egy.mit.scc.cost.all.ker.1</t>
  </si>
  <si>
    <t>egy.mit.scc.cost.all.ker.3</t>
  </si>
  <si>
    <t>egy.mit.scc.cost.all.ker.4</t>
  </si>
  <si>
    <t>egy.mit.scc.cost.all.ker.5</t>
  </si>
  <si>
    <t>egy.mit.scc.cost.all.ker.6</t>
  </si>
  <si>
    <t>mit.vat.cost.all.ker</t>
  </si>
  <si>
    <t>mit.vat.cost.ker.all</t>
  </si>
  <si>
    <t>Efficient price: potential VAT | All sectors | Kerosene</t>
  </si>
  <si>
    <t>egy.mit.vat.cost.all.ker.1</t>
  </si>
  <si>
    <t>egy.mit.vat.cost.all.ker.3</t>
  </si>
  <si>
    <t>egy.mit.vat.cost.all.ker.4</t>
  </si>
  <si>
    <t>egy.mit.vat.cost.all.ker.5</t>
  </si>
  <si>
    <t>egy.mit.vat.cost.all.ker.6</t>
  </si>
  <si>
    <t>mit.rp.eff.all.ker</t>
  </si>
  <si>
    <t>mit.rp.ker.all</t>
  </si>
  <si>
    <t>Efficient price block: retail price of the scenario | All sectors | Kerosene</t>
  </si>
  <si>
    <t>egy.mit.rp.eff.all.ker.1</t>
  </si>
  <si>
    <t>egy.mit.rp.eff.all.ker.3</t>
  </si>
  <si>
    <t>egy.mit.rp.eff.all.ker.4</t>
  </si>
  <si>
    <t>egy.mit.rp.eff.all.ker.5</t>
  </si>
  <si>
    <t>egy.mit.rp.eff.all.ker.6</t>
  </si>
  <si>
    <t>mit.tgap.all.ker</t>
  </si>
  <si>
    <t>mit.tgap.ker.all</t>
  </si>
  <si>
    <t>Tax gap: retail price - efficient price | All sectors | Kerosene</t>
  </si>
  <si>
    <t>egy.mit.tgap.all.ker.1</t>
  </si>
  <si>
    <t>egy.mit.tgap.all.ker.3</t>
  </si>
  <si>
    <t>egy.mit.tgap.all.ker.4</t>
  </si>
  <si>
    <t>egy.mit.tgap.all.ker.5</t>
  </si>
  <si>
    <t>egy.mit.tgap.all.ker.6</t>
  </si>
  <si>
    <t>mit.txo.co2e.all.ker</t>
  </si>
  <si>
    <t>mit.txo.co2e.ker.all</t>
  </si>
  <si>
    <t>Excise and other taxes of scenario 1 per tonne of CO2 | All sectors | Kerosene</t>
  </si>
  <si>
    <t>egy.mit.txo.co2e.all.ker.1</t>
  </si>
  <si>
    <t>egy.mit.txo.co2e.all.ker.3</t>
  </si>
  <si>
    <t>egy.mit.txo.co2e.all.ker.4</t>
  </si>
  <si>
    <t>egy.mit.txo.co2e.all.ker.5</t>
  </si>
  <si>
    <t>egy.mit.txo.co2e.all.ker.6</t>
  </si>
  <si>
    <t>mit.pig.all.ker</t>
  </si>
  <si>
    <t>mit.pig.ker.all</t>
  </si>
  <si>
    <t>Pigouvian tax: all externalities (reference) | All sectors | Kerosene</t>
  </si>
  <si>
    <t>egy.mit.pig.all.ker.1</t>
  </si>
  <si>
    <t>egy.mit.pig.all.ker.3</t>
  </si>
  <si>
    <t>egy.mit.pig.all.ker.4</t>
  </si>
  <si>
    <t>egy.mit.pig.all.ker.5</t>
  </si>
  <si>
    <t>egy.mit.pig.all.ker.6</t>
  </si>
  <si>
    <t>mit.pig.co2e.all.ker</t>
  </si>
  <si>
    <t>mit.pig.co2e.ker.all</t>
  </si>
  <si>
    <t>Pigouvian tax per tonne of CO2 (fuel lines; avg: weighted by the fuel use of the scenario) | All sectors | Kerosene</t>
  </si>
  <si>
    <t>egy.mit.pig.co2e.all.ker.1</t>
  </si>
  <si>
    <t>egy.mit.pig.co2e.all.ker.3</t>
  </si>
  <si>
    <t>egy.mit.pig.co2e.all.ker.4</t>
  </si>
  <si>
    <t>egy.mit.pig.co2e.all.ker.5</t>
  </si>
  <si>
    <t>egy.mit.pig.co2e.all.ker.6</t>
  </si>
  <si>
    <t>mit.eff.price.ind.coa</t>
  </si>
  <si>
    <t>mit.eff.price.coa.ind</t>
  </si>
  <si>
    <t>Efficient price | Industry | Coal</t>
  </si>
  <si>
    <t>egy.mit.eff.price.ind.coa.1</t>
  </si>
  <si>
    <t>egy.mit.eff.price.ind.coa.3</t>
  </si>
  <si>
    <t>egy.mit.eff.price.ind.coa.4</t>
  </si>
  <si>
    <t>egy.mit.eff.price.ind.coa.5</t>
  </si>
  <si>
    <t>egy.mit.eff.price.ind.coa.6</t>
  </si>
  <si>
    <t>mit.sup.cost.ind.coa</t>
  </si>
  <si>
    <t>mit.sup.cost.coa.ind</t>
  </si>
  <si>
    <t>Efficient price: supply cost of scenario 1 | Industry | Coal</t>
  </si>
  <si>
    <t>egy.mit.sup.cost.ind.coa.1</t>
  </si>
  <si>
    <t>egy.mit.sup.cost.ind.coa.3</t>
  </si>
  <si>
    <t>egy.mit.sup.cost.ind.coa.4</t>
  </si>
  <si>
    <t>egy.mit.sup.cost.ind.coa.5</t>
  </si>
  <si>
    <t>egy.mit.sup.cost.ind.coa.6</t>
  </si>
  <si>
    <t>mit.airpol.cost.ind.coa</t>
  </si>
  <si>
    <t>mit.airpol.cost.coa.ind</t>
  </si>
  <si>
    <t>Air-pollution cost per unit of fuel, marginal damages (coal, gas, other oil products USD/GJ; gasoline, diesel, LPG, kerosene USD/l) | Industry | Coal</t>
  </si>
  <si>
    <t>egy.mit.airpol.cost.ind.coa.1</t>
  </si>
  <si>
    <t>egy.mit.airpol.cost.ind.coa.3</t>
  </si>
  <si>
    <t>egy.mit.airpol.cost.ind.coa.4</t>
  </si>
  <si>
    <t>egy.mit.airpol.cost.ind.coa.5</t>
  </si>
  <si>
    <t>egy.mit.airpol.cost.ind.coa.6</t>
  </si>
  <si>
    <t>mit.scc.cost.ind.coa</t>
  </si>
  <si>
    <t>mit.scc.cost.coa.ind</t>
  </si>
  <si>
    <t>Efficient price: climate damage (national SCC) | Industry | Coal</t>
  </si>
  <si>
    <t>egy.mit.scc.cost.ind.coa.1</t>
  </si>
  <si>
    <t>egy.mit.scc.cost.ind.coa.3</t>
  </si>
  <si>
    <t>egy.mit.scc.cost.ind.coa.4</t>
  </si>
  <si>
    <t>egy.mit.scc.cost.ind.coa.5</t>
  </si>
  <si>
    <t>egy.mit.scc.cost.ind.coa.6</t>
  </si>
  <si>
    <t>mit.vat.cost.ind.coa</t>
  </si>
  <si>
    <t>mit.vat.cost.coa.ind</t>
  </si>
  <si>
    <t>Efficient price: potential VAT | Industry | Coal</t>
  </si>
  <si>
    <t>egy.mit.vat.cost.ind.coa.1</t>
  </si>
  <si>
    <t>egy.mit.vat.cost.ind.coa.3</t>
  </si>
  <si>
    <t>egy.mit.vat.cost.ind.coa.4</t>
  </si>
  <si>
    <t>egy.mit.vat.cost.ind.coa.5</t>
  </si>
  <si>
    <t>egy.mit.vat.cost.ind.coa.6</t>
  </si>
  <si>
    <t>mit.rp.eff.ind.coa</t>
  </si>
  <si>
    <t>mit.rp.coa.ind</t>
  </si>
  <si>
    <t>Efficient price block: retail price of the scenario | Industry | Coal</t>
  </si>
  <si>
    <t>egy.mit.rp.eff.ind.coa.1</t>
  </si>
  <si>
    <t>egy.mit.rp.eff.ind.coa.3</t>
  </si>
  <si>
    <t>egy.mit.rp.eff.ind.coa.4</t>
  </si>
  <si>
    <t>egy.mit.rp.eff.ind.coa.5</t>
  </si>
  <si>
    <t>egy.mit.rp.eff.ind.coa.6</t>
  </si>
  <si>
    <t>mit.tgap.ind.coa</t>
  </si>
  <si>
    <t>mit.tgap.coa.ind</t>
  </si>
  <si>
    <t>Tax gap: retail price - efficient price | Industry | Coal</t>
  </si>
  <si>
    <t>egy.mit.tgap.ind.coa.1</t>
  </si>
  <si>
    <t>egy.mit.tgap.ind.coa.3</t>
  </si>
  <si>
    <t>egy.mit.tgap.ind.coa.4</t>
  </si>
  <si>
    <t>egy.mit.tgap.ind.coa.5</t>
  </si>
  <si>
    <t>egy.mit.tgap.ind.coa.6</t>
  </si>
  <si>
    <t>mit.txo.co2e.ind.coa</t>
  </si>
  <si>
    <t>mit.txo.co2e.coa.ind</t>
  </si>
  <si>
    <t>Excise and other taxes of scenario 1 per tonne of CO2 | Industry | Coal</t>
  </si>
  <si>
    <t>egy.mit.txo.co2e.ind.coa.1</t>
  </si>
  <si>
    <t>egy.mit.txo.co2e.ind.coa.3</t>
  </si>
  <si>
    <t>egy.mit.txo.co2e.ind.coa.4</t>
  </si>
  <si>
    <t>egy.mit.txo.co2e.ind.coa.5</t>
  </si>
  <si>
    <t>egy.mit.txo.co2e.ind.coa.6</t>
  </si>
  <si>
    <t>mit.pig.ind.coa</t>
  </si>
  <si>
    <t>mit.pig.coa.ind</t>
  </si>
  <si>
    <t>Pigouvian tax: all externalities (reference) | Industry | Coal</t>
  </si>
  <si>
    <t>egy.mit.pig.ind.coa.1</t>
  </si>
  <si>
    <t>egy.mit.pig.ind.coa.3</t>
  </si>
  <si>
    <t>egy.mit.pig.ind.coa.4</t>
  </si>
  <si>
    <t>egy.mit.pig.ind.coa.5</t>
  </si>
  <si>
    <t>egy.mit.pig.ind.coa.6</t>
  </si>
  <si>
    <t>mit.pig.co2e.ind.coa</t>
  </si>
  <si>
    <t>mit.pig.co2e.coa.ind</t>
  </si>
  <si>
    <t>Pigouvian tax per tonne of CO2 (fuel lines; avg: weighted by the fuel use of the scenario) | Industry | Coal</t>
  </si>
  <si>
    <t>egy.mit.pig.co2e.ind.coa.1</t>
  </si>
  <si>
    <t>egy.mit.pig.co2e.ind.coa.3</t>
  </si>
  <si>
    <t>egy.mit.pig.co2e.ind.coa.4</t>
  </si>
  <si>
    <t>egy.mit.pig.co2e.ind.coa.5</t>
  </si>
  <si>
    <t>egy.mit.pig.co2e.ind.coa.6</t>
  </si>
  <si>
    <t>mit.eff.price.res.coa</t>
  </si>
  <si>
    <t>mit.eff.price.coa.res</t>
  </si>
  <si>
    <t>Efficient price | Residential | Coal</t>
  </si>
  <si>
    <t>egy.mit.eff.price.res.coa.1</t>
  </si>
  <si>
    <t>egy.mit.eff.price.res.coa.3</t>
  </si>
  <si>
    <t>egy.mit.eff.price.res.coa.4</t>
  </si>
  <si>
    <t>egy.mit.eff.price.res.coa.5</t>
  </si>
  <si>
    <t>egy.mit.eff.price.res.coa.6</t>
  </si>
  <si>
    <t>mit.sup.cost.res.coa</t>
  </si>
  <si>
    <t>mit.sup.cost.coa.res</t>
  </si>
  <si>
    <t>Efficient price: supply cost of scenario 1 | Residential | Coal</t>
  </si>
  <si>
    <t>egy.mit.sup.cost.res.coa.1</t>
  </si>
  <si>
    <t>egy.mit.sup.cost.res.coa.3</t>
  </si>
  <si>
    <t>egy.mit.sup.cost.res.coa.4</t>
  </si>
  <si>
    <t>egy.mit.sup.cost.res.coa.5</t>
  </si>
  <si>
    <t>egy.mit.sup.cost.res.coa.6</t>
  </si>
  <si>
    <t>mit.airpol.cost.res.coa</t>
  </si>
  <si>
    <t>mit.airpol.cost.coa.res</t>
  </si>
  <si>
    <t>Air-pollution cost per unit of fuel, marginal damages (coal, gas, other oil products USD/GJ; gasoline, diesel, LPG, kerosene USD/l) | Residential | Coal</t>
  </si>
  <si>
    <t>egy.mit.airpol.cost.res.coa.1</t>
  </si>
  <si>
    <t>egy.mit.airpol.cost.res.coa.3</t>
  </si>
  <si>
    <t>egy.mit.airpol.cost.res.coa.4</t>
  </si>
  <si>
    <t>egy.mit.airpol.cost.res.coa.5</t>
  </si>
  <si>
    <t>egy.mit.airpol.cost.res.coa.6</t>
  </si>
  <si>
    <t>mit.scc.cost.res.coa</t>
  </si>
  <si>
    <t>mit.scc.cost.coa.res</t>
  </si>
  <si>
    <t>Efficient price: climate damage (national SCC) | Residential | Coal</t>
  </si>
  <si>
    <t>egy.mit.scc.cost.res.coa.1</t>
  </si>
  <si>
    <t>egy.mit.scc.cost.res.coa.3</t>
  </si>
  <si>
    <t>egy.mit.scc.cost.res.coa.4</t>
  </si>
  <si>
    <t>egy.mit.scc.cost.res.coa.5</t>
  </si>
  <si>
    <t>egy.mit.scc.cost.res.coa.6</t>
  </si>
  <si>
    <t>mit.vat.cost.res.coa</t>
  </si>
  <si>
    <t>mit.vat.cost.coa.res</t>
  </si>
  <si>
    <t>Efficient price: potential VAT | Residential | Coal</t>
  </si>
  <si>
    <t>egy.mit.vat.cost.res.coa.1</t>
  </si>
  <si>
    <t>egy.mit.vat.cost.res.coa.3</t>
  </si>
  <si>
    <t>egy.mit.vat.cost.res.coa.4</t>
  </si>
  <si>
    <t>egy.mit.vat.cost.res.coa.5</t>
  </si>
  <si>
    <t>egy.mit.vat.cost.res.coa.6</t>
  </si>
  <si>
    <t>mit.rp.eff.res.coa</t>
  </si>
  <si>
    <t>mit.rp.coa.res</t>
  </si>
  <si>
    <t>Efficient price block: retail price of the scenario | Residential | Coal</t>
  </si>
  <si>
    <t>egy.mit.rp.eff.res.coa.1</t>
  </si>
  <si>
    <t>egy.mit.rp.eff.res.coa.3</t>
  </si>
  <si>
    <t>egy.mit.rp.eff.res.coa.4</t>
  </si>
  <si>
    <t>egy.mit.rp.eff.res.coa.5</t>
  </si>
  <si>
    <t>egy.mit.rp.eff.res.coa.6</t>
  </si>
  <si>
    <t>mit.tgap.res.coa</t>
  </si>
  <si>
    <t>mit.tgap.coa.res</t>
  </si>
  <si>
    <t>Tax gap: retail price - efficient price | Residential | Coal</t>
  </si>
  <si>
    <t>egy.mit.tgap.res.coa.1</t>
  </si>
  <si>
    <t>egy.mit.tgap.res.coa.3</t>
  </si>
  <si>
    <t>egy.mit.tgap.res.coa.4</t>
  </si>
  <si>
    <t>egy.mit.tgap.res.coa.5</t>
  </si>
  <si>
    <t>egy.mit.tgap.res.coa.6</t>
  </si>
  <si>
    <t>mit.txo.co2e.res.coa</t>
  </si>
  <si>
    <t>mit.txo.co2e.coa.res</t>
  </si>
  <si>
    <t>Excise and other taxes of scenario 1 per tonne of CO2 | Residential | Coal</t>
  </si>
  <si>
    <t>egy.mit.txo.co2e.res.coa.1</t>
  </si>
  <si>
    <t>egy.mit.txo.co2e.res.coa.3</t>
  </si>
  <si>
    <t>egy.mit.txo.co2e.res.coa.4</t>
  </si>
  <si>
    <t>egy.mit.txo.co2e.res.coa.5</t>
  </si>
  <si>
    <t>egy.mit.txo.co2e.res.coa.6</t>
  </si>
  <si>
    <t>mit.pig.res.coa</t>
  </si>
  <si>
    <t>mit.pig.coa.res</t>
  </si>
  <si>
    <t>Pigouvian tax: all externalities (reference) | Residential | Coal</t>
  </si>
  <si>
    <t>egy.mit.pig.res.coa.1</t>
  </si>
  <si>
    <t>egy.mit.pig.res.coa.3</t>
  </si>
  <si>
    <t>egy.mit.pig.res.coa.4</t>
  </si>
  <si>
    <t>egy.mit.pig.res.coa.5</t>
  </si>
  <si>
    <t>egy.mit.pig.res.coa.6</t>
  </si>
  <si>
    <t>mit.pig.co2e.res.coa</t>
  </si>
  <si>
    <t>mit.pig.co2e.coa.res</t>
  </si>
  <si>
    <t>Pigouvian tax per tonne of CO2 (fuel lines; avg: weighted by the fuel use of the scenario) | Residential | Coal</t>
  </si>
  <si>
    <t>egy.mit.pig.co2e.res.coa.1</t>
  </si>
  <si>
    <t>egy.mit.pig.co2e.res.coa.3</t>
  </si>
  <si>
    <t>egy.mit.pig.co2e.res.coa.4</t>
  </si>
  <si>
    <t>egy.mit.pig.co2e.res.coa.5</t>
  </si>
  <si>
    <t>egy.mit.pig.co2e.res.coa.6</t>
  </si>
  <si>
    <t>mit.eff.price.pow.coa</t>
  </si>
  <si>
    <t>mit.eff.price.coa.pow</t>
  </si>
  <si>
    <t>Efficient price | Power | Coal</t>
  </si>
  <si>
    <t>egy.mit.eff.price.pow.coa.1</t>
  </si>
  <si>
    <t>egy.mit.eff.price.pow.coa.3</t>
  </si>
  <si>
    <t>egy.mit.eff.price.pow.coa.4</t>
  </si>
  <si>
    <t>egy.mit.eff.price.pow.coa.5</t>
  </si>
  <si>
    <t>egy.mit.eff.price.pow.coa.6</t>
  </si>
  <si>
    <t>mit.sup.cost.pow.coa</t>
  </si>
  <si>
    <t>mit.sup.cost.coa.pow</t>
  </si>
  <si>
    <t>Efficient price: supply cost of scenario 1 | Power | Coal</t>
  </si>
  <si>
    <t>egy.mit.sup.cost.pow.coa.1</t>
  </si>
  <si>
    <t>egy.mit.sup.cost.pow.coa.3</t>
  </si>
  <si>
    <t>egy.mit.sup.cost.pow.coa.4</t>
  </si>
  <si>
    <t>egy.mit.sup.cost.pow.coa.5</t>
  </si>
  <si>
    <t>egy.mit.sup.cost.pow.coa.6</t>
  </si>
  <si>
    <t>mit.airpol.cost.pow.coa</t>
  </si>
  <si>
    <t>mit.airpol.cost.coa.pow</t>
  </si>
  <si>
    <t>Air-pollution cost per unit of fuel, marginal damages (coal, gas, other oil products USD/GJ; gasoline, diesel, LPG, kerosene USD/l) | Power | Coal</t>
  </si>
  <si>
    <t>egy.mit.airpol.cost.pow.coa.1</t>
  </si>
  <si>
    <t>egy.mit.airpol.cost.pow.coa.3</t>
  </si>
  <si>
    <t>egy.mit.airpol.cost.pow.coa.4</t>
  </si>
  <si>
    <t>egy.mit.airpol.cost.pow.coa.5</t>
  </si>
  <si>
    <t>egy.mit.airpol.cost.pow.coa.6</t>
  </si>
  <si>
    <t>mit.scc.cost.pow.coa</t>
  </si>
  <si>
    <t>mit.scc.cost.coa.pow</t>
  </si>
  <si>
    <t>Efficient price: climate damage (national SCC) | Power | Coal</t>
  </si>
  <si>
    <t>egy.mit.scc.cost.pow.coa.1</t>
  </si>
  <si>
    <t>egy.mit.scc.cost.pow.coa.3</t>
  </si>
  <si>
    <t>egy.mit.scc.cost.pow.coa.4</t>
  </si>
  <si>
    <t>egy.mit.scc.cost.pow.coa.5</t>
  </si>
  <si>
    <t>egy.mit.scc.cost.pow.coa.6</t>
  </si>
  <si>
    <t>mit.vat.cost.pow.coa</t>
  </si>
  <si>
    <t>mit.vat.cost.coa.pow</t>
  </si>
  <si>
    <t>Efficient price: potential VAT | Power | Coal</t>
  </si>
  <si>
    <t>egy.mit.vat.cost.pow.coa.1</t>
  </si>
  <si>
    <t>egy.mit.vat.cost.pow.coa.3</t>
  </si>
  <si>
    <t>egy.mit.vat.cost.pow.coa.4</t>
  </si>
  <si>
    <t>egy.mit.vat.cost.pow.coa.5</t>
  </si>
  <si>
    <t>egy.mit.vat.cost.pow.coa.6</t>
  </si>
  <si>
    <t>mit.rp.eff.pow.coa</t>
  </si>
  <si>
    <t>mit.rp.coa.pow</t>
  </si>
  <si>
    <t>Efficient price block: retail price of the scenario | Power | Coal</t>
  </si>
  <si>
    <t>egy.mit.rp.eff.pow.coa.1</t>
  </si>
  <si>
    <t>egy.mit.rp.eff.pow.coa.3</t>
  </si>
  <si>
    <t>egy.mit.rp.eff.pow.coa.4</t>
  </si>
  <si>
    <t>egy.mit.rp.eff.pow.coa.5</t>
  </si>
  <si>
    <t>egy.mit.rp.eff.pow.coa.6</t>
  </si>
  <si>
    <t>mit.tgap.pow.coa</t>
  </si>
  <si>
    <t>mit.tgap.coa.pow</t>
  </si>
  <si>
    <t>Tax gap: retail price - efficient price | Power | Coal</t>
  </si>
  <si>
    <t>egy.mit.tgap.pow.coa.1</t>
  </si>
  <si>
    <t>egy.mit.tgap.pow.coa.3</t>
  </si>
  <si>
    <t>egy.mit.tgap.pow.coa.4</t>
  </si>
  <si>
    <t>egy.mit.tgap.pow.coa.5</t>
  </si>
  <si>
    <t>egy.mit.tgap.pow.coa.6</t>
  </si>
  <si>
    <t>mit.txo.co2e.pow.coa</t>
  </si>
  <si>
    <t>mit.txo.co2e.coa.pow</t>
  </si>
  <si>
    <t>Excise and other taxes of scenario 1 per tonne of CO2 | Power | Coal</t>
  </si>
  <si>
    <t>egy.mit.txo.co2e.pow.coa.1</t>
  </si>
  <si>
    <t>egy.mit.txo.co2e.pow.coa.3</t>
  </si>
  <si>
    <t>egy.mit.txo.co2e.pow.coa.4</t>
  </si>
  <si>
    <t>egy.mit.txo.co2e.pow.coa.5</t>
  </si>
  <si>
    <t>egy.mit.txo.co2e.pow.coa.6</t>
  </si>
  <si>
    <t>mit.pig.pow.coa</t>
  </si>
  <si>
    <t>mit.pig.coa.pow</t>
  </si>
  <si>
    <t>Pigouvian tax: all externalities (reference) | Power | Coal</t>
  </si>
  <si>
    <t>egy.mit.pig.pow.coa.1</t>
  </si>
  <si>
    <t>egy.mit.pig.pow.coa.3</t>
  </si>
  <si>
    <t>egy.mit.pig.pow.coa.4</t>
  </si>
  <si>
    <t>egy.mit.pig.pow.coa.5</t>
  </si>
  <si>
    <t>egy.mit.pig.pow.coa.6</t>
  </si>
  <si>
    <t>mit.pig.co2e.pow.coa</t>
  </si>
  <si>
    <t>mit.pig.co2e.coa.pow</t>
  </si>
  <si>
    <t>Pigouvian tax per tonne of CO2 (fuel lines; avg: weighted by the fuel use of the scenario) | Power | Coal</t>
  </si>
  <si>
    <t>egy.mit.pig.co2e.pow.coa.1</t>
  </si>
  <si>
    <t>egy.mit.pig.co2e.pow.coa.3</t>
  </si>
  <si>
    <t>egy.mit.pig.co2e.pow.coa.4</t>
  </si>
  <si>
    <t>egy.mit.pig.co2e.pow.coa.5</t>
  </si>
  <si>
    <t>egy.mit.pig.co2e.pow.coa.6</t>
  </si>
  <si>
    <t>mit.eff.price.ind.nga</t>
  </si>
  <si>
    <t>mit.eff.price.nga.ind</t>
  </si>
  <si>
    <t>Efficient price | Industry | Natural gas</t>
  </si>
  <si>
    <t>egy.mit.eff.price.ind.nga.1</t>
  </si>
  <si>
    <t>egy.mit.eff.price.ind.nga.3</t>
  </si>
  <si>
    <t>egy.mit.eff.price.ind.nga.4</t>
  </si>
  <si>
    <t>egy.mit.eff.price.ind.nga.5</t>
  </si>
  <si>
    <t>egy.mit.eff.price.ind.nga.6</t>
  </si>
  <si>
    <t>mit.sup.cost.ind.nga</t>
  </si>
  <si>
    <t>mit.sup.cost.nga.ind</t>
  </si>
  <si>
    <t>Efficient price: supply cost of scenario 1 | Industry | Natural gas</t>
  </si>
  <si>
    <t>egy.mit.sup.cost.ind.nga.1</t>
  </si>
  <si>
    <t>egy.mit.sup.cost.ind.nga.3</t>
  </si>
  <si>
    <t>egy.mit.sup.cost.ind.nga.4</t>
  </si>
  <si>
    <t>egy.mit.sup.cost.ind.nga.5</t>
  </si>
  <si>
    <t>egy.mit.sup.cost.ind.nga.6</t>
  </si>
  <si>
    <t>mit.airpol.cost.ind.nga</t>
  </si>
  <si>
    <t>mit.airpol.cost.nga.ind</t>
  </si>
  <si>
    <t>Air-pollution cost per unit of fuel, marginal damages (coal, gas, other oil products USD/GJ; gasoline, diesel, LPG, kerosene USD/l) | Industry | Natural gas</t>
  </si>
  <si>
    <t>egy.mit.airpol.cost.ind.nga.1</t>
  </si>
  <si>
    <t>egy.mit.airpol.cost.ind.nga.3</t>
  </si>
  <si>
    <t>egy.mit.airpol.cost.ind.nga.4</t>
  </si>
  <si>
    <t>egy.mit.airpol.cost.ind.nga.5</t>
  </si>
  <si>
    <t>egy.mit.airpol.cost.ind.nga.6</t>
  </si>
  <si>
    <t>mit.scc.cost.ind.nga</t>
  </si>
  <si>
    <t>mit.scc.cost.nga.ind</t>
  </si>
  <si>
    <t>Efficient price: climate damage (national SCC) | Industry | Natural gas</t>
  </si>
  <si>
    <t>egy.mit.scc.cost.ind.nga.1</t>
  </si>
  <si>
    <t>egy.mit.scc.cost.ind.nga.3</t>
  </si>
  <si>
    <t>egy.mit.scc.cost.ind.nga.4</t>
  </si>
  <si>
    <t>egy.mit.scc.cost.ind.nga.5</t>
  </si>
  <si>
    <t>egy.mit.scc.cost.ind.nga.6</t>
  </si>
  <si>
    <t>mit.vat.cost.ind.nga</t>
  </si>
  <si>
    <t>mit.vat.cost.nga.ind</t>
  </si>
  <si>
    <t>Efficient price: potential VAT | Industry | Natural gas</t>
  </si>
  <si>
    <t>egy.mit.vat.cost.ind.nga.1</t>
  </si>
  <si>
    <t>egy.mit.vat.cost.ind.nga.3</t>
  </si>
  <si>
    <t>egy.mit.vat.cost.ind.nga.4</t>
  </si>
  <si>
    <t>egy.mit.vat.cost.ind.nga.5</t>
  </si>
  <si>
    <t>egy.mit.vat.cost.ind.nga.6</t>
  </si>
  <si>
    <t>mit.rp.eff.ind.nga</t>
  </si>
  <si>
    <t>mit.rp.nga.ind</t>
  </si>
  <si>
    <t>Efficient price block: retail price of the scenario | Industry | Natural gas</t>
  </si>
  <si>
    <t>egy.mit.rp.eff.ind.nga.1</t>
  </si>
  <si>
    <t>egy.mit.rp.eff.ind.nga.3</t>
  </si>
  <si>
    <t>egy.mit.rp.eff.ind.nga.4</t>
  </si>
  <si>
    <t>egy.mit.rp.eff.ind.nga.5</t>
  </si>
  <si>
    <t>egy.mit.rp.eff.ind.nga.6</t>
  </si>
  <si>
    <t>mit.tgap.ind.nga</t>
  </si>
  <si>
    <t>mit.tgap.nga.ind</t>
  </si>
  <si>
    <t>Tax gap: retail price - efficient price | Industry | Natural gas</t>
  </si>
  <si>
    <t>egy.mit.tgap.ind.nga.1</t>
  </si>
  <si>
    <t>egy.mit.tgap.ind.nga.3</t>
  </si>
  <si>
    <t>egy.mit.tgap.ind.nga.4</t>
  </si>
  <si>
    <t>egy.mit.tgap.ind.nga.5</t>
  </si>
  <si>
    <t>egy.mit.tgap.ind.nga.6</t>
  </si>
  <si>
    <t>mit.txo.co2e.ind.nga</t>
  </si>
  <si>
    <t>mit.txo.co2e.nga.ind</t>
  </si>
  <si>
    <t>Excise and other taxes of scenario 1 per tonne of CO2 | Industry | Natural gas</t>
  </si>
  <si>
    <t>egy.mit.txo.co2e.ind.nga.1</t>
  </si>
  <si>
    <t>egy.mit.txo.co2e.ind.nga.3</t>
  </si>
  <si>
    <t>egy.mit.txo.co2e.ind.nga.4</t>
  </si>
  <si>
    <t>egy.mit.txo.co2e.ind.nga.5</t>
  </si>
  <si>
    <t>egy.mit.txo.co2e.ind.nga.6</t>
  </si>
  <si>
    <t>mit.pig.ind.nga</t>
  </si>
  <si>
    <t>mit.pig.nga.ind</t>
  </si>
  <si>
    <t>Pigouvian tax: all externalities (reference) | Industry | Natural gas</t>
  </si>
  <si>
    <t>egy.mit.pig.ind.nga.1</t>
  </si>
  <si>
    <t>egy.mit.pig.ind.nga.3</t>
  </si>
  <si>
    <t>egy.mit.pig.ind.nga.4</t>
  </si>
  <si>
    <t>egy.mit.pig.ind.nga.5</t>
  </si>
  <si>
    <t>egy.mit.pig.ind.nga.6</t>
  </si>
  <si>
    <t>mit.pig.co2e.ind.nga</t>
  </si>
  <si>
    <t>mit.pig.co2e.nga.ind</t>
  </si>
  <si>
    <t>Pigouvian tax per tonne of CO2 (fuel lines; avg: weighted by the fuel use of the scenario) | Industry | Natural gas</t>
  </si>
  <si>
    <t>egy.mit.pig.co2e.ind.nga.1</t>
  </si>
  <si>
    <t>egy.mit.pig.co2e.ind.nga.3</t>
  </si>
  <si>
    <t>egy.mit.pig.co2e.ind.nga.4</t>
  </si>
  <si>
    <t>egy.mit.pig.co2e.ind.nga.5</t>
  </si>
  <si>
    <t>egy.mit.pig.co2e.ind.nga.6</t>
  </si>
  <si>
    <t>mit.eff.price.res.nga</t>
  </si>
  <si>
    <t>mit.eff.price.nga.res</t>
  </si>
  <si>
    <t>Efficient price | Residential | Natural gas</t>
  </si>
  <si>
    <t>egy.mit.eff.price.res.nga.1</t>
  </si>
  <si>
    <t>egy.mit.eff.price.res.nga.3</t>
  </si>
  <si>
    <t>egy.mit.eff.price.res.nga.4</t>
  </si>
  <si>
    <t>egy.mit.eff.price.res.nga.5</t>
  </si>
  <si>
    <t>egy.mit.eff.price.res.nga.6</t>
  </si>
  <si>
    <t>mit.sup.cost.res.nga</t>
  </si>
  <si>
    <t>mit.sup.cost.nga.res</t>
  </si>
  <si>
    <t>Efficient price: supply cost of scenario 1 | Residential | Natural gas</t>
  </si>
  <si>
    <t>egy.mit.sup.cost.res.nga.1</t>
  </si>
  <si>
    <t>egy.mit.sup.cost.res.nga.3</t>
  </si>
  <si>
    <t>egy.mit.sup.cost.res.nga.4</t>
  </si>
  <si>
    <t>egy.mit.sup.cost.res.nga.5</t>
  </si>
  <si>
    <t>egy.mit.sup.cost.res.nga.6</t>
  </si>
  <si>
    <t>mit.airpol.cost.res.nga</t>
  </si>
  <si>
    <t>mit.airpol.cost.nga.res</t>
  </si>
  <si>
    <t>Air-pollution cost per unit of fuel, marginal damages (coal, gas, other oil products USD/GJ; gasoline, diesel, LPG, kerosene USD/l) | Residential | Natural gas</t>
  </si>
  <si>
    <t>egy.mit.airpol.cost.res.nga.1</t>
  </si>
  <si>
    <t>egy.mit.airpol.cost.res.nga.3</t>
  </si>
  <si>
    <t>egy.mit.airpol.cost.res.nga.4</t>
  </si>
  <si>
    <t>egy.mit.airpol.cost.res.nga.5</t>
  </si>
  <si>
    <t>egy.mit.airpol.cost.res.nga.6</t>
  </si>
  <si>
    <t>mit.scc.cost.res.nga</t>
  </si>
  <si>
    <t>mit.scc.cost.nga.res</t>
  </si>
  <si>
    <t>Efficient price: climate damage (national SCC) | Residential | Natural gas</t>
  </si>
  <si>
    <t>egy.mit.scc.cost.res.nga.1</t>
  </si>
  <si>
    <t>egy.mit.scc.cost.res.nga.3</t>
  </si>
  <si>
    <t>egy.mit.scc.cost.res.nga.4</t>
  </si>
  <si>
    <t>egy.mit.scc.cost.res.nga.5</t>
  </si>
  <si>
    <t>egy.mit.scc.cost.res.nga.6</t>
  </si>
  <si>
    <t>mit.vat.cost.res.nga</t>
  </si>
  <si>
    <t>mit.vat.cost.nga.res</t>
  </si>
  <si>
    <t>Efficient price: potential VAT | Residential | Natural gas</t>
  </si>
  <si>
    <t>egy.mit.vat.cost.res.nga.1</t>
  </si>
  <si>
    <t>egy.mit.vat.cost.res.nga.3</t>
  </si>
  <si>
    <t>egy.mit.vat.cost.res.nga.4</t>
  </si>
  <si>
    <t>egy.mit.vat.cost.res.nga.5</t>
  </si>
  <si>
    <t>egy.mit.vat.cost.res.nga.6</t>
  </si>
  <si>
    <t>mit.rp.eff.res.nga</t>
  </si>
  <si>
    <t>mit.rp.nga.res</t>
  </si>
  <si>
    <t>Efficient price block: retail price of the scenario | Residential | Natural gas</t>
  </si>
  <si>
    <t>egy.mit.rp.eff.res.nga.1</t>
  </si>
  <si>
    <t>egy.mit.rp.eff.res.nga.3</t>
  </si>
  <si>
    <t>egy.mit.rp.eff.res.nga.4</t>
  </si>
  <si>
    <t>egy.mit.rp.eff.res.nga.5</t>
  </si>
  <si>
    <t>egy.mit.rp.eff.res.nga.6</t>
  </si>
  <si>
    <t>mit.tgap.res.nga</t>
  </si>
  <si>
    <t>mit.tgap.nga.res</t>
  </si>
  <si>
    <t>Tax gap: retail price - efficient price | Residential | Natural gas</t>
  </si>
  <si>
    <t>egy.mit.tgap.res.nga.1</t>
  </si>
  <si>
    <t>egy.mit.tgap.res.nga.3</t>
  </si>
  <si>
    <t>egy.mit.tgap.res.nga.4</t>
  </si>
  <si>
    <t>egy.mit.tgap.res.nga.5</t>
  </si>
  <si>
    <t>egy.mit.tgap.res.nga.6</t>
  </si>
  <si>
    <t>mit.txo.co2e.res.nga</t>
  </si>
  <si>
    <t>mit.txo.co2e.nga.res</t>
  </si>
  <si>
    <t>Excise and other taxes of scenario 1 per tonne of CO2 | Residential | Natural gas</t>
  </si>
  <si>
    <t>egy.mit.txo.co2e.res.nga.1</t>
  </si>
  <si>
    <t>egy.mit.txo.co2e.res.nga.3</t>
  </si>
  <si>
    <t>egy.mit.txo.co2e.res.nga.4</t>
  </si>
  <si>
    <t>egy.mit.txo.co2e.res.nga.5</t>
  </si>
  <si>
    <t>egy.mit.txo.co2e.res.nga.6</t>
  </si>
  <si>
    <t>mit.pig.res.nga</t>
  </si>
  <si>
    <t>mit.pig.nga.res</t>
  </si>
  <si>
    <t>Pigouvian tax: all externalities (reference) | Residential | Natural gas</t>
  </si>
  <si>
    <t>egy.mit.pig.res.nga.1</t>
  </si>
  <si>
    <t>egy.mit.pig.res.nga.3</t>
  </si>
  <si>
    <t>egy.mit.pig.res.nga.4</t>
  </si>
  <si>
    <t>egy.mit.pig.res.nga.5</t>
  </si>
  <si>
    <t>egy.mit.pig.res.nga.6</t>
  </si>
  <si>
    <t>mit.pig.co2e.res.nga</t>
  </si>
  <si>
    <t>mit.pig.co2e.nga.res</t>
  </si>
  <si>
    <t>Pigouvian tax per tonne of CO2 (fuel lines; avg: weighted by the fuel use of the scenario) | Residential | Natural gas</t>
  </si>
  <si>
    <t>egy.mit.pig.co2e.res.nga.1</t>
  </si>
  <si>
    <t>egy.mit.pig.co2e.res.nga.3</t>
  </si>
  <si>
    <t>egy.mit.pig.co2e.res.nga.4</t>
  </si>
  <si>
    <t>egy.mit.pig.co2e.res.nga.5</t>
  </si>
  <si>
    <t>egy.mit.pig.co2e.res.nga.6</t>
  </si>
  <si>
    <t>mit.eff.price.pow.nga</t>
  </si>
  <si>
    <t>mit.eff.price.nga.pow</t>
  </si>
  <si>
    <t>Efficient price | Power | Natural gas</t>
  </si>
  <si>
    <t>egy.mit.eff.price.pow.nga.1</t>
  </si>
  <si>
    <t>egy.mit.eff.price.pow.nga.3</t>
  </si>
  <si>
    <t>egy.mit.eff.price.pow.nga.4</t>
  </si>
  <si>
    <t>egy.mit.eff.price.pow.nga.5</t>
  </si>
  <si>
    <t>egy.mit.eff.price.pow.nga.6</t>
  </si>
  <si>
    <t>mit.sup.cost.pow.nga</t>
  </si>
  <si>
    <t>mit.sup.cost.nga.pow</t>
  </si>
  <si>
    <t>Efficient price: supply cost of scenario 1 | Power | Natural gas</t>
  </si>
  <si>
    <t>egy.mit.sup.cost.pow.nga.1</t>
  </si>
  <si>
    <t>egy.mit.sup.cost.pow.nga.3</t>
  </si>
  <si>
    <t>egy.mit.sup.cost.pow.nga.4</t>
  </si>
  <si>
    <t>egy.mit.sup.cost.pow.nga.5</t>
  </si>
  <si>
    <t>egy.mit.sup.cost.pow.nga.6</t>
  </si>
  <si>
    <t>mit.airpol.cost.pow.nga</t>
  </si>
  <si>
    <t>mit.airpol.cost.nga.pow</t>
  </si>
  <si>
    <t>Air-pollution cost per unit of fuel, marginal damages (coal, gas, other oil products USD/GJ; gasoline, diesel, LPG, kerosene USD/l) | Power | Natural gas</t>
  </si>
  <si>
    <t>egy.mit.airpol.cost.pow.nga.1</t>
  </si>
  <si>
    <t>egy.mit.airpol.cost.pow.nga.3</t>
  </si>
  <si>
    <t>egy.mit.airpol.cost.pow.nga.4</t>
  </si>
  <si>
    <t>egy.mit.airpol.cost.pow.nga.5</t>
  </si>
  <si>
    <t>egy.mit.airpol.cost.pow.nga.6</t>
  </si>
  <si>
    <t>mit.scc.cost.pow.nga</t>
  </si>
  <si>
    <t>mit.scc.cost.nga.pow</t>
  </si>
  <si>
    <t>Efficient price: climate damage (national SCC) | Power | Natural gas</t>
  </si>
  <si>
    <t>egy.mit.scc.cost.pow.nga.1</t>
  </si>
  <si>
    <t>egy.mit.scc.cost.pow.nga.3</t>
  </si>
  <si>
    <t>egy.mit.scc.cost.pow.nga.4</t>
  </si>
  <si>
    <t>egy.mit.scc.cost.pow.nga.5</t>
  </si>
  <si>
    <t>egy.mit.scc.cost.pow.nga.6</t>
  </si>
  <si>
    <t>mit.vat.cost.pow.nga</t>
  </si>
  <si>
    <t>mit.vat.cost.nga.pow</t>
  </si>
  <si>
    <t>Efficient price: potential VAT | Power | Natural gas</t>
  </si>
  <si>
    <t>egy.mit.vat.cost.pow.nga.1</t>
  </si>
  <si>
    <t>egy.mit.vat.cost.pow.nga.3</t>
  </si>
  <si>
    <t>egy.mit.vat.cost.pow.nga.4</t>
  </si>
  <si>
    <t>egy.mit.vat.cost.pow.nga.5</t>
  </si>
  <si>
    <t>egy.mit.vat.cost.pow.nga.6</t>
  </si>
  <si>
    <t>mit.rp.eff.pow.nga</t>
  </si>
  <si>
    <t>mit.rp.nga.pow</t>
  </si>
  <si>
    <t>Efficient price block: retail price of the scenario | Power | Natural gas</t>
  </si>
  <si>
    <t>egy.mit.rp.eff.pow.nga.1</t>
  </si>
  <si>
    <t>egy.mit.rp.eff.pow.nga.3</t>
  </si>
  <si>
    <t>egy.mit.rp.eff.pow.nga.4</t>
  </si>
  <si>
    <t>egy.mit.rp.eff.pow.nga.5</t>
  </si>
  <si>
    <t>egy.mit.rp.eff.pow.nga.6</t>
  </si>
  <si>
    <t>mit.tgap.pow.nga</t>
  </si>
  <si>
    <t>mit.tgap.nga.pow</t>
  </si>
  <si>
    <t>Tax gap: retail price - efficient price | Power | Natural gas</t>
  </si>
  <si>
    <t>egy.mit.tgap.pow.nga.1</t>
  </si>
  <si>
    <t>egy.mit.tgap.pow.nga.3</t>
  </si>
  <si>
    <t>egy.mit.tgap.pow.nga.4</t>
  </si>
  <si>
    <t>egy.mit.tgap.pow.nga.5</t>
  </si>
  <si>
    <t>egy.mit.tgap.pow.nga.6</t>
  </si>
  <si>
    <t>mit.txo.co2e.pow.nga</t>
  </si>
  <si>
    <t>mit.txo.co2e.nga.pow</t>
  </si>
  <si>
    <t>Excise and other taxes of scenario 1 per tonne of CO2 | Power | Natural gas</t>
  </si>
  <si>
    <t>egy.mit.txo.co2e.pow.nga.1</t>
  </si>
  <si>
    <t>egy.mit.txo.co2e.pow.nga.3</t>
  </si>
  <si>
    <t>egy.mit.txo.co2e.pow.nga.4</t>
  </si>
  <si>
    <t>egy.mit.txo.co2e.pow.nga.5</t>
  </si>
  <si>
    <t>egy.mit.txo.co2e.pow.nga.6</t>
  </si>
  <si>
    <t>mit.pig.pow.nga</t>
  </si>
  <si>
    <t>mit.pig.nga.pow</t>
  </si>
  <si>
    <t>Pigouvian tax: all externalities (reference) | Power | Natural gas</t>
  </si>
  <si>
    <t>egy.mit.pig.pow.nga.1</t>
  </si>
  <si>
    <t>egy.mit.pig.pow.nga.3</t>
  </si>
  <si>
    <t>egy.mit.pig.pow.nga.4</t>
  </si>
  <si>
    <t>egy.mit.pig.pow.nga.5</t>
  </si>
  <si>
    <t>egy.mit.pig.pow.nga.6</t>
  </si>
  <si>
    <t>mit.pig.co2e.pow.nga</t>
  </si>
  <si>
    <t>mit.pig.co2e.nga.pow</t>
  </si>
  <si>
    <t>Pigouvian tax per tonne of CO2 (fuel lines; avg: weighted by the fuel use of the scenario) | Power | Natural gas</t>
  </si>
  <si>
    <t>egy.mit.pig.co2e.pow.nga.1</t>
  </si>
  <si>
    <t>egy.mit.pig.co2e.pow.nga.3</t>
  </si>
  <si>
    <t>egy.mit.pig.co2e.pow.nga.4</t>
  </si>
  <si>
    <t>egy.mit.pig.co2e.pow.nga.5</t>
  </si>
  <si>
    <t>egy.mit.pig.co2e.pow.nga.6</t>
  </si>
  <si>
    <t>mit.eff.price.ind.ecy</t>
  </si>
  <si>
    <t>mit.eff.price.ecy.ind</t>
  </si>
  <si>
    <t>Efficient price | Industry | Electricity</t>
  </si>
  <si>
    <t>egy.mit.eff.price.ind.ecy.1</t>
  </si>
  <si>
    <t>egy.mit.eff.price.ind.ecy.3</t>
  </si>
  <si>
    <t>egy.mit.eff.price.ind.ecy.4</t>
  </si>
  <si>
    <t>egy.mit.eff.price.ind.ecy.5</t>
  </si>
  <si>
    <t>egy.mit.eff.price.ind.ecy.6</t>
  </si>
  <si>
    <t>mit.airpol.cost.s.ind.ecy</t>
  </si>
  <si>
    <t>mit.airpol.cost.ecy.ind</t>
  </si>
  <si>
    <t>Efficient price: air-pollution cost | Industry | Electricity</t>
  </si>
  <si>
    <t>egy.mit.airpol.cost.s.ind.ecy.1</t>
  </si>
  <si>
    <t>egy.mit.airpol.cost.s.ind.ecy.3</t>
  </si>
  <si>
    <t>egy.mit.airpol.cost.s.ind.ecy.4</t>
  </si>
  <si>
    <t>egy.mit.airpol.cost.s.ind.ecy.5</t>
  </si>
  <si>
    <t>egy.mit.airpol.cost.s.ind.ecy.6</t>
  </si>
  <si>
    <t>mit.scc.cost.ind.ecy</t>
  </si>
  <si>
    <t>mit.scc.cost.ecy.ind</t>
  </si>
  <si>
    <t>Efficient price: climate damage (national SCC) | Industry | Electricity</t>
  </si>
  <si>
    <t>egy.mit.scc.cost.ind.ecy.1</t>
  </si>
  <si>
    <t>egy.mit.scc.cost.ind.ecy.3</t>
  </si>
  <si>
    <t>egy.mit.scc.cost.ind.ecy.4</t>
  </si>
  <si>
    <t>egy.mit.scc.cost.ind.ecy.5</t>
  </si>
  <si>
    <t>egy.mit.scc.cost.ind.ecy.6</t>
  </si>
  <si>
    <t>mit.vat.cost.ind.ecy</t>
  </si>
  <si>
    <t>mit.vat.cost.ecy.ind</t>
  </si>
  <si>
    <t>Efficient price: potential VAT | Industry | Electricity</t>
  </si>
  <si>
    <t>egy.mit.vat.cost.ind.ecy.1</t>
  </si>
  <si>
    <t>egy.mit.vat.cost.ind.ecy.3</t>
  </si>
  <si>
    <t>egy.mit.vat.cost.ind.ecy.4</t>
  </si>
  <si>
    <t>egy.mit.vat.cost.ind.ecy.5</t>
  </si>
  <si>
    <t>egy.mit.vat.cost.ind.ecy.6</t>
  </si>
  <si>
    <t>mit.rp.ecy.ind</t>
  </si>
  <si>
    <t>mit.tgap.ind.ecy</t>
  </si>
  <si>
    <t>mit.tgap.ecy.ind</t>
  </si>
  <si>
    <t>Tax gap: retail price - efficient price | Industry | Electricity</t>
  </si>
  <si>
    <t>egy.mit.tgap.ind.ecy.1</t>
  </si>
  <si>
    <t>egy.mit.tgap.ind.ecy.3</t>
  </si>
  <si>
    <t>egy.mit.tgap.ind.ecy.4</t>
  </si>
  <si>
    <t>egy.mit.tgap.ind.ecy.5</t>
  </si>
  <si>
    <t>egy.mit.tgap.ind.ecy.6</t>
  </si>
  <si>
    <t>mit.txo.co2e.ind.ecy</t>
  </si>
  <si>
    <t>mit.txo.co2e.ecy.ind</t>
  </si>
  <si>
    <t>Excise and other taxes of scenario 1 per tonne of CO2 | Industry | Electricity</t>
  </si>
  <si>
    <t>egy.mit.txo.co2e.ind.ecy.1</t>
  </si>
  <si>
    <t>egy.mit.txo.co2e.ind.ecy.3</t>
  </si>
  <si>
    <t>egy.mit.txo.co2e.ind.ecy.4</t>
  </si>
  <si>
    <t>egy.mit.txo.co2e.ind.ecy.5</t>
  </si>
  <si>
    <t>egy.mit.txo.co2e.ind.ecy.6</t>
  </si>
  <si>
    <t>mit.pig.ind.ecy</t>
  </si>
  <si>
    <t>mit.pig.ecy.ind</t>
  </si>
  <si>
    <t>Pigouvian tax: all externalities (reference) | Industry | Electricity</t>
  </si>
  <si>
    <t>egy.mit.pig.ind.ecy.1</t>
  </si>
  <si>
    <t>egy.mit.pig.ind.ecy.3</t>
  </si>
  <si>
    <t>egy.mit.pig.ind.ecy.4</t>
  </si>
  <si>
    <t>egy.mit.pig.ind.ecy.5</t>
  </si>
  <si>
    <t>egy.mit.pig.ind.ecy.6</t>
  </si>
  <si>
    <t>mit.pig.co2e.ind.ecy</t>
  </si>
  <si>
    <t>mit.pig.co2e.ecy.ind</t>
  </si>
  <si>
    <t>Pigouvian tax per tonne of CO2 (fuel lines; avg: weighted by the fuel use of the scenario) | Industry | Electricity</t>
  </si>
  <si>
    <t>egy.mit.pig.co2e.ind.ecy.1</t>
  </si>
  <si>
    <t>egy.mit.pig.co2e.ind.ecy.3</t>
  </si>
  <si>
    <t>egy.mit.pig.co2e.ind.ecy.4</t>
  </si>
  <si>
    <t>egy.mit.pig.co2e.ind.ecy.5</t>
  </si>
  <si>
    <t>egy.mit.pig.co2e.ind.ecy.6</t>
  </si>
  <si>
    <t>mit.eff.price.res.ecy</t>
  </si>
  <si>
    <t>mit.eff.price.ecy.res</t>
  </si>
  <si>
    <t>Efficient price | Residential | Electricity</t>
  </si>
  <si>
    <t>egy.mit.eff.price.res.ecy.1</t>
  </si>
  <si>
    <t>egy.mit.eff.price.res.ecy.3</t>
  </si>
  <si>
    <t>egy.mit.eff.price.res.ecy.4</t>
  </si>
  <si>
    <t>egy.mit.eff.price.res.ecy.5</t>
  </si>
  <si>
    <t>egy.mit.eff.price.res.ecy.6</t>
  </si>
  <si>
    <t>mit.airpol.cost.s.res.ecy</t>
  </si>
  <si>
    <t>mit.airpol.cost.ecy.res</t>
  </si>
  <si>
    <t>Efficient price: air-pollution cost | Residential | Electricity</t>
  </si>
  <si>
    <t>egy.mit.airpol.cost.s.res.ecy.1</t>
  </si>
  <si>
    <t>egy.mit.airpol.cost.s.res.ecy.3</t>
  </si>
  <si>
    <t>egy.mit.airpol.cost.s.res.ecy.4</t>
  </si>
  <si>
    <t>egy.mit.airpol.cost.s.res.ecy.5</t>
  </si>
  <si>
    <t>egy.mit.airpol.cost.s.res.ecy.6</t>
  </si>
  <si>
    <t>mit.scc.cost.res.ecy</t>
  </si>
  <si>
    <t>mit.scc.cost.ecy.res</t>
  </si>
  <si>
    <t>Efficient price: climate damage (national SCC) | Residential | Electricity</t>
  </si>
  <si>
    <t>egy.mit.scc.cost.res.ecy.1</t>
  </si>
  <si>
    <t>egy.mit.scc.cost.res.ecy.3</t>
  </si>
  <si>
    <t>egy.mit.scc.cost.res.ecy.4</t>
  </si>
  <si>
    <t>egy.mit.scc.cost.res.ecy.5</t>
  </si>
  <si>
    <t>egy.mit.scc.cost.res.ecy.6</t>
  </si>
  <si>
    <t>mit.vat.cost.res.ecy</t>
  </si>
  <si>
    <t>mit.vat.cost.ecy.res</t>
  </si>
  <si>
    <t>Efficient price: potential VAT | Residential | Electricity</t>
  </si>
  <si>
    <t>egy.mit.vat.cost.res.ecy.1</t>
  </si>
  <si>
    <t>egy.mit.vat.cost.res.ecy.3</t>
  </si>
  <si>
    <t>egy.mit.vat.cost.res.ecy.4</t>
  </si>
  <si>
    <t>egy.mit.vat.cost.res.ecy.5</t>
  </si>
  <si>
    <t>egy.mit.vat.cost.res.ecy.6</t>
  </si>
  <si>
    <t>mit.rp.ecy.res</t>
  </si>
  <si>
    <t>mit.tgap.res.ecy</t>
  </si>
  <si>
    <t>mit.tgap.ecy.res</t>
  </si>
  <si>
    <t>Tax gap: retail price - efficient price | Residential | Electricity</t>
  </si>
  <si>
    <t>egy.mit.tgap.res.ecy.1</t>
  </si>
  <si>
    <t>egy.mit.tgap.res.ecy.3</t>
  </si>
  <si>
    <t>egy.mit.tgap.res.ecy.4</t>
  </si>
  <si>
    <t>egy.mit.tgap.res.ecy.5</t>
  </si>
  <si>
    <t>egy.mit.tgap.res.ecy.6</t>
  </si>
  <si>
    <t>mit.txo.co2e.res.ecy</t>
  </si>
  <si>
    <t>mit.txo.co2e.ecy.res</t>
  </si>
  <si>
    <t>Excise and other taxes of scenario 1 per tonne of CO2 | Residential | Electricity</t>
  </si>
  <si>
    <t>egy.mit.txo.co2e.res.ecy.1</t>
  </si>
  <si>
    <t>egy.mit.txo.co2e.res.ecy.3</t>
  </si>
  <si>
    <t>egy.mit.txo.co2e.res.ecy.4</t>
  </si>
  <si>
    <t>egy.mit.txo.co2e.res.ecy.5</t>
  </si>
  <si>
    <t>egy.mit.txo.co2e.res.ecy.6</t>
  </si>
  <si>
    <t>mit.pig.res.ecy</t>
  </si>
  <si>
    <t>mit.pig.ecy.res</t>
  </si>
  <si>
    <t>Pigouvian tax: all externalities (reference) | Residential | Electricity</t>
  </si>
  <si>
    <t>egy.mit.pig.res.ecy.1</t>
  </si>
  <si>
    <t>egy.mit.pig.res.ecy.3</t>
  </si>
  <si>
    <t>egy.mit.pig.res.ecy.4</t>
  </si>
  <si>
    <t>egy.mit.pig.res.ecy.5</t>
  </si>
  <si>
    <t>egy.mit.pig.res.ecy.6</t>
  </si>
  <si>
    <t>mit.pig.co2e.res.ecy</t>
  </si>
  <si>
    <t>mit.pig.co2e.ecy.res</t>
  </si>
  <si>
    <t>Pigouvian tax per tonne of CO2 (fuel lines; avg: weighted by the fuel use of the scenario) | Residential | Electricity</t>
  </si>
  <si>
    <t>egy.mit.pig.co2e.res.ecy.1</t>
  </si>
  <si>
    <t>egy.mit.pig.co2e.res.ecy.3</t>
  </si>
  <si>
    <t>egy.mit.pig.co2e.res.ecy.4</t>
  </si>
  <si>
    <t>egy.mit.pig.co2e.res.ecy.5</t>
  </si>
  <si>
    <t>egy.mit.pig.co2e.res.ecy.6</t>
  </si>
  <si>
    <t>mit.pig.co2e.avg</t>
  </si>
  <si>
    <t>mit.pig.co2e.all.all</t>
  </si>
  <si>
    <t xml:space="preserve">Pigouvian tax per tonne of CO2 (fuel lines; avg: weighted by the fuel use of the scenario) |  | </t>
  </si>
  <si>
    <t>egy.mit.pig.co2e.avg.1</t>
  </si>
  <si>
    <t>egy.mit.pig.co2e.avg.3</t>
  </si>
  <si>
    <t>egy.mit.pig.co2e.avg.4</t>
  </si>
  <si>
    <t>egy.mit.pig.co2e.avg.5</t>
  </si>
  <si>
    <t>egy.mit.pig.co2e.avg.6</t>
  </si>
  <si>
    <t>mit.app.all.gso</t>
  </si>
  <si>
    <t>mit.app.gso.all</t>
  </si>
  <si>
    <t>Air-pollution part of the Pigouvian tax per tonne of CO2 | All sectors | Gasoline</t>
  </si>
  <si>
    <t>egy.mit.app.all.gso.1</t>
  </si>
  <si>
    <t>egy.mit.app.all.gso.3</t>
  </si>
  <si>
    <t>egy.mit.app.all.gso.4</t>
  </si>
  <si>
    <t>egy.mit.app.all.gso.5</t>
  </si>
  <si>
    <t>egy.mit.app.all.gso.6</t>
  </si>
  <si>
    <t>mit.app.all.die</t>
  </si>
  <si>
    <t>mit.app.die.all</t>
  </si>
  <si>
    <t>Air-pollution part of the Pigouvian tax per tonne of CO2 | All sectors | Diesel</t>
  </si>
  <si>
    <t>egy.mit.app.all.die.1</t>
  </si>
  <si>
    <t>egy.mit.app.all.die.3</t>
  </si>
  <si>
    <t>egy.mit.app.all.die.4</t>
  </si>
  <si>
    <t>egy.mit.app.all.die.5</t>
  </si>
  <si>
    <t>egy.mit.app.all.die.6</t>
  </si>
  <si>
    <t>mit.app.all.lpg</t>
  </si>
  <si>
    <t>mit.app.lpg.all</t>
  </si>
  <si>
    <t>Air-pollution part of the Pigouvian tax per tonne of CO2 | All sectors | LPG</t>
  </si>
  <si>
    <t>egy.mit.app.all.lpg.1</t>
  </si>
  <si>
    <t>egy.mit.app.all.lpg.3</t>
  </si>
  <si>
    <t>egy.mit.app.all.lpg.4</t>
  </si>
  <si>
    <t>egy.mit.app.all.lpg.5</t>
  </si>
  <si>
    <t>egy.mit.app.all.lpg.6</t>
  </si>
  <si>
    <t>mit.app.all.ker</t>
  </si>
  <si>
    <t>mit.app.ker.all</t>
  </si>
  <si>
    <t>Air-pollution part of the Pigouvian tax per tonne of CO2 | All sectors | Kerosene</t>
  </si>
  <si>
    <t>egy.mit.app.all.ker.1</t>
  </si>
  <si>
    <t>egy.mit.app.all.ker.3</t>
  </si>
  <si>
    <t>egy.mit.app.all.ker.4</t>
  </si>
  <si>
    <t>egy.mit.app.all.ker.5</t>
  </si>
  <si>
    <t>egy.mit.app.all.ker.6</t>
  </si>
  <si>
    <t>mit.app.ind.coa</t>
  </si>
  <si>
    <t>mit.app.coa.ind</t>
  </si>
  <si>
    <t>Air-pollution part of the Pigouvian tax per tonne of CO2 | Industry | Coal</t>
  </si>
  <si>
    <t>egy.mit.app.ind.coa.1</t>
  </si>
  <si>
    <t>egy.mit.app.ind.coa.3</t>
  </si>
  <si>
    <t>egy.mit.app.ind.coa.4</t>
  </si>
  <si>
    <t>egy.mit.app.ind.coa.5</t>
  </si>
  <si>
    <t>egy.mit.app.ind.coa.6</t>
  </si>
  <si>
    <t>mit.app.res.coa</t>
  </si>
  <si>
    <t>mit.app.coa.res</t>
  </si>
  <si>
    <t>Air-pollution part of the Pigouvian tax per tonne of CO2 | Residential | Coal</t>
  </si>
  <si>
    <t>egy.mit.app.res.coa.1</t>
  </si>
  <si>
    <t>egy.mit.app.res.coa.3</t>
  </si>
  <si>
    <t>egy.mit.app.res.coa.4</t>
  </si>
  <si>
    <t>egy.mit.app.res.coa.5</t>
  </si>
  <si>
    <t>egy.mit.app.res.coa.6</t>
  </si>
  <si>
    <t>mit.app.pow.coa</t>
  </si>
  <si>
    <t>mit.app.coa.pow</t>
  </si>
  <si>
    <t>Air-pollution part of the Pigouvian tax per tonne of CO2 | Power | Coal</t>
  </si>
  <si>
    <t>egy.mit.app.pow.coa.1</t>
  </si>
  <si>
    <t>egy.mit.app.pow.coa.3</t>
  </si>
  <si>
    <t>egy.mit.app.pow.coa.4</t>
  </si>
  <si>
    <t>egy.mit.app.pow.coa.5</t>
  </si>
  <si>
    <t>egy.mit.app.pow.coa.6</t>
  </si>
  <si>
    <t>mit.app.ind.nga</t>
  </si>
  <si>
    <t>mit.app.nga.ind</t>
  </si>
  <si>
    <t>Air-pollution part of the Pigouvian tax per tonne of CO2 | Industry | Natural gas</t>
  </si>
  <si>
    <t>egy.mit.app.ind.nga.1</t>
  </si>
  <si>
    <t>egy.mit.app.ind.nga.3</t>
  </si>
  <si>
    <t>egy.mit.app.ind.nga.4</t>
  </si>
  <si>
    <t>egy.mit.app.ind.nga.5</t>
  </si>
  <si>
    <t>egy.mit.app.ind.nga.6</t>
  </si>
  <si>
    <t>mit.app.res.nga</t>
  </si>
  <si>
    <t>mit.app.nga.res</t>
  </si>
  <si>
    <t>Air-pollution part of the Pigouvian tax per tonne of CO2 | Residential | Natural gas</t>
  </si>
  <si>
    <t>egy.mit.app.res.nga.1</t>
  </si>
  <si>
    <t>egy.mit.app.res.nga.3</t>
  </si>
  <si>
    <t>egy.mit.app.res.nga.4</t>
  </si>
  <si>
    <t>egy.mit.app.res.nga.5</t>
  </si>
  <si>
    <t>egy.mit.app.res.nga.6</t>
  </si>
  <si>
    <t>mit.app.pow.nga</t>
  </si>
  <si>
    <t>mit.app.nga.pow</t>
  </si>
  <si>
    <t>Air-pollution part of the Pigouvian tax per tonne of CO2 | Power | Natural gas</t>
  </si>
  <si>
    <t>egy.mit.app.pow.nga.1</t>
  </si>
  <si>
    <t>egy.mit.app.pow.nga.3</t>
  </si>
  <si>
    <t>egy.mit.app.pow.nga.4</t>
  </si>
  <si>
    <t>egy.mit.app.pow.nga.5</t>
  </si>
  <si>
    <t>egy.mit.app.pow.nga.6</t>
  </si>
  <si>
    <t>mit.app.avg</t>
  </si>
  <si>
    <t>mit.app.co2e.all.all</t>
  </si>
  <si>
    <t xml:space="preserve">Air-pollution part of the Pigouvian tax per tonne of CO2 |  | </t>
  </si>
  <si>
    <t>egy.mit.app.avg.1</t>
  </si>
  <si>
    <t>egy.mit.app.avg.3</t>
  </si>
  <si>
    <t>egy.mit.app.avg.4</t>
  </si>
  <si>
    <t>egy.mit.app.avg.5</t>
  </si>
  <si>
    <t>egy.mit.app.avg.6</t>
  </si>
  <si>
    <t>mit.scc.all.glo</t>
  </si>
  <si>
    <t>mit.scc</t>
  </si>
  <si>
    <t xml:space="preserve">Social cost of carbon: target-consistent, Ricke national and global, manual, US EPA; selected national and global | All sectors | </t>
  </si>
  <si>
    <t>egy.mit.scc.all.glo.1</t>
  </si>
  <si>
    <t>egy.mit.scc.all.glo.3</t>
  </si>
  <si>
    <t>egy.mit.scc.all.glo.4</t>
  </si>
  <si>
    <t>egy.mit.scc.all.glo.5</t>
  </si>
  <si>
    <t>egy.mit.scc.all.glo.6</t>
  </si>
  <si>
    <t>Energy consumption</t>
  </si>
  <si>
    <t>mit.ener.con.tot</t>
  </si>
  <si>
    <t>Total Energy consumption, ktoe (baseline)</t>
  </si>
  <si>
    <t>ktoe</t>
  </si>
  <si>
    <t>mit.ener.tot.coa</t>
  </si>
  <si>
    <t>mit.ener.con.coa</t>
  </si>
  <si>
    <t>Fuel use | All sectors | Coal</t>
  </si>
  <si>
    <t>egy.mit.ener.tot.coa.1</t>
  </si>
  <si>
    <t>egy.mit.ener.tot.coa.3</t>
  </si>
  <si>
    <t>egy.mit.ener.tot.coa.4</t>
  </si>
  <si>
    <t>egy.mit.ener.tot.coa.5</t>
  </si>
  <si>
    <t>egy.mit.ener.tot.coa.6</t>
  </si>
  <si>
    <t>mit.ener.tot.nga</t>
  </si>
  <si>
    <t>mit.ener.con.nga</t>
  </si>
  <si>
    <t>Fuel use | All sectors | Natural gas</t>
  </si>
  <si>
    <t>egy.mit.ener.tot.nga.1</t>
  </si>
  <si>
    <t>egy.mit.ener.tot.nga.3</t>
  </si>
  <si>
    <t>egy.mit.ener.tot.nga.4</t>
  </si>
  <si>
    <t>egy.mit.ener.tot.nga.5</t>
  </si>
  <si>
    <t>egy.mit.ener.tot.nga.6</t>
  </si>
  <si>
    <t>mit.ener.tot.oop</t>
  </si>
  <si>
    <t>mit.ener.con.oop</t>
  </si>
  <si>
    <t>Fuel use | All sectors | Other oil products</t>
  </si>
  <si>
    <t>egy.mit.ener.tot.oop.1</t>
  </si>
  <si>
    <t>egy.mit.ener.tot.oop.3</t>
  </si>
  <si>
    <t>egy.mit.ener.tot.oop.4</t>
  </si>
  <si>
    <t>egy.mit.ener.tot.oop.5</t>
  </si>
  <si>
    <t>egy.mit.ener.tot.oop.6</t>
  </si>
  <si>
    <t>mit.ener.tot.gso</t>
  </si>
  <si>
    <t>mit.ener.con.gso</t>
  </si>
  <si>
    <t>Fuel use | All sectors | Gasoline</t>
  </si>
  <si>
    <t>egy.mit.ener.tot.gso.1</t>
  </si>
  <si>
    <t>egy.mit.ener.tot.gso.3</t>
  </si>
  <si>
    <t>egy.mit.ener.tot.gso.4</t>
  </si>
  <si>
    <t>egy.mit.ener.tot.gso.5</t>
  </si>
  <si>
    <t>egy.mit.ener.tot.gso.6</t>
  </si>
  <si>
    <t>mit.ener.tot.die</t>
  </si>
  <si>
    <t>mit.ener.con.die</t>
  </si>
  <si>
    <t>Fuel use | All sectors | Diesel</t>
  </si>
  <si>
    <t>egy.mit.ener.tot.die.1</t>
  </si>
  <si>
    <t>egy.mit.ener.tot.die.3</t>
  </si>
  <si>
    <t>egy.mit.ener.tot.die.4</t>
  </si>
  <si>
    <t>egy.mit.ener.tot.die.5</t>
  </si>
  <si>
    <t>egy.mit.ener.tot.die.6</t>
  </si>
  <si>
    <t>mit.ener.tot.lpg</t>
  </si>
  <si>
    <t>mit.ener.con.lpg</t>
  </si>
  <si>
    <t>Fuel use | All sectors | LPG</t>
  </si>
  <si>
    <t>egy.mit.ener.tot.lpg.1</t>
  </si>
  <si>
    <t>egy.mit.ener.tot.lpg.3</t>
  </si>
  <si>
    <t>egy.mit.ener.tot.lpg.4</t>
  </si>
  <si>
    <t>egy.mit.ener.tot.lpg.5</t>
  </si>
  <si>
    <t>egy.mit.ener.tot.lpg.6</t>
  </si>
  <si>
    <t>mit.ener.tot.ker</t>
  </si>
  <si>
    <t>mit.ener.con.ker</t>
  </si>
  <si>
    <t>Fuel use | All sectors | Kerosene</t>
  </si>
  <si>
    <t>egy.mit.ener.tot.ker.1</t>
  </si>
  <si>
    <t>egy.mit.ener.tot.ker.3</t>
  </si>
  <si>
    <t>egy.mit.ener.tot.ker.4</t>
  </si>
  <si>
    <t>egy.mit.ener.tot.ker.5</t>
  </si>
  <si>
    <t>egy.mit.ener.tot.ker.6</t>
  </si>
  <si>
    <t>mit.pe.pow.nuc</t>
  </si>
  <si>
    <t>mit.ener.con.nuc</t>
  </si>
  <si>
    <t>Fuel use (primary energy) of power generation | Power | Nuclear</t>
  </si>
  <si>
    <t>egy.mit.pe.pow.nuc.1</t>
  </si>
  <si>
    <t>egy.mit.pe.pow.nuc.3</t>
  </si>
  <si>
    <t>egy.mit.pe.pow.nuc.4</t>
  </si>
  <si>
    <t>egy.mit.pe.pow.nuc.5</t>
  </si>
  <si>
    <t>egy.mit.pe.pow.nuc.6</t>
  </si>
  <si>
    <t>mit.ener.con.rnw</t>
  </si>
  <si>
    <t>Energy consumption - Non-biomass renewable final electricity (baseline)</t>
  </si>
  <si>
    <t>mit.ener.tot.bio</t>
  </si>
  <si>
    <t>mit.ener.con.bio</t>
  </si>
  <si>
    <t>Fuel use | All sectors | Biomass</t>
  </si>
  <si>
    <t>egy.mit.ener.tot.bio.1</t>
  </si>
  <si>
    <t>egy.mit.ener.tot.bio.3</t>
  </si>
  <si>
    <t>egy.mit.ener.tot.bio.4</t>
  </si>
  <si>
    <t>egy.mit.ener.tot.bio.5</t>
  </si>
  <si>
    <t>egy.mit.ener.tot.bio.6</t>
  </si>
  <si>
    <t>mit.pe.pow.coa</t>
  </si>
  <si>
    <t>mit.ener.coa.pow</t>
  </si>
  <si>
    <t>Fuel use (primary energy) of power generation | Power | Coal</t>
  </si>
  <si>
    <t>egy.mit.pe.pow.coa.1</t>
  </si>
  <si>
    <t>egy.mit.pe.pow.coa.3</t>
  </si>
  <si>
    <t>egy.mit.pe.pow.coa.4</t>
  </si>
  <si>
    <t>egy.mit.pe.pow.coa.5</t>
  </si>
  <si>
    <t>egy.mit.pe.pow.coa.6</t>
  </si>
  <si>
    <t>mit.fuq.tra.coa</t>
  </si>
  <si>
    <t>mit.ener.coa.tra</t>
  </si>
  <si>
    <t>Fuel use by sector group (weights of the costs per unit) | Transport | Coal</t>
  </si>
  <si>
    <t>egy.mit.fuq.tra.coa.1</t>
  </si>
  <si>
    <t>egy.mit.fuq.tra.coa.3</t>
  </si>
  <si>
    <t>egy.mit.fuq.tra.coa.4</t>
  </si>
  <si>
    <t>egy.mit.fuq.tra.coa.5</t>
  </si>
  <si>
    <t>egy.mit.fuq.tra.coa.6</t>
  </si>
  <si>
    <t>mit.fuq.bld.coa</t>
  </si>
  <si>
    <t>mit.ener.coa.res</t>
  </si>
  <si>
    <t>Fuel use by sector group (weights of the costs per unit) | Buildings | Coal</t>
  </si>
  <si>
    <t>egy.mit.fuq.bld.coa.1</t>
  </si>
  <si>
    <t>egy.mit.fuq.bld.coa.3</t>
  </si>
  <si>
    <t>egy.mit.fuq.bld.coa.4</t>
  </si>
  <si>
    <t>egy.mit.fuq.bld.coa.5</t>
  </si>
  <si>
    <t>egy.mit.fuq.bld.coa.6</t>
  </si>
  <si>
    <t>mit.fuq.ind.coa</t>
  </si>
  <si>
    <t>mit.ener.coa.ind</t>
  </si>
  <si>
    <t>Fuel use by sector group (weights of the costs per unit) | Industry | Coal</t>
  </si>
  <si>
    <t>egy.mit.fuq.ind.coa.1</t>
  </si>
  <si>
    <t>egy.mit.fuq.ind.coa.3</t>
  </si>
  <si>
    <t>egy.mit.fuq.ind.coa.4</t>
  </si>
  <si>
    <t>egy.mit.fuq.ind.coa.5</t>
  </si>
  <si>
    <t>egy.mit.fuq.ind.coa.6</t>
  </si>
  <si>
    <t>mit.ener.oen.coa</t>
  </si>
  <si>
    <t>mit.ener.coa.oen</t>
  </si>
  <si>
    <t>Fuel use | Other energy use | Coal</t>
  </si>
  <si>
    <t>egy.mit.ener.oen.coa.1</t>
  </si>
  <si>
    <t>egy.mit.ener.oen.coa.3</t>
  </si>
  <si>
    <t>egy.mit.ener.oen.coa.4</t>
  </si>
  <si>
    <t>egy.mit.ener.oen.coa.5</t>
  </si>
  <si>
    <t>egy.mit.ener.oen.coa.6</t>
  </si>
  <si>
    <t>mit.pe.pow.nga</t>
  </si>
  <si>
    <t>mit.ener.nga.pow</t>
  </si>
  <si>
    <t>Fuel use (primary energy) of power generation | Power | Natural gas</t>
  </si>
  <si>
    <t>egy.mit.pe.pow.nga.1</t>
  </si>
  <si>
    <t>egy.mit.pe.pow.nga.3</t>
  </si>
  <si>
    <t>egy.mit.pe.pow.nga.4</t>
  </si>
  <si>
    <t>egy.mit.pe.pow.nga.5</t>
  </si>
  <si>
    <t>egy.mit.pe.pow.nga.6</t>
  </si>
  <si>
    <t>mit.fuq.tra.nga</t>
  </si>
  <si>
    <t>mit.ener.nga.tra</t>
  </si>
  <si>
    <t>Fuel use by sector group (weights of the costs per unit) | Transport | Natural gas</t>
  </si>
  <si>
    <t>egy.mit.fuq.tra.nga.1</t>
  </si>
  <si>
    <t>egy.mit.fuq.tra.nga.3</t>
  </si>
  <si>
    <t>egy.mit.fuq.tra.nga.4</t>
  </si>
  <si>
    <t>egy.mit.fuq.tra.nga.5</t>
  </si>
  <si>
    <t>egy.mit.fuq.tra.nga.6</t>
  </si>
  <si>
    <t>mit.fuq.bld.nga</t>
  </si>
  <si>
    <t>mit.ener.nga.res</t>
  </si>
  <si>
    <t>Fuel use by sector group (weights of the costs per unit) | Buildings | Natural gas</t>
  </si>
  <si>
    <t>egy.mit.fuq.bld.nga.1</t>
  </si>
  <si>
    <t>egy.mit.fuq.bld.nga.3</t>
  </si>
  <si>
    <t>egy.mit.fuq.bld.nga.4</t>
  </si>
  <si>
    <t>egy.mit.fuq.bld.nga.5</t>
  </si>
  <si>
    <t>egy.mit.fuq.bld.nga.6</t>
  </si>
  <si>
    <t>mit.fuq.ind.nga</t>
  </si>
  <si>
    <t>mit.ener.nga.ind</t>
  </si>
  <si>
    <t>Fuel use by sector group (weights of the costs per unit) | Industry | Natural gas</t>
  </si>
  <si>
    <t>egy.mit.fuq.ind.nga.1</t>
  </si>
  <si>
    <t>egy.mit.fuq.ind.nga.3</t>
  </si>
  <si>
    <t>egy.mit.fuq.ind.nga.4</t>
  </si>
  <si>
    <t>egy.mit.fuq.ind.nga.5</t>
  </si>
  <si>
    <t>egy.mit.fuq.ind.nga.6</t>
  </si>
  <si>
    <t>mit.ener.oen.nga</t>
  </si>
  <si>
    <t>mit.ener.nga.oen</t>
  </si>
  <si>
    <t>Fuel use | Other energy use | Natural gas</t>
  </si>
  <si>
    <t>egy.mit.ener.oen.nga.1</t>
  </si>
  <si>
    <t>egy.mit.ener.oen.nga.3</t>
  </si>
  <si>
    <t>egy.mit.ener.oen.nga.4</t>
  </si>
  <si>
    <t>egy.mit.ener.oen.nga.5</t>
  </si>
  <si>
    <t>egy.mit.ener.oen.nga.6</t>
  </si>
  <si>
    <t>mit.ener.gso.pow</t>
  </si>
  <si>
    <t>Gasoline consumption: Power sector (baseline)</t>
  </si>
  <si>
    <t>mit.fuq.tra.gso</t>
  </si>
  <si>
    <t>mit.ener.gso.tra</t>
  </si>
  <si>
    <t>Fuel use by sector group (weights of the costs per unit) | Transport | Gasoline</t>
  </si>
  <si>
    <t>egy.mit.fuq.tra.gso.1</t>
  </si>
  <si>
    <t>egy.mit.fuq.tra.gso.3</t>
  </si>
  <si>
    <t>egy.mit.fuq.tra.gso.4</t>
  </si>
  <si>
    <t>egy.mit.fuq.tra.gso.5</t>
  </si>
  <si>
    <t>egy.mit.fuq.tra.gso.6</t>
  </si>
  <si>
    <t>mit.fuq.bld.gso</t>
  </si>
  <si>
    <t>mit.ener.gso.res</t>
  </si>
  <si>
    <t>Fuel use by sector group (weights of the costs per unit) | Buildings | Gasoline</t>
  </si>
  <si>
    <t>egy.mit.fuq.bld.gso.1</t>
  </si>
  <si>
    <t>egy.mit.fuq.bld.gso.3</t>
  </si>
  <si>
    <t>egy.mit.fuq.bld.gso.4</t>
  </si>
  <si>
    <t>egy.mit.fuq.bld.gso.5</t>
  </si>
  <si>
    <t>egy.mit.fuq.bld.gso.6</t>
  </si>
  <si>
    <t>mit.fuq.ind.gso</t>
  </si>
  <si>
    <t>mit.ener.gso.ind</t>
  </si>
  <si>
    <t>Fuel use by sector group (weights of the costs per unit) | Industry | Gasoline</t>
  </si>
  <si>
    <t>egy.mit.fuq.ind.gso.1</t>
  </si>
  <si>
    <t>egy.mit.fuq.ind.gso.3</t>
  </si>
  <si>
    <t>egy.mit.fuq.ind.gso.4</t>
  </si>
  <si>
    <t>egy.mit.fuq.ind.gso.5</t>
  </si>
  <si>
    <t>egy.mit.fuq.ind.gso.6</t>
  </si>
  <si>
    <t>mit.ener.oen.gso</t>
  </si>
  <si>
    <t>mit.ener.gso.oen</t>
  </si>
  <si>
    <t>Fuel use | Other energy use | Gasoline</t>
  </si>
  <si>
    <t>egy.mit.ener.oen.gso.1</t>
  </si>
  <si>
    <t>egy.mit.ener.oen.gso.3</t>
  </si>
  <si>
    <t>egy.mit.ener.oen.gso.4</t>
  </si>
  <si>
    <t>egy.mit.ener.oen.gso.5</t>
  </si>
  <si>
    <t>egy.mit.ener.oen.gso.6</t>
  </si>
  <si>
    <t>mit.ener.die.pow</t>
  </si>
  <si>
    <t>Diesel consumption: Power sector (baseline)</t>
  </si>
  <si>
    <t>mit.fuq.tra.die</t>
  </si>
  <si>
    <t>mit.ener.die.tra</t>
  </si>
  <si>
    <t>Fuel use by sector group (weights of the costs per unit) | Transport | Diesel</t>
  </si>
  <si>
    <t>egy.mit.fuq.tra.die.1</t>
  </si>
  <si>
    <t>egy.mit.fuq.tra.die.3</t>
  </si>
  <si>
    <t>egy.mit.fuq.tra.die.4</t>
  </si>
  <si>
    <t>egy.mit.fuq.tra.die.5</t>
  </si>
  <si>
    <t>egy.mit.fuq.tra.die.6</t>
  </si>
  <si>
    <t>mit.fuq.bld.die</t>
  </si>
  <si>
    <t>mit.ener.die.res</t>
  </si>
  <si>
    <t>Fuel use by sector group (weights of the costs per unit) | Buildings | Diesel</t>
  </si>
  <si>
    <t>egy.mit.fuq.bld.die.1</t>
  </si>
  <si>
    <t>egy.mit.fuq.bld.die.3</t>
  </si>
  <si>
    <t>egy.mit.fuq.bld.die.4</t>
  </si>
  <si>
    <t>egy.mit.fuq.bld.die.5</t>
  </si>
  <si>
    <t>egy.mit.fuq.bld.die.6</t>
  </si>
  <si>
    <t>mit.fuq.ind.die</t>
  </si>
  <si>
    <t>mit.ener.die.ind</t>
  </si>
  <si>
    <t>Fuel use by sector group (weights of the costs per unit) | Industry | Diesel</t>
  </si>
  <si>
    <t>egy.mit.fuq.ind.die.1</t>
  </si>
  <si>
    <t>egy.mit.fuq.ind.die.3</t>
  </si>
  <si>
    <t>egy.mit.fuq.ind.die.4</t>
  </si>
  <si>
    <t>egy.mit.fuq.ind.die.5</t>
  </si>
  <si>
    <t>egy.mit.fuq.ind.die.6</t>
  </si>
  <si>
    <t>mit.ener.oen.die</t>
  </si>
  <si>
    <t>mit.ener.die.oen</t>
  </si>
  <si>
    <t>Fuel use | Other energy use | Diesel</t>
  </si>
  <si>
    <t>egy.mit.ener.oen.die.1</t>
  </si>
  <si>
    <t>egy.mit.ener.oen.die.3</t>
  </si>
  <si>
    <t>egy.mit.ener.oen.die.4</t>
  </si>
  <si>
    <t>egy.mit.ener.oen.die.5</t>
  </si>
  <si>
    <t>egy.mit.ener.oen.die.6</t>
  </si>
  <si>
    <t>mit.ener.lpg.pow</t>
  </si>
  <si>
    <t>LPG consumption: Power sector (baseline)</t>
  </si>
  <si>
    <t>mit.fuq.tra.lpg</t>
  </si>
  <si>
    <t>mit.ener.lpg.tra</t>
  </si>
  <si>
    <t>Fuel use by sector group (weights of the costs per unit) | Transport | LPG</t>
  </si>
  <si>
    <t>egy.mit.fuq.tra.lpg.1</t>
  </si>
  <si>
    <t>egy.mit.fuq.tra.lpg.3</t>
  </si>
  <si>
    <t>egy.mit.fuq.tra.lpg.4</t>
  </si>
  <si>
    <t>egy.mit.fuq.tra.lpg.5</t>
  </si>
  <si>
    <t>egy.mit.fuq.tra.lpg.6</t>
  </si>
  <si>
    <t>mit.fuq.bld.lpg</t>
  </si>
  <si>
    <t>mit.ener.lpg.res</t>
  </si>
  <si>
    <t>Fuel use by sector group (weights of the costs per unit) | Buildings | LPG</t>
  </si>
  <si>
    <t>egy.mit.fuq.bld.lpg.1</t>
  </si>
  <si>
    <t>egy.mit.fuq.bld.lpg.3</t>
  </si>
  <si>
    <t>egy.mit.fuq.bld.lpg.4</t>
  </si>
  <si>
    <t>egy.mit.fuq.bld.lpg.5</t>
  </si>
  <si>
    <t>egy.mit.fuq.bld.lpg.6</t>
  </si>
  <si>
    <t>mit.fuq.ind.lpg</t>
  </si>
  <si>
    <t>mit.ener.lpg.ind</t>
  </si>
  <si>
    <t>Fuel use by sector group (weights of the costs per unit) | Industry | LPG</t>
  </si>
  <si>
    <t>egy.mit.fuq.ind.lpg.1</t>
  </si>
  <si>
    <t>egy.mit.fuq.ind.lpg.3</t>
  </si>
  <si>
    <t>egy.mit.fuq.ind.lpg.4</t>
  </si>
  <si>
    <t>egy.mit.fuq.ind.lpg.5</t>
  </si>
  <si>
    <t>egy.mit.fuq.ind.lpg.6</t>
  </si>
  <si>
    <t>mit.ener.oen.lpg</t>
  </si>
  <si>
    <t>mit.ener.lpg.oen</t>
  </si>
  <si>
    <t>Fuel use | Other energy use | LPG</t>
  </si>
  <si>
    <t>egy.mit.ener.oen.lpg.1</t>
  </si>
  <si>
    <t>egy.mit.ener.oen.lpg.3</t>
  </si>
  <si>
    <t>egy.mit.ener.oen.lpg.4</t>
  </si>
  <si>
    <t>egy.mit.ener.oen.lpg.5</t>
  </si>
  <si>
    <t>egy.mit.ener.oen.lpg.6</t>
  </si>
  <si>
    <t>mit.ener.ker.pow</t>
  </si>
  <si>
    <t>Kerosene and jet fuel consumption: Power sector (baseline)</t>
  </si>
  <si>
    <t>mit.fuq.tra.ker</t>
  </si>
  <si>
    <t>mit.ener.ker.tra</t>
  </si>
  <si>
    <t>Fuel use by sector group (weights of the costs per unit) | Transport | Kerosene</t>
  </si>
  <si>
    <t>egy.mit.fuq.tra.ker.1</t>
  </si>
  <si>
    <t>egy.mit.fuq.tra.ker.3</t>
  </si>
  <si>
    <t>egy.mit.fuq.tra.ker.4</t>
  </si>
  <si>
    <t>egy.mit.fuq.tra.ker.5</t>
  </si>
  <si>
    <t>egy.mit.fuq.tra.ker.6</t>
  </si>
  <si>
    <t>mit.fuq.bld.ker</t>
  </si>
  <si>
    <t>mit.ener.ker.res</t>
  </si>
  <si>
    <t>Fuel use by sector group (weights of the costs per unit) | Buildings | Kerosene</t>
  </si>
  <si>
    <t>egy.mit.fuq.bld.ker.1</t>
  </si>
  <si>
    <t>egy.mit.fuq.bld.ker.3</t>
  </si>
  <si>
    <t>egy.mit.fuq.bld.ker.4</t>
  </si>
  <si>
    <t>egy.mit.fuq.bld.ker.5</t>
  </si>
  <si>
    <t>egy.mit.fuq.bld.ker.6</t>
  </si>
  <si>
    <t>mit.fuq.ind.ker</t>
  </si>
  <si>
    <t>mit.ener.ker.ind</t>
  </si>
  <si>
    <t>Fuel use by sector group (weights of the costs per unit) | Industry | Kerosene</t>
  </si>
  <si>
    <t>egy.mit.fuq.ind.ker.1</t>
  </si>
  <si>
    <t>egy.mit.fuq.ind.ker.3</t>
  </si>
  <si>
    <t>egy.mit.fuq.ind.ker.4</t>
  </si>
  <si>
    <t>egy.mit.fuq.ind.ker.5</t>
  </si>
  <si>
    <t>egy.mit.fuq.ind.ker.6</t>
  </si>
  <si>
    <t>mit.ener.oen.ker</t>
  </si>
  <si>
    <t>mit.ener.ker.oen</t>
  </si>
  <si>
    <t>Fuel use | Other energy use | Kerosene</t>
  </si>
  <si>
    <t>egy.mit.ener.oen.ker.1</t>
  </si>
  <si>
    <t>egy.mit.ener.oen.ker.3</t>
  </si>
  <si>
    <t>egy.mit.ener.oen.ker.4</t>
  </si>
  <si>
    <t>egy.mit.ener.oen.ker.5</t>
  </si>
  <si>
    <t>egy.mit.ener.oen.ker.6</t>
  </si>
  <si>
    <t>mit.pe.pow.oop</t>
  </si>
  <si>
    <t>mit.ener.oop.pow</t>
  </si>
  <si>
    <t>Fuel use (primary energy) of power generation | Power | Other oil products</t>
  </si>
  <si>
    <t>egy.mit.pe.pow.oop.1</t>
  </si>
  <si>
    <t>egy.mit.pe.pow.oop.3</t>
  </si>
  <si>
    <t>egy.mit.pe.pow.oop.4</t>
  </si>
  <si>
    <t>egy.mit.pe.pow.oop.5</t>
  </si>
  <si>
    <t>egy.mit.pe.pow.oop.6</t>
  </si>
  <si>
    <t>mit.fuq.tra.oop</t>
  </si>
  <si>
    <t>mit.ener.oop.tra</t>
  </si>
  <si>
    <t>Fuel use by sector group (weights of the costs per unit) | Transport | Other oil products</t>
  </si>
  <si>
    <t>egy.mit.fuq.tra.oop.1</t>
  </si>
  <si>
    <t>egy.mit.fuq.tra.oop.3</t>
  </si>
  <si>
    <t>egy.mit.fuq.tra.oop.4</t>
  </si>
  <si>
    <t>egy.mit.fuq.tra.oop.5</t>
  </si>
  <si>
    <t>egy.mit.fuq.tra.oop.6</t>
  </si>
  <si>
    <t>mit.fuq.bld.oop</t>
  </si>
  <si>
    <t>mit.ener.oop.res</t>
  </si>
  <si>
    <t>Fuel use by sector group (weights of the costs per unit) | Buildings | Other oil products</t>
  </si>
  <si>
    <t>egy.mit.fuq.bld.oop.1</t>
  </si>
  <si>
    <t>egy.mit.fuq.bld.oop.3</t>
  </si>
  <si>
    <t>egy.mit.fuq.bld.oop.4</t>
  </si>
  <si>
    <t>egy.mit.fuq.bld.oop.5</t>
  </si>
  <si>
    <t>egy.mit.fuq.bld.oop.6</t>
  </si>
  <si>
    <t>mit.fuq.ind.oop</t>
  </si>
  <si>
    <t>mit.ener.oop.ind</t>
  </si>
  <si>
    <t>Fuel use by sector group (weights of the costs per unit) | Industry | Other oil products</t>
  </si>
  <si>
    <t>egy.mit.fuq.ind.oop.1</t>
  </si>
  <si>
    <t>egy.mit.fuq.ind.oop.3</t>
  </si>
  <si>
    <t>egy.mit.fuq.ind.oop.4</t>
  </si>
  <si>
    <t>egy.mit.fuq.ind.oop.5</t>
  </si>
  <si>
    <t>egy.mit.fuq.ind.oop.6</t>
  </si>
  <si>
    <t>mit.ener.oen.oop</t>
  </si>
  <si>
    <t>mit.ener.oop.oen</t>
  </si>
  <si>
    <t>Fuel use | Other energy use | Other oil products</t>
  </si>
  <si>
    <t>egy.mit.ener.oen.oop.1</t>
  </si>
  <si>
    <t>egy.mit.ener.oen.oop.3</t>
  </si>
  <si>
    <t>egy.mit.ener.oen.oop.4</t>
  </si>
  <si>
    <t>egy.mit.ener.oen.oop.5</t>
  </si>
  <si>
    <t>egy.mit.ener.oen.oop.6</t>
  </si>
  <si>
    <t>mit.ener.tot.tot</t>
  </si>
  <si>
    <t>Total fossil fuel energy consumption (baseline)</t>
  </si>
  <si>
    <t>mit.pe.pow.bio</t>
  </si>
  <si>
    <t>mit.ener.bio.pow</t>
  </si>
  <si>
    <t>Fuel use (primary energy) of power generation | Power | Biomass</t>
  </si>
  <si>
    <t>egy.mit.pe.pow.bio.1</t>
  </si>
  <si>
    <t>egy.mit.pe.pow.bio.3</t>
  </si>
  <si>
    <t>egy.mit.pe.pow.bio.4</t>
  </si>
  <si>
    <t>egy.mit.pe.pow.bio.5</t>
  </si>
  <si>
    <t>egy.mit.pe.pow.bio.6</t>
  </si>
  <si>
    <t>mit.ener.bio.tra</t>
  </si>
  <si>
    <t>Biomass consumption: Transport (baseline)</t>
  </si>
  <si>
    <t>mit.ener.bio.res</t>
  </si>
  <si>
    <t>Biomass consumption: Buildings (baseline)</t>
  </si>
  <si>
    <t>mit.ener.bio.ind</t>
  </si>
  <si>
    <t>Biomass consumption: Industry (baseline)</t>
  </si>
  <si>
    <t>mit.ener.oen.bio</t>
  </si>
  <si>
    <t>mit.ener.bio.oen</t>
  </si>
  <si>
    <t>Fuel use | Other energy use | Biomass</t>
  </si>
  <si>
    <t>egy.mit.ener.oen.bio.1</t>
  </si>
  <si>
    <t>egy.mit.ener.oen.bio.3</t>
  </si>
  <si>
    <t>egy.mit.ener.oen.bio.4</t>
  </si>
  <si>
    <t>egy.mit.ener.oen.bio.5</t>
  </si>
  <si>
    <t>egy.mit.ener.oen.bio.6</t>
  </si>
  <si>
    <t>Total energy consumption (baseline)</t>
  </si>
  <si>
    <t>mit.ener.con.nrn</t>
  </si>
  <si>
    <t>Total consumption by fuel type: Nuclear &amp; renewables (baseline)</t>
  </si>
  <si>
    <t>Total consumption by fuel type: Nuclear and renewables (policy)</t>
  </si>
  <si>
    <t>mit.gen_mwy.pow.tot</t>
  </si>
  <si>
    <t>mit.elec.twh.tot</t>
  </si>
  <si>
    <t>Generation, total</t>
  </si>
  <si>
    <t>MWy</t>
  </si>
  <si>
    <t>egy.mit.gen_mwy.pow.tot.1</t>
  </si>
  <si>
    <t>egy.mit.gen_mwy.pow.tot.3</t>
  </si>
  <si>
    <t>egy.mit.gen_mwy.pow.tot.4</t>
  </si>
  <si>
    <t>egy.mit.gen_mwy.pow.tot.5</t>
  </si>
  <si>
    <t>egy.mit.gen_mwy.pow.tot.6</t>
  </si>
  <si>
    <t>mit.gen_mwy.pow.coa</t>
  </si>
  <si>
    <t>mit.elec.twh.coa</t>
  </si>
  <si>
    <t>Generation | Power | Coal</t>
  </si>
  <si>
    <t>egy.mit.gen_mwy.pow.coa.1</t>
  </si>
  <si>
    <t>egy.mit.gen_mwy.pow.coa.3</t>
  </si>
  <si>
    <t>egy.mit.gen_mwy.pow.coa.4</t>
  </si>
  <si>
    <t>egy.mit.gen_mwy.pow.coa.5</t>
  </si>
  <si>
    <t>egy.mit.gen_mwy.pow.coa.6</t>
  </si>
  <si>
    <t>mit.gen_mwy.pow.nga</t>
  </si>
  <si>
    <t>mit.elec.twh.nga</t>
  </si>
  <si>
    <t>Generation | Power | Natural gas</t>
  </si>
  <si>
    <t>egy.mit.gen_mwy.pow.nga.1</t>
  </si>
  <si>
    <t>egy.mit.gen_mwy.pow.nga.3</t>
  </si>
  <si>
    <t>egy.mit.gen_mwy.pow.nga.4</t>
  </si>
  <si>
    <t>egy.mit.gen_mwy.pow.nga.5</t>
  </si>
  <si>
    <t>egy.mit.gen_mwy.pow.nga.6</t>
  </si>
  <si>
    <t>mit.gen_mwy.pow.oop</t>
  </si>
  <si>
    <t>mit.elec.twh.oop</t>
  </si>
  <si>
    <t>Generation | Power | Other oil products</t>
  </si>
  <si>
    <t>egy.mit.gen_mwy.pow.oop.1</t>
  </si>
  <si>
    <t>egy.mit.gen_mwy.pow.oop.3</t>
  </si>
  <si>
    <t>egy.mit.gen_mwy.pow.oop.4</t>
  </si>
  <si>
    <t>egy.mit.gen_mwy.pow.oop.5</t>
  </si>
  <si>
    <t>egy.mit.gen_mwy.pow.oop.6</t>
  </si>
  <si>
    <t>mit.gen_mwy.pow.nuc</t>
  </si>
  <si>
    <t>mit.elec.twh.nuc</t>
  </si>
  <si>
    <t>Generation | Power | Nuclear</t>
  </si>
  <si>
    <t>egy.mit.gen_mwy.pow.nuc.1</t>
  </si>
  <si>
    <t>egy.mit.gen_mwy.pow.nuc.3</t>
  </si>
  <si>
    <t>egy.mit.gen_mwy.pow.nuc.4</t>
  </si>
  <si>
    <t>egy.mit.gen_mwy.pow.nuc.5</t>
  </si>
  <si>
    <t>egy.mit.gen_mwy.pow.nuc.6</t>
  </si>
  <si>
    <t>mit.gen_mwy.pow.wnd</t>
  </si>
  <si>
    <t>mit.elec.twh.wnd</t>
  </si>
  <si>
    <t>Generation | Power | Wind</t>
  </si>
  <si>
    <t>egy.mit.gen_mwy.pow.wnd.1</t>
  </si>
  <si>
    <t>egy.mit.gen_mwy.pow.wnd.3</t>
  </si>
  <si>
    <t>egy.mit.gen_mwy.pow.wnd.4</t>
  </si>
  <si>
    <t>egy.mit.gen_mwy.pow.wnd.5</t>
  </si>
  <si>
    <t>egy.mit.gen_mwy.pow.wnd.6</t>
  </si>
  <si>
    <t>mit.gen_mwy.pow.sol</t>
  </si>
  <si>
    <t>mit.elec.twh.sol</t>
  </si>
  <si>
    <t>Generation | Power | Solar</t>
  </si>
  <si>
    <t>egy.mit.gen_mwy.pow.sol.1</t>
  </si>
  <si>
    <t>egy.mit.gen_mwy.pow.sol.3</t>
  </si>
  <si>
    <t>egy.mit.gen_mwy.pow.sol.4</t>
  </si>
  <si>
    <t>egy.mit.gen_mwy.pow.sol.5</t>
  </si>
  <si>
    <t>egy.mit.gen_mwy.pow.sol.6</t>
  </si>
  <si>
    <t>mit.gen_mwy.pow.hyd</t>
  </si>
  <si>
    <t>mit.elec.twh.hyd</t>
  </si>
  <si>
    <t>Generation | Power | Hydro</t>
  </si>
  <si>
    <t>egy.mit.gen_mwy.pow.hyd.1</t>
  </si>
  <si>
    <t>egy.mit.gen_mwy.pow.hyd.3</t>
  </si>
  <si>
    <t>egy.mit.gen_mwy.pow.hyd.4</t>
  </si>
  <si>
    <t>egy.mit.gen_mwy.pow.hyd.5</t>
  </si>
  <si>
    <t>egy.mit.gen_mwy.pow.hyd.6</t>
  </si>
  <si>
    <t>mit.gen_mwy.pow.ore</t>
  </si>
  <si>
    <t>mit.elec.twh.ore</t>
  </si>
  <si>
    <t>Generation | Power | Other renewables</t>
  </si>
  <si>
    <t>egy.mit.gen_mwy.pow.ore.1</t>
  </si>
  <si>
    <t>egy.mit.gen_mwy.pow.ore.3</t>
  </si>
  <si>
    <t>egy.mit.gen_mwy.pow.ore.4</t>
  </si>
  <si>
    <t>egy.mit.gen_mwy.pow.ore.5</t>
  </si>
  <si>
    <t>egy.mit.gen_mwy.pow.ore.6</t>
  </si>
  <si>
    <t>mit.gen_mwy.pow.bio</t>
  </si>
  <si>
    <t>mit.elec.twh.bio</t>
  </si>
  <si>
    <t>Generation | Power | Biomass</t>
  </si>
  <si>
    <t>egy.mit.gen_mwy.pow.bio.1</t>
  </si>
  <si>
    <t>egy.mit.gen_mwy.pow.bio.3</t>
  </si>
  <si>
    <t>egy.mit.gen_mwy.pow.bio.4</t>
  </si>
  <si>
    <t>egy.mit.gen_mwy.pow.bio.5</t>
  </si>
  <si>
    <t>egy.mit.gen_mwy.pow.bio.6</t>
  </si>
  <si>
    <t>mit.elec.twh.ren</t>
  </si>
  <si>
    <t>Electricity generation from decentralized renewables, baseline (TWh)</t>
  </si>
  <si>
    <t>twh</t>
  </si>
  <si>
    <t>Disaggregated energy consumption (Policy)</t>
  </si>
  <si>
    <t>mit.ener.tra.tot</t>
  </si>
  <si>
    <t>mit.ener.rod.nga.pass.e</t>
  </si>
  <si>
    <t>Fuel use | Transport | All fuels</t>
  </si>
  <si>
    <t>egy.mit.ener.tra.tot.1</t>
  </si>
  <si>
    <t>egy.mit.ener.tra.tot.3</t>
  </si>
  <si>
    <t>egy.mit.ener.tra.tot.4</t>
  </si>
  <si>
    <t>egy.mit.ener.tra.tot.5</t>
  </si>
  <si>
    <t>egy.mit.ener.tra.tot.6</t>
  </si>
  <si>
    <t>mit.ener.rod.coa</t>
  </si>
  <si>
    <t>mit.tot.rod.nga.e</t>
  </si>
  <si>
    <t>Fuel use | Road | Coal</t>
  </si>
  <si>
    <t>egy.mit.ener.rod.coa.1</t>
  </si>
  <si>
    <t>egy.mit.ener.rod.coa.3</t>
  </si>
  <si>
    <t>egy.mit.ener.rod.coa.4</t>
  </si>
  <si>
    <t>egy.mit.ener.rod.coa.5</t>
  </si>
  <si>
    <t>egy.mit.ener.rod.coa.6</t>
  </si>
  <si>
    <t>mit.ener.rod.nga</t>
  </si>
  <si>
    <t>Fuel use | Road | Natural gas</t>
  </si>
  <si>
    <t>egy.mit.ener.rod.nga.1</t>
  </si>
  <si>
    <t>egy.mit.ener.rod.nga.3</t>
  </si>
  <si>
    <t>egy.mit.ener.rod.nga.4</t>
  </si>
  <si>
    <t>egy.mit.ener.rod.nga.5</t>
  </si>
  <si>
    <t>egy.mit.ener.rod.nga.6</t>
  </si>
  <si>
    <t>mit.ener.rod.gso</t>
  </si>
  <si>
    <t>Fuel use | Road | Gasoline</t>
  </si>
  <si>
    <t>egy.mit.ener.rod.gso.1</t>
  </si>
  <si>
    <t>egy.mit.ener.rod.gso.3</t>
  </si>
  <si>
    <t>egy.mit.ener.rod.gso.4</t>
  </si>
  <si>
    <t>egy.mit.ener.rod.gso.5</t>
  </si>
  <si>
    <t>egy.mit.ener.rod.gso.6</t>
  </si>
  <si>
    <t>mit.ener.rod.die</t>
  </si>
  <si>
    <t>mit.tot.rod.ele.e</t>
  </si>
  <si>
    <t>Fuel use | Road | Diesel</t>
  </si>
  <si>
    <t>egy.mit.ener.rod.die.1</t>
  </si>
  <si>
    <t>egy.mit.ener.rod.die.3</t>
  </si>
  <si>
    <t>egy.mit.ener.rod.die.4</t>
  </si>
  <si>
    <t>egy.mit.ener.rod.die.5</t>
  </si>
  <si>
    <t>egy.mit.ener.rod.die.6</t>
  </si>
  <si>
    <t>mit.ener.rod.lpg</t>
  </si>
  <si>
    <t>Fuel use | Road | LPG</t>
  </si>
  <si>
    <t>egy.mit.ener.rod.lpg.1</t>
  </si>
  <si>
    <t>egy.mit.ener.rod.lpg.3</t>
  </si>
  <si>
    <t>egy.mit.ener.rod.lpg.4</t>
  </si>
  <si>
    <t>egy.mit.ener.rod.lpg.5</t>
  </si>
  <si>
    <t>egy.mit.ener.rod.lpg.6</t>
  </si>
  <si>
    <t>mit.ener.rod.ker</t>
  </si>
  <si>
    <t>mit.pass.vkt.all.e</t>
  </si>
  <si>
    <t>Fuel use | Road | Kerosene</t>
  </si>
  <si>
    <t>egy.mit.ener.rod.ker.1</t>
  </si>
  <si>
    <t>egy.mit.ener.rod.ker.3</t>
  </si>
  <si>
    <t>egy.mit.ener.rod.ker.4</t>
  </si>
  <si>
    <t>egy.mit.ener.rod.ker.5</t>
  </si>
  <si>
    <t>egy.mit.ener.rod.ker.6</t>
  </si>
  <si>
    <t>mit.ener.rod.oop</t>
  </si>
  <si>
    <t>mit.fre.vkt.all.e</t>
  </si>
  <si>
    <t>Fuel use | Road | Other oil products</t>
  </si>
  <si>
    <t>egy.mit.ener.rod.oop.1</t>
  </si>
  <si>
    <t>egy.mit.ener.rod.oop.3</t>
  </si>
  <si>
    <t>egy.mit.ener.rod.oop.4</t>
  </si>
  <si>
    <t>egy.mit.ener.rod.oop.5</t>
  </si>
  <si>
    <t>egy.mit.ener.rod.oop.6</t>
  </si>
  <si>
    <t>mit.ener.rod.bio</t>
  </si>
  <si>
    <t>mit.motor.vkt.all.e</t>
  </si>
  <si>
    <t>Fuel use | Road | Biomass</t>
  </si>
  <si>
    <t>egy.mit.ener.rod.bio.1</t>
  </si>
  <si>
    <t>egy.mit.ener.rod.bio.3</t>
  </si>
  <si>
    <t>egy.mit.ener.rod.bio.4</t>
  </si>
  <si>
    <t>egy.mit.ener.rod.bio.5</t>
  </si>
  <si>
    <t>egy.mit.ener.rod.bio.6</t>
  </si>
  <si>
    <t>Energy consumption, road, sector-generated renewables, policy</t>
  </si>
  <si>
    <t>mit.ener.ral.coa</t>
  </si>
  <si>
    <t>Fuel use | Rail | Coal</t>
  </si>
  <si>
    <t>egy.mit.ener.ral.coa.1</t>
  </si>
  <si>
    <t>egy.mit.ener.ral.coa.3</t>
  </si>
  <si>
    <t>egy.mit.ener.ral.coa.4</t>
  </si>
  <si>
    <t>egy.mit.ener.ral.coa.5</t>
  </si>
  <si>
    <t>egy.mit.ener.ral.coa.6</t>
  </si>
  <si>
    <t>mit.ener.ral.nga</t>
  </si>
  <si>
    <t>Fuel use | Rail | Natural gas</t>
  </si>
  <si>
    <t>egy.mit.ener.ral.nga.1</t>
  </si>
  <si>
    <t>egy.mit.ener.ral.nga.3</t>
  </si>
  <si>
    <t>egy.mit.ener.ral.nga.4</t>
  </si>
  <si>
    <t>egy.mit.ener.ral.nga.5</t>
  </si>
  <si>
    <t>egy.mit.ener.ral.nga.6</t>
  </si>
  <si>
    <t>mit.ener.ral.gso</t>
  </si>
  <si>
    <t>mit.fecon.die.all.e</t>
  </si>
  <si>
    <t>Fuel use | Rail | Gasoline</t>
  </si>
  <si>
    <t>egy.mit.ener.ral.gso.1</t>
  </si>
  <si>
    <t>egy.mit.ener.ral.gso.3</t>
  </si>
  <si>
    <t>egy.mit.ener.ral.gso.4</t>
  </si>
  <si>
    <t>egy.mit.ener.ral.gso.5</t>
  </si>
  <si>
    <t>egy.mit.ener.ral.gso.6</t>
  </si>
  <si>
    <t>mit.ener.ral.die</t>
  </si>
  <si>
    <t>Fuel use | Rail | Diesel</t>
  </si>
  <si>
    <t>egy.mit.ener.ral.die.1</t>
  </si>
  <si>
    <t>egy.mit.ener.ral.die.3</t>
  </si>
  <si>
    <t>egy.mit.ener.ral.die.4</t>
  </si>
  <si>
    <t>egy.mit.ener.ral.die.5</t>
  </si>
  <si>
    <t>egy.mit.ener.ral.die.6</t>
  </si>
  <si>
    <t>mit.ener.ral.lpg</t>
  </si>
  <si>
    <t>Fuel use | Rail | LPG</t>
  </si>
  <si>
    <t>egy.mit.ener.ral.lpg.1</t>
  </si>
  <si>
    <t>egy.mit.ener.ral.lpg.3</t>
  </si>
  <si>
    <t>egy.mit.ener.ral.lpg.4</t>
  </si>
  <si>
    <t>egy.mit.ener.ral.lpg.5</t>
  </si>
  <si>
    <t>egy.mit.ener.ral.lpg.6</t>
  </si>
  <si>
    <t>mit.ener.ral.ker</t>
  </si>
  <si>
    <t>Fuel use | Rail | Kerosene</t>
  </si>
  <si>
    <t>egy.mit.ener.ral.ker.1</t>
  </si>
  <si>
    <t>egy.mit.ener.ral.ker.3</t>
  </si>
  <si>
    <t>egy.mit.ener.ral.ker.4</t>
  </si>
  <si>
    <t>egy.mit.ener.ral.ker.5</t>
  </si>
  <si>
    <t>egy.mit.ener.ral.ker.6</t>
  </si>
  <si>
    <t>mit.ener.ral.oop</t>
  </si>
  <si>
    <t>mit.fecon.lpg.all.e</t>
  </si>
  <si>
    <t>Fuel use | Rail | Other oil products</t>
  </si>
  <si>
    <t>egy.mit.ener.ral.oop.1</t>
  </si>
  <si>
    <t>egy.mit.ener.ral.oop.3</t>
  </si>
  <si>
    <t>egy.mit.ener.ral.oop.4</t>
  </si>
  <si>
    <t>egy.mit.ener.ral.oop.5</t>
  </si>
  <si>
    <t>egy.mit.ener.ral.oop.6</t>
  </si>
  <si>
    <t>mit.ener.ral.bio</t>
  </si>
  <si>
    <t>Fuel use | Rail | Biomass</t>
  </si>
  <si>
    <t>egy.mit.ener.ral.bio.1</t>
  </si>
  <si>
    <t>egy.mit.ener.ral.bio.3</t>
  </si>
  <si>
    <t>egy.mit.ener.ral.bio.4</t>
  </si>
  <si>
    <t>egy.mit.ener.ral.bio.5</t>
  </si>
  <si>
    <t>egy.mit.ener.ral.bio.6</t>
  </si>
  <si>
    <t>Energy consumption, rail, sector-generated renewables, policy</t>
  </si>
  <si>
    <t>mit.ener.nav.coa</t>
  </si>
  <si>
    <t>Fuel use | Domestic navigation | Coal</t>
  </si>
  <si>
    <t>egy.mit.ener.nav.coa.1</t>
  </si>
  <si>
    <t>egy.mit.ener.nav.coa.3</t>
  </si>
  <si>
    <t>egy.mit.ener.nav.coa.4</t>
  </si>
  <si>
    <t>egy.mit.ener.nav.coa.5</t>
  </si>
  <si>
    <t>egy.mit.ener.nav.coa.6</t>
  </si>
  <si>
    <t>mit.ener.nav.nga</t>
  </si>
  <si>
    <t>Fuel use | Domestic navigation | Natural gas</t>
  </si>
  <si>
    <t>egy.mit.ener.nav.nga.1</t>
  </si>
  <si>
    <t>egy.mit.ener.nav.nga.3</t>
  </si>
  <si>
    <t>egy.mit.ener.nav.nga.4</t>
  </si>
  <si>
    <t>egy.mit.ener.nav.nga.5</t>
  </si>
  <si>
    <t>egy.mit.ener.nav.nga.6</t>
  </si>
  <si>
    <t>mit.ener.nav.gso</t>
  </si>
  <si>
    <t>Fuel use | Domestic navigation | Gasoline</t>
  </si>
  <si>
    <t>egy.mit.ener.nav.gso.1</t>
  </si>
  <si>
    <t>egy.mit.ener.nav.gso.3</t>
  </si>
  <si>
    <t>egy.mit.ener.nav.gso.4</t>
  </si>
  <si>
    <t>egy.mit.ener.nav.gso.5</t>
  </si>
  <si>
    <t>egy.mit.ener.nav.gso.6</t>
  </si>
  <si>
    <t>mit.ener.nav.die</t>
  </si>
  <si>
    <t>Fuel use | Domestic navigation | Diesel</t>
  </si>
  <si>
    <t>egy.mit.ener.nav.die.1</t>
  </si>
  <si>
    <t>egy.mit.ener.nav.die.3</t>
  </si>
  <si>
    <t>egy.mit.ener.nav.die.4</t>
  </si>
  <si>
    <t>egy.mit.ener.nav.die.5</t>
  </si>
  <si>
    <t>egy.mit.ener.nav.die.6</t>
  </si>
  <si>
    <t>mit.ener.nav.lpg</t>
  </si>
  <si>
    <t>Fuel use | Domestic navigation | LPG</t>
  </si>
  <si>
    <t>egy.mit.ener.nav.lpg.1</t>
  </si>
  <si>
    <t>egy.mit.ener.nav.lpg.3</t>
  </si>
  <si>
    <t>egy.mit.ener.nav.lpg.4</t>
  </si>
  <si>
    <t>egy.mit.ener.nav.lpg.5</t>
  </si>
  <si>
    <t>egy.mit.ener.nav.lpg.6</t>
  </si>
  <si>
    <t>mit.ener.nav.ker</t>
  </si>
  <si>
    <t>Fuel use | Domestic navigation | Kerosene</t>
  </si>
  <si>
    <t>egy.mit.ener.nav.ker.1</t>
  </si>
  <si>
    <t>egy.mit.ener.nav.ker.3</t>
  </si>
  <si>
    <t>egy.mit.ener.nav.ker.4</t>
  </si>
  <si>
    <t>egy.mit.ener.nav.ker.5</t>
  </si>
  <si>
    <t>egy.mit.ener.nav.ker.6</t>
  </si>
  <si>
    <t>mit.ener.nav.oop</t>
  </si>
  <si>
    <t>mit.atp.rod.coa.e</t>
  </si>
  <si>
    <t>Fuel use | Domestic navigation | Other oil products</t>
  </si>
  <si>
    <t>egy.mit.ener.nav.oop.1</t>
  </si>
  <si>
    <t>egy.mit.ener.nav.oop.3</t>
  </si>
  <si>
    <t>egy.mit.ener.nav.oop.4</t>
  </si>
  <si>
    <t>egy.mit.ener.nav.oop.5</t>
  </si>
  <si>
    <t>egy.mit.ener.nav.oop.6</t>
  </si>
  <si>
    <t>mit.ener.nav.bio</t>
  </si>
  <si>
    <t>mit.atp.rod.nga.e</t>
  </si>
  <si>
    <t>Fuel use | Domestic navigation | Biomass</t>
  </si>
  <si>
    <t>egy.mit.ener.nav.bio.1</t>
  </si>
  <si>
    <t>egy.mit.ener.nav.bio.3</t>
  </si>
  <si>
    <t>egy.mit.ener.nav.bio.4</t>
  </si>
  <si>
    <t>egy.mit.ener.nav.bio.5</t>
  </si>
  <si>
    <t>egy.mit.ener.nav.bio.6</t>
  </si>
  <si>
    <t>mit.ener.nav.ren</t>
  </si>
  <si>
    <t>mit.atp.rod.gso.e</t>
  </si>
  <si>
    <t xml:space="preserve">Fuel use | Domestic navigation | </t>
  </si>
  <si>
    <t>egy.mit.ener.nav.ren.1</t>
  </si>
  <si>
    <t>egy.mit.ener.nav.ren.3</t>
  </si>
  <si>
    <t>egy.mit.ener.nav.ren.4</t>
  </si>
  <si>
    <t>egy.mit.ener.nav.ren.5</t>
  </si>
  <si>
    <t>egy.mit.ener.nav.ren.6</t>
  </si>
  <si>
    <t>mit.ener.avi.coa</t>
  </si>
  <si>
    <t>Fuel use | Domestic aviation | Coal</t>
  </si>
  <si>
    <t>egy.mit.ener.avi.coa.1</t>
  </si>
  <si>
    <t>egy.mit.ener.avi.coa.3</t>
  </si>
  <si>
    <t>egy.mit.ener.avi.coa.4</t>
  </si>
  <si>
    <t>egy.mit.ener.avi.coa.5</t>
  </si>
  <si>
    <t>egy.mit.ener.avi.coa.6</t>
  </si>
  <si>
    <t>mit.ener.avi.nga</t>
  </si>
  <si>
    <t>Fuel use | Domestic aviation | Natural gas</t>
  </si>
  <si>
    <t>egy.mit.ener.avi.nga.1</t>
  </si>
  <si>
    <t>egy.mit.ener.avi.nga.3</t>
  </si>
  <si>
    <t>egy.mit.ener.avi.nga.4</t>
  </si>
  <si>
    <t>egy.mit.ener.avi.nga.5</t>
  </si>
  <si>
    <t>egy.mit.ener.avi.nga.6</t>
  </si>
  <si>
    <t>mit.ener.avi.gso</t>
  </si>
  <si>
    <t>Fuel use | Domestic aviation | Gasoline</t>
  </si>
  <si>
    <t>egy.mit.ener.avi.gso.1</t>
  </si>
  <si>
    <t>egy.mit.ener.avi.gso.3</t>
  </si>
  <si>
    <t>egy.mit.ener.avi.gso.4</t>
  </si>
  <si>
    <t>egy.mit.ener.avi.gso.5</t>
  </si>
  <si>
    <t>egy.mit.ener.avi.gso.6</t>
  </si>
  <si>
    <t>mit.ener.avi.die</t>
  </si>
  <si>
    <t>Fuel use | Domestic aviation | Diesel</t>
  </si>
  <si>
    <t>egy.mit.ener.avi.die.1</t>
  </si>
  <si>
    <t>egy.mit.ener.avi.die.3</t>
  </si>
  <si>
    <t>egy.mit.ener.avi.die.4</t>
  </si>
  <si>
    <t>egy.mit.ener.avi.die.5</t>
  </si>
  <si>
    <t>egy.mit.ener.avi.die.6</t>
  </si>
  <si>
    <t>mit.ener.avi.lpg</t>
  </si>
  <si>
    <t>Fuel use | Domestic aviation | LPG</t>
  </si>
  <si>
    <t>egy.mit.ener.avi.lpg.1</t>
  </si>
  <si>
    <t>egy.mit.ener.avi.lpg.3</t>
  </si>
  <si>
    <t>egy.mit.ener.avi.lpg.4</t>
  </si>
  <si>
    <t>egy.mit.ener.avi.lpg.5</t>
  </si>
  <si>
    <t>egy.mit.ener.avi.lpg.6</t>
  </si>
  <si>
    <t>mit.ener.avi.ker</t>
  </si>
  <si>
    <t>Fuel use | Domestic aviation | Kerosene</t>
  </si>
  <si>
    <t>egy.mit.ener.avi.ker.1</t>
  </si>
  <si>
    <t>egy.mit.ener.avi.ker.3</t>
  </si>
  <si>
    <t>egy.mit.ener.avi.ker.4</t>
  </si>
  <si>
    <t>egy.mit.ener.avi.ker.5</t>
  </si>
  <si>
    <t>egy.mit.ener.avi.ker.6</t>
  </si>
  <si>
    <t>mit.ener.avi.oop</t>
  </si>
  <si>
    <t>Fuel use | Domestic aviation | Other oil products</t>
  </si>
  <si>
    <t>egy.mit.ener.avi.oop.1</t>
  </si>
  <si>
    <t>egy.mit.ener.avi.oop.3</t>
  </si>
  <si>
    <t>egy.mit.ener.avi.oop.4</t>
  </si>
  <si>
    <t>egy.mit.ener.avi.oop.5</t>
  </si>
  <si>
    <t>egy.mit.ener.avi.oop.6</t>
  </si>
  <si>
    <t>mit.ener.avi.bio</t>
  </si>
  <si>
    <t>Fuel use | Domestic aviation | Biomass</t>
  </si>
  <si>
    <t>egy.mit.ener.avi.bio.1</t>
  </si>
  <si>
    <t>egy.mit.ener.avi.bio.3</t>
  </si>
  <si>
    <t>egy.mit.ener.avi.bio.4</t>
  </si>
  <si>
    <t>egy.mit.ener.avi.bio.5</t>
  </si>
  <si>
    <t>egy.mit.ener.avi.bio.6</t>
  </si>
  <si>
    <t>mit.ener.avi.ren</t>
  </si>
  <si>
    <t xml:space="preserve">Fuel use | Domestic aviation | </t>
  </si>
  <si>
    <t>egy.mit.ener.avi.ren.1</t>
  </si>
  <si>
    <t>egy.mit.ener.avi.ren.3</t>
  </si>
  <si>
    <t>egy.mit.ener.avi.ren.4</t>
  </si>
  <si>
    <t>egy.mit.ener.avi.ren.5</t>
  </si>
  <si>
    <t>egy.mit.ener.avi.ren.6</t>
  </si>
  <si>
    <t>mit.ener.avi.jfu</t>
  </si>
  <si>
    <t>Fuel use | Domestic aviation | Jet fuel</t>
  </si>
  <si>
    <t>egy.mit.ener.avi.jfu.1</t>
  </si>
  <si>
    <t>egy.mit.ener.avi.jfu.3</t>
  </si>
  <si>
    <t>egy.mit.ener.avi.jfu.4</t>
  </si>
  <si>
    <t>egy.mit.ener.avi.jfu.5</t>
  </si>
  <si>
    <t>egy.mit.ener.avi.jfu.6</t>
  </si>
  <si>
    <t>mit.ener.bld.tot</t>
  </si>
  <si>
    <t>Fuel use | Buildings | All fuels</t>
  </si>
  <si>
    <t>egy.mit.ener.bld.tot.1</t>
  </si>
  <si>
    <t>egy.mit.ener.bld.tot.3</t>
  </si>
  <si>
    <t>egy.mit.ener.bld.tot.4</t>
  </si>
  <si>
    <t>egy.mit.ener.bld.tot.5</t>
  </si>
  <si>
    <t>egy.mit.ener.bld.tot.6</t>
  </si>
  <si>
    <t>mit.ener.res.coa</t>
  </si>
  <si>
    <t>mit.atp.ral.oop.e</t>
  </si>
  <si>
    <t>Fuel use | Residential | Coal</t>
  </si>
  <si>
    <t>egy.mit.ener.res.coa.1</t>
  </si>
  <si>
    <t>egy.mit.ener.res.coa.3</t>
  </si>
  <si>
    <t>egy.mit.ener.res.coa.4</t>
  </si>
  <si>
    <t>egy.mit.ener.res.coa.5</t>
  </si>
  <si>
    <t>egy.mit.ener.res.coa.6</t>
  </si>
  <si>
    <t>mit.ener.res.nga</t>
  </si>
  <si>
    <t>mit.atp.ral.bio.e</t>
  </si>
  <si>
    <t>Fuel use | Residential | Natural gas</t>
  </si>
  <si>
    <t>egy.mit.ener.res.nga.1</t>
  </si>
  <si>
    <t>egy.mit.ener.res.nga.3</t>
  </si>
  <si>
    <t>egy.mit.ener.res.nga.4</t>
  </si>
  <si>
    <t>egy.mit.ener.res.nga.5</t>
  </si>
  <si>
    <t>egy.mit.ener.res.nga.6</t>
  </si>
  <si>
    <t>mit.ener.res.gso</t>
  </si>
  <si>
    <t>mit.atp.ral.ren.e</t>
  </si>
  <si>
    <t>Fuel use | Residential | Gasoline</t>
  </si>
  <si>
    <t>egy.mit.ener.res.gso.1</t>
  </si>
  <si>
    <t>egy.mit.ener.res.gso.3</t>
  </si>
  <si>
    <t>egy.mit.ener.res.gso.4</t>
  </si>
  <si>
    <t>egy.mit.ener.res.gso.5</t>
  </si>
  <si>
    <t>egy.mit.ener.res.gso.6</t>
  </si>
  <si>
    <t>mit.ener.res.die</t>
  </si>
  <si>
    <t>Fuel use | Residential | Diesel</t>
  </si>
  <si>
    <t>egy.mit.ener.res.die.1</t>
  </si>
  <si>
    <t>egy.mit.ener.res.die.3</t>
  </si>
  <si>
    <t>egy.mit.ener.res.die.4</t>
  </si>
  <si>
    <t>egy.mit.ener.res.die.5</t>
  </si>
  <si>
    <t>egy.mit.ener.res.die.6</t>
  </si>
  <si>
    <t>mit.ener.res.lpg</t>
  </si>
  <si>
    <t>Fuel use | Residential | LPG</t>
  </si>
  <si>
    <t>egy.mit.ener.res.lpg.1</t>
  </si>
  <si>
    <t>egy.mit.ener.res.lpg.3</t>
  </si>
  <si>
    <t>egy.mit.ener.res.lpg.4</t>
  </si>
  <si>
    <t>egy.mit.ener.res.lpg.5</t>
  </si>
  <si>
    <t>egy.mit.ener.res.lpg.6</t>
  </si>
  <si>
    <t>mit.ener.res.ker</t>
  </si>
  <si>
    <t>mit.ener.ral.coa.e</t>
  </si>
  <si>
    <t>Fuel use | Residential | Kerosene</t>
  </si>
  <si>
    <t>egy.mit.ener.res.ker.1</t>
  </si>
  <si>
    <t>egy.mit.ener.res.ker.3</t>
  </si>
  <si>
    <t>egy.mit.ener.res.ker.4</t>
  </si>
  <si>
    <t>egy.mit.ener.res.ker.5</t>
  </si>
  <si>
    <t>egy.mit.ener.res.ker.6</t>
  </si>
  <si>
    <t>mit.ener.res.oop</t>
  </si>
  <si>
    <t>mit.ener.ral.nga.e</t>
  </si>
  <si>
    <t>Fuel use | Residential | Other oil products</t>
  </si>
  <si>
    <t>egy.mit.ener.res.oop.1</t>
  </si>
  <si>
    <t>egy.mit.ener.res.oop.3</t>
  </si>
  <si>
    <t>egy.mit.ener.res.oop.4</t>
  </si>
  <si>
    <t>egy.mit.ener.res.oop.5</t>
  </si>
  <si>
    <t>egy.mit.ener.res.oop.6</t>
  </si>
  <si>
    <t>mit.ener.res.bio</t>
  </si>
  <si>
    <t>mit.ener.ral.gso.e</t>
  </si>
  <si>
    <t>Fuel use | Residential | Biomass</t>
  </si>
  <si>
    <t>egy.mit.ener.res.bio.1</t>
  </si>
  <si>
    <t>egy.mit.ener.res.bio.3</t>
  </si>
  <si>
    <t>egy.mit.ener.res.bio.4</t>
  </si>
  <si>
    <t>egy.mit.ener.res.bio.5</t>
  </si>
  <si>
    <t>egy.mit.ener.res.bio.6</t>
  </si>
  <si>
    <t>mit.ener.ral.die.e</t>
  </si>
  <si>
    <t>Energy consumption, residential, sector-generated renewables, policy</t>
  </si>
  <si>
    <t>mit.ener.foo.coa</t>
  </si>
  <si>
    <t>mit.ener.nav.nga.e</t>
  </si>
  <si>
    <t>Fuel use | Food &amp; forestry | Coal</t>
  </si>
  <si>
    <t>egy.mit.ener.foo.coa.1</t>
  </si>
  <si>
    <t>egy.mit.ener.foo.coa.3</t>
  </si>
  <si>
    <t>egy.mit.ener.foo.coa.4</t>
  </si>
  <si>
    <t>egy.mit.ener.foo.coa.5</t>
  </si>
  <si>
    <t>egy.mit.ener.foo.coa.6</t>
  </si>
  <si>
    <t>mit.ener.foo.nga</t>
  </si>
  <si>
    <t>mit.ener.nav.gso.e</t>
  </si>
  <si>
    <t>Fuel use | Food &amp; forestry | Natural gas</t>
  </si>
  <si>
    <t>egy.mit.ener.foo.nga.1</t>
  </si>
  <si>
    <t>egy.mit.ener.foo.nga.3</t>
  </si>
  <si>
    <t>egy.mit.ener.foo.nga.4</t>
  </si>
  <si>
    <t>egy.mit.ener.foo.nga.5</t>
  </si>
  <si>
    <t>egy.mit.ener.foo.nga.6</t>
  </si>
  <si>
    <t>mit.ener.foo.gso</t>
  </si>
  <si>
    <t>mit.ener.nav.die.e</t>
  </si>
  <si>
    <t>Fuel use | Food &amp; forestry | Gasoline</t>
  </si>
  <si>
    <t>egy.mit.ener.foo.gso.1</t>
  </si>
  <si>
    <t>egy.mit.ener.foo.gso.3</t>
  </si>
  <si>
    <t>egy.mit.ener.foo.gso.4</t>
  </si>
  <si>
    <t>egy.mit.ener.foo.gso.5</t>
  </si>
  <si>
    <t>egy.mit.ener.foo.gso.6</t>
  </si>
  <si>
    <t>mit.ener.foo.die</t>
  </si>
  <si>
    <t>mit.ener.nav.lpg.e</t>
  </si>
  <si>
    <t>Fuel use | Food &amp; forestry | Diesel</t>
  </si>
  <si>
    <t>egy.mit.ener.foo.die.1</t>
  </si>
  <si>
    <t>egy.mit.ener.foo.die.3</t>
  </si>
  <si>
    <t>egy.mit.ener.foo.die.4</t>
  </si>
  <si>
    <t>egy.mit.ener.foo.die.5</t>
  </si>
  <si>
    <t>egy.mit.ener.foo.die.6</t>
  </si>
  <si>
    <t>mit.ener.foo.lpg</t>
  </si>
  <si>
    <t>mit.ener.nav.ker.e</t>
  </si>
  <si>
    <t>Fuel use | Food &amp; forestry | LPG</t>
  </si>
  <si>
    <t>egy.mit.ener.foo.lpg.1</t>
  </si>
  <si>
    <t>egy.mit.ener.foo.lpg.3</t>
  </si>
  <si>
    <t>egy.mit.ener.foo.lpg.4</t>
  </si>
  <si>
    <t>egy.mit.ener.foo.lpg.5</t>
  </si>
  <si>
    <t>egy.mit.ener.foo.lpg.6</t>
  </si>
  <si>
    <t>mit.ener.foo.ker</t>
  </si>
  <si>
    <t>mit.ener.nav.oop.e</t>
  </si>
  <si>
    <t>Fuel use | Food &amp; forestry | Kerosene</t>
  </si>
  <si>
    <t>egy.mit.ener.foo.ker.1</t>
  </si>
  <si>
    <t>egy.mit.ener.foo.ker.3</t>
  </si>
  <si>
    <t>egy.mit.ener.foo.ker.4</t>
  </si>
  <si>
    <t>egy.mit.ener.foo.ker.5</t>
  </si>
  <si>
    <t>egy.mit.ener.foo.ker.6</t>
  </si>
  <si>
    <t>mit.ener.foo.oop</t>
  </si>
  <si>
    <t>mit.ener.nav.bio.e</t>
  </si>
  <si>
    <t>Fuel use | Food &amp; forestry | Other oil products</t>
  </si>
  <si>
    <t>egy.mit.ener.foo.oop.1</t>
  </si>
  <si>
    <t>egy.mit.ener.foo.oop.3</t>
  </si>
  <si>
    <t>egy.mit.ener.foo.oop.4</t>
  </si>
  <si>
    <t>egy.mit.ener.foo.oop.5</t>
  </si>
  <si>
    <t>egy.mit.ener.foo.oop.6</t>
  </si>
  <si>
    <t>mit.ener.foo.bio</t>
  </si>
  <si>
    <t>mit.ener.nav.ren.e</t>
  </si>
  <si>
    <t>Fuel use | Food &amp; forestry | Biomass</t>
  </si>
  <si>
    <t>egy.mit.ener.foo.bio.1</t>
  </si>
  <si>
    <t>egy.mit.ener.foo.bio.3</t>
  </si>
  <si>
    <t>egy.mit.ener.foo.bio.4</t>
  </si>
  <si>
    <t>egy.mit.ener.foo.bio.5</t>
  </si>
  <si>
    <t>egy.mit.ener.foo.bio.6</t>
  </si>
  <si>
    <t>mit.ener.nav.tot.e</t>
  </si>
  <si>
    <t>Energy consumption, food &amp; forestry, sector-generated renewables, policy</t>
  </si>
  <si>
    <t>mit.ener.srv.coa</t>
  </si>
  <si>
    <t>mit.ener.tra.tot.e</t>
  </si>
  <si>
    <t>Fuel use | Services (public &amp; private) | Coal</t>
  </si>
  <si>
    <t>egy.mit.ener.srv.coa.1</t>
  </si>
  <si>
    <t>egy.mit.ener.srv.coa.3</t>
  </si>
  <si>
    <t>egy.mit.ener.srv.coa.4</t>
  </si>
  <si>
    <t>egy.mit.ener.srv.coa.5</t>
  </si>
  <si>
    <t>egy.mit.ener.srv.coa.6</t>
  </si>
  <si>
    <t>mit.ener.srv.nga</t>
  </si>
  <si>
    <t>Fuel use | Services (public &amp; private) | Natural gas</t>
  </si>
  <si>
    <t>egy.mit.ener.srv.nga.1</t>
  </si>
  <si>
    <t>egy.mit.ener.srv.nga.3</t>
  </si>
  <si>
    <t>egy.mit.ener.srv.nga.4</t>
  </si>
  <si>
    <t>egy.mit.ener.srv.nga.5</t>
  </si>
  <si>
    <t>egy.mit.ener.srv.nga.6</t>
  </si>
  <si>
    <t>mit.ener.srv.gso</t>
  </si>
  <si>
    <t>Fuel use | Services (public &amp; private) | Gasoline</t>
  </si>
  <si>
    <t>egy.mit.ener.srv.gso.1</t>
  </si>
  <si>
    <t>egy.mit.ener.srv.gso.3</t>
  </si>
  <si>
    <t>egy.mit.ener.srv.gso.4</t>
  </si>
  <si>
    <t>egy.mit.ener.srv.gso.5</t>
  </si>
  <si>
    <t>egy.mit.ener.srv.gso.6</t>
  </si>
  <si>
    <t>mit.ener.srv.die</t>
  </si>
  <si>
    <t>Fuel use | Services (public &amp; private) | Diesel</t>
  </si>
  <si>
    <t>egy.mit.ener.srv.die.1</t>
  </si>
  <si>
    <t>egy.mit.ener.srv.die.3</t>
  </si>
  <si>
    <t>egy.mit.ener.srv.die.4</t>
  </si>
  <si>
    <t>egy.mit.ener.srv.die.5</t>
  </si>
  <si>
    <t>egy.mit.ener.srv.die.6</t>
  </si>
  <si>
    <t>mit.ener.srv.lpg</t>
  </si>
  <si>
    <t>Fuel use | Services (public &amp; private) | LPG</t>
  </si>
  <si>
    <t>egy.mit.ener.srv.lpg.1</t>
  </si>
  <si>
    <t>egy.mit.ener.srv.lpg.3</t>
  </si>
  <si>
    <t>egy.mit.ener.srv.lpg.4</t>
  </si>
  <si>
    <t>egy.mit.ener.srv.lpg.5</t>
  </si>
  <si>
    <t>egy.mit.ener.srv.lpg.6</t>
  </si>
  <si>
    <t>mit.ener.srv.ker</t>
  </si>
  <si>
    <t>Fuel use | Services (public &amp; private) | Kerosene</t>
  </si>
  <si>
    <t>egy.mit.ener.srv.ker.1</t>
  </si>
  <si>
    <t>egy.mit.ener.srv.ker.3</t>
  </si>
  <si>
    <t>egy.mit.ener.srv.ker.4</t>
  </si>
  <si>
    <t>egy.mit.ener.srv.ker.5</t>
  </si>
  <si>
    <t>egy.mit.ener.srv.ker.6</t>
  </si>
  <si>
    <t>mit.ener.srv.oop</t>
  </si>
  <si>
    <t>Fuel use | Services (public &amp; private) | Other oil products</t>
  </si>
  <si>
    <t>egy.mit.ener.srv.oop.1</t>
  </si>
  <si>
    <t>egy.mit.ener.srv.oop.3</t>
  </si>
  <si>
    <t>egy.mit.ener.srv.oop.4</t>
  </si>
  <si>
    <t>egy.mit.ener.srv.oop.5</t>
  </si>
  <si>
    <t>egy.mit.ener.srv.oop.6</t>
  </si>
  <si>
    <t>mit.ener.srv.bio</t>
  </si>
  <si>
    <t>Fuel use | Services (public &amp; private) | Biomass</t>
  </si>
  <si>
    <t>egy.mit.ener.srv.bio.1</t>
  </si>
  <si>
    <t>egy.mit.ener.srv.bio.3</t>
  </si>
  <si>
    <t>egy.mit.ener.srv.bio.4</t>
  </si>
  <si>
    <t>egy.mit.ener.srv.bio.5</t>
  </si>
  <si>
    <t>egy.mit.ener.srv.bio.6</t>
  </si>
  <si>
    <t>mit.atp.res.coa.e</t>
  </si>
  <si>
    <t>Energy consumption, services (public &amp; private), sector-generated renewables, policy</t>
  </si>
  <si>
    <t>mit.ener.ind.tot</t>
  </si>
  <si>
    <t>Fuel use | Industry | All fuels</t>
  </si>
  <si>
    <t>egy.mit.ener.ind.tot.1</t>
  </si>
  <si>
    <t>egy.mit.ener.ind.tot.3</t>
  </si>
  <si>
    <t>egy.mit.ener.ind.tot.4</t>
  </si>
  <si>
    <t>egy.mit.ener.ind.tot.5</t>
  </si>
  <si>
    <t>egy.mit.ener.ind.tot.6</t>
  </si>
  <si>
    <t>mit.ener.mch.coa</t>
  </si>
  <si>
    <t>Fuel use | Mining &amp; chemicals | Coal</t>
  </si>
  <si>
    <t>egy.mit.ener.mch.coa.1</t>
  </si>
  <si>
    <t>egy.mit.ener.mch.coa.3</t>
  </si>
  <si>
    <t>egy.mit.ener.mch.coa.4</t>
  </si>
  <si>
    <t>egy.mit.ener.mch.coa.5</t>
  </si>
  <si>
    <t>egy.mit.ener.mch.coa.6</t>
  </si>
  <si>
    <t>mit.ener.mch.nga</t>
  </si>
  <si>
    <t>Fuel use | Mining &amp; chemicals | Natural gas</t>
  </si>
  <si>
    <t>egy.mit.ener.mch.nga.1</t>
  </si>
  <si>
    <t>egy.mit.ener.mch.nga.3</t>
  </si>
  <si>
    <t>egy.mit.ener.mch.nga.4</t>
  </si>
  <si>
    <t>egy.mit.ener.mch.nga.5</t>
  </si>
  <si>
    <t>egy.mit.ener.mch.nga.6</t>
  </si>
  <si>
    <t>mit.ener.mch.gso</t>
  </si>
  <si>
    <t>Fuel use | Mining &amp; chemicals | Gasoline</t>
  </si>
  <si>
    <t>egy.mit.ener.mch.gso.1</t>
  </si>
  <si>
    <t>egy.mit.ener.mch.gso.3</t>
  </si>
  <si>
    <t>egy.mit.ener.mch.gso.4</t>
  </si>
  <si>
    <t>egy.mit.ener.mch.gso.5</t>
  </si>
  <si>
    <t>egy.mit.ener.mch.gso.6</t>
  </si>
  <si>
    <t>mit.ener.mch.die</t>
  </si>
  <si>
    <t>Fuel use | Mining &amp; chemicals | Diesel</t>
  </si>
  <si>
    <t>egy.mit.ener.mch.die.1</t>
  </si>
  <si>
    <t>egy.mit.ener.mch.die.3</t>
  </si>
  <si>
    <t>egy.mit.ener.mch.die.4</t>
  </si>
  <si>
    <t>egy.mit.ener.mch.die.5</t>
  </si>
  <si>
    <t>egy.mit.ener.mch.die.6</t>
  </si>
  <si>
    <t>mit.ener.mch.lpg</t>
  </si>
  <si>
    <t>Fuel use | Mining &amp; chemicals | LPG</t>
  </si>
  <si>
    <t>egy.mit.ener.mch.lpg.1</t>
  </si>
  <si>
    <t>egy.mit.ener.mch.lpg.3</t>
  </si>
  <si>
    <t>egy.mit.ener.mch.lpg.4</t>
  </si>
  <si>
    <t>egy.mit.ener.mch.lpg.5</t>
  </si>
  <si>
    <t>egy.mit.ener.mch.lpg.6</t>
  </si>
  <si>
    <t>mit.ener.mch.ker</t>
  </si>
  <si>
    <t>Fuel use | Mining &amp; chemicals | Kerosene</t>
  </si>
  <si>
    <t>egy.mit.ener.mch.ker.1</t>
  </si>
  <si>
    <t>egy.mit.ener.mch.ker.3</t>
  </si>
  <si>
    <t>egy.mit.ener.mch.ker.4</t>
  </si>
  <si>
    <t>egy.mit.ener.mch.ker.5</t>
  </si>
  <si>
    <t>egy.mit.ener.mch.ker.6</t>
  </si>
  <si>
    <t>mit.ener.mch.oop</t>
  </si>
  <si>
    <t>Fuel use | Mining &amp; chemicals | Other oil products</t>
  </si>
  <si>
    <t>egy.mit.ener.mch.oop.1</t>
  </si>
  <si>
    <t>egy.mit.ener.mch.oop.3</t>
  </si>
  <si>
    <t>egy.mit.ener.mch.oop.4</t>
  </si>
  <si>
    <t>egy.mit.ener.mch.oop.5</t>
  </si>
  <si>
    <t>egy.mit.ener.mch.oop.6</t>
  </si>
  <si>
    <t>mit.ener.mch.bio</t>
  </si>
  <si>
    <t>Fuel use | Mining &amp; chemicals | Biomass</t>
  </si>
  <si>
    <t>egy.mit.ener.mch.bio.1</t>
  </si>
  <si>
    <t>egy.mit.ener.mch.bio.3</t>
  </si>
  <si>
    <t>egy.mit.ener.mch.bio.4</t>
  </si>
  <si>
    <t>egy.mit.ener.mch.bio.5</t>
  </si>
  <si>
    <t>egy.mit.ener.mch.bio.6</t>
  </si>
  <si>
    <t>Energy consumption, mining &amp; chemicals, sector-generated renewables, policy</t>
  </si>
  <si>
    <t>mit.ener.irn.coa</t>
  </si>
  <si>
    <t>mit.atp.foo.oop.e</t>
  </si>
  <si>
    <t>Fuel use | Iron &amp; steel | Coal</t>
  </si>
  <si>
    <t>egy.mit.ener.irn.coa.1</t>
  </si>
  <si>
    <t>egy.mit.ener.irn.coa.3</t>
  </si>
  <si>
    <t>egy.mit.ener.irn.coa.4</t>
  </si>
  <si>
    <t>egy.mit.ener.irn.coa.5</t>
  </si>
  <si>
    <t>egy.mit.ener.irn.coa.6</t>
  </si>
  <si>
    <t>mit.ener.irn.nga</t>
  </si>
  <si>
    <t>mit.atp.foo.bio.e</t>
  </si>
  <si>
    <t>Fuel use | Iron &amp; steel | Natural gas</t>
  </si>
  <si>
    <t>egy.mit.ener.irn.nga.1</t>
  </si>
  <si>
    <t>egy.mit.ener.irn.nga.3</t>
  </si>
  <si>
    <t>egy.mit.ener.irn.nga.4</t>
  </si>
  <si>
    <t>egy.mit.ener.irn.nga.5</t>
  </si>
  <si>
    <t>egy.mit.ener.irn.nga.6</t>
  </si>
  <si>
    <t>mit.ener.irn.gso</t>
  </si>
  <si>
    <t>mit.atp.foo.ren.e</t>
  </si>
  <si>
    <t>Fuel use | Iron &amp; steel | Gasoline</t>
  </si>
  <si>
    <t>egy.mit.ener.irn.gso.1</t>
  </si>
  <si>
    <t>egy.mit.ener.irn.gso.3</t>
  </si>
  <si>
    <t>egy.mit.ener.irn.gso.4</t>
  </si>
  <si>
    <t>egy.mit.ener.irn.gso.5</t>
  </si>
  <si>
    <t>egy.mit.ener.irn.gso.6</t>
  </si>
  <si>
    <t>mit.ener.irn.die</t>
  </si>
  <si>
    <t>Fuel use | Iron &amp; steel | Diesel</t>
  </si>
  <si>
    <t>egy.mit.ener.irn.die.1</t>
  </si>
  <si>
    <t>egy.mit.ener.irn.die.3</t>
  </si>
  <si>
    <t>egy.mit.ener.irn.die.4</t>
  </si>
  <si>
    <t>egy.mit.ener.irn.die.5</t>
  </si>
  <si>
    <t>egy.mit.ener.irn.die.6</t>
  </si>
  <si>
    <t>mit.ener.irn.lpg</t>
  </si>
  <si>
    <t>Fuel use | Iron &amp; steel | LPG</t>
  </si>
  <si>
    <t>egy.mit.ener.irn.lpg.1</t>
  </si>
  <si>
    <t>egy.mit.ener.irn.lpg.3</t>
  </si>
  <si>
    <t>egy.mit.ener.irn.lpg.4</t>
  </si>
  <si>
    <t>egy.mit.ener.irn.lpg.5</t>
  </si>
  <si>
    <t>egy.mit.ener.irn.lpg.6</t>
  </si>
  <si>
    <t>mit.ener.irn.ker</t>
  </si>
  <si>
    <t>mit.ener.foo.coa.e</t>
  </si>
  <si>
    <t>Fuel use | Iron &amp; steel | Kerosene</t>
  </si>
  <si>
    <t>egy.mit.ener.irn.ker.1</t>
  </si>
  <si>
    <t>egy.mit.ener.irn.ker.3</t>
  </si>
  <si>
    <t>egy.mit.ener.irn.ker.4</t>
  </si>
  <si>
    <t>egy.mit.ener.irn.ker.5</t>
  </si>
  <si>
    <t>egy.mit.ener.irn.ker.6</t>
  </si>
  <si>
    <t>mit.ener.irn.oop</t>
  </si>
  <si>
    <t>mit.ener.foo.nga.e</t>
  </si>
  <si>
    <t>Fuel use | Iron &amp; steel | Other oil products</t>
  </si>
  <si>
    <t>egy.mit.ener.irn.oop.1</t>
  </si>
  <si>
    <t>egy.mit.ener.irn.oop.3</t>
  </si>
  <si>
    <t>egy.mit.ener.irn.oop.4</t>
  </si>
  <si>
    <t>egy.mit.ener.irn.oop.5</t>
  </si>
  <si>
    <t>egy.mit.ener.irn.oop.6</t>
  </si>
  <si>
    <t>mit.ener.irn.bio</t>
  </si>
  <si>
    <t>mit.ener.foo.gso.e</t>
  </si>
  <si>
    <t>Fuel use | Iron &amp; steel | Biomass</t>
  </si>
  <si>
    <t>egy.mit.ener.irn.bio.1</t>
  </si>
  <si>
    <t>egy.mit.ener.irn.bio.3</t>
  </si>
  <si>
    <t>egy.mit.ener.irn.bio.4</t>
  </si>
  <si>
    <t>egy.mit.ener.irn.bio.5</t>
  </si>
  <si>
    <t>egy.mit.ener.irn.bio.6</t>
  </si>
  <si>
    <t>mit.ener.foo.die.e</t>
  </si>
  <si>
    <t>Energy consumption, iron and steel, sector-generated renewables, policy</t>
  </si>
  <si>
    <t>mit.ener.nfm.coa</t>
  </si>
  <si>
    <t>mit.atp.srv.oop.e</t>
  </si>
  <si>
    <t>Fuel use | Other metals | Coal</t>
  </si>
  <si>
    <t>egy.mit.ener.nfm.coa.1</t>
  </si>
  <si>
    <t>egy.mit.ener.nfm.coa.3</t>
  </si>
  <si>
    <t>egy.mit.ener.nfm.coa.4</t>
  </si>
  <si>
    <t>egy.mit.ener.nfm.coa.5</t>
  </si>
  <si>
    <t>egy.mit.ener.nfm.coa.6</t>
  </si>
  <si>
    <t>mit.ener.nfm.nga</t>
  </si>
  <si>
    <t>mit.atp.srv.bio.e</t>
  </si>
  <si>
    <t>Fuel use | Other metals | Natural gas</t>
  </si>
  <si>
    <t>egy.mit.ener.nfm.nga.1</t>
  </si>
  <si>
    <t>egy.mit.ener.nfm.nga.3</t>
  </si>
  <si>
    <t>egy.mit.ener.nfm.nga.4</t>
  </si>
  <si>
    <t>egy.mit.ener.nfm.nga.5</t>
  </si>
  <si>
    <t>egy.mit.ener.nfm.nga.6</t>
  </si>
  <si>
    <t>mit.ener.nfm.gso</t>
  </si>
  <si>
    <t>mit.atp.srv.ren.e</t>
  </si>
  <si>
    <t>Fuel use | Other metals | Gasoline</t>
  </si>
  <si>
    <t>egy.mit.ener.nfm.gso.1</t>
  </si>
  <si>
    <t>egy.mit.ener.nfm.gso.3</t>
  </si>
  <si>
    <t>egy.mit.ener.nfm.gso.4</t>
  </si>
  <si>
    <t>egy.mit.ener.nfm.gso.5</t>
  </si>
  <si>
    <t>egy.mit.ener.nfm.gso.6</t>
  </si>
  <si>
    <t>mit.ener.nfm.die</t>
  </si>
  <si>
    <t>Fuel use | Other metals | Diesel</t>
  </si>
  <si>
    <t>egy.mit.ener.nfm.die.1</t>
  </si>
  <si>
    <t>egy.mit.ener.nfm.die.3</t>
  </si>
  <si>
    <t>egy.mit.ener.nfm.die.4</t>
  </si>
  <si>
    <t>egy.mit.ener.nfm.die.5</t>
  </si>
  <si>
    <t>egy.mit.ener.nfm.die.6</t>
  </si>
  <si>
    <t>mit.ener.nfm.lpg</t>
  </si>
  <si>
    <t>Fuel use | Other metals | LPG</t>
  </si>
  <si>
    <t>egy.mit.ener.nfm.lpg.1</t>
  </si>
  <si>
    <t>egy.mit.ener.nfm.lpg.3</t>
  </si>
  <si>
    <t>egy.mit.ener.nfm.lpg.4</t>
  </si>
  <si>
    <t>egy.mit.ener.nfm.lpg.5</t>
  </si>
  <si>
    <t>egy.mit.ener.nfm.lpg.6</t>
  </si>
  <si>
    <t>mit.ener.nfm.ker</t>
  </si>
  <si>
    <t>mit.ener.srv.coa.e</t>
  </si>
  <si>
    <t>Fuel use | Other metals | Kerosene</t>
  </si>
  <si>
    <t>egy.mit.ener.nfm.ker.1</t>
  </si>
  <si>
    <t>egy.mit.ener.nfm.ker.3</t>
  </si>
  <si>
    <t>egy.mit.ener.nfm.ker.4</t>
  </si>
  <si>
    <t>egy.mit.ener.nfm.ker.5</t>
  </si>
  <si>
    <t>egy.mit.ener.nfm.ker.6</t>
  </si>
  <si>
    <t>mit.ener.nfm.oop</t>
  </si>
  <si>
    <t>mit.ener.srv.nga.e</t>
  </si>
  <si>
    <t>Fuel use | Other metals | Other oil products</t>
  </si>
  <si>
    <t>egy.mit.ener.nfm.oop.1</t>
  </si>
  <si>
    <t>egy.mit.ener.nfm.oop.3</t>
  </si>
  <si>
    <t>egy.mit.ener.nfm.oop.4</t>
  </si>
  <si>
    <t>egy.mit.ener.nfm.oop.5</t>
  </si>
  <si>
    <t>egy.mit.ener.nfm.oop.6</t>
  </si>
  <si>
    <t>mit.ener.nfm.bio</t>
  </si>
  <si>
    <t>mit.ener.srv.gso.e</t>
  </si>
  <si>
    <t>Fuel use | Other metals | Biomass</t>
  </si>
  <si>
    <t>egy.mit.ener.nfm.bio.1</t>
  </si>
  <si>
    <t>egy.mit.ener.nfm.bio.3</t>
  </si>
  <si>
    <t>egy.mit.ener.nfm.bio.4</t>
  </si>
  <si>
    <t>egy.mit.ener.nfm.bio.5</t>
  </si>
  <si>
    <t>egy.mit.ener.nfm.bio.6</t>
  </si>
  <si>
    <t>mit.ener.srv.die.e</t>
  </si>
  <si>
    <t>Energy consumption, non-ferrous metals, sector-generated renewables, policy</t>
  </si>
  <si>
    <t>mit.ener.mac.coa</t>
  </si>
  <si>
    <t>Fuel use | Machinery | Coal</t>
  </si>
  <si>
    <t>egy.mit.ener.mac.coa.1</t>
  </si>
  <si>
    <t>egy.mit.ener.mac.coa.3</t>
  </si>
  <si>
    <t>egy.mit.ener.mac.coa.4</t>
  </si>
  <si>
    <t>egy.mit.ener.mac.coa.5</t>
  </si>
  <si>
    <t>egy.mit.ener.mac.coa.6</t>
  </si>
  <si>
    <t>mit.ener.mac.nga</t>
  </si>
  <si>
    <t>Fuel use | Machinery | Natural gas</t>
  </si>
  <si>
    <t>egy.mit.ener.mac.nga.1</t>
  </si>
  <si>
    <t>egy.mit.ener.mac.nga.3</t>
  </si>
  <si>
    <t>egy.mit.ener.mac.nga.4</t>
  </si>
  <si>
    <t>egy.mit.ener.mac.nga.5</t>
  </si>
  <si>
    <t>egy.mit.ener.mac.nga.6</t>
  </si>
  <si>
    <t>mit.ener.mac.gso</t>
  </si>
  <si>
    <t>Fuel use | Machinery | Gasoline</t>
  </si>
  <si>
    <t>egy.mit.ener.mac.gso.1</t>
  </si>
  <si>
    <t>egy.mit.ener.mac.gso.3</t>
  </si>
  <si>
    <t>egy.mit.ener.mac.gso.4</t>
  </si>
  <si>
    <t>egy.mit.ener.mac.gso.5</t>
  </si>
  <si>
    <t>egy.mit.ener.mac.gso.6</t>
  </si>
  <si>
    <t>mit.ener.mac.die</t>
  </si>
  <si>
    <t>Fuel use | Machinery | Diesel</t>
  </si>
  <si>
    <t>egy.mit.ener.mac.die.1</t>
  </si>
  <si>
    <t>egy.mit.ener.mac.die.3</t>
  </si>
  <si>
    <t>egy.mit.ener.mac.die.4</t>
  </si>
  <si>
    <t>egy.mit.ener.mac.die.5</t>
  </si>
  <si>
    <t>egy.mit.ener.mac.die.6</t>
  </si>
  <si>
    <t>mit.ener.mac.lpg</t>
  </si>
  <si>
    <t>Fuel use | Machinery | LPG</t>
  </si>
  <si>
    <t>egy.mit.ener.mac.lpg.1</t>
  </si>
  <si>
    <t>egy.mit.ener.mac.lpg.3</t>
  </si>
  <si>
    <t>egy.mit.ener.mac.lpg.4</t>
  </si>
  <si>
    <t>egy.mit.ener.mac.lpg.5</t>
  </si>
  <si>
    <t>egy.mit.ener.mac.lpg.6</t>
  </si>
  <si>
    <t>mit.ener.mac.ker</t>
  </si>
  <si>
    <t>mit.ener.srv.tot.e</t>
  </si>
  <si>
    <t>Fuel use | Machinery | Kerosene</t>
  </si>
  <si>
    <t>egy.mit.ener.mac.ker.1</t>
  </si>
  <si>
    <t>egy.mit.ener.mac.ker.3</t>
  </si>
  <si>
    <t>egy.mit.ener.mac.ker.4</t>
  </si>
  <si>
    <t>egy.mit.ener.mac.ker.5</t>
  </si>
  <si>
    <t>egy.mit.ener.mac.ker.6</t>
  </si>
  <si>
    <t>mit.ener.mac.oop</t>
  </si>
  <si>
    <t>mit.ener.res.tot.e</t>
  </si>
  <si>
    <t>Fuel use | Machinery | Other oil products</t>
  </si>
  <si>
    <t>egy.mit.ener.mac.oop.1</t>
  </si>
  <si>
    <t>egy.mit.ener.mac.oop.3</t>
  </si>
  <si>
    <t>egy.mit.ener.mac.oop.4</t>
  </si>
  <si>
    <t>egy.mit.ener.mac.oop.5</t>
  </si>
  <si>
    <t>egy.mit.ener.mac.oop.6</t>
  </si>
  <si>
    <t>mit.ener.mac.bio</t>
  </si>
  <si>
    <t>Fuel use | Machinery | Biomass</t>
  </si>
  <si>
    <t>egy.mit.ener.mac.bio.1</t>
  </si>
  <si>
    <t>egy.mit.ener.mac.bio.3</t>
  </si>
  <si>
    <t>egy.mit.ener.mac.bio.4</t>
  </si>
  <si>
    <t>egy.mit.ener.mac.bio.5</t>
  </si>
  <si>
    <t>egy.mit.ener.mac.bio.6</t>
  </si>
  <si>
    <t>Energy consumption, machinery, sector-generated renewables, policy</t>
  </si>
  <si>
    <t>mit.ener.cem.coa</t>
  </si>
  <si>
    <t>mit.ener.mch.coa.e</t>
  </si>
  <si>
    <t>Fuel use | Cement | Coal</t>
  </si>
  <si>
    <t>egy.mit.ener.cem.coa.1</t>
  </si>
  <si>
    <t>egy.mit.ener.cem.coa.3</t>
  </si>
  <si>
    <t>egy.mit.ener.cem.coa.4</t>
  </si>
  <si>
    <t>egy.mit.ener.cem.coa.5</t>
  </si>
  <si>
    <t>egy.mit.ener.cem.coa.6</t>
  </si>
  <si>
    <t>mit.ener.cem.nga</t>
  </si>
  <si>
    <t>mit.ener.mch.nga.e</t>
  </si>
  <si>
    <t>Fuel use | Cement | Natural gas</t>
  </si>
  <si>
    <t>egy.mit.ener.cem.nga.1</t>
  </si>
  <si>
    <t>egy.mit.ener.cem.nga.3</t>
  </si>
  <si>
    <t>egy.mit.ener.cem.nga.4</t>
  </si>
  <si>
    <t>egy.mit.ener.cem.nga.5</t>
  </si>
  <si>
    <t>egy.mit.ener.cem.nga.6</t>
  </si>
  <si>
    <t>mit.ener.cem.gso</t>
  </si>
  <si>
    <t>mit.ener.mch.gso.e</t>
  </si>
  <si>
    <t>Fuel use | Cement | Gasoline</t>
  </si>
  <si>
    <t>egy.mit.ener.cem.gso.1</t>
  </si>
  <si>
    <t>egy.mit.ener.cem.gso.3</t>
  </si>
  <si>
    <t>egy.mit.ener.cem.gso.4</t>
  </si>
  <si>
    <t>egy.mit.ener.cem.gso.5</t>
  </si>
  <si>
    <t>egy.mit.ener.cem.gso.6</t>
  </si>
  <si>
    <t>mit.ener.cem.die</t>
  </si>
  <si>
    <t>mit.ener.mch.die.e</t>
  </si>
  <si>
    <t>Fuel use | Cement | Diesel</t>
  </si>
  <si>
    <t>egy.mit.ener.cem.die.1</t>
  </si>
  <si>
    <t>egy.mit.ener.cem.die.3</t>
  </si>
  <si>
    <t>egy.mit.ener.cem.die.4</t>
  </si>
  <si>
    <t>egy.mit.ener.cem.die.5</t>
  </si>
  <si>
    <t>egy.mit.ener.cem.die.6</t>
  </si>
  <si>
    <t>mit.ener.cem.lpg</t>
  </si>
  <si>
    <t>mit.ener.mch.lpg.e</t>
  </si>
  <si>
    <t>Fuel use | Cement | LPG</t>
  </si>
  <si>
    <t>egy.mit.ener.cem.lpg.1</t>
  </si>
  <si>
    <t>egy.mit.ener.cem.lpg.3</t>
  </si>
  <si>
    <t>egy.mit.ener.cem.lpg.4</t>
  </si>
  <si>
    <t>egy.mit.ener.cem.lpg.5</t>
  </si>
  <si>
    <t>egy.mit.ener.cem.lpg.6</t>
  </si>
  <si>
    <t>mit.ener.cem.ker</t>
  </si>
  <si>
    <t>mit.ener.mch.ker.e</t>
  </si>
  <si>
    <t>Fuel use | Cement | Kerosene</t>
  </si>
  <si>
    <t>egy.mit.ener.cem.ker.1</t>
  </si>
  <si>
    <t>egy.mit.ener.cem.ker.3</t>
  </si>
  <si>
    <t>egy.mit.ener.cem.ker.4</t>
  </si>
  <si>
    <t>egy.mit.ener.cem.ker.5</t>
  </si>
  <si>
    <t>egy.mit.ener.cem.ker.6</t>
  </si>
  <si>
    <t>mit.ener.cem.oop</t>
  </si>
  <si>
    <t>mit.ener.mch.oop.e</t>
  </si>
  <si>
    <t>Fuel use | Cement | Other oil products</t>
  </si>
  <si>
    <t>egy.mit.ener.cem.oop.1</t>
  </si>
  <si>
    <t>egy.mit.ener.cem.oop.3</t>
  </si>
  <si>
    <t>egy.mit.ener.cem.oop.4</t>
  </si>
  <si>
    <t>egy.mit.ener.cem.oop.5</t>
  </si>
  <si>
    <t>egy.mit.ener.cem.oop.6</t>
  </si>
  <si>
    <t>mit.ener.cem.bio</t>
  </si>
  <si>
    <t>mit.ener.mch.bio.e</t>
  </si>
  <si>
    <t>Fuel use | Cement | Biomass</t>
  </si>
  <si>
    <t>egy.mit.ener.cem.bio.1</t>
  </si>
  <si>
    <t>egy.mit.ener.cem.bio.3</t>
  </si>
  <si>
    <t>egy.mit.ener.cem.bio.4</t>
  </si>
  <si>
    <t>egy.mit.ener.cem.bio.5</t>
  </si>
  <si>
    <t>egy.mit.ener.cem.bio.6</t>
  </si>
  <si>
    <t>mit.ener.mch.ren.e</t>
  </si>
  <si>
    <t>Energy consumption, cement, sector-generated renewables, policy</t>
  </si>
  <si>
    <t>mit.ener.omn.coa</t>
  </si>
  <si>
    <t>mit.ener.irn.coa.e</t>
  </si>
  <si>
    <t>Fuel use | Other manufacturing | Coal</t>
  </si>
  <si>
    <t>egy.mit.ener.omn.coa.1</t>
  </si>
  <si>
    <t>egy.mit.ener.omn.coa.3</t>
  </si>
  <si>
    <t>egy.mit.ener.omn.coa.4</t>
  </si>
  <si>
    <t>egy.mit.ener.omn.coa.5</t>
  </si>
  <si>
    <t>egy.mit.ener.omn.coa.6</t>
  </si>
  <si>
    <t>mit.ener.omn.nga</t>
  </si>
  <si>
    <t>mit.ener.irn.nga.e</t>
  </si>
  <si>
    <t>Fuel use | Other manufacturing | Natural gas</t>
  </si>
  <si>
    <t>egy.mit.ener.omn.nga.1</t>
  </si>
  <si>
    <t>egy.mit.ener.omn.nga.3</t>
  </si>
  <si>
    <t>egy.mit.ener.omn.nga.4</t>
  </si>
  <si>
    <t>egy.mit.ener.omn.nga.5</t>
  </si>
  <si>
    <t>egy.mit.ener.omn.nga.6</t>
  </si>
  <si>
    <t>mit.ener.omn.gso</t>
  </si>
  <si>
    <t>mit.ener.irn.gso.e</t>
  </si>
  <si>
    <t>Fuel use | Other manufacturing | Gasoline</t>
  </si>
  <si>
    <t>egy.mit.ener.omn.gso.1</t>
  </si>
  <si>
    <t>egy.mit.ener.omn.gso.3</t>
  </si>
  <si>
    <t>egy.mit.ener.omn.gso.4</t>
  </si>
  <si>
    <t>egy.mit.ener.omn.gso.5</t>
  </si>
  <si>
    <t>egy.mit.ener.omn.gso.6</t>
  </si>
  <si>
    <t>mit.ener.omn.die</t>
  </si>
  <si>
    <t>mit.ener.irn.die.e</t>
  </si>
  <si>
    <t>Fuel use | Other manufacturing | Diesel</t>
  </si>
  <si>
    <t>egy.mit.ener.omn.die.1</t>
  </si>
  <si>
    <t>egy.mit.ener.omn.die.3</t>
  </si>
  <si>
    <t>egy.mit.ener.omn.die.4</t>
  </si>
  <si>
    <t>egy.mit.ener.omn.die.5</t>
  </si>
  <si>
    <t>egy.mit.ener.omn.die.6</t>
  </si>
  <si>
    <t>mit.ener.omn.lpg</t>
  </si>
  <si>
    <t>mit.ener.irn.lpg.e</t>
  </si>
  <si>
    <t>Fuel use | Other manufacturing | LPG</t>
  </si>
  <si>
    <t>egy.mit.ener.omn.lpg.1</t>
  </si>
  <si>
    <t>egy.mit.ener.omn.lpg.3</t>
  </si>
  <si>
    <t>egy.mit.ener.omn.lpg.4</t>
  </si>
  <si>
    <t>egy.mit.ener.omn.lpg.5</t>
  </si>
  <si>
    <t>egy.mit.ener.omn.lpg.6</t>
  </si>
  <si>
    <t>mit.ener.omn.ker</t>
  </si>
  <si>
    <t>mit.ener.irn.ker.e</t>
  </si>
  <si>
    <t>Fuel use | Other manufacturing | Kerosene</t>
  </si>
  <si>
    <t>egy.mit.ener.omn.ker.1</t>
  </si>
  <si>
    <t>egy.mit.ener.omn.ker.3</t>
  </si>
  <si>
    <t>egy.mit.ener.omn.ker.4</t>
  </si>
  <si>
    <t>egy.mit.ener.omn.ker.5</t>
  </si>
  <si>
    <t>egy.mit.ener.omn.ker.6</t>
  </si>
  <si>
    <t>mit.ener.omn.oop</t>
  </si>
  <si>
    <t>mit.ener.irn.oop.e</t>
  </si>
  <si>
    <t>Fuel use | Other manufacturing | Other oil products</t>
  </si>
  <si>
    <t>egy.mit.ener.omn.oop.1</t>
  </si>
  <si>
    <t>egy.mit.ener.omn.oop.3</t>
  </si>
  <si>
    <t>egy.mit.ener.omn.oop.4</t>
  </si>
  <si>
    <t>egy.mit.ener.omn.oop.5</t>
  </si>
  <si>
    <t>egy.mit.ener.omn.oop.6</t>
  </si>
  <si>
    <t>mit.ener.omn.bio</t>
  </si>
  <si>
    <t>mit.ener.irn.bio.e</t>
  </si>
  <si>
    <t>Fuel use | Other manufacturing | Biomass</t>
  </si>
  <si>
    <t>egy.mit.ener.omn.bio.1</t>
  </si>
  <si>
    <t>egy.mit.ener.omn.bio.3</t>
  </si>
  <si>
    <t>egy.mit.ener.omn.bio.4</t>
  </si>
  <si>
    <t>egy.mit.ener.omn.bio.5</t>
  </si>
  <si>
    <t>egy.mit.ener.omn.bio.6</t>
  </si>
  <si>
    <t>mit.ener.irn.ren.e</t>
  </si>
  <si>
    <t>Energy consumption, other manufacturing, sector-generated renewables, policy</t>
  </si>
  <si>
    <t>mit.ener.cst.coa</t>
  </si>
  <si>
    <t>mit.ener.nfm.coa.e</t>
  </si>
  <si>
    <t>Fuel use | Construction | Coal</t>
  </si>
  <si>
    <t>egy.mit.ener.cst.coa.1</t>
  </si>
  <si>
    <t>egy.mit.ener.cst.coa.3</t>
  </si>
  <si>
    <t>egy.mit.ener.cst.coa.4</t>
  </si>
  <si>
    <t>egy.mit.ener.cst.coa.5</t>
  </si>
  <si>
    <t>egy.mit.ener.cst.coa.6</t>
  </si>
  <si>
    <t>mit.ener.cst.nga</t>
  </si>
  <si>
    <t>mit.ener.nfm.nga.e</t>
  </si>
  <si>
    <t>Fuel use | Construction | Natural gas</t>
  </si>
  <si>
    <t>egy.mit.ener.cst.nga.1</t>
  </si>
  <si>
    <t>egy.mit.ener.cst.nga.3</t>
  </si>
  <si>
    <t>egy.mit.ener.cst.nga.4</t>
  </si>
  <si>
    <t>egy.mit.ener.cst.nga.5</t>
  </si>
  <si>
    <t>egy.mit.ener.cst.nga.6</t>
  </si>
  <si>
    <t>mit.ener.cst.gso</t>
  </si>
  <si>
    <t>mit.ener.nfm.gso.e</t>
  </si>
  <si>
    <t>Fuel use | Construction | Gasoline</t>
  </si>
  <si>
    <t>egy.mit.ener.cst.gso.1</t>
  </si>
  <si>
    <t>egy.mit.ener.cst.gso.3</t>
  </si>
  <si>
    <t>egy.mit.ener.cst.gso.4</t>
  </si>
  <si>
    <t>egy.mit.ener.cst.gso.5</t>
  </si>
  <si>
    <t>egy.mit.ener.cst.gso.6</t>
  </si>
  <si>
    <t>mit.ener.cst.die</t>
  </si>
  <si>
    <t>mit.ener.nfm.die.e</t>
  </si>
  <si>
    <t>Fuel use | Construction | Diesel</t>
  </si>
  <si>
    <t>egy.mit.ener.cst.die.1</t>
  </si>
  <si>
    <t>egy.mit.ener.cst.die.3</t>
  </si>
  <si>
    <t>egy.mit.ener.cst.die.4</t>
  </si>
  <si>
    <t>egy.mit.ener.cst.die.5</t>
  </si>
  <si>
    <t>egy.mit.ener.cst.die.6</t>
  </si>
  <si>
    <t>mit.ener.cst.lpg</t>
  </si>
  <si>
    <t>mit.ener.nfm.lpg.e</t>
  </si>
  <si>
    <t>Fuel use | Construction | LPG</t>
  </si>
  <si>
    <t>egy.mit.ener.cst.lpg.1</t>
  </si>
  <si>
    <t>egy.mit.ener.cst.lpg.3</t>
  </si>
  <si>
    <t>egy.mit.ener.cst.lpg.4</t>
  </si>
  <si>
    <t>egy.mit.ener.cst.lpg.5</t>
  </si>
  <si>
    <t>egy.mit.ener.cst.lpg.6</t>
  </si>
  <si>
    <t>mit.ener.cst.ker</t>
  </si>
  <si>
    <t>mit.ener.nfm.ker.e</t>
  </si>
  <si>
    <t>Fuel use | Construction | Kerosene</t>
  </si>
  <si>
    <t>egy.mit.ener.cst.ker.1</t>
  </si>
  <si>
    <t>egy.mit.ener.cst.ker.3</t>
  </si>
  <si>
    <t>egy.mit.ener.cst.ker.4</t>
  </si>
  <si>
    <t>egy.mit.ener.cst.ker.5</t>
  </si>
  <si>
    <t>egy.mit.ener.cst.ker.6</t>
  </si>
  <si>
    <t>mit.ener.cst.oop</t>
  </si>
  <si>
    <t>mit.ener.nfm.oop.e</t>
  </si>
  <si>
    <t>Fuel use | Construction | Other oil products</t>
  </si>
  <si>
    <t>egy.mit.ener.cst.oop.1</t>
  </si>
  <si>
    <t>egy.mit.ener.cst.oop.3</t>
  </si>
  <si>
    <t>egy.mit.ener.cst.oop.4</t>
  </si>
  <si>
    <t>egy.mit.ener.cst.oop.5</t>
  </si>
  <si>
    <t>egy.mit.ener.cst.oop.6</t>
  </si>
  <si>
    <t>mit.ener.cst.bio</t>
  </si>
  <si>
    <t>mit.ener.nfm.bio.e</t>
  </si>
  <si>
    <t>Fuel use | Construction | Biomass</t>
  </si>
  <si>
    <t>egy.mit.ener.cst.bio.1</t>
  </si>
  <si>
    <t>egy.mit.ener.cst.bio.3</t>
  </si>
  <si>
    <t>egy.mit.ener.cst.bio.4</t>
  </si>
  <si>
    <t>egy.mit.ener.cst.bio.5</t>
  </si>
  <si>
    <t>egy.mit.ener.cst.bio.6</t>
  </si>
  <si>
    <t>mit.ener.nfm.ren.e</t>
  </si>
  <si>
    <t>Energy consumption, construction, sector-generated renewables, policy</t>
  </si>
  <si>
    <t>mit.ener.ftr.coa</t>
  </si>
  <si>
    <t>mit.ener.mac.coa.e</t>
  </si>
  <si>
    <t>Fuel use | Fuel transformation | Coal</t>
  </si>
  <si>
    <t>egy.mit.ener.ftr.coa.1</t>
  </si>
  <si>
    <t>egy.mit.ener.ftr.coa.3</t>
  </si>
  <si>
    <t>egy.mit.ener.ftr.coa.4</t>
  </si>
  <si>
    <t>egy.mit.ener.ftr.coa.5</t>
  </si>
  <si>
    <t>egy.mit.ener.ftr.coa.6</t>
  </si>
  <si>
    <t>mit.ener.ftr.nga</t>
  </si>
  <si>
    <t>mit.ener.mac.nga.e</t>
  </si>
  <si>
    <t>Fuel use | Fuel transformation | Natural gas</t>
  </si>
  <si>
    <t>egy.mit.ener.ftr.nga.1</t>
  </si>
  <si>
    <t>egy.mit.ener.ftr.nga.3</t>
  </si>
  <si>
    <t>egy.mit.ener.ftr.nga.4</t>
  </si>
  <si>
    <t>egy.mit.ener.ftr.nga.5</t>
  </si>
  <si>
    <t>egy.mit.ener.ftr.nga.6</t>
  </si>
  <si>
    <t>mit.ener.ftr.gso</t>
  </si>
  <si>
    <t>mit.ener.mac.gso.e</t>
  </si>
  <si>
    <t>Fuel use | Fuel transformation | Gasoline</t>
  </si>
  <si>
    <t>egy.mit.ener.ftr.gso.1</t>
  </si>
  <si>
    <t>egy.mit.ener.ftr.gso.3</t>
  </si>
  <si>
    <t>egy.mit.ener.ftr.gso.4</t>
  </si>
  <si>
    <t>egy.mit.ener.ftr.gso.5</t>
  </si>
  <si>
    <t>egy.mit.ener.ftr.gso.6</t>
  </si>
  <si>
    <t>mit.ener.ftr.die</t>
  </si>
  <si>
    <t>mit.ener.mac.die.e</t>
  </si>
  <si>
    <t>Fuel use | Fuel transformation | Diesel</t>
  </si>
  <si>
    <t>egy.mit.ener.ftr.die.1</t>
  </si>
  <si>
    <t>egy.mit.ener.ftr.die.3</t>
  </si>
  <si>
    <t>egy.mit.ener.ftr.die.4</t>
  </si>
  <si>
    <t>egy.mit.ener.ftr.die.5</t>
  </si>
  <si>
    <t>egy.mit.ener.ftr.die.6</t>
  </si>
  <si>
    <t>mit.ener.ftr.lpg</t>
  </si>
  <si>
    <t>mit.ener.mac.lpg.e</t>
  </si>
  <si>
    <t>Fuel use | Fuel transformation | LPG</t>
  </si>
  <si>
    <t>egy.mit.ener.ftr.lpg.1</t>
  </si>
  <si>
    <t>egy.mit.ener.ftr.lpg.3</t>
  </si>
  <si>
    <t>egy.mit.ener.ftr.lpg.4</t>
  </si>
  <si>
    <t>egy.mit.ener.ftr.lpg.5</t>
  </si>
  <si>
    <t>egy.mit.ener.ftr.lpg.6</t>
  </si>
  <si>
    <t>mit.ener.ftr.ker</t>
  </si>
  <si>
    <t>mit.ener.mac.ker.e</t>
  </si>
  <si>
    <t>Fuel use | Fuel transformation | Kerosene</t>
  </si>
  <si>
    <t>egy.mit.ener.ftr.ker.1</t>
  </si>
  <si>
    <t>egy.mit.ener.ftr.ker.3</t>
  </si>
  <si>
    <t>egy.mit.ener.ftr.ker.4</t>
  </si>
  <si>
    <t>egy.mit.ener.ftr.ker.5</t>
  </si>
  <si>
    <t>egy.mit.ener.ftr.ker.6</t>
  </si>
  <si>
    <t>mit.ener.ftr.oop</t>
  </si>
  <si>
    <t>mit.ener.mac.oop.e</t>
  </si>
  <si>
    <t>Fuel use | Fuel transformation | Other oil products</t>
  </si>
  <si>
    <t>egy.mit.ener.ftr.oop.1</t>
  </si>
  <si>
    <t>egy.mit.ener.ftr.oop.3</t>
  </si>
  <si>
    <t>egy.mit.ener.ftr.oop.4</t>
  </si>
  <si>
    <t>egy.mit.ener.ftr.oop.5</t>
  </si>
  <si>
    <t>egy.mit.ener.ftr.oop.6</t>
  </si>
  <si>
    <t>mit.ener.ftr.bio</t>
  </si>
  <si>
    <t>mit.ener.mac.bio.e</t>
  </si>
  <si>
    <t>Fuel use | Fuel transformation | Biomass</t>
  </si>
  <si>
    <t>egy.mit.ener.ftr.bio.1</t>
  </si>
  <si>
    <t>egy.mit.ener.ftr.bio.3</t>
  </si>
  <si>
    <t>egy.mit.ener.ftr.bio.4</t>
  </si>
  <si>
    <t>egy.mit.ener.ftr.bio.5</t>
  </si>
  <si>
    <t>egy.mit.ener.ftr.bio.6</t>
  </si>
  <si>
    <t>mit.ener.mac.ren.e</t>
  </si>
  <si>
    <t>Energy consumption, fuel transformation &amp; transportation, sector-generated renewables, policy</t>
  </si>
  <si>
    <t>mit.demtot</t>
  </si>
  <si>
    <t>mit.ener.foo.ecy.t</t>
  </si>
  <si>
    <t>Electricity demand, total</t>
  </si>
  <si>
    <t>egy.mit.demtot.1</t>
  </si>
  <si>
    <t>egy.mit.demtot.3</t>
  </si>
  <si>
    <t>egy.mit.demtot.4</t>
  </si>
  <si>
    <t>egy.mit.demtot.5</t>
  </si>
  <si>
    <t>egy.mit.demtot.6</t>
  </si>
  <si>
    <t>mit.dem.rod.ecy</t>
  </si>
  <si>
    <t>Electricity demand | Road | Electricity</t>
  </si>
  <si>
    <t>egy.mit.dem.rod.ecy.1</t>
  </si>
  <si>
    <t>egy.mit.dem.rod.ecy.3</t>
  </si>
  <si>
    <t>egy.mit.dem.rod.ecy.4</t>
  </si>
  <si>
    <t>egy.mit.dem.rod.ecy.5</t>
  </si>
  <si>
    <t>egy.mit.dem.rod.ecy.6</t>
  </si>
  <si>
    <t>mit.dem.ral.ecy</t>
  </si>
  <si>
    <t>Electricity demand | Rail | Electricity</t>
  </si>
  <si>
    <t>egy.mit.dem.ral.ecy.1</t>
  </si>
  <si>
    <t>egy.mit.dem.ral.ecy.3</t>
  </si>
  <si>
    <t>egy.mit.dem.ral.ecy.4</t>
  </si>
  <si>
    <t>egy.mit.dem.ral.ecy.5</t>
  </si>
  <si>
    <t>egy.mit.dem.ral.ecy.6</t>
  </si>
  <si>
    <t>mit.dem.avi.ecy</t>
  </si>
  <si>
    <t>Electricity demand | Domestic aviation | Electricity</t>
  </si>
  <si>
    <t>egy.mit.dem.avi.ecy.1</t>
  </si>
  <si>
    <t>egy.mit.dem.avi.ecy.3</t>
  </si>
  <si>
    <t>egy.mit.dem.avi.ecy.4</t>
  </si>
  <si>
    <t>egy.mit.dem.avi.ecy.5</t>
  </si>
  <si>
    <t>egy.mit.dem.avi.ecy.6</t>
  </si>
  <si>
    <t>mit.dem.nav.ecy</t>
  </si>
  <si>
    <t>Electricity demand | Domestic navigation | Electricity</t>
  </si>
  <si>
    <t>egy.mit.dem.nav.ecy.1</t>
  </si>
  <si>
    <t>egy.mit.dem.nav.ecy.3</t>
  </si>
  <si>
    <t>egy.mit.dem.nav.ecy.4</t>
  </si>
  <si>
    <t>egy.mit.dem.nav.ecy.5</t>
  </si>
  <si>
    <t>egy.mit.dem.nav.ecy.6</t>
  </si>
  <si>
    <t>mit.dem.res.ecy</t>
  </si>
  <si>
    <t>Electricity demand | Residential | Electricity</t>
  </si>
  <si>
    <t>egy.mit.dem.res.ecy.1</t>
  </si>
  <si>
    <t>egy.mit.dem.res.ecy.3</t>
  </si>
  <si>
    <t>egy.mit.dem.res.ecy.4</t>
  </si>
  <si>
    <t>egy.mit.dem.res.ecy.5</t>
  </si>
  <si>
    <t>egy.mit.dem.res.ecy.6</t>
  </si>
  <si>
    <t>mit.dem.foo.ecy</t>
  </si>
  <si>
    <t>mit.nxp.ecy</t>
  </si>
  <si>
    <t>Electricity demand | Food &amp; forestry | Electricity</t>
  </si>
  <si>
    <t>egy.mit.dem.foo.ecy.1</t>
  </si>
  <si>
    <t>egy.mit.dem.foo.ecy.3</t>
  </si>
  <si>
    <t>egy.mit.dem.foo.ecy.4</t>
  </si>
  <si>
    <t>egy.mit.dem.foo.ecy.5</t>
  </si>
  <si>
    <t>egy.mit.dem.foo.ecy.6</t>
  </si>
  <si>
    <t>mit.dem.srv.ecy</t>
  </si>
  <si>
    <t>mit.tsd.ecy</t>
  </si>
  <si>
    <t>Electricity demand | Services (public &amp; private) | Electricity</t>
  </si>
  <si>
    <t>egy.mit.dem.srv.ecy.1</t>
  </si>
  <si>
    <t>egy.mit.dem.srv.ecy.3</t>
  </si>
  <si>
    <t>egy.mit.dem.srv.ecy.4</t>
  </si>
  <si>
    <t>egy.mit.dem.srv.ecy.5</t>
  </si>
  <si>
    <t>egy.mit.dem.srv.ecy.6</t>
  </si>
  <si>
    <t>mit.dem.mch.ecy</t>
  </si>
  <si>
    <t>mit.eou.ecy</t>
  </si>
  <si>
    <t>Electricity demand | Mining &amp; chemicals | Electricity</t>
  </si>
  <si>
    <t>egy.mit.dem.mch.ecy.1</t>
  </si>
  <si>
    <t>egy.mit.dem.mch.ecy.3</t>
  </si>
  <si>
    <t>egy.mit.dem.mch.ecy.4</t>
  </si>
  <si>
    <t>egy.mit.dem.mch.ecy.5</t>
  </si>
  <si>
    <t>egy.mit.dem.mch.ecy.6</t>
  </si>
  <si>
    <t>mit.dem.irn.ecy</t>
  </si>
  <si>
    <t>Electricity demand | Iron &amp; steel | Electricity</t>
  </si>
  <si>
    <t>egy.mit.dem.irn.ecy.1</t>
  </si>
  <si>
    <t>egy.mit.dem.irn.ecy.3</t>
  </si>
  <si>
    <t>egy.mit.dem.irn.ecy.4</t>
  </si>
  <si>
    <t>egy.mit.dem.irn.ecy.5</t>
  </si>
  <si>
    <t>egy.mit.dem.irn.ecy.6</t>
  </si>
  <si>
    <t>mit.dem.nfm.ecy</t>
  </si>
  <si>
    <t>Electricity demand | Other metals | Electricity</t>
  </si>
  <si>
    <t>egy.mit.dem.nfm.ecy.1</t>
  </si>
  <si>
    <t>egy.mit.dem.nfm.ecy.3</t>
  </si>
  <si>
    <t>egy.mit.dem.nfm.ecy.4</t>
  </si>
  <si>
    <t>egy.mit.dem.nfm.ecy.5</t>
  </si>
  <si>
    <t>egy.mit.dem.nfm.ecy.6</t>
  </si>
  <si>
    <t>mit.dem.mac.ecy</t>
  </si>
  <si>
    <t>Electricity demand | Machinery | Electricity</t>
  </si>
  <si>
    <t>egy.mit.dem.mac.ecy.1</t>
  </si>
  <si>
    <t>egy.mit.dem.mac.ecy.3</t>
  </si>
  <si>
    <t>egy.mit.dem.mac.ecy.4</t>
  </si>
  <si>
    <t>egy.mit.dem.mac.ecy.5</t>
  </si>
  <si>
    <t>egy.mit.dem.mac.ecy.6</t>
  </si>
  <si>
    <t>mit.dem.cem.ecy</t>
  </si>
  <si>
    <t>mit.ener.rod.ecy.t</t>
  </si>
  <si>
    <t>Electricity demand | Cement | Electricity</t>
  </si>
  <si>
    <t>egy.mit.dem.cem.ecy.1</t>
  </si>
  <si>
    <t>egy.mit.dem.cem.ecy.3</t>
  </si>
  <si>
    <t>egy.mit.dem.cem.ecy.4</t>
  </si>
  <si>
    <t>egy.mit.dem.cem.ecy.5</t>
  </si>
  <si>
    <t>egy.mit.dem.cem.ecy.6</t>
  </si>
  <si>
    <t>mit.dem.omn.ecy</t>
  </si>
  <si>
    <t>mit.ener.ral.ecy.t</t>
  </si>
  <si>
    <t>Electricity demand | Other manufacturing | Electricity</t>
  </si>
  <si>
    <t>egy.mit.dem.omn.ecy.1</t>
  </si>
  <si>
    <t>egy.mit.dem.omn.ecy.3</t>
  </si>
  <si>
    <t>egy.mit.dem.omn.ecy.4</t>
  </si>
  <si>
    <t>egy.mit.dem.omn.ecy.5</t>
  </si>
  <si>
    <t>egy.mit.dem.omn.ecy.6</t>
  </si>
  <si>
    <t>mit.dem.cst.ecy</t>
  </si>
  <si>
    <t>mit.ener.avi.ecy.t</t>
  </si>
  <si>
    <t>Electricity demand | Construction | Electricity</t>
  </si>
  <si>
    <t>egy.mit.dem.cst.ecy.1</t>
  </si>
  <si>
    <t>egy.mit.dem.cst.ecy.3</t>
  </si>
  <si>
    <t>egy.mit.dem.cst.ecy.4</t>
  </si>
  <si>
    <t>egy.mit.dem.cst.ecy.5</t>
  </si>
  <si>
    <t>egy.mit.dem.cst.ecy.6</t>
  </si>
  <si>
    <t>Electricity consumption, fuel transformation &amp; transportation, electricity, policy</t>
  </si>
  <si>
    <t>mit.dem.oen.ecy</t>
  </si>
  <si>
    <t>mit.ener.nav.ecy.t</t>
  </si>
  <si>
    <t>Electricity demand | Other energy use | Electricity</t>
  </si>
  <si>
    <t>egy.mit.dem.oen.ecy.1</t>
  </si>
  <si>
    <t>egy.mit.dem.oen.ecy.3</t>
  </si>
  <si>
    <t>egy.mit.dem.oen.ecy.4</t>
  </si>
  <si>
    <t>egy.mit.dem.oen.ecy.5</t>
  </si>
  <si>
    <t>egy.mit.dem.oen.ecy.6</t>
  </si>
  <si>
    <t>mit.ener.srv.ecy.t</t>
  </si>
  <si>
    <t>Energy consumption, electricity, net exports</t>
  </si>
  <si>
    <t>mit.ener.pow.all</t>
  </si>
  <si>
    <t>Fuel use | Power | All fuels</t>
  </si>
  <si>
    <t>egy.mit.ener.pow.all.1</t>
  </si>
  <si>
    <t>egy.mit.ener.pow.all.3</t>
  </si>
  <si>
    <t>egy.mit.ener.pow.all.4</t>
  </si>
  <si>
    <t>egy.mit.ener.pow.all.5</t>
  </si>
  <si>
    <t>egy.mit.ener.pow.all.6</t>
  </si>
  <si>
    <t>mit.pe.pow.wnd</t>
  </si>
  <si>
    <t>Fuel use (primary energy) of power generation | Power | Wind</t>
  </si>
  <si>
    <t>egy.mit.pe.pow.wnd.1</t>
  </si>
  <si>
    <t>egy.mit.pe.pow.wnd.3</t>
  </si>
  <si>
    <t>egy.mit.pe.pow.wnd.4</t>
  </si>
  <si>
    <t>egy.mit.pe.pow.wnd.5</t>
  </si>
  <si>
    <t>egy.mit.pe.pow.wnd.6</t>
  </si>
  <si>
    <t>mit.pe.pow.sol</t>
  </si>
  <si>
    <t>Fuel use (primary energy) of power generation | Power | Solar</t>
  </si>
  <si>
    <t>egy.mit.pe.pow.sol.1</t>
  </si>
  <si>
    <t>egy.mit.pe.pow.sol.3</t>
  </si>
  <si>
    <t>egy.mit.pe.pow.sol.4</t>
  </si>
  <si>
    <t>egy.mit.pe.pow.sol.5</t>
  </si>
  <si>
    <t>egy.mit.pe.pow.sol.6</t>
  </si>
  <si>
    <t>mit.pe.pow.hyd</t>
  </si>
  <si>
    <t>Fuel use (primary energy) of power generation | Power | Hydro</t>
  </si>
  <si>
    <t>egy.mit.pe.pow.hyd.1</t>
  </si>
  <si>
    <t>egy.mit.pe.pow.hyd.3</t>
  </si>
  <si>
    <t>egy.mit.pe.pow.hyd.4</t>
  </si>
  <si>
    <t>egy.mit.pe.pow.hyd.5</t>
  </si>
  <si>
    <t>egy.mit.pe.pow.hyd.6</t>
  </si>
  <si>
    <t>mit.pe.pow.ore</t>
  </si>
  <si>
    <t>Fuel use (primary energy) of power generation | Power | Other renewables</t>
  </si>
  <si>
    <t>egy.mit.pe.pow.ore.1</t>
  </si>
  <si>
    <t>egy.mit.pe.pow.ore.3</t>
  </si>
  <si>
    <t>egy.mit.pe.pow.ore.4</t>
  </si>
  <si>
    <t>egy.mit.pe.pow.ore.5</t>
  </si>
  <si>
    <t>egy.mit.pe.pow.ore.6</t>
  </si>
  <si>
    <t>Fossil fuel consumption by sector, Power, elasticity, policy (ktoe)</t>
  </si>
  <si>
    <t>Energy consumption, power, coal, policy</t>
  </si>
  <si>
    <t>Energy consumption, power, natural gas, policy</t>
  </si>
  <si>
    <t>Energy consumption, power, other oil products, policy</t>
  </si>
  <si>
    <t>mit.ener.em.ngaoil.e</t>
  </si>
  <si>
    <t>Energy consumption, power, nuclear, policy</t>
  </si>
  <si>
    <t>Energy consumption, power, wind, policy</t>
  </si>
  <si>
    <t>Energy consumption, power, solar, policy</t>
  </si>
  <si>
    <t>mit.ener.em.coa.e</t>
  </si>
  <si>
    <t>Energy consumption, power, hydro, policy</t>
  </si>
  <si>
    <t>Energy consumption, power, other sector-generated renewables, policy</t>
  </si>
  <si>
    <t>Energy consumption, power, biomass, policy</t>
  </si>
  <si>
    <t>Fossil fuel consumption by sector, Power, average, policy (ktoe)</t>
  </si>
  <si>
    <t>Revenues</t>
  </si>
  <si>
    <t>Fiscal revenues, coal, baseline</t>
  </si>
  <si>
    <t>usd</t>
  </si>
  <si>
    <t>Fiscal revenues, natural gas, baseline</t>
  </si>
  <si>
    <t>Fiscal revenues, non-road oil, baseline</t>
  </si>
  <si>
    <t>Fiscal revenues, gasoline, baseline</t>
  </si>
  <si>
    <t>Fiscal revenues, diesel, baseline</t>
  </si>
  <si>
    <t>Fiscal revenues, lpg &amp; kerosene, baseline</t>
  </si>
  <si>
    <t>mit.rev.new.coa.usd</t>
  </si>
  <si>
    <t>Fiscal revenues, coal, policy</t>
  </si>
  <si>
    <t>mit.rev.new.nga.usd</t>
  </si>
  <si>
    <t>Fiscal revenues, natural gas, policy</t>
  </si>
  <si>
    <t>mit.rev.new.oil.usd</t>
  </si>
  <si>
    <t>Fiscal revenues, non-road oil, policy</t>
  </si>
  <si>
    <t>mit.rev.new.gso.usd</t>
  </si>
  <si>
    <t>Fiscal revenues, gasoline, policy</t>
  </si>
  <si>
    <t>mit.rev.new.die.usd</t>
  </si>
  <si>
    <t>Fiscal revenues, diesel, policy</t>
  </si>
  <si>
    <t>mit.rev.new.lpk.usd</t>
  </si>
  <si>
    <t>Fiscal revenues, lpg &amp; kerosene, policy</t>
  </si>
  <si>
    <t>mit.rev.usd.tot.coa</t>
  </si>
  <si>
    <t>mit.rev.tot.coa.usd</t>
  </si>
  <si>
    <t>Revenue by fuel net of subsidies: final use (fuels), electricity (VAT, subsidy gap, VAT on new policies) | All sectors | Coal</t>
  </si>
  <si>
    <t>egy.mit.rev.usd.tot.coa.1</t>
  </si>
  <si>
    <t>egy.mit.rev.usd.tot.coa.3</t>
  </si>
  <si>
    <t>egy.mit.rev.usd.tot.coa.4</t>
  </si>
  <si>
    <t>egy.mit.rev.usd.tot.coa.5</t>
  </si>
  <si>
    <t>egy.mit.rev.usd.tot.coa.6</t>
  </si>
  <si>
    <t>mit.rev.usd.tot.nga</t>
  </si>
  <si>
    <t>mit.rev.tot.nga.usd</t>
  </si>
  <si>
    <t>Revenue by fuel net of subsidies: final use (fuels), electricity (VAT, subsidy gap, VAT on new policies) | All sectors | Natural gas</t>
  </si>
  <si>
    <t>egy.mit.rev.usd.tot.nga.1</t>
  </si>
  <si>
    <t>egy.mit.rev.usd.tot.nga.3</t>
  </si>
  <si>
    <t>egy.mit.rev.usd.tot.nga.4</t>
  </si>
  <si>
    <t>egy.mit.rev.usd.tot.nga.5</t>
  </si>
  <si>
    <t>egy.mit.rev.usd.tot.nga.6</t>
  </si>
  <si>
    <t>mit.rev.usd.tot.oop</t>
  </si>
  <si>
    <t>mit.rev.tot.oil.usd</t>
  </si>
  <si>
    <t>Revenue by fuel net of subsidies: final use (fuels), electricity (VAT, subsidy gap, VAT on new policies) | All sectors | Other oil products</t>
  </si>
  <si>
    <t>egy.mit.rev.usd.tot.oop.1</t>
  </si>
  <si>
    <t>egy.mit.rev.usd.tot.oop.3</t>
  </si>
  <si>
    <t>egy.mit.rev.usd.tot.oop.4</t>
  </si>
  <si>
    <t>egy.mit.rev.usd.tot.oop.5</t>
  </si>
  <si>
    <t>egy.mit.rev.usd.tot.oop.6</t>
  </si>
  <si>
    <t>mit.rev.usd.tot.gso</t>
  </si>
  <si>
    <t>mit.rev.tot.gso.usd</t>
  </si>
  <si>
    <t>Revenue by fuel net of subsidies: final use (fuels), electricity (VAT, subsidy gap, VAT on new policies) | All sectors | Gasoline</t>
  </si>
  <si>
    <t>egy.mit.rev.usd.tot.gso.1</t>
  </si>
  <si>
    <t>egy.mit.rev.usd.tot.gso.3</t>
  </si>
  <si>
    <t>egy.mit.rev.usd.tot.gso.4</t>
  </si>
  <si>
    <t>egy.mit.rev.usd.tot.gso.5</t>
  </si>
  <si>
    <t>egy.mit.rev.usd.tot.gso.6</t>
  </si>
  <si>
    <t>mit.rev.usd.tot.die</t>
  </si>
  <si>
    <t>mit.rev.tot.die.usd</t>
  </si>
  <si>
    <t>Revenue by fuel net of subsidies: final use (fuels), electricity (VAT, subsidy gap, VAT on new policies) | All sectors | Diesel</t>
  </si>
  <si>
    <t>egy.mit.rev.usd.tot.die.1</t>
  </si>
  <si>
    <t>egy.mit.rev.usd.tot.die.3</t>
  </si>
  <si>
    <t>egy.mit.rev.usd.tot.die.4</t>
  </si>
  <si>
    <t>egy.mit.rev.usd.tot.die.5</t>
  </si>
  <si>
    <t>egy.mit.rev.usd.tot.die.6</t>
  </si>
  <si>
    <t>mit.rev.tot.lpk.usd</t>
  </si>
  <si>
    <t>Additional fiscal revenues , lpg &amp; kerosene, baseline</t>
  </si>
  <si>
    <t>mit.rpol.tot.ren</t>
  </si>
  <si>
    <t>mit.sub.ren.usd</t>
  </si>
  <si>
    <t xml:space="preserve">Total revenue by policy (12e, legacy rows 8016-8027): ct new carbon tax, exc new excise, exi existing taxes and subsidies, vat VAT, ets auctioned ETS, psu producer subsidies (electricity subsidy gap), ren renewable subsidies, mf methane fee, trs transport; ctp, etp: of which power | All sectors | </t>
  </si>
  <si>
    <t>egy.mit.rpol.tot.ren.1</t>
  </si>
  <si>
    <t>egy.mit.rpol.tot.ren.3</t>
  </si>
  <si>
    <t>egy.mit.rpol.tot.ren.4</t>
  </si>
  <si>
    <t>egy.mit.rpol.tot.ren.5</t>
  </si>
  <si>
    <t>egy.mit.rpol.tot.ren.6</t>
  </si>
  <si>
    <t>mit.rfu.pow.ecy</t>
  </si>
  <si>
    <t>mit.rev.tot.ecy.usd</t>
  </si>
  <si>
    <t>Revenue by fuel net of subsidies: final use (fuels), electricity (VAT, subsidy gap, VAT on new policies) | Power | Electricity</t>
  </si>
  <si>
    <t>egy.mit.rfu.pow.ecy.1</t>
  </si>
  <si>
    <t>egy.mit.rfu.pow.ecy.3</t>
  </si>
  <si>
    <t>egy.mit.rfu.pow.ecy.4</t>
  </si>
  <si>
    <t>egy.mit.rfu.pow.ecy.5</t>
  </si>
  <si>
    <t>egy.mit.rfu.pow.ecy.6</t>
  </si>
  <si>
    <t>Air pollution effects</t>
  </si>
  <si>
    <t>air</t>
  </si>
  <si>
    <t>air.con.pm2.oap.urb</t>
  </si>
  <si>
    <t>Ambient PM2.5 - urban, Baseline</t>
  </si>
  <si>
    <t>air.con.pm2.oap.rur</t>
  </si>
  <si>
    <t>Ambient PM2.5 - rural, Baseline</t>
  </si>
  <si>
    <t>air.con.pm2.mod.all</t>
  </si>
  <si>
    <t>Modeled PM2.5 - all areas Baseline</t>
  </si>
  <si>
    <t>air.con.pm2.obs.all</t>
  </si>
  <si>
    <t>Observed PM2.5 - all areas Baseline</t>
  </si>
  <si>
    <t>gui</t>
  </si>
  <si>
    <t>Recommended WHO concentration</t>
  </si>
  <si>
    <t>air.cad.ao3</t>
  </si>
  <si>
    <t>Cumulative averted deaths - Ambient ozone</t>
  </si>
  <si>
    <t>air.cad.apm25</t>
  </si>
  <si>
    <t>Cumulative averted deaths - Ambient PM2.5</t>
  </si>
  <si>
    <t>air.cad.hpm25</t>
  </si>
  <si>
    <t>Cumulative averted deaths - Household PM2.5</t>
  </si>
  <si>
    <t>air.cad.net</t>
  </si>
  <si>
    <t>Cumulative averted deaths - net</t>
  </si>
  <si>
    <t>air.ada</t>
  </si>
  <si>
    <t>Averted deaths by age group: 25 to 64 years</t>
  </si>
  <si>
    <t>Averted deaths by age group: 65+ years</t>
  </si>
  <si>
    <t>air.ada.u24</t>
  </si>
  <si>
    <t>Averted deaths by age group: under 24 years (including neonatal)</t>
  </si>
  <si>
    <t>air.av.yll</t>
  </si>
  <si>
    <t>Averted YLL (years of life lost)</t>
  </si>
  <si>
    <t>air.av.yld</t>
  </si>
  <si>
    <t>Averted YLD (years lived with disability)</t>
  </si>
  <si>
    <t>air.mort</t>
  </si>
  <si>
    <t>Baseline air pollution deaths</t>
  </si>
  <si>
    <t>air.ext.pp.coa</t>
  </si>
  <si>
    <t>air.ext.pp.gas</t>
  </si>
  <si>
    <t>mit.airpol.cost.pow.oop</t>
  </si>
  <si>
    <t>air.ext.pp.oil</t>
  </si>
  <si>
    <t>Air-pollution cost per unit of fuel, marginal damages (coal, gas, other oil products USD/GJ; gasoline, diesel, LPG, kerosene USD/l) | Power | Other oil products</t>
  </si>
  <si>
    <t>egy.mit.airpol.cost.pow.oop.1</t>
  </si>
  <si>
    <t>egy.mit.airpol.cost.pow.oop.3</t>
  </si>
  <si>
    <t>egy.mit.airpol.cost.pow.oop.4</t>
  </si>
  <si>
    <t>egy.mit.airpol.cost.pow.oop.5</t>
  </si>
  <si>
    <t>egy.mit.airpol.cost.pow.oop.6</t>
  </si>
  <si>
    <t>air.ext.ind.coa</t>
  </si>
  <si>
    <t>air.ext.ind.gas</t>
  </si>
  <si>
    <t>mit.airpol.cost.ind.oop</t>
  </si>
  <si>
    <t>air.ext.ind.oil</t>
  </si>
  <si>
    <t>Air-pollution cost per unit of fuel, marginal damages (coal, gas, other oil products USD/GJ; gasoline, diesel, LPG, kerosene USD/l) | Industry | Other oil products</t>
  </si>
  <si>
    <t>egy.mit.airpol.cost.ind.oop.1</t>
  </si>
  <si>
    <t>egy.mit.airpol.cost.ind.oop.3</t>
  </si>
  <si>
    <t>egy.mit.airpol.cost.ind.oop.4</t>
  </si>
  <si>
    <t>egy.mit.airpol.cost.ind.oop.5</t>
  </si>
  <si>
    <t>egy.mit.airpol.cost.ind.oop.6</t>
  </si>
  <si>
    <t>air.ext.tra.gso</t>
  </si>
  <si>
    <t>air.ext.tra.die</t>
  </si>
  <si>
    <t>air.gdp.loss</t>
  </si>
  <si>
    <t>Baseline GDP loss due to pollution</t>
  </si>
  <si>
    <t>loss</t>
  </si>
  <si>
    <t>air.gdp.loss.ch</t>
  </si>
  <si>
    <t>Change in GDP loss due to pollution</t>
  </si>
  <si>
    <t>mit.airpol.cost.lpg</t>
  </si>
  <si>
    <t>mit.airpol.cost.ker</t>
  </si>
  <si>
    <t>air.sav.the.gov</t>
  </si>
  <si>
    <t>Savings health expenditure - Government - Real US$mn</t>
  </si>
  <si>
    <t>usdm</t>
  </si>
  <si>
    <t>air.sav.the.ppr</t>
  </si>
  <si>
    <t>Savings health expenditure - Prepaid Private - Real US$mn</t>
  </si>
  <si>
    <t>air.sav.the.opo</t>
  </si>
  <si>
    <t>Savings health expenditure - Out-of-pocket - Real US$mn</t>
  </si>
  <si>
    <t>air.sav.the.das</t>
  </si>
  <si>
    <t>Savings health expenditure - Development assistance for health - Real US$mn</t>
  </si>
  <si>
    <t>dth.ktoe.pow.coa</t>
  </si>
  <si>
    <t>Deaths per Ktoe, Coal power plants</t>
  </si>
  <si>
    <t>deathsktoe</t>
  </si>
  <si>
    <t>dth.ktoe.pow.nga</t>
  </si>
  <si>
    <t>Deaths per Ktoe, gas power plants</t>
  </si>
  <si>
    <t>dth.ktoe.pow.opp</t>
  </si>
  <si>
    <t>Deaths per Ktoe, oil power plants</t>
  </si>
  <si>
    <t>dth.ktoe.rod.gso</t>
  </si>
  <si>
    <t>Deaths per Ktoe, gasoline in transport</t>
  </si>
  <si>
    <t>dth.ktoe.rod.die</t>
  </si>
  <si>
    <t>Deaths per Ktoe, diesel in transport</t>
  </si>
  <si>
    <t>dth.ktoe.ind.coa</t>
  </si>
  <si>
    <t>Deaths per Ktoe, coal in all industries</t>
  </si>
  <si>
    <t>dth.ktoe.ind.oop</t>
  </si>
  <si>
    <t>Deaths per Ktoe, other oil in all industries</t>
  </si>
  <si>
    <t>dth.ktoe.ind.nga</t>
  </si>
  <si>
    <t>Deaths per Ktoe, natural gas in all industries</t>
  </si>
  <si>
    <t>dth.ktoe.res.nga</t>
  </si>
  <si>
    <t>Deaths per Ktoe, natural gas in residential</t>
  </si>
  <si>
    <t>mit.air.con.pm2.cpp</t>
  </si>
  <si>
    <t>air.conc.pm2.cpp</t>
  </si>
  <si>
    <t xml:space="preserve">Modelled ambient PM2.5 by air-pollution module sector (total: the summary row) | Coal power plants | </t>
  </si>
  <si>
    <t>ug/m3</t>
  </si>
  <si>
    <t>egy.mit.air.con.pm2.cpp.1</t>
  </si>
  <si>
    <t>egy.mit.air.con.pm2.cpp.3</t>
  </si>
  <si>
    <t>egy.mit.air.con.pm2.cpp.4</t>
  </si>
  <si>
    <t>egy.mit.air.con.pm2.cpp.5</t>
  </si>
  <si>
    <t>egy.mit.air.con.pm2.cpp.6</t>
  </si>
  <si>
    <t>mit.air.con.pm2.gpp</t>
  </si>
  <si>
    <t>air.conc.pm2.gpp</t>
  </si>
  <si>
    <t xml:space="preserve">Modelled ambient PM2.5 by air-pollution module sector (total: the summary row) | Gas power plants | </t>
  </si>
  <si>
    <t>egy.mit.air.con.pm2.gpp.1</t>
  </si>
  <si>
    <t>egy.mit.air.con.pm2.gpp.3</t>
  </si>
  <si>
    <t>egy.mit.air.con.pm2.gpp.4</t>
  </si>
  <si>
    <t>egy.mit.air.con.pm2.gpp.5</t>
  </si>
  <si>
    <t>egy.mit.air.con.pm2.gpp.6</t>
  </si>
  <si>
    <t>mit.air.con.pm2.opp</t>
  </si>
  <si>
    <t>air.conc.pm2.opp</t>
  </si>
  <si>
    <t xml:space="preserve">Modelled ambient PM2.5 by air-pollution module sector (total: the summary row) | Other power plants | </t>
  </si>
  <si>
    <t>egy.mit.air.con.pm2.opp.1</t>
  </si>
  <si>
    <t>egy.mit.air.con.pm2.opp.3</t>
  </si>
  <si>
    <t>egy.mit.air.con.pm2.opp.4</t>
  </si>
  <si>
    <t>egy.mit.air.con.pm2.opp.5</t>
  </si>
  <si>
    <t>egy.mit.air.con.pm2.opp.6</t>
  </si>
  <si>
    <t>mit.air.con.pm2.rod</t>
  </si>
  <si>
    <t>air.conc.pm2.rod</t>
  </si>
  <si>
    <t xml:space="preserve">Modelled ambient PM2.5 by air-pollution module sector (total: the summary row) | Road | </t>
  </si>
  <si>
    <t>egy.mit.air.con.pm2.rod.1</t>
  </si>
  <si>
    <t>egy.mit.air.con.pm2.rod.3</t>
  </si>
  <si>
    <t>egy.mit.air.con.pm2.rod.4</t>
  </si>
  <si>
    <t>egy.mit.air.con.pm2.rod.5</t>
  </si>
  <si>
    <t>egy.mit.air.con.pm2.rod.6</t>
  </si>
  <si>
    <t>mit.air.con.pm2.gro</t>
  </si>
  <si>
    <t>air.conc.pm2.gro</t>
  </si>
  <si>
    <t xml:space="preserve">Modelled ambient PM2.5 by air-pollution module sector (total: the summary row) | Ground level other | </t>
  </si>
  <si>
    <t>egy.mit.air.con.pm2.gro.1</t>
  </si>
  <si>
    <t>egy.mit.air.con.pm2.gro.3</t>
  </si>
  <si>
    <t>egy.mit.air.con.pm2.gro.4</t>
  </si>
  <si>
    <t>egy.mit.air.con.pm2.gro.5</t>
  </si>
  <si>
    <t>egy.mit.air.con.pm2.gro.6</t>
  </si>
  <si>
    <t>mit.air.con.pm2.oth</t>
  </si>
  <si>
    <t>air.conc.pm2.oth</t>
  </si>
  <si>
    <t xml:space="preserve">Modelled ambient PM2.5 by air-pollution module sector (total: the summary row) | Other | </t>
  </si>
  <si>
    <t>egy.mit.air.con.pm2.oth.1</t>
  </si>
  <si>
    <t>egy.mit.air.con.pm2.oth.3</t>
  </si>
  <si>
    <t>egy.mit.air.con.pm2.oth.4</t>
  </si>
  <si>
    <t>egy.mit.air.con.pm2.oth.5</t>
  </si>
  <si>
    <t>egy.mit.air.con.pm2.oth.6</t>
  </si>
  <si>
    <t>mit.air.con.pm2.foo</t>
  </si>
  <si>
    <t>air.conc.pm2.foo</t>
  </si>
  <si>
    <t xml:space="preserve">Modelled ambient PM2.5 by air-pollution module sector (total: the summary row) | Food &amp; forestry | </t>
  </si>
  <si>
    <t>egy.mit.air.con.pm2.foo.1</t>
  </si>
  <si>
    <t>egy.mit.air.con.pm2.foo.3</t>
  </si>
  <si>
    <t>egy.mit.air.con.pm2.foo.4</t>
  </si>
  <si>
    <t>egy.mit.air.con.pm2.foo.5</t>
  </si>
  <si>
    <t>egy.mit.air.con.pm2.foo.6</t>
  </si>
  <si>
    <t>air.conc.pm2.tot</t>
  </si>
  <si>
    <t>Baseline PM2.5 (in µg/m3) total</t>
  </si>
  <si>
    <t>ugm3</t>
  </si>
  <si>
    <t>Scenario PM2.5 (in µg/m3) total</t>
  </si>
  <si>
    <t>Climate costs</t>
  </si>
  <si>
    <t>mit.cc.glo.all.coa</t>
  </si>
  <si>
    <t>mit.cc.code.coa</t>
  </si>
  <si>
    <t>Climate cost per GJ of fuel, global SCC | All sectors | Coal</t>
  </si>
  <si>
    <t>USD/GJ</t>
  </si>
  <si>
    <t>egy.mit.cc.glo.all.coa.1</t>
  </si>
  <si>
    <t>egy.mit.cc.glo.all.coa.3</t>
  </si>
  <si>
    <t>egy.mit.cc.glo.all.coa.4</t>
  </si>
  <si>
    <t>egy.mit.cc.glo.all.coa.5</t>
  </si>
  <si>
    <t>egy.mit.cc.glo.all.coa.6</t>
  </si>
  <si>
    <t>mit.cc.glo.all.nga</t>
  </si>
  <si>
    <t>mit.cc.code.nga</t>
  </si>
  <si>
    <t>Climate cost per GJ of fuel, global SCC | All sectors | Natural gas</t>
  </si>
  <si>
    <t>egy.mit.cc.glo.all.nga.1</t>
  </si>
  <si>
    <t>egy.mit.cc.glo.all.nga.3</t>
  </si>
  <si>
    <t>egy.mit.cc.glo.all.nga.4</t>
  </si>
  <si>
    <t>egy.mit.cc.glo.all.nga.5</t>
  </si>
  <si>
    <t>egy.mit.cc.glo.all.nga.6</t>
  </si>
  <si>
    <t>mit.cc.glo.all.gso</t>
  </si>
  <si>
    <t>mit.cc.code.gso</t>
  </si>
  <si>
    <t>Climate cost per GJ of fuel, global SCC | All sectors | Gasoline</t>
  </si>
  <si>
    <t>egy.mit.cc.glo.all.gso.1</t>
  </si>
  <si>
    <t>egy.mit.cc.glo.all.gso.3</t>
  </si>
  <si>
    <t>egy.mit.cc.glo.all.gso.4</t>
  </si>
  <si>
    <t>egy.mit.cc.glo.all.gso.5</t>
  </si>
  <si>
    <t>egy.mit.cc.glo.all.gso.6</t>
  </si>
  <si>
    <t>mit.cc.glo.all.die</t>
  </si>
  <si>
    <t>mit.cc.code.die</t>
  </si>
  <si>
    <t>Climate cost per GJ of fuel, global SCC | All sectors | Diesel</t>
  </si>
  <si>
    <t>egy.mit.cc.glo.all.die.1</t>
  </si>
  <si>
    <t>egy.mit.cc.glo.all.die.3</t>
  </si>
  <si>
    <t>egy.mit.cc.glo.all.die.4</t>
  </si>
  <si>
    <t>egy.mit.cc.glo.all.die.5</t>
  </si>
  <si>
    <t>egy.mit.cc.glo.all.die.6</t>
  </si>
  <si>
    <t>mit.cc.glo.all.lpg</t>
  </si>
  <si>
    <t>mit.cc.code.lpg</t>
  </si>
  <si>
    <t>Climate cost per GJ of fuel, global SCC | All sectors | LPG</t>
  </si>
  <si>
    <t>egy.mit.cc.glo.all.lpg.1</t>
  </si>
  <si>
    <t>egy.mit.cc.glo.all.lpg.3</t>
  </si>
  <si>
    <t>egy.mit.cc.glo.all.lpg.4</t>
  </si>
  <si>
    <t>egy.mit.cc.glo.all.lpg.5</t>
  </si>
  <si>
    <t>egy.mit.cc.glo.all.lpg.6</t>
  </si>
  <si>
    <t>mit.cc.glo.all.ker</t>
  </si>
  <si>
    <t>mit.cc.code.ker</t>
  </si>
  <si>
    <t>Climate cost per GJ of fuel, global SCC | All sectors | Kerosene</t>
  </si>
  <si>
    <t>egy.mit.cc.glo.all.ker.1</t>
  </si>
  <si>
    <t>egy.mit.cc.glo.all.ker.3</t>
  </si>
  <si>
    <t>egy.mit.cc.glo.all.ker.4</t>
  </si>
  <si>
    <t>egy.mit.cc.glo.all.ker.5</t>
  </si>
  <si>
    <t>egy.mit.cc.glo.all.ker.6</t>
  </si>
  <si>
    <t>Transportation effects</t>
  </si>
  <si>
    <t>tran</t>
  </si>
  <si>
    <t>tran.vmt</t>
  </si>
  <si>
    <t>VMT, Baseline</t>
  </si>
  <si>
    <t>tran.deaths</t>
  </si>
  <si>
    <t>Transport accidents, Baseline</t>
  </si>
  <si>
    <t>tran.acc.avd.cum</t>
  </si>
  <si>
    <t>Cumulative averted deaths from accidents</t>
  </si>
  <si>
    <t>tran.congestionP</t>
  </si>
  <si>
    <t>Peak hours: baseline</t>
  </si>
  <si>
    <t>mit.tran.acc.cost.all.gso</t>
  </si>
  <si>
    <t>tran.acc.cost.gso</t>
  </si>
  <si>
    <t>Accident cost per unit of the fuel (all use) | All sectors | Gasoline</t>
  </si>
  <si>
    <t>USD per liter or kWh</t>
  </si>
  <si>
    <t>egy.mit.tran.acc.cost.all.gso.1</t>
  </si>
  <si>
    <t>egy.mit.tran.acc.cost.all.gso.3</t>
  </si>
  <si>
    <t>egy.mit.tran.acc.cost.all.gso.4</t>
  </si>
  <si>
    <t>egy.mit.tran.acc.cost.all.gso.5</t>
  </si>
  <si>
    <t>egy.mit.tran.acc.cost.all.gso.6</t>
  </si>
  <si>
    <t>mit.tran.acc.cost.all.die</t>
  </si>
  <si>
    <t>tran.acc.cost.die</t>
  </si>
  <si>
    <t>Accident cost per unit of the fuel (all use) | All sectors | Diesel</t>
  </si>
  <si>
    <t>egy.mit.tran.acc.cost.all.die.1</t>
  </si>
  <si>
    <t>egy.mit.tran.acc.cost.all.die.3</t>
  </si>
  <si>
    <t>egy.mit.tran.acc.cost.all.die.4</t>
  </si>
  <si>
    <t>egy.mit.tran.acc.cost.all.die.5</t>
  </si>
  <si>
    <t>egy.mit.tran.acc.cost.all.die.6</t>
  </si>
  <si>
    <t>mit.tran.con.cost.all.gso</t>
  </si>
  <si>
    <t>tran.con.cost.gso</t>
  </si>
  <si>
    <t>Congestion cost per unit of the fuel (all use) | All sectors | Gasoline</t>
  </si>
  <si>
    <t>egy.mit.tran.con.cost.all.gso.1</t>
  </si>
  <si>
    <t>egy.mit.tran.con.cost.all.gso.3</t>
  </si>
  <si>
    <t>egy.mit.tran.con.cost.all.gso.4</t>
  </si>
  <si>
    <t>egy.mit.tran.con.cost.all.gso.5</t>
  </si>
  <si>
    <t>egy.mit.tran.con.cost.all.gso.6</t>
  </si>
  <si>
    <t>mit.tran.con.cost.all.die</t>
  </si>
  <si>
    <t>tran.con.cost.die</t>
  </si>
  <si>
    <t>Congestion cost per unit of the fuel (all use) | All sectors | Diesel</t>
  </si>
  <si>
    <t>egy.mit.tran.con.cost.all.die.1</t>
  </si>
  <si>
    <t>egy.mit.tran.con.cost.all.die.3</t>
  </si>
  <si>
    <t>egy.mit.tran.con.cost.all.die.4</t>
  </si>
  <si>
    <t>egy.mit.tran.con.cost.all.die.5</t>
  </si>
  <si>
    <t>egy.mit.tran.con.cost.all.die.6</t>
  </si>
  <si>
    <t>tran.rdm.cost.gso</t>
  </si>
  <si>
    <t>Gasoline road damage per liter</t>
  </si>
  <si>
    <t>mit.tran.rdm.cost.all.die</t>
  </si>
  <si>
    <t>tran.rdm.cost.die</t>
  </si>
  <si>
    <t>Road damage cost per unit of the fuel (all use) | All sectors | Diesel</t>
  </si>
  <si>
    <t>egy.mit.tran.rdm.cost.all.die.1</t>
  </si>
  <si>
    <t>egy.mit.tran.rdm.cost.all.die.3</t>
  </si>
  <si>
    <t>egy.mit.tran.rdm.cost.all.die.4</t>
  </si>
  <si>
    <t>egy.mit.tran.rdm.cost.all.die.5</t>
  </si>
  <si>
    <t>egy.mit.tran.rdm.cost.all.die.6</t>
  </si>
  <si>
    <t>Welfare effects</t>
  </si>
  <si>
    <t>mit.wcli.all.nat</t>
  </si>
  <si>
    <t>mit.wel.cli.usd</t>
  </si>
  <si>
    <t xml:space="preserve">Climate damages avoided against scenario 1 (national, global) | All sectors | </t>
  </si>
  <si>
    <t>USD bn real</t>
  </si>
  <si>
    <t>egy.mit.wcli.all.nat.1</t>
  </si>
  <si>
    <t>egy.mit.wcli.all.nat.3</t>
  </si>
  <si>
    <t>egy.mit.wcli.all.nat.4</t>
  </si>
  <si>
    <t>egy.mit.wcli.all.nat.5</t>
  </si>
  <si>
    <t>egy.mit.wcli.all.nat.6</t>
  </si>
  <si>
    <t>mit.wel.air.usd</t>
  </si>
  <si>
    <t xml:space="preserve">Welfare, national: avoided damages and co-benefits - efficiency costs (USD bn real; % of baseline real GDP) |  | </t>
  </si>
  <si>
    <t>egy.mit.wel.air.usd.1</t>
  </si>
  <si>
    <t>egy.mit.wel.air.usd.3</t>
  </si>
  <si>
    <t>egy.mit.wel.air.usd.4</t>
  </si>
  <si>
    <t>egy.mit.wel.air.usd.5</t>
  </si>
  <si>
    <t>egy.mit.wel.air.usd.6</t>
  </si>
  <si>
    <t>mit.wel.rod.aci.usd</t>
  </si>
  <si>
    <t xml:space="preserve">Road transport co-benefits: averted accidents, reduced congestion, reduced road damage |  | </t>
  </si>
  <si>
    <t>egy.mit.wel.rod.aci.usd.1</t>
  </si>
  <si>
    <t>egy.mit.wel.rod.aci.usd.3</t>
  </si>
  <si>
    <t>egy.mit.wel.rod.aci.usd.4</t>
  </si>
  <si>
    <t>egy.mit.wel.rod.aci.usd.5</t>
  </si>
  <si>
    <t>egy.mit.wel.rod.aci.usd.6</t>
  </si>
  <si>
    <t>mit.wel.rod.con.usd</t>
  </si>
  <si>
    <t>egy.mit.wel.rod.con.usd.1</t>
  </si>
  <si>
    <t>egy.mit.wel.rod.con.usd.3</t>
  </si>
  <si>
    <t>egy.mit.wel.rod.con.usd.4</t>
  </si>
  <si>
    <t>egy.mit.wel.rod.con.usd.5</t>
  </si>
  <si>
    <t>egy.mit.wel.rod.con.usd.6</t>
  </si>
  <si>
    <t>mit.eff.tot.tot</t>
  </si>
  <si>
    <t>mit.wel.eco.dwl.usd</t>
  </si>
  <si>
    <t>Efficiency (deadweight) cost of energy use (positive = cost; negative = gain from lower subsidised use) | All sectors | All fuels</t>
  </si>
  <si>
    <t>egy.mit.eff.tot.tot.1</t>
  </si>
  <si>
    <t>egy.mit.eff.tot.tot.3</t>
  </si>
  <si>
    <t>egy.mit.eff.tot.tot.4</t>
  </si>
  <si>
    <t>egy.mit.eff.tot.tot.5</t>
  </si>
  <si>
    <t>egy.mit.eff.tot.tot.6</t>
  </si>
  <si>
    <t>mit.wel.tot</t>
  </si>
  <si>
    <t>mit.wel.tot.tot</t>
  </si>
  <si>
    <t xml:space="preserve">Welfare, national: avoided damages and co-benefits - efficiency costs (USD bn real; % of baseline real GDP) | All sectors | </t>
  </si>
  <si>
    <t>egy.mit.wel.tot.1</t>
  </si>
  <si>
    <t>egy.mit.wel.tot.3</t>
  </si>
  <si>
    <t>egy.mit.wel.tot.4</t>
  </si>
  <si>
    <t>egy.mit.wel.tot.5</t>
  </si>
  <si>
    <t>egy.mit.wel.tot.6</t>
  </si>
  <si>
    <t>mit.wel.cli.pct</t>
  </si>
  <si>
    <t>egy.mit.wel.cli.pct.1</t>
  </si>
  <si>
    <t>egy.mit.wel.cli.pct.3</t>
  </si>
  <si>
    <t>egy.mit.wel.cli.pct.4</t>
  </si>
  <si>
    <t>egy.mit.wel.cli.pct.5</t>
  </si>
  <si>
    <t>egy.mit.wel.cli.pct.6</t>
  </si>
  <si>
    <t>mit.wel.air.pct</t>
  </si>
  <si>
    <t>egy.mit.wel.air.pct.1</t>
  </si>
  <si>
    <t>egy.mit.wel.air.pct.3</t>
  </si>
  <si>
    <t>egy.mit.wel.air.pct.4</t>
  </si>
  <si>
    <t>egy.mit.wel.air.pct.5</t>
  </si>
  <si>
    <t>egy.mit.wel.air.pct.6</t>
  </si>
  <si>
    <t>mit.wel.rod.pct</t>
  </si>
  <si>
    <t xml:space="preserve">Welfare, national: avoided damages and co-benefits - efficiency costs (USD bn real; % of baseline real GDP) | Road | </t>
  </si>
  <si>
    <t>egy.mit.wel.rod.pct.1</t>
  </si>
  <si>
    <t>egy.mit.wel.rod.pct.3</t>
  </si>
  <si>
    <t>egy.mit.wel.rod.pct.4</t>
  </si>
  <si>
    <t>egy.mit.wel.rod.pct.5</t>
  </si>
  <si>
    <t>egy.mit.wel.rod.pct.6</t>
  </si>
  <si>
    <t>mit.wel.eco.dwl.pct</t>
  </si>
  <si>
    <t>egy.mit.wel.eco.dwl.pct.1</t>
  </si>
  <si>
    <t>egy.mit.wel.eco.dwl.pct.3</t>
  </si>
  <si>
    <t>egy.mit.wel.eco.dwl.pct.4</t>
  </si>
  <si>
    <t>egy.mit.wel.eco.dwl.pct.5</t>
  </si>
  <si>
    <t>egy.mit.wel.eco.dwl.pct.6</t>
  </si>
  <si>
    <t>mit.wel.pct.tot</t>
  </si>
  <si>
    <t>mit.wel.tot.pct</t>
  </si>
  <si>
    <t>egy.mit.wel.pct.tot.1</t>
  </si>
  <si>
    <t>egy.mit.wel.pct.tot.3</t>
  </si>
  <si>
    <t>egy.mit.wel.pct.tot.4</t>
  </si>
  <si>
    <t>egy.mit.wel.pct.tot.5</t>
  </si>
  <si>
    <t>egy.mit.wel.pct.tot.6</t>
  </si>
  <si>
    <t>Distributional effects</t>
  </si>
  <si>
    <t>distn.tef.tot.dec.rur</t>
  </si>
  <si>
    <t>distn</t>
  </si>
  <si>
    <t>Relative loss in consumption by prices increases on rural population (% consumption)</t>
  </si>
  <si>
    <t>dec</t>
  </si>
  <si>
    <t>distn.tef.tot.dec.urb</t>
  </si>
  <si>
    <t>Relative loss in consumption by prices increases on urban population (% consumption)</t>
  </si>
  <si>
    <t>distn.def.tot.dec.ove</t>
  </si>
  <si>
    <t>Relative price impacts on consumption deciles: direct effect  (% consumption)</t>
  </si>
  <si>
    <t>distn.def.coa.dec.ove</t>
  </si>
  <si>
    <t>Relative price impacts on consumption deciles: coal direct effect  (% consumption)</t>
  </si>
  <si>
    <t>distn.def.ely.dec.ove</t>
  </si>
  <si>
    <t>Relative price impacts on consumption deciles: electricity direct effect  (% consumption)</t>
  </si>
  <si>
    <t>distn.def.nga.dec.ove</t>
  </si>
  <si>
    <t>Relative price impacts on consumption deciles: natural gas direct effect  (% consumption)</t>
  </si>
  <si>
    <t>distn.def.oil.dec.ove</t>
  </si>
  <si>
    <t>Relative price impacts on consumption deciles: oil direct effect  (% consumption)</t>
  </si>
  <si>
    <t>distn.def.gso.dec.ove</t>
  </si>
  <si>
    <t>Relative price impacts on consumption deciles: gasoline direct effect  (% consumption)</t>
  </si>
  <si>
    <t>distn.def.die.dec.ove</t>
  </si>
  <si>
    <t>Relative price impacts on consumption deciles: diesel direct effect  (% consumption)</t>
  </si>
  <si>
    <t>distn.def.ker.dec.ove</t>
  </si>
  <si>
    <t>Relative price impacts on consumption deciles: kerosene direct effect  (% consumption)</t>
  </si>
  <si>
    <t>distn.def.lpg.dec.ove</t>
  </si>
  <si>
    <t>Relative price impacts on consumption deciles: lpg direct effect  (% consumption)</t>
  </si>
  <si>
    <t>distn.ief.tot.dec.ove</t>
  </si>
  <si>
    <t>Relative price impacts on consumption deciles: indirect effect  (% consumption)</t>
  </si>
  <si>
    <t>distn.ief.app.dec.ove</t>
  </si>
  <si>
    <t>Relative price impacts on consumption deciles: appliances indirect effect  (% consumption)</t>
  </si>
  <si>
    <t>distn.ief.che.dec.ove</t>
  </si>
  <si>
    <t>Relative price impacts on consumption deciles: chemicals indirect effect  (% consumption)</t>
  </si>
  <si>
    <t>distn.ief.clo.dec.ove</t>
  </si>
  <si>
    <t>Relative price impacts on consumption deciles: clothing indirect effect  (% consumption)</t>
  </si>
  <si>
    <t>distn.ief.com.dec.ove</t>
  </si>
  <si>
    <t>Relative price impacts on consumption deciles: communications indirect effect  (% consumption)</t>
  </si>
  <si>
    <t>distn.ief.edu.dec.ove</t>
  </si>
  <si>
    <t>Relative price impacts on consumption deciles: education indirect effect  (% consumption)</t>
  </si>
  <si>
    <t>distn.ief.food.dec.ove</t>
  </si>
  <si>
    <t>Relative price impacts on consumption deciles: food indirect effect  (% consumption)</t>
  </si>
  <si>
    <t>distn.ief.hea.dec.ove</t>
  </si>
  <si>
    <t>Relative price impacts on consumption deciles: health services indirect effect  (% consumption)</t>
  </si>
  <si>
    <t>distn.ief.hou.dec.ove</t>
  </si>
  <si>
    <t>Relative price impacts on consumption deciles: housing indirect effect  (% consumption)</t>
  </si>
  <si>
    <t>distn.ief.oth.dec.ove</t>
  </si>
  <si>
    <t>Relative price impacts on consumption deciles: other indirect effect  (% consumption)</t>
  </si>
  <si>
    <t>distn.ief.pap.dec.ove</t>
  </si>
  <si>
    <t>Relative price impacts on consumption deciles: paper indirect effect  (% consumption)</t>
  </si>
  <si>
    <t>distn.ief.pha.dec.ove</t>
  </si>
  <si>
    <t>Relative price impacts on consumption deciles: pharmaceuticals indirect effect  (% consumption)</t>
  </si>
  <si>
    <t>distn.ief.ret.dec.ove</t>
  </si>
  <si>
    <t>Relative price impacts on consumption deciles: recreation and tourism indirect effect  (% consumption)</t>
  </si>
  <si>
    <t>distn.ief.teq.dec.ove</t>
  </si>
  <si>
    <t>Relative price impacts on consumption deciles: transportation equipment indirect effect  (% consumption)</t>
  </si>
  <si>
    <t>distn.ief.tpu.dec.ove</t>
  </si>
  <si>
    <t>Relative price impacts on consumption deciles: public transportation indirect effect  (% consumption)</t>
  </si>
  <si>
    <t>distn.bsh.coa.dec.ove</t>
  </si>
  <si>
    <t>Budget shares for consumption deciles: coal (% consumption)</t>
  </si>
  <si>
    <t>distn.bsh.ely.dec.ove</t>
  </si>
  <si>
    <t>Budget shares for consumption deciles: electricity (% consumption)</t>
  </si>
  <si>
    <t>distn.bsh.nga.dec.ove</t>
  </si>
  <si>
    <t>Budget shares for consumption deciles: natural gas (% consumption)</t>
  </si>
  <si>
    <t>distn.bsh.oil.dec.ove</t>
  </si>
  <si>
    <t>Budget shares for consumption deciles: oil (% consumption)</t>
  </si>
  <si>
    <t>distn.bsh.gso.dec.ove</t>
  </si>
  <si>
    <t>Budget shares for consumption deciles: gasoline (% consumption)</t>
  </si>
  <si>
    <t>distn.bsh.die.dec.ove</t>
  </si>
  <si>
    <t>Budget shares for consumption deciles: diesel (% consumption)</t>
  </si>
  <si>
    <t>distn.bsh.ker.dec.ove</t>
  </si>
  <si>
    <t>Budget shares for consumption deciles: kerosene (% consumption)</t>
  </si>
  <si>
    <t>distn.bsh.lpg.dec.ove</t>
  </si>
  <si>
    <t>Budget shares for consumption deciles: lpg (% consumption)</t>
  </si>
  <si>
    <t>distn.bsh.ccl.dec.ove</t>
  </si>
  <si>
    <t>Budget shares for consumption deciles: charcoal (% consumption)</t>
  </si>
  <si>
    <t>distn.bsh.ethanol.dec.ove</t>
  </si>
  <si>
    <t>Budget shares for consumption deciles: ethanol (% consumption)</t>
  </si>
  <si>
    <t>distn.bsh.fwd.dec.ove</t>
  </si>
  <si>
    <t>Budget shares for consumption deciles: firewood (% consumption)</t>
  </si>
  <si>
    <t>distn.bsh.app.dec.ove</t>
  </si>
  <si>
    <t>Budget shares for consumption deciles: appliances (% consumption)</t>
  </si>
  <si>
    <t>distn.bsh.che.dec.ove</t>
  </si>
  <si>
    <t>Budget shares for consumption deciles: chemicals (% consumption)</t>
  </si>
  <si>
    <t>distn.bsh.clo.dec.ove</t>
  </si>
  <si>
    <t>Budget shares for consumption deciles: clothing (% consumption)</t>
  </si>
  <si>
    <t>distn.bsh.com.dec.ove</t>
  </si>
  <si>
    <t>Budget shares for consumption deciles: communications (% consumption)</t>
  </si>
  <si>
    <t>distn.bsh.edu.dec.ove</t>
  </si>
  <si>
    <t>Budget shares for consumption deciles: education (% consumption)</t>
  </si>
  <si>
    <t>distn.bsh.food.dec.ove</t>
  </si>
  <si>
    <t>Budget shares for consumption deciles: food (% consumption)</t>
  </si>
  <si>
    <t>distn.bsh.hea.dec.ove</t>
  </si>
  <si>
    <t>Budget shares for consumption deciles: heatlh services (% consumption)</t>
  </si>
  <si>
    <t>distn.bsh.hou.dec.ove</t>
  </si>
  <si>
    <t>Budget shares for consumption deciles: housing (% consumption)</t>
  </si>
  <si>
    <t>distn.bsh.oth.dec.ove</t>
  </si>
  <si>
    <t>Budget shares for consumption deciles: other (% consumption)</t>
  </si>
  <si>
    <t>distn.bsh.pap.dec.ove</t>
  </si>
  <si>
    <t>Budget shares for consumption deciles: paper (% consumption)</t>
  </si>
  <si>
    <t>distn.bsh.pha.dec.ove</t>
  </si>
  <si>
    <t>Budget shares for consumption deciles: pharmaceuticals (% consumption)</t>
  </si>
  <si>
    <t>distn.bsh.ret.dec.ove</t>
  </si>
  <si>
    <t>Budget shares for consumption deciles: recreation and tourism (% consumption)</t>
  </si>
  <si>
    <t>distn.bsh.teq.dec.ove</t>
  </si>
  <si>
    <t>Budget shares for consumption deciles: transportation equipment (% consumption)</t>
  </si>
  <si>
    <t>distn.bsh.tpu.dec.ove</t>
  </si>
  <si>
    <t>Budget shares for consumption deciles: public transportation (% consumption)</t>
  </si>
  <si>
    <t>distn.cons_pc_na.dec.ove</t>
  </si>
  <si>
    <t>Real per-capita national accounts-adjusted consumption by decile (real 2026 LCU in year 2030)</t>
  </si>
  <si>
    <t>distn.tot_cons_na.dec.ove</t>
  </si>
  <si>
    <t>Real total national accounts-adjusted consumption by decile (real 2026 LCU in year 2030)</t>
  </si>
  <si>
    <t>distn.pop_tot_adj.dec.ove</t>
  </si>
  <si>
    <t>Total population by decile (individuals in year 2030)</t>
  </si>
  <si>
    <t>distn.pctrev_comp.dec.rur</t>
  </si>
  <si>
    <t>Share of CP Revenues to Compenate each Decile - Rural</t>
  </si>
  <si>
    <t>distn.pctrev_comp.dec.urb</t>
  </si>
  <si>
    <t>Share of CP Revenues to Compenate each Decile - Urban</t>
  </si>
  <si>
    <t>distn.pctrev_comp.dec.ove</t>
  </si>
  <si>
    <t>Share of CP Revenues to Compenate each Decile - Overall</t>
  </si>
  <si>
    <t>distn.pct_gini_norec.dec.ove</t>
  </si>
  <si>
    <t>Percent change in consumption-based Gini coefficient (% excl. recycling) - Overall</t>
  </si>
  <si>
    <t>distn.pct_gini_norec.dec.urb</t>
  </si>
  <si>
    <t>Percent change in consumption-based Gini coefficient (% excl. recycling) - Urban</t>
  </si>
  <si>
    <t>distn.pct_gini_norec.dec.rur</t>
  </si>
  <si>
    <t>Percent change in consumption-based Gini coefficient (% excl. recycling) - Rural</t>
  </si>
  <si>
    <t>distn.pct_gini_rec.dec.ove</t>
  </si>
  <si>
    <t>Percent change in consumption-based Gini coefficient (% incl. recycling) - Overall</t>
  </si>
  <si>
    <t>distn.pct_gini_rec.dec.urb</t>
  </si>
  <si>
    <t>Percent change in consumption-based Gini coefficient (% incl. recycling) - Urban</t>
  </si>
  <si>
    <t>distn.pct_gini_rec.dec.rur</t>
  </si>
  <si>
    <t>Percent change in consumption-based Gini coefficient (% incl. recycling) - Rural</t>
  </si>
  <si>
    <t>distn.dpr.coa.res</t>
  </si>
  <si>
    <t>Percent Price Increases: coal (%)</t>
  </si>
  <si>
    <t>distn.dpr.ely.res</t>
  </si>
  <si>
    <t>Percent Price Increases: electricity (%)</t>
  </si>
  <si>
    <t>distn.dpr.nga.res</t>
  </si>
  <si>
    <t>Percent Price Increases: natural gas (%)</t>
  </si>
  <si>
    <t>distn.dpr.oop.res</t>
  </si>
  <si>
    <t>Percent Price Increases: oil (%)</t>
  </si>
  <si>
    <t>distn.dpr.gso.res</t>
  </si>
  <si>
    <t>Percent Price Increases: gasoline (%)</t>
  </si>
  <si>
    <t>distn.dpr.die.res</t>
  </si>
  <si>
    <t>Percent Price Increases: diesel (%)</t>
  </si>
  <si>
    <t>distn.dpr.ker.res</t>
  </si>
  <si>
    <t>Percent Price Increases: kerosene (%)</t>
  </si>
  <si>
    <t>distn.dpr.lpg.res</t>
  </si>
  <si>
    <t>Percent Price Increases: lpg (%)</t>
  </si>
  <si>
    <t>distn.dpr.app</t>
  </si>
  <si>
    <t>Percent Price Increases: appliances (%)</t>
  </si>
  <si>
    <t>distn.dpr.che</t>
  </si>
  <si>
    <t>Percent Price Increases: chemicals (%)</t>
  </si>
  <si>
    <t>distn.dpr.clo</t>
  </si>
  <si>
    <t>Percent Price Increases: clothing (%)</t>
  </si>
  <si>
    <t>distn.dpr.com</t>
  </si>
  <si>
    <t>Percent Price Increases: communications (%)</t>
  </si>
  <si>
    <t>distn.dpr.edu</t>
  </si>
  <si>
    <t>Percent Price Increases: education (%)</t>
  </si>
  <si>
    <t>distn.dpr.food</t>
  </si>
  <si>
    <t>Percent Price Increases: food (%)</t>
  </si>
  <si>
    <t>distn.dpr.hea</t>
  </si>
  <si>
    <t>Percent Price Increases: heatlh services (%)</t>
  </si>
  <si>
    <t>distn.dpr.hou</t>
  </si>
  <si>
    <t>Percent Price Increases: housing (%)</t>
  </si>
  <si>
    <t>distn.dpr.oth</t>
  </si>
  <si>
    <t>Percent Price Increases: other (%)</t>
  </si>
  <si>
    <t>distn.dpr.pap</t>
  </si>
  <si>
    <t>Percent Price Increases: paper (%)</t>
  </si>
  <si>
    <t>distn.dpr.pha</t>
  </si>
  <si>
    <t>Percent Price Increases: pharmaceuticals (%)</t>
  </si>
  <si>
    <t>distn.dpr.ret</t>
  </si>
  <si>
    <t>Percent Price Increases: recreation and tourism (%)</t>
  </si>
  <si>
    <t>distn.dpr.teq</t>
  </si>
  <si>
    <t>Percent Price Increases: transportation equipment (%)</t>
  </si>
  <si>
    <t>distn.dpr.tpu</t>
  </si>
  <si>
    <t>Percent Price Increases: public transportation (%)</t>
  </si>
  <si>
    <t>distn.pit.tot.dec.ove</t>
  </si>
  <si>
    <t>Relative gains from revenue recycling on consumption deciles: labor tax reductions  (% consumption)</t>
  </si>
  <si>
    <t>distn.pui.tot.dec.ove</t>
  </si>
  <si>
    <t>Relative gains from revenue recycling on consumption deciles: public investment  (% consumption)</t>
  </si>
  <si>
    <t>distn.cts.tot.dec.ove</t>
  </si>
  <si>
    <t>Relative gains from revenue recycling on consumption deciles: current spending  (% consumption)</t>
  </si>
  <si>
    <t>distn.tgt.tot.dec.ove</t>
  </si>
  <si>
    <t>Relative gains from revenue recycling on consumption deciles: targeted transfer  (% consumption)</t>
  </si>
  <si>
    <t>distn.tef.tot.dec.ove</t>
  </si>
  <si>
    <t>Relative price impacts on consumption deciles: total effect  (% consumption)</t>
  </si>
  <si>
    <t>distn.YearDistn</t>
  </si>
  <si>
    <t>year</t>
  </si>
  <si>
    <t>Distributional analysis year</t>
  </si>
  <si>
    <t>distn.QuantilesStatistic</t>
  </si>
  <si>
    <t>stat</t>
  </si>
  <si>
    <t>Distributional impacts on average, p25, p75, median</t>
  </si>
  <si>
    <t>Gains from revenue recycling</t>
  </si>
  <si>
    <t>distn.pit.tot.dec.ove.mean</t>
  </si>
  <si>
    <t>PIT reductions (Personal Allowance)</t>
  </si>
  <si>
    <t>distn.pui.tot.dec.ove.mean</t>
  </si>
  <si>
    <t>Public Investment (All Infr.)</t>
  </si>
  <si>
    <t>distn.cts.tot.dec.ove.mean</t>
  </si>
  <si>
    <t>Current Spending (All Social Protection and Labor)</t>
  </si>
  <si>
    <t>distn.tgt.tot.dec.ove.mean</t>
  </si>
  <si>
    <t>Targeted Transfer (Cash)</t>
  </si>
  <si>
    <t>distn.rec.tot.dec.ove</t>
  </si>
  <si>
    <t>distn.rec.tot.dec.ove.mean</t>
  </si>
  <si>
    <t>Total Recycled - Overall</t>
  </si>
  <si>
    <t>distn.pit.tot.dec.rur</t>
  </si>
  <si>
    <t>distn.pit.tot.dec.rur.mean</t>
  </si>
  <si>
    <t>Rural: PIT reductions (Personal Allowance)</t>
  </si>
  <si>
    <t>distn.pui.tot.dec.rur</t>
  </si>
  <si>
    <t>distn.pui.tot.dec.rur.mean</t>
  </si>
  <si>
    <t>Rural: Public Investment (All Infr.)</t>
  </si>
  <si>
    <t>distn.cts.tot.dec.rur</t>
  </si>
  <si>
    <t>distn.cts.tot.dec.rur.mean</t>
  </si>
  <si>
    <t>Rural: Current Spending (All Social Protection and Labor)</t>
  </si>
  <si>
    <t>distn.tgt.tot.dec.rur</t>
  </si>
  <si>
    <t>distn.tgt.tot.dec.rur.mean</t>
  </si>
  <si>
    <t>Rural: Targeted Transfer (Cash)</t>
  </si>
  <si>
    <t>distn.rec.tot.dec.rur</t>
  </si>
  <si>
    <t>distn.rec.tot.dec.rur.mean</t>
  </si>
  <si>
    <t>Total Recycled - Rural</t>
  </si>
  <si>
    <t>distn.pit.tot.dec.urb</t>
  </si>
  <si>
    <t>distn.pit.tot.dec.urb.mean</t>
  </si>
  <si>
    <t>Urban: PIT reductions (Personal Allowance)</t>
  </si>
  <si>
    <t>distn.pui.tot.dec.urb</t>
  </si>
  <si>
    <t>distn.pui.tot.dec.urb.mean</t>
  </si>
  <si>
    <t>Urban: Public Investment (All Infr.)</t>
  </si>
  <si>
    <t>distn.cts.tot.dec.urb</t>
  </si>
  <si>
    <t>distn.cts.tot.dec.urb.mean</t>
  </si>
  <si>
    <t>Urban: Current Spending (All Social Protection and Labor)</t>
  </si>
  <si>
    <t>distn.tgt.tot.dec.urb</t>
  </si>
  <si>
    <t>distn.tgt.tot.dec.urb.mean</t>
  </si>
  <si>
    <t>Urban: Targeted Transfer (Cash)</t>
  </si>
  <si>
    <t>distn.rec.tot.dec.urb</t>
  </si>
  <si>
    <t>distn.rec.tot.dec.urb.mean</t>
  </si>
  <si>
    <t>Total Recycled - Urban</t>
  </si>
  <si>
    <t>Direct and indirect price changes: by aggregated CPAT non-fuel consumption category</t>
  </si>
  <si>
    <t>food</t>
  </si>
  <si>
    <t>edu</t>
  </si>
  <si>
    <t>hea</t>
  </si>
  <si>
    <t>clo</t>
  </si>
  <si>
    <t>hou</t>
  </si>
  <si>
    <t>app</t>
  </si>
  <si>
    <t>che</t>
  </si>
  <si>
    <t>tpu</t>
  </si>
  <si>
    <t>teq</t>
  </si>
  <si>
    <t>pap</t>
  </si>
  <si>
    <t>com</t>
  </si>
  <si>
    <t>pha</t>
  </si>
  <si>
    <t>ret</t>
  </si>
  <si>
    <t>oth</t>
  </si>
  <si>
    <t>Percent increase in input costs and output prices by sector (weighted by output)</t>
  </si>
  <si>
    <t>distn.ppic.avi</t>
  </si>
  <si>
    <t>ppic.avi</t>
  </si>
  <si>
    <t>Aviation</t>
  </si>
  <si>
    <t>distn.ppic.foo</t>
  </si>
  <si>
    <t>ppic.foo</t>
  </si>
  <si>
    <t>Food</t>
  </si>
  <si>
    <t>distn.ppic.srv</t>
  </si>
  <si>
    <t>ppic.srv</t>
  </si>
  <si>
    <t>Services</t>
  </si>
  <si>
    <t>distn.ppic.cst</t>
  </si>
  <si>
    <t>ppic.con</t>
  </si>
  <si>
    <t>Construction</t>
  </si>
  <si>
    <t>distn.ppic.mac</t>
  </si>
  <si>
    <t>ppic.mac</t>
  </si>
  <si>
    <t>Machinery</t>
  </si>
  <si>
    <t>distn.ppic.irn</t>
  </si>
  <si>
    <t>ppic.irn</t>
  </si>
  <si>
    <t>Iron/steel</t>
  </si>
  <si>
    <t>distn.ppic.omn</t>
  </si>
  <si>
    <t>ppic.man</t>
  </si>
  <si>
    <t>Manufactures</t>
  </si>
  <si>
    <t>distn.ppic.nfm</t>
  </si>
  <si>
    <t>ppic.oth</t>
  </si>
  <si>
    <t>Other metals</t>
  </si>
  <si>
    <t>distn.ppic.cem</t>
  </si>
  <si>
    <t>ppic.cem</t>
  </si>
  <si>
    <t>Cement</t>
  </si>
  <si>
    <t>distn.ppic.nav</t>
  </si>
  <si>
    <t>ppic.shi</t>
  </si>
  <si>
    <t>Shipping</t>
  </si>
  <si>
    <t>distn.ppic.res</t>
  </si>
  <si>
    <t>ppic.res</t>
  </si>
  <si>
    <t>Residential</t>
  </si>
  <si>
    <t>distn.ppic.ftr</t>
  </si>
  <si>
    <t>ppic.fuel</t>
  </si>
  <si>
    <t>Fuel</t>
  </si>
  <si>
    <t>Sectoral output price increases and share in total output</t>
  </si>
  <si>
    <t>distn.outpriin.avi</t>
  </si>
  <si>
    <t>outpriin.avi</t>
  </si>
  <si>
    <t>distn.outpriin.nav</t>
  </si>
  <si>
    <t>outpriin.shi</t>
  </si>
  <si>
    <t>distn.outpriin.cem</t>
  </si>
  <si>
    <t>outpriin.cem</t>
  </si>
  <si>
    <t>distn.outpriin.irn</t>
  </si>
  <si>
    <t>outpriin.irn</t>
  </si>
  <si>
    <t>distn.outpriin.nfm</t>
  </si>
  <si>
    <t>outpriin.oth</t>
  </si>
  <si>
    <t>distn.outpriin.omn</t>
  </si>
  <si>
    <t>outpriin.man</t>
  </si>
  <si>
    <t>distn.outpriin.foo</t>
  </si>
  <si>
    <t>outpriin.foo</t>
  </si>
  <si>
    <t>distn.outpriin.mac</t>
  </si>
  <si>
    <t>outpriin.mac</t>
  </si>
  <si>
    <t>distn.outpriin.res</t>
  </si>
  <si>
    <t>outpriin.res</t>
  </si>
  <si>
    <t>distn.outpriin.cst</t>
  </si>
  <si>
    <t>outpriin.con</t>
  </si>
  <si>
    <t>distn.outpriin.srv</t>
  </si>
  <si>
    <t>outpriin.srv</t>
  </si>
  <si>
    <t>Input parameters</t>
  </si>
  <si>
    <t>mit.el.inc.ecy.res</t>
  </si>
  <si>
    <t>Income elasticity - electricity</t>
  </si>
  <si>
    <t>mit.el.inc.gso.res</t>
  </si>
  <si>
    <t>Income elasticity - motor fuels (gasoline)</t>
  </si>
  <si>
    <t>mit.el.inc.die.res</t>
  </si>
  <si>
    <t>Income elasticity - non-road transport (diesel)</t>
  </si>
  <si>
    <t>Power Sector Sustainability Indicators</t>
  </si>
  <si>
    <t>Total CO2 emisions to USD GDP</t>
  </si>
  <si>
    <t>Proportion of renewables in total generation, base year</t>
  </si>
  <si>
    <t>mit.vre</t>
  </si>
  <si>
    <t>Variable renewable share of generation (wind, solar, other renewables)</t>
  </si>
  <si>
    <t>egy.mit.vre.1</t>
  </si>
  <si>
    <t>egy.mit.vre.3</t>
  </si>
  <si>
    <t>egy.mit.vre.4</t>
  </si>
  <si>
    <t>egy.mit.vre.5</t>
  </si>
  <si>
    <t>egy.mit.vre.6</t>
  </si>
  <si>
    <t>mit.co2.grid.pow.all</t>
  </si>
  <si>
    <t>Grid emission intensity | Power | All fuels</t>
  </si>
  <si>
    <t>tCO2 per MWh</t>
  </si>
  <si>
    <t>egy.mit.co2.grid.pow.all.1</t>
  </si>
  <si>
    <t>egy.mit.co2.grid.pow.all.3</t>
  </si>
  <si>
    <t>egy.mit.co2.grid.pow.all.4</t>
  </si>
  <si>
    <t>egy.mit.co2.grid.pow.all.5</t>
  </si>
  <si>
    <t>egy.mit.co2.grid.pow.all.6</t>
  </si>
  <si>
    <t>Transmission &amp; Stat Differences</t>
  </si>
  <si>
    <t>Energy Industry Own Use</t>
  </si>
  <si>
    <t>Net Exports (Imports negative)</t>
  </si>
  <si>
    <t>mit.ec.ele.2026</t>
  </si>
  <si>
    <t>Energy Consumption - Electricity</t>
  </si>
  <si>
    <t>mit.ec.coa.2026</t>
  </si>
  <si>
    <t>Energy Consumption - Coal</t>
  </si>
  <si>
    <t>mit.ec.nga.2026</t>
  </si>
  <si>
    <t>Energy Consumption - Natural gas</t>
  </si>
  <si>
    <t>mit.ec.oop.2026</t>
  </si>
  <si>
    <t>Energy Consumption - Other oil products</t>
  </si>
  <si>
    <t>mit.ec.gso.2026</t>
  </si>
  <si>
    <t>Energy Consumption - Gasoline</t>
  </si>
  <si>
    <t>mit.ec.die.2026</t>
  </si>
  <si>
    <t>Energy Consumption - Diesel</t>
  </si>
  <si>
    <t>mit.ec.ker.2026</t>
  </si>
  <si>
    <t>Energy Consumption - Kerosene</t>
  </si>
  <si>
    <t>mit.ec.lpg.2026</t>
  </si>
  <si>
    <t>Energy Consumption - LPG</t>
  </si>
  <si>
    <t>mit.ec.jfu.2026</t>
  </si>
  <si>
    <t>Energy Consumption - Jet fuel</t>
  </si>
  <si>
    <t>mit.ec.wnd.2026</t>
  </si>
  <si>
    <t>Energy Consumption - Wind</t>
  </si>
  <si>
    <t>mit.ec.sol.2026</t>
  </si>
  <si>
    <t>Energy Consumption - Solar</t>
  </si>
  <si>
    <t>mit.ec.hyd.2026</t>
  </si>
  <si>
    <t>Energy Consumption - Hydro</t>
  </si>
  <si>
    <t>mit.ec.ore.2026</t>
  </si>
  <si>
    <t>Energy Consumption - Other renewables / Total self generated renewables</t>
  </si>
  <si>
    <t>mit.ec.nuc.2026</t>
  </si>
  <si>
    <t>Energy Consumption - Nuclear</t>
  </si>
  <si>
    <t>mit.ec.bio.2026</t>
  </si>
  <si>
    <t>Energy Consumption - Biomass</t>
  </si>
  <si>
    <t>mit.ec.bgs.2026</t>
  </si>
  <si>
    <t>Energy Consumption - - in which: biogasoline</t>
  </si>
  <si>
    <t>mit.ec.bdi.2026</t>
  </si>
  <si>
    <t>Energy Consumption - - in which: biodiesel</t>
  </si>
  <si>
    <t>mit.ec.obf.2026</t>
  </si>
  <si>
    <t>Energy Consumption - - in which: other liquid biofuels</t>
  </si>
  <si>
    <t>mit.ec.heat.2026</t>
  </si>
  <si>
    <t>Energy Consumption - Heat</t>
  </si>
  <si>
    <t>Electricity Demand</t>
  </si>
  <si>
    <t>mit.elec.twh.sel.tot.ecy</t>
  </si>
  <si>
    <t>Capacity</t>
  </si>
  <si>
    <t>mit.msc.pow.hyd.t</t>
  </si>
  <si>
    <t>Nameplate Capacity (MW) - Total - Baseline</t>
  </si>
  <si>
    <t>MWe</t>
  </si>
  <si>
    <t>mit.mancap.pow.oop</t>
  </si>
  <si>
    <t>mit.mancap.pow.oop.t</t>
  </si>
  <si>
    <t>Manual capacity path (Manual inputs rows 349-357 scenario 1, 363-371 other scenarios) | Power | Other oil products</t>
  </si>
  <si>
    <t>MW</t>
  </si>
  <si>
    <t>egy.mit.mancap.pow.oop.1</t>
  </si>
  <si>
    <t>egy.mit.mancap.pow.oop.3</t>
  </si>
  <si>
    <t>egy.mit.mancap.pow.oop.4</t>
  </si>
  <si>
    <t>egy.mit.mancap.pow.oop.5</t>
  </si>
  <si>
    <t>egy.mit.mancap.pow.oop.6</t>
  </si>
  <si>
    <t>New Power Investment</t>
  </si>
  <si>
    <t>mit.nim.pow.coa</t>
  </si>
  <si>
    <t>mit.nim.pow.coa.t</t>
  </si>
  <si>
    <t>New nameplate investment | Power | Coal</t>
  </si>
  <si>
    <t>egy.mit.nim.pow.coa.1</t>
  </si>
  <si>
    <t>egy.mit.nim.pow.coa.3</t>
  </si>
  <si>
    <t>egy.mit.nim.pow.coa.4</t>
  </si>
  <si>
    <t>egy.mit.nim.pow.coa.5</t>
  </si>
  <si>
    <t>egy.mit.nim.pow.coa.6</t>
  </si>
  <si>
    <t>mit.nim.pow.nga</t>
  </si>
  <si>
    <t>mit.nim.pow.nga.t</t>
  </si>
  <si>
    <t>New nameplate investment | Power | Natural gas</t>
  </si>
  <si>
    <t>egy.mit.nim.pow.nga.1</t>
  </si>
  <si>
    <t>egy.mit.nim.pow.nga.3</t>
  </si>
  <si>
    <t>egy.mit.nim.pow.nga.4</t>
  </si>
  <si>
    <t>egy.mit.nim.pow.nga.5</t>
  </si>
  <si>
    <t>egy.mit.nim.pow.nga.6</t>
  </si>
  <si>
    <t>mit.nim.pow.oop</t>
  </si>
  <si>
    <t>mit.nim.pow.oop.t</t>
  </si>
  <si>
    <t>New nameplate investment | Power | Other oil products</t>
  </si>
  <si>
    <t>egy.mit.nim.pow.oop.1</t>
  </si>
  <si>
    <t>egy.mit.nim.pow.oop.3</t>
  </si>
  <si>
    <t>egy.mit.nim.pow.oop.4</t>
  </si>
  <si>
    <t>egy.mit.nim.pow.oop.5</t>
  </si>
  <si>
    <t>egy.mit.nim.pow.oop.6</t>
  </si>
  <si>
    <t>mit.nim.pow.nuc</t>
  </si>
  <si>
    <t>mit.nim.pow.nuc.t</t>
  </si>
  <si>
    <t>New nameplate investment | Power | Nuclear</t>
  </si>
  <si>
    <t>egy.mit.nim.pow.nuc.1</t>
  </si>
  <si>
    <t>egy.mit.nim.pow.nuc.3</t>
  </si>
  <si>
    <t>egy.mit.nim.pow.nuc.4</t>
  </si>
  <si>
    <t>egy.mit.nim.pow.nuc.5</t>
  </si>
  <si>
    <t>egy.mit.nim.pow.nuc.6</t>
  </si>
  <si>
    <t>mit.nim.pow.wnd</t>
  </si>
  <si>
    <t>mit.nim.pow.wnd.t</t>
  </si>
  <si>
    <t>New nameplate investment | Power | Wind</t>
  </si>
  <si>
    <t>egy.mit.nim.pow.wnd.1</t>
  </si>
  <si>
    <t>egy.mit.nim.pow.wnd.3</t>
  </si>
  <si>
    <t>egy.mit.nim.pow.wnd.4</t>
  </si>
  <si>
    <t>egy.mit.nim.pow.wnd.5</t>
  </si>
  <si>
    <t>egy.mit.nim.pow.wnd.6</t>
  </si>
  <si>
    <t>mit.nim.pow.sol</t>
  </si>
  <si>
    <t>mit.nim.pow.sol.t</t>
  </si>
  <si>
    <t>New nameplate investment | Power | Solar</t>
  </si>
  <si>
    <t>egy.mit.nim.pow.sol.1</t>
  </si>
  <si>
    <t>egy.mit.nim.pow.sol.3</t>
  </si>
  <si>
    <t>egy.mit.nim.pow.sol.4</t>
  </si>
  <si>
    <t>egy.mit.nim.pow.sol.5</t>
  </si>
  <si>
    <t>egy.mit.nim.pow.sol.6</t>
  </si>
  <si>
    <t>mit.nim.pow.hyd</t>
  </si>
  <si>
    <t>mit.nim.pow.hyd.t</t>
  </si>
  <si>
    <t>New nameplate investment | Power | Hydro</t>
  </si>
  <si>
    <t>egy.mit.nim.pow.hyd.1</t>
  </si>
  <si>
    <t>egy.mit.nim.pow.hyd.3</t>
  </si>
  <si>
    <t>egy.mit.nim.pow.hyd.4</t>
  </si>
  <si>
    <t>egy.mit.nim.pow.hyd.5</t>
  </si>
  <si>
    <t>egy.mit.nim.pow.hyd.6</t>
  </si>
  <si>
    <t>mit.nim.pow.ore</t>
  </si>
  <si>
    <t>mit.nim.pow.ore.t</t>
  </si>
  <si>
    <t>New nameplate investment | Power | Other renewables</t>
  </si>
  <si>
    <t>egy.mit.nim.pow.ore.1</t>
  </si>
  <si>
    <t>egy.mit.nim.pow.ore.3</t>
  </si>
  <si>
    <t>egy.mit.nim.pow.ore.4</t>
  </si>
  <si>
    <t>egy.mit.nim.pow.ore.5</t>
  </si>
  <si>
    <t>egy.mit.nim.pow.ore.6</t>
  </si>
  <si>
    <t>mit.nim.pow.bio</t>
  </si>
  <si>
    <t>mit.nim.pow.bio.t</t>
  </si>
  <si>
    <t>New nameplate investment | Power | Biomass</t>
  </si>
  <si>
    <t>egy.mit.nim.pow.bio.1</t>
  </si>
  <si>
    <t>egy.mit.nim.pow.bio.3</t>
  </si>
  <si>
    <t>egy.mit.nim.pow.bio.4</t>
  </si>
  <si>
    <t>egy.mit.nim.pow.bio.5</t>
  </si>
  <si>
    <t>egy.mit.nim.pow.bio.6</t>
  </si>
  <si>
    <t>mit.nid.pow.coa</t>
  </si>
  <si>
    <t>mit.nid.pow.coa.t</t>
  </si>
  <si>
    <t>New investment | Power | Coal</t>
  </si>
  <si>
    <t>egy.mit.nid.pow.coa.1</t>
  </si>
  <si>
    <t>egy.mit.nid.pow.coa.3</t>
  </si>
  <si>
    <t>egy.mit.nid.pow.coa.4</t>
  </si>
  <si>
    <t>egy.mit.nid.pow.coa.5</t>
  </si>
  <si>
    <t>egy.mit.nid.pow.coa.6</t>
  </si>
  <si>
    <t>mit.nid.pow.nga</t>
  </si>
  <si>
    <t>mit.nid.pow.nga.t</t>
  </si>
  <si>
    <t>New investment | Power | Natural gas</t>
  </si>
  <si>
    <t>egy.mit.nid.pow.nga.1</t>
  </si>
  <si>
    <t>egy.mit.nid.pow.nga.3</t>
  </si>
  <si>
    <t>egy.mit.nid.pow.nga.4</t>
  </si>
  <si>
    <t>egy.mit.nid.pow.nga.5</t>
  </si>
  <si>
    <t>egy.mit.nid.pow.nga.6</t>
  </si>
  <si>
    <t>mit.nid.pow.oop</t>
  </si>
  <si>
    <t>mit.nid.pow.oop.t</t>
  </si>
  <si>
    <t>New investment | Power | Other oil products</t>
  </si>
  <si>
    <t>egy.mit.nid.pow.oop.1</t>
  </si>
  <si>
    <t>egy.mit.nid.pow.oop.3</t>
  </si>
  <si>
    <t>egy.mit.nid.pow.oop.4</t>
  </si>
  <si>
    <t>egy.mit.nid.pow.oop.5</t>
  </si>
  <si>
    <t>egy.mit.nid.pow.oop.6</t>
  </si>
  <si>
    <t>mit.nid.pow.nuc</t>
  </si>
  <si>
    <t>mit.nid.pow.nuc.t</t>
  </si>
  <si>
    <t>New investment | Power | Nuclear</t>
  </si>
  <si>
    <t>egy.mit.nid.pow.nuc.1</t>
  </si>
  <si>
    <t>egy.mit.nid.pow.nuc.3</t>
  </si>
  <si>
    <t>egy.mit.nid.pow.nuc.4</t>
  </si>
  <si>
    <t>egy.mit.nid.pow.nuc.5</t>
  </si>
  <si>
    <t>egy.mit.nid.pow.nuc.6</t>
  </si>
  <si>
    <t>mit.nid.pow.wnd</t>
  </si>
  <si>
    <t>mit.nid.pow.wnd.t</t>
  </si>
  <si>
    <t>New investment | Power | Wind</t>
  </si>
  <si>
    <t>egy.mit.nid.pow.wnd.1</t>
  </si>
  <si>
    <t>egy.mit.nid.pow.wnd.3</t>
  </si>
  <si>
    <t>egy.mit.nid.pow.wnd.4</t>
  </si>
  <si>
    <t>egy.mit.nid.pow.wnd.5</t>
  </si>
  <si>
    <t>egy.mit.nid.pow.wnd.6</t>
  </si>
  <si>
    <t>mit.nid.pow.sol</t>
  </si>
  <si>
    <t>mit.nid.pow.sol.t</t>
  </si>
  <si>
    <t>New investment | Power | Solar</t>
  </si>
  <si>
    <t>egy.mit.nid.pow.sol.1</t>
  </si>
  <si>
    <t>egy.mit.nid.pow.sol.3</t>
  </si>
  <si>
    <t>egy.mit.nid.pow.sol.4</t>
  </si>
  <si>
    <t>egy.mit.nid.pow.sol.5</t>
  </si>
  <si>
    <t>egy.mit.nid.pow.sol.6</t>
  </si>
  <si>
    <t>mit.nid.pow.hyd</t>
  </si>
  <si>
    <t>mit.nid.pow.hyd.t</t>
  </si>
  <si>
    <t>New investment | Power | Hydro</t>
  </si>
  <si>
    <t>egy.mit.nid.pow.hyd.1</t>
  </si>
  <si>
    <t>egy.mit.nid.pow.hyd.3</t>
  </si>
  <si>
    <t>egy.mit.nid.pow.hyd.4</t>
  </si>
  <si>
    <t>egy.mit.nid.pow.hyd.5</t>
  </si>
  <si>
    <t>egy.mit.nid.pow.hyd.6</t>
  </si>
  <si>
    <t>mit.nid.pow.ore</t>
  </si>
  <si>
    <t>mit.nid.pow.ore.t</t>
  </si>
  <si>
    <t>New investment | Power | Other renewables</t>
  </si>
  <si>
    <t>egy.mit.nid.pow.ore.1</t>
  </si>
  <si>
    <t>egy.mit.nid.pow.ore.3</t>
  </si>
  <si>
    <t>egy.mit.nid.pow.ore.4</t>
  </si>
  <si>
    <t>egy.mit.nid.pow.ore.5</t>
  </si>
  <si>
    <t>egy.mit.nid.pow.ore.6</t>
  </si>
  <si>
    <t>mit.nid.pow.bio</t>
  </si>
  <si>
    <t>mit.nid.pow.bio.t</t>
  </si>
  <si>
    <t>New investment | Power | Biomass</t>
  </si>
  <si>
    <t>egy.mit.nid.pow.bio.1</t>
  </si>
  <si>
    <t>egy.mit.nid.pow.bio.3</t>
  </si>
  <si>
    <t>egy.mit.nid.pow.bio.4</t>
  </si>
  <si>
    <t>egy.mit.nid.pow.bio.5</t>
  </si>
  <si>
    <t>egy.mit.nid.pow.bio.6</t>
  </si>
  <si>
    <t>Simplified prices</t>
  </si>
  <si>
    <t>mit.infl</t>
  </si>
  <si>
    <t>Inflation index: US CPI, ResultsYear = 1 (nominal -&gt; real for domestic prices and nominal policy inputs)</t>
  </si>
  <si>
    <t>egy.mit.infl.1</t>
  </si>
  <si>
    <t>egy.mit.infl.3</t>
  </si>
  <si>
    <t>egy.mit.infl.4</t>
  </si>
  <si>
    <t>egy.mit.infl.5</t>
  </si>
  <si>
    <t>egy.mit.infl.6</t>
  </si>
  <si>
    <t>mit.vatgen</t>
  </si>
  <si>
    <t>General VAT rate of the year</t>
  </si>
  <si>
    <t>egy.mit.vatgen.1</t>
  </si>
  <si>
    <t>egy.mit.vatgen.3</t>
  </si>
  <si>
    <t>egy.mit.vatgen.4</t>
  </si>
  <si>
    <t>egy.mit.vatgen.5</t>
  </si>
  <si>
    <t>egy.mit.vatgen.6</t>
  </si>
  <si>
    <t>mit.gp.int.oil</t>
  </si>
  <si>
    <t>International energy price (real; source and adjustment from MTInputs) | International | Crude oil</t>
  </si>
  <si>
    <t>source unit</t>
  </si>
  <si>
    <t>egy.mit.gp.int.oil.1</t>
  </si>
  <si>
    <t>egy.mit.gp.int.oil.3</t>
  </si>
  <si>
    <t>egy.mit.gp.int.oil.4</t>
  </si>
  <si>
    <t>egy.mit.gp.int.oil.5</t>
  </si>
  <si>
    <t>egy.mit.gp.int.oil.6</t>
  </si>
  <si>
    <t>mit.gp.int.coa</t>
  </si>
  <si>
    <t>International energy price (real; source and adjustment from MTInputs) | International | Coal</t>
  </si>
  <si>
    <t>egy.mit.gp.int.coa.1</t>
  </si>
  <si>
    <t>egy.mit.gp.int.coa.3</t>
  </si>
  <si>
    <t>egy.mit.gp.int.coa.4</t>
  </si>
  <si>
    <t>egy.mit.gp.int.coa.5</t>
  </si>
  <si>
    <t>egy.mit.gp.int.coa.6</t>
  </si>
  <si>
    <t>mit.gp.int.nga</t>
  </si>
  <si>
    <t>International energy price (real; source and adjustment from MTInputs) | International | Natural gas</t>
  </si>
  <si>
    <t>egy.mit.gp.int.nga.1</t>
  </si>
  <si>
    <t>egy.mit.gp.int.nga.3</t>
  </si>
  <si>
    <t>egy.mit.gp.int.nga.4</t>
  </si>
  <si>
    <t>egy.mit.gp.int.nga.5</t>
  </si>
  <si>
    <t>egy.mit.gp.int.nga.6</t>
  </si>
  <si>
    <t>For gasoline mark-up</t>
  </si>
  <si>
    <t>usdpl</t>
  </si>
  <si>
    <t>For diesel mark-up</t>
  </si>
  <si>
    <t>For kerosene mark-up</t>
  </si>
  <si>
    <t>For LPG mark-up</t>
  </si>
  <si>
    <t>Markups</t>
  </si>
  <si>
    <t>mit.mu1.coa.res</t>
  </si>
  <si>
    <t>Markup1 (global price to Retail price) coa - pow</t>
  </si>
  <si>
    <t>mit.mu1.coa.ind</t>
  </si>
  <si>
    <t>Markup1 (global price to Retail price) coa - res</t>
  </si>
  <si>
    <t>mit.mu1.nga.pow</t>
  </si>
  <si>
    <t>Markup1 (global price to Retail price) coa - ind</t>
  </si>
  <si>
    <t>mit.mu1.nga.res</t>
  </si>
  <si>
    <t>Markup1 (global price to Retail price) nga - pow</t>
  </si>
  <si>
    <t>mit.mu1.nga.ind</t>
  </si>
  <si>
    <t>Markup1 (global price to Retail price) nga - res</t>
  </si>
  <si>
    <t>mit.mu1.gso.all</t>
  </si>
  <si>
    <t>Markup1 (global price to Retail price) nga - ind</t>
  </si>
  <si>
    <t>mit.mu1.die.all</t>
  </si>
  <si>
    <t>Markup1 (global price to Retail price) gso - all</t>
  </si>
  <si>
    <t>mit.mu1.lpg.all</t>
  </si>
  <si>
    <t>Markup1 (global price to Retail price) die - all</t>
  </si>
  <si>
    <t>mit.mu1.ker.all</t>
  </si>
  <si>
    <t>Markup1 (global price to Retail price) lpg - all</t>
  </si>
  <si>
    <t>mit.mu1.oop.all</t>
  </si>
  <si>
    <t>Markup1 (global price to Retail price) ker - all</t>
  </si>
  <si>
    <t>mit.mu1.bio.all</t>
  </si>
  <si>
    <t>Markup1 (global price to Retail price) oop - all</t>
  </si>
  <si>
    <t>mit.mu2.coa.pow</t>
  </si>
  <si>
    <t>Markup1 (global price to Retail price) bio - all</t>
  </si>
  <si>
    <t>mit.mu2.coa.res</t>
  </si>
  <si>
    <t>Markup2 (pretax to Retail Price) coa - res</t>
  </si>
  <si>
    <t>mit.mu2.coa.ind</t>
  </si>
  <si>
    <t>Markup2 (pretax to Retail Price) coa - ind</t>
  </si>
  <si>
    <t>mit.mu2.nga.pow</t>
  </si>
  <si>
    <t>Markup2 (pretax to Retail Price) nga - pow</t>
  </si>
  <si>
    <t>mit.mu2.nga.res</t>
  </si>
  <si>
    <t>Markup2 (pretax to Retail Price) nga - res</t>
  </si>
  <si>
    <t>mit.mu2.nga.ind</t>
  </si>
  <si>
    <t>Markup2 (pretax to Retail Price) nga - ind</t>
  </si>
  <si>
    <t>mit.mu2.gso.all</t>
  </si>
  <si>
    <t>Markup2 (pretax to Retail Price) gso - all</t>
  </si>
  <si>
    <t>mit.mu2.die.all</t>
  </si>
  <si>
    <t>Markup2 (pretax to Retail Price) die - all</t>
  </si>
  <si>
    <t>mit.mu2.lpg.all</t>
  </si>
  <si>
    <t>Markup2 (pretax to Retail Price) lpg - all</t>
  </si>
  <si>
    <t>mit.mu2.ker.all</t>
  </si>
  <si>
    <t>Markup2 (pretax to Retail Price) ker - all</t>
  </si>
  <si>
    <t>mit.mu2.oop.all</t>
  </si>
  <si>
    <t>Markup2 (pretax to Retail Price) oop - all</t>
  </si>
  <si>
    <t>mit.mu2.bio.all</t>
  </si>
  <si>
    <t>Markup2 (pretax to Retail Price) bio - all</t>
  </si>
  <si>
    <t>mit.sp.coa.pow</t>
  </si>
  <si>
    <t>mit.sp.coa.res</t>
  </si>
  <si>
    <t>mit.sp.coa.ind</t>
  </si>
  <si>
    <t>mit.sp.nga.pow</t>
  </si>
  <si>
    <t>mit.sp.nga.res</t>
  </si>
  <si>
    <t>mit.sp.nga.ind</t>
  </si>
  <si>
    <t>mit.sp.gso.all</t>
  </si>
  <si>
    <t>mit.sp.die.all</t>
  </si>
  <si>
    <t>mit.sp.lpg.all</t>
  </si>
  <si>
    <t>mit.sp.ker.all</t>
  </si>
  <si>
    <t>mit.sp.oop.all</t>
  </si>
  <si>
    <t>mit.rpn.all.die</t>
  </si>
  <si>
    <t>mit.rp.all.die.a</t>
  </si>
  <si>
    <t>Retail price incl. new taxes and subsidies (fuel-use weighted average of the after-tax prices atp of the subsectors priced by the block; rpb where they use none) | All sectors | Diesel</t>
  </si>
  <si>
    <t>egy.mit.rpn.all.die.1</t>
  </si>
  <si>
    <t>egy.mit.rpn.all.die.3</t>
  </si>
  <si>
    <t>egy.mit.rpn.all.die.4</t>
  </si>
  <si>
    <t>egy.mit.rpn.all.die.5</t>
  </si>
  <si>
    <t>egy.mit.rpn.all.die.6</t>
  </si>
  <si>
    <t>mit.rpn.all.lpg</t>
  </si>
  <si>
    <t>mit.rp.all.lpg.a</t>
  </si>
  <si>
    <t>Retail price incl. new taxes and subsidies (fuel-use weighted average of the after-tax prices atp of the subsectors priced by the block; rpb where they use none) | All sectors | LPG</t>
  </si>
  <si>
    <t>egy.mit.rpn.all.lpg.1</t>
  </si>
  <si>
    <t>egy.mit.rpn.all.lpg.3</t>
  </si>
  <si>
    <t>egy.mit.rpn.all.lpg.4</t>
  </si>
  <si>
    <t>egy.mit.rpn.all.lpg.5</t>
  </si>
  <si>
    <t>egy.mit.rpn.all.lpg.6</t>
  </si>
  <si>
    <t>mit.rpn.all.ker</t>
  </si>
  <si>
    <t>mit.rp.all.ker.a</t>
  </si>
  <si>
    <t>Retail price incl. new taxes and subsidies (fuel-use weighted average of the after-tax prices atp of the subsectors priced by the block; rpb where they use none) | All sectors | Kerosene</t>
  </si>
  <si>
    <t>egy.mit.rpn.all.ker.1</t>
  </si>
  <si>
    <t>egy.mit.rpn.all.ker.3</t>
  </si>
  <si>
    <t>egy.mit.rpn.all.ker.4</t>
  </si>
  <si>
    <t>egy.mit.rpn.all.ker.5</t>
  </si>
  <si>
    <t>egy.mit.rpn.all.ker.6</t>
  </si>
  <si>
    <t>mit.rpn.all.oop</t>
  </si>
  <si>
    <t>mit.rp.all.oop.a</t>
  </si>
  <si>
    <t>Retail price incl. new taxes and subsidies (fuel-use weighted average of the after-tax prices atp of the subsectors priced by the block; rpb where they use none) | All sectors | Other oil products</t>
  </si>
  <si>
    <t>egy.mit.rpn.all.oop.1</t>
  </si>
  <si>
    <t>egy.mit.rpn.all.oop.3</t>
  </si>
  <si>
    <t>egy.mit.rpn.all.oop.4</t>
  </si>
  <si>
    <t>egy.mit.rpn.all.oop.5</t>
  </si>
  <si>
    <t>egy.mit.rpn.all.oop.6</t>
  </si>
  <si>
    <t>Methane</t>
  </si>
  <si>
    <t>air.ef.ext.ngaoil.ch4</t>
  </si>
  <si>
    <t>Oil and natural gas extraction - CH4 emissions factor, after abatement - baseline</t>
  </si>
  <si>
    <t>air.ef.ext.coa.ch4</t>
  </si>
  <si>
    <t>Coal extraction - CH4 emissions factor, after abatement - baseline</t>
  </si>
  <si>
    <t>Total CH4 emissions, including LULUCF - baseline</t>
  </si>
  <si>
    <t>mit.ghg.tot.exc.ch4</t>
  </si>
  <si>
    <t>mit.mfp.all.og</t>
  </si>
  <si>
    <t>mit.mftrajfossil</t>
  </si>
  <si>
    <t>Methane fee per t CH4 used on the abatement curve | All sectors | Oil and gas extraction</t>
  </si>
  <si>
    <t>USD/tCH4</t>
  </si>
  <si>
    <t>egy.mit.mfp.all.og.1</t>
  </si>
  <si>
    <t>egy.mit.mfp.all.og.3</t>
  </si>
  <si>
    <t>egy.mit.mfp.all.og.4</t>
  </si>
  <si>
    <t>egy.mit.mfp.all.og.5</t>
  </si>
  <si>
    <t>egy.mit.mfp.all.og.6</t>
  </si>
  <si>
    <t>mit.mfp.all.liv</t>
  </si>
  <si>
    <t>mit.mftrajnonfossil</t>
  </si>
  <si>
    <t>Methane fee per t CH4 used on the abatement curve | All sectors | Livestock</t>
  </si>
  <si>
    <t>egy.mit.mfp.all.liv.1</t>
  </si>
  <si>
    <t>egy.mit.mfp.all.liv.3</t>
  </si>
  <si>
    <t>egy.mit.mfp.all.liv.4</t>
  </si>
  <si>
    <t>egy.mit.mfp.all.liv.5</t>
  </si>
  <si>
    <t>egy.mit.mfp.all.liv.6</t>
  </si>
  <si>
    <t>mit.wel.eco.ext.dwl.pct</t>
  </si>
  <si>
    <t>Efficiency cost - extractives</t>
  </si>
  <si>
    <t>mit.wel.eco.agc.dwl.pct</t>
  </si>
  <si>
    <t>Efficiency cost - agriculture</t>
  </si>
  <si>
    <t>mit.wel.eco.was.dwl.pct</t>
  </si>
  <si>
    <t>Efficiency cost - waste</t>
  </si>
  <si>
    <t>mit.ener.mfpct.oil.e</t>
  </si>
  <si>
    <t>Crude oil - producer price increase, percent</t>
  </si>
  <si>
    <t>mit.ener.mfpct.coa.e</t>
  </si>
  <si>
    <t>Natural gas - producer price increase, percent</t>
  </si>
  <si>
    <t>mit.ener.mfpct.nga.e</t>
  </si>
  <si>
    <t>Coal - producer price increase, percent</t>
  </si>
  <si>
    <t>Subsidies</t>
  </si>
  <si>
    <t>mit.trs.gso.all.a</t>
  </si>
  <si>
    <t>Gasoline - portion used for transportation</t>
  </si>
  <si>
    <t>mit.vatrate.all.gso.a</t>
  </si>
  <si>
    <t>Gasoline - VAT rate</t>
  </si>
  <si>
    <t>mit.rescon.gso.all</t>
  </si>
  <si>
    <t>Gasoline - portion used for residential consumption</t>
  </si>
  <si>
    <t>mit.effprice.all.gso</t>
  </si>
  <si>
    <t>mit.effprice.gso.all</t>
  </si>
  <si>
    <t>Energy subsidies: efficient price | All sectors | Gasoline</t>
  </si>
  <si>
    <t>USD/GJ, USD/kWh</t>
  </si>
  <si>
    <t>egy.mit.effprice.all.gso.1</t>
  </si>
  <si>
    <t>egy.mit.effprice.all.gso.3</t>
  </si>
  <si>
    <t>egy.mit.effprice.all.gso.4</t>
  </si>
  <si>
    <t>egy.mit.effprice.all.gso.5</t>
  </si>
  <si>
    <t>egy.mit.effprice.all.gso.6</t>
  </si>
  <si>
    <t>mit.con.all.gso</t>
  </si>
  <si>
    <t>mit.con.gso.all</t>
  </si>
  <si>
    <t>Energy subsidies: consumption of the line | All sectors | Gasoline</t>
  </si>
  <si>
    <t>PJ, GWh</t>
  </si>
  <si>
    <t>egy.mit.con.all.gso.1</t>
  </si>
  <si>
    <t>egy.mit.con.all.gso.3</t>
  </si>
  <si>
    <t>egy.mit.con.all.gso.4</t>
  </si>
  <si>
    <t>egy.mit.con.all.gso.5</t>
  </si>
  <si>
    <t>egy.mit.con.all.gso.6</t>
  </si>
  <si>
    <t>mit.expsub.con.all.gso</t>
  </si>
  <si>
    <t>mit.expsub.con.gso.all</t>
  </si>
  <si>
    <t>Explicit consumer subsidy | All sectors | Gasoline</t>
  </si>
  <si>
    <t>egy.mit.expsub.con.all.gso.1</t>
  </si>
  <si>
    <t>egy.mit.expsub.con.all.gso.3</t>
  </si>
  <si>
    <t>egy.mit.expsub.con.all.gso.4</t>
  </si>
  <si>
    <t>egy.mit.expsub.con.all.gso.5</t>
  </si>
  <si>
    <t>egy.mit.expsub.con.all.gso.6</t>
  </si>
  <si>
    <t>mit.impsub.con.all.gso</t>
  </si>
  <si>
    <t>mit.impsub.con.gso.all</t>
  </si>
  <si>
    <t>Implicit consumer subsidy | All sectors | Gasoline</t>
  </si>
  <si>
    <t>egy.mit.impsub.con.all.gso.1</t>
  </si>
  <si>
    <t>egy.mit.impsub.con.all.gso.3</t>
  </si>
  <si>
    <t>egy.mit.impsub.con.all.gso.4</t>
  </si>
  <si>
    <t>egy.mit.impsub.con.all.gso.5</t>
  </si>
  <si>
    <t>egy.mit.impsub.con.all.gso.6</t>
  </si>
  <si>
    <t>mit.trs.die.all.a</t>
  </si>
  <si>
    <t>Diesel - portion used for transportation</t>
  </si>
  <si>
    <t>mit.vatrate.all.die.a</t>
  </si>
  <si>
    <t>Diesel - VAT rate</t>
  </si>
  <si>
    <t>mit.rescon.die.all</t>
  </si>
  <si>
    <t>Diesel - portion used for residential consumption</t>
  </si>
  <si>
    <t>mit.effprice.all.die</t>
  </si>
  <si>
    <t>mit.effprice.die.all</t>
  </si>
  <si>
    <t>Energy subsidies: efficient price | All sectors | Diesel</t>
  </si>
  <si>
    <t>egy.mit.effprice.all.die.1</t>
  </si>
  <si>
    <t>egy.mit.effprice.all.die.3</t>
  </si>
  <si>
    <t>egy.mit.effprice.all.die.4</t>
  </si>
  <si>
    <t>egy.mit.effprice.all.die.5</t>
  </si>
  <si>
    <t>egy.mit.effprice.all.die.6</t>
  </si>
  <si>
    <t>mit.con.all.die</t>
  </si>
  <si>
    <t>mit.con.die.all</t>
  </si>
  <si>
    <t>Energy subsidies: consumption of the line | All sectors | Diesel</t>
  </si>
  <si>
    <t>egy.mit.con.all.die.1</t>
  </si>
  <si>
    <t>egy.mit.con.all.die.3</t>
  </si>
  <si>
    <t>egy.mit.con.all.die.4</t>
  </si>
  <si>
    <t>egy.mit.con.all.die.5</t>
  </si>
  <si>
    <t>egy.mit.con.all.die.6</t>
  </si>
  <si>
    <t>mit.expsub.con.all.die</t>
  </si>
  <si>
    <t>mit.expsub.con.die.all</t>
  </si>
  <si>
    <t>Explicit consumer subsidy | All sectors | Diesel</t>
  </si>
  <si>
    <t>egy.mit.expsub.con.all.die.1</t>
  </si>
  <si>
    <t>egy.mit.expsub.con.all.die.3</t>
  </si>
  <si>
    <t>egy.mit.expsub.con.all.die.4</t>
  </si>
  <si>
    <t>egy.mit.expsub.con.all.die.5</t>
  </si>
  <si>
    <t>egy.mit.expsub.con.all.die.6</t>
  </si>
  <si>
    <t>mit.impsub.con.all.die</t>
  </si>
  <si>
    <t>mit.impsub.con.die.all</t>
  </si>
  <si>
    <t>Implicit consumer subsidy | All sectors | Diesel</t>
  </si>
  <si>
    <t>egy.mit.impsub.con.all.die.1</t>
  </si>
  <si>
    <t>egy.mit.impsub.con.all.die.3</t>
  </si>
  <si>
    <t>egy.mit.impsub.con.all.die.4</t>
  </si>
  <si>
    <t>egy.mit.impsub.con.all.die.5</t>
  </si>
  <si>
    <t>egy.mit.impsub.con.all.die.6</t>
  </si>
  <si>
    <t>mit.vatrate.all.lpg.a</t>
  </si>
  <si>
    <t>LPG - VAT rate</t>
  </si>
  <si>
    <t>mit.rescon.lpg.all</t>
  </si>
  <si>
    <t>LPG - portion used for residential consumption</t>
  </si>
  <si>
    <t>mit.effprice.all.lpg</t>
  </si>
  <si>
    <t>mit.effprice.lpg.all</t>
  </si>
  <si>
    <t>Energy subsidies: efficient price | All sectors | LPG</t>
  </si>
  <si>
    <t>egy.mit.effprice.all.lpg.1</t>
  </si>
  <si>
    <t>egy.mit.effprice.all.lpg.3</t>
  </si>
  <si>
    <t>egy.mit.effprice.all.lpg.4</t>
  </si>
  <si>
    <t>egy.mit.effprice.all.lpg.5</t>
  </si>
  <si>
    <t>egy.mit.effprice.all.lpg.6</t>
  </si>
  <si>
    <t>mit.con.all.lpg</t>
  </si>
  <si>
    <t>mit.con.lpg.all</t>
  </si>
  <si>
    <t>Energy subsidies: consumption of the line | All sectors | LPG</t>
  </si>
  <si>
    <t>egy.mit.con.all.lpg.1</t>
  </si>
  <si>
    <t>egy.mit.con.all.lpg.3</t>
  </si>
  <si>
    <t>egy.mit.con.all.lpg.4</t>
  </si>
  <si>
    <t>egy.mit.con.all.lpg.5</t>
  </si>
  <si>
    <t>egy.mit.con.all.lpg.6</t>
  </si>
  <si>
    <t>mit.expsub.con.all.lpg</t>
  </si>
  <si>
    <t>mit.expsub.con.lpg.all</t>
  </si>
  <si>
    <t>Explicit consumer subsidy | All sectors | LPG</t>
  </si>
  <si>
    <t>egy.mit.expsub.con.all.lpg.1</t>
  </si>
  <si>
    <t>egy.mit.expsub.con.all.lpg.3</t>
  </si>
  <si>
    <t>egy.mit.expsub.con.all.lpg.4</t>
  </si>
  <si>
    <t>egy.mit.expsub.con.all.lpg.5</t>
  </si>
  <si>
    <t>egy.mit.expsub.con.all.lpg.6</t>
  </si>
  <si>
    <t>mit.impsub.con.all.lpg</t>
  </si>
  <si>
    <t>mit.impsub.con.lpg.all</t>
  </si>
  <si>
    <t>Implicit consumer subsidy | All sectors | LPG</t>
  </si>
  <si>
    <t>egy.mit.impsub.con.all.lpg.1</t>
  </si>
  <si>
    <t>egy.mit.impsub.con.all.lpg.3</t>
  </si>
  <si>
    <t>egy.mit.impsub.con.all.lpg.4</t>
  </si>
  <si>
    <t>egy.mit.impsub.con.all.lpg.5</t>
  </si>
  <si>
    <t>egy.mit.impsub.con.all.lpg.6</t>
  </si>
  <si>
    <t>mit.vatrate.all.ker.a</t>
  </si>
  <si>
    <t>Kerosene - VAT rate</t>
  </si>
  <si>
    <t>mit.rescon.ker.all</t>
  </si>
  <si>
    <t>Kerosene - portion used for residential consumption</t>
  </si>
  <si>
    <t>mit.effprice.all.ker</t>
  </si>
  <si>
    <t>mit.effprice.ker.all</t>
  </si>
  <si>
    <t>Energy subsidies: efficient price | All sectors | Kerosene</t>
  </si>
  <si>
    <t>egy.mit.effprice.all.ker.1</t>
  </si>
  <si>
    <t>egy.mit.effprice.all.ker.3</t>
  </si>
  <si>
    <t>egy.mit.effprice.all.ker.4</t>
  </si>
  <si>
    <t>egy.mit.effprice.all.ker.5</t>
  </si>
  <si>
    <t>egy.mit.effprice.all.ker.6</t>
  </si>
  <si>
    <t>mit.con.all.ker</t>
  </si>
  <si>
    <t>mit.con.ker.all</t>
  </si>
  <si>
    <t>Energy subsidies: consumption of the line | All sectors | Kerosene</t>
  </si>
  <si>
    <t>egy.mit.con.all.ker.1</t>
  </si>
  <si>
    <t>egy.mit.con.all.ker.3</t>
  </si>
  <si>
    <t>egy.mit.con.all.ker.4</t>
  </si>
  <si>
    <t>egy.mit.con.all.ker.5</t>
  </si>
  <si>
    <t>egy.mit.con.all.ker.6</t>
  </si>
  <si>
    <t>mit.expsub.con.all.ker</t>
  </si>
  <si>
    <t>mit.expsub.con.ker.all</t>
  </si>
  <si>
    <t>Explicit consumer subsidy | All sectors | Kerosene</t>
  </si>
  <si>
    <t>egy.mit.expsub.con.all.ker.1</t>
  </si>
  <si>
    <t>egy.mit.expsub.con.all.ker.3</t>
  </si>
  <si>
    <t>egy.mit.expsub.con.all.ker.4</t>
  </si>
  <si>
    <t>egy.mit.expsub.con.all.ker.5</t>
  </si>
  <si>
    <t>egy.mit.expsub.con.all.ker.6</t>
  </si>
  <si>
    <t>mit.impsub.con.all.ker</t>
  </si>
  <si>
    <t>mit.impsub.con.ker.all</t>
  </si>
  <si>
    <t>Implicit consumer subsidy | All sectors | Kerosene</t>
  </si>
  <si>
    <t>egy.mit.impsub.con.all.ker.1</t>
  </si>
  <si>
    <t>egy.mit.impsub.con.all.ker.3</t>
  </si>
  <si>
    <t>egy.mit.impsub.con.all.ker.4</t>
  </si>
  <si>
    <t>egy.mit.impsub.con.all.ker.5</t>
  </si>
  <si>
    <t>egy.mit.impsub.con.all.ker.6</t>
  </si>
  <si>
    <t>mit.vatrate.all.oop.a</t>
  </si>
  <si>
    <t>Other oil products - VAT rate</t>
  </si>
  <si>
    <t>mit.rescon.oop.all</t>
  </si>
  <si>
    <t>Other oil products - portion used for residential consumption</t>
  </si>
  <si>
    <t>mit.effprice.all.oop</t>
  </si>
  <si>
    <t>mit.effprice.oop.all</t>
  </si>
  <si>
    <t>Energy subsidies: efficient price | All sectors | Other oil products</t>
  </si>
  <si>
    <t>egy.mit.effprice.all.oop.1</t>
  </si>
  <si>
    <t>egy.mit.effprice.all.oop.3</t>
  </si>
  <si>
    <t>egy.mit.effprice.all.oop.4</t>
  </si>
  <si>
    <t>egy.mit.effprice.all.oop.5</t>
  </si>
  <si>
    <t>egy.mit.effprice.all.oop.6</t>
  </si>
  <si>
    <t>mit.rpsub.all.oop</t>
  </si>
  <si>
    <t>mit.rp.oop.all</t>
  </si>
  <si>
    <t>Energy subsidies: retail price of the scenario | All sectors | Other oil products</t>
  </si>
  <si>
    <t>egy.mit.rpsub.all.oop.1</t>
  </si>
  <si>
    <t>egy.mit.rpsub.all.oop.3</t>
  </si>
  <si>
    <t>egy.mit.rpsub.all.oop.4</t>
  </si>
  <si>
    <t>egy.mit.rpsub.all.oop.5</t>
  </si>
  <si>
    <t>egy.mit.rpsub.all.oop.6</t>
  </si>
  <si>
    <t>mit.con.all.oop</t>
  </si>
  <si>
    <t>mit.con.oop.all</t>
  </si>
  <si>
    <t>Energy subsidies: consumption of the line | All sectors | Other oil products</t>
  </si>
  <si>
    <t>egy.mit.con.all.oop.1</t>
  </si>
  <si>
    <t>egy.mit.con.all.oop.3</t>
  </si>
  <si>
    <t>egy.mit.con.all.oop.4</t>
  </si>
  <si>
    <t>egy.mit.con.all.oop.5</t>
  </si>
  <si>
    <t>egy.mit.con.all.oop.6</t>
  </si>
  <si>
    <t>mit.expsub.con.all.oop</t>
  </si>
  <si>
    <t>mit.expsub.con.oop.all</t>
  </si>
  <si>
    <t>Explicit consumer subsidy | All sectors | Other oil products</t>
  </si>
  <si>
    <t>egy.mit.expsub.con.all.oop.1</t>
  </si>
  <si>
    <t>egy.mit.expsub.con.all.oop.3</t>
  </si>
  <si>
    <t>egy.mit.expsub.con.all.oop.4</t>
  </si>
  <si>
    <t>egy.mit.expsub.con.all.oop.5</t>
  </si>
  <si>
    <t>egy.mit.expsub.con.all.oop.6</t>
  </si>
  <si>
    <t>mit.vatext.ind.nga</t>
  </si>
  <si>
    <t>mit.vatext.nga.ind</t>
  </si>
  <si>
    <t>Energy subsidies: VAT on supply cost and externalities | Industry | Natural gas</t>
  </si>
  <si>
    <t>egy.mit.vatext.ind.nga.1</t>
  </si>
  <si>
    <t>egy.mit.vatext.ind.nga.3</t>
  </si>
  <si>
    <t>egy.mit.vatext.ind.nga.4</t>
  </si>
  <si>
    <t>egy.mit.vatext.ind.nga.5</t>
  </si>
  <si>
    <t>egy.mit.vatext.ind.nga.6</t>
  </si>
  <si>
    <t>mit.effprice.ind.nga</t>
  </si>
  <si>
    <t>mit.effprice.nga.ind</t>
  </si>
  <si>
    <t>Energy subsidies: efficient price | Industry | Natural gas</t>
  </si>
  <si>
    <t>egy.mit.effprice.ind.nga.1</t>
  </si>
  <si>
    <t>egy.mit.effprice.ind.nga.3</t>
  </si>
  <si>
    <t>egy.mit.effprice.ind.nga.4</t>
  </si>
  <si>
    <t>egy.mit.effprice.ind.nga.5</t>
  </si>
  <si>
    <t>egy.mit.effprice.ind.nga.6</t>
  </si>
  <si>
    <t>mit.con.ind.nga</t>
  </si>
  <si>
    <t>mit.con.nga.ind</t>
  </si>
  <si>
    <t>Energy subsidies: consumption of the line | Industry | Natural gas</t>
  </si>
  <si>
    <t>egy.mit.con.ind.nga.1</t>
  </si>
  <si>
    <t>egy.mit.con.ind.nga.3</t>
  </si>
  <si>
    <t>egy.mit.con.ind.nga.4</t>
  </si>
  <si>
    <t>egy.mit.con.ind.nga.5</t>
  </si>
  <si>
    <t>egy.mit.con.ind.nga.6</t>
  </si>
  <si>
    <t>mit.expsub.con.ind.nga</t>
  </si>
  <si>
    <t>mit.expsub.con.nga.ind</t>
  </si>
  <si>
    <t>Explicit consumer subsidy | Industry | Natural gas</t>
  </si>
  <si>
    <t>egy.mit.expsub.con.ind.nga.1</t>
  </si>
  <si>
    <t>egy.mit.expsub.con.ind.nga.3</t>
  </si>
  <si>
    <t>egy.mit.expsub.con.ind.nga.4</t>
  </si>
  <si>
    <t>egy.mit.expsub.con.ind.nga.5</t>
  </si>
  <si>
    <t>egy.mit.expsub.con.ind.nga.6</t>
  </si>
  <si>
    <t>mit.impsub.con.ind.nga</t>
  </si>
  <si>
    <t>mit.impsub.con.nga.ind</t>
  </si>
  <si>
    <t>Implicit consumer subsidy | Industry | Natural gas</t>
  </si>
  <si>
    <t>egy.mit.impsub.con.ind.nga.1</t>
  </si>
  <si>
    <t>egy.mit.impsub.con.ind.nga.3</t>
  </si>
  <si>
    <t>egy.mit.impsub.con.ind.nga.4</t>
  </si>
  <si>
    <t>egy.mit.impsub.con.ind.nga.5</t>
  </si>
  <si>
    <t>egy.mit.impsub.con.ind.nga.6</t>
  </si>
  <si>
    <t>mit.vatrate.res.nga.a</t>
  </si>
  <si>
    <t>Natural gas, residential - VAT rate</t>
  </si>
  <si>
    <t>mit.effprice.res.nga</t>
  </si>
  <si>
    <t>mit.effprice.nga.res</t>
  </si>
  <si>
    <t>Energy subsidies: efficient price | Residential | Natural gas</t>
  </si>
  <si>
    <t>egy.mit.effprice.res.nga.1</t>
  </si>
  <si>
    <t>egy.mit.effprice.res.nga.3</t>
  </si>
  <si>
    <t>egy.mit.effprice.res.nga.4</t>
  </si>
  <si>
    <t>egy.mit.effprice.res.nga.5</t>
  </si>
  <si>
    <t>egy.mit.effprice.res.nga.6</t>
  </si>
  <si>
    <t>mit.con.res.nga</t>
  </si>
  <si>
    <t>mit.con.nga.res</t>
  </si>
  <si>
    <t>Energy subsidies: consumption of the line | Residential | Natural gas</t>
  </si>
  <si>
    <t>egy.mit.con.res.nga.1</t>
  </si>
  <si>
    <t>egy.mit.con.res.nga.3</t>
  </si>
  <si>
    <t>egy.mit.con.res.nga.4</t>
  </si>
  <si>
    <t>egy.mit.con.res.nga.5</t>
  </si>
  <si>
    <t>egy.mit.con.res.nga.6</t>
  </si>
  <si>
    <t>mit.expsub.con.res.nga</t>
  </si>
  <si>
    <t>mit.expsub.con.nga.res</t>
  </si>
  <si>
    <t>Explicit consumer subsidy | Residential | Natural gas</t>
  </si>
  <si>
    <t>egy.mit.expsub.con.res.nga.1</t>
  </si>
  <si>
    <t>egy.mit.expsub.con.res.nga.3</t>
  </si>
  <si>
    <t>egy.mit.expsub.con.res.nga.4</t>
  </si>
  <si>
    <t>egy.mit.expsub.con.res.nga.5</t>
  </si>
  <si>
    <t>egy.mit.expsub.con.res.nga.6</t>
  </si>
  <si>
    <t>mit.impsub.con.res.nga</t>
  </si>
  <si>
    <t>mit.impsub.con.nga.res</t>
  </si>
  <si>
    <t>Implicit consumer subsidy | Residential | Natural gas</t>
  </si>
  <si>
    <t>egy.mit.impsub.con.res.nga.1</t>
  </si>
  <si>
    <t>egy.mit.impsub.con.res.nga.3</t>
  </si>
  <si>
    <t>egy.mit.impsub.con.res.nga.4</t>
  </si>
  <si>
    <t>egy.mit.impsub.con.res.nga.5</t>
  </si>
  <si>
    <t>egy.mit.impsub.con.res.nga.6</t>
  </si>
  <si>
    <t>mit.effprice.pow.nga</t>
  </si>
  <si>
    <t>mit.effprice.nga.pow</t>
  </si>
  <si>
    <t>Energy subsidies: efficient price | Power | Natural gas</t>
  </si>
  <si>
    <t>egy.mit.effprice.pow.nga.1</t>
  </si>
  <si>
    <t>egy.mit.effprice.pow.nga.3</t>
  </si>
  <si>
    <t>egy.mit.effprice.pow.nga.4</t>
  </si>
  <si>
    <t>egy.mit.effprice.pow.nga.5</t>
  </si>
  <si>
    <t>egy.mit.effprice.pow.nga.6</t>
  </si>
  <si>
    <t>mit.con.pow.nga</t>
  </si>
  <si>
    <t>mit.con.nga.pow</t>
  </si>
  <si>
    <t>Energy subsidies: consumption of the line | Power | Natural gas</t>
  </si>
  <si>
    <t>egy.mit.con.pow.nga.1</t>
  </si>
  <si>
    <t>egy.mit.con.pow.nga.3</t>
  </si>
  <si>
    <t>egy.mit.con.pow.nga.4</t>
  </si>
  <si>
    <t>egy.mit.con.pow.nga.5</t>
  </si>
  <si>
    <t>egy.mit.con.pow.nga.6</t>
  </si>
  <si>
    <t>mit.expsub.con.pow.nga</t>
  </si>
  <si>
    <t>mit.expsub.con.nga.pow</t>
  </si>
  <si>
    <t>Explicit consumer subsidy | Power | Natural gas</t>
  </si>
  <si>
    <t>egy.mit.expsub.con.pow.nga.1</t>
  </si>
  <si>
    <t>egy.mit.expsub.con.pow.nga.3</t>
  </si>
  <si>
    <t>egy.mit.expsub.con.pow.nga.4</t>
  </si>
  <si>
    <t>egy.mit.expsub.con.pow.nga.5</t>
  </si>
  <si>
    <t>egy.mit.expsub.con.pow.nga.6</t>
  </si>
  <si>
    <t>mit.impsub.con.pow.nga</t>
  </si>
  <si>
    <t>mit.impsub.con.nga.pow</t>
  </si>
  <si>
    <t>Implicit consumer subsidy | Power | Natural gas</t>
  </si>
  <si>
    <t>egy.mit.impsub.con.pow.nga.1</t>
  </si>
  <si>
    <t>egy.mit.impsub.con.pow.nga.3</t>
  </si>
  <si>
    <t>egy.mit.impsub.con.pow.nga.4</t>
  </si>
  <si>
    <t>egy.mit.impsub.con.pow.nga.5</t>
  </si>
  <si>
    <t>egy.mit.impsub.con.pow.nga.6</t>
  </si>
  <si>
    <t>mit.supcost.oth.nga</t>
  </si>
  <si>
    <t>mit.supcost.nga.other</t>
  </si>
  <si>
    <t>Energy subsidies: supply cost | Other | Natural gas</t>
  </si>
  <si>
    <t>egy.mit.supcost.oth.nga.1</t>
  </si>
  <si>
    <t>egy.mit.supcost.oth.nga.3</t>
  </si>
  <si>
    <t>egy.mit.supcost.oth.nga.4</t>
  </si>
  <si>
    <t>egy.mit.supcost.oth.nga.5</t>
  </si>
  <si>
    <t>egy.mit.supcost.oth.nga.6</t>
  </si>
  <si>
    <t>mit.extcost.oth.nga</t>
  </si>
  <si>
    <t>mit.extcost.nga.other</t>
  </si>
  <si>
    <t>Energy subsidies: externalities incl. climate (global SCC) | Other | Natural gas</t>
  </si>
  <si>
    <t>egy.mit.extcost.oth.nga.1</t>
  </si>
  <si>
    <t>egy.mit.extcost.oth.nga.3</t>
  </si>
  <si>
    <t>egy.mit.extcost.oth.nga.4</t>
  </si>
  <si>
    <t>egy.mit.extcost.oth.nga.5</t>
  </si>
  <si>
    <t>egy.mit.extcost.oth.nga.6</t>
  </si>
  <si>
    <t>mit.vatext.oth.nga</t>
  </si>
  <si>
    <t>mit.vatext.nga.other</t>
  </si>
  <si>
    <t>Energy subsidies: VAT on supply cost and externalities | Other | Natural gas</t>
  </si>
  <si>
    <t>egy.mit.vatext.oth.nga.1</t>
  </si>
  <si>
    <t>egy.mit.vatext.oth.nga.3</t>
  </si>
  <si>
    <t>egy.mit.vatext.oth.nga.4</t>
  </si>
  <si>
    <t>egy.mit.vatext.oth.nga.5</t>
  </si>
  <si>
    <t>egy.mit.vatext.oth.nga.6</t>
  </si>
  <si>
    <t>mit.effprice.oth.nga</t>
  </si>
  <si>
    <t>mit.effprice.nga.other</t>
  </si>
  <si>
    <t>Energy subsidies: efficient price | Other | Natural gas</t>
  </si>
  <si>
    <t>egy.mit.effprice.oth.nga.1</t>
  </si>
  <si>
    <t>egy.mit.effprice.oth.nga.3</t>
  </si>
  <si>
    <t>egy.mit.effprice.oth.nga.4</t>
  </si>
  <si>
    <t>egy.mit.effprice.oth.nga.5</t>
  </si>
  <si>
    <t>egy.mit.effprice.oth.nga.6</t>
  </si>
  <si>
    <t>mit.rpsub.oth.nga</t>
  </si>
  <si>
    <t>mit.rp.nga.other</t>
  </si>
  <si>
    <t>Energy subsidies: retail price of the scenario | Other | Natural gas</t>
  </si>
  <si>
    <t>egy.mit.rpsub.oth.nga.1</t>
  </si>
  <si>
    <t>egy.mit.rpsub.oth.nga.3</t>
  </si>
  <si>
    <t>egy.mit.rpsub.oth.nga.4</t>
  </si>
  <si>
    <t>egy.mit.rpsub.oth.nga.5</t>
  </si>
  <si>
    <t>egy.mit.rpsub.oth.nga.6</t>
  </si>
  <si>
    <t>mit.con.oth.nga</t>
  </si>
  <si>
    <t>mit.con.nga.other</t>
  </si>
  <si>
    <t>Energy subsidies: consumption of the line | Other | Natural gas</t>
  </si>
  <si>
    <t>egy.mit.con.oth.nga.1</t>
  </si>
  <si>
    <t>egy.mit.con.oth.nga.3</t>
  </si>
  <si>
    <t>egy.mit.con.oth.nga.4</t>
  </si>
  <si>
    <t>egy.mit.con.oth.nga.5</t>
  </si>
  <si>
    <t>egy.mit.con.oth.nga.6</t>
  </si>
  <si>
    <t>mit.expsub.con.oth.nga</t>
  </si>
  <si>
    <t>mit.expsub.con.nga.other</t>
  </si>
  <si>
    <t>Explicit consumer subsidy | Other | Natural gas</t>
  </si>
  <si>
    <t>egy.mit.expsub.con.oth.nga.1</t>
  </si>
  <si>
    <t>egy.mit.expsub.con.oth.nga.3</t>
  </si>
  <si>
    <t>egy.mit.expsub.con.oth.nga.4</t>
  </si>
  <si>
    <t>egy.mit.expsub.con.oth.nga.5</t>
  </si>
  <si>
    <t>egy.mit.expsub.con.oth.nga.6</t>
  </si>
  <si>
    <t>mit.impsub.con.oth.nga</t>
  </si>
  <si>
    <t>mit.impsub.con.nga.other</t>
  </si>
  <si>
    <t>Implicit consumer subsidy | Other | Natural gas</t>
  </si>
  <si>
    <t>egy.mit.impsub.con.oth.nga.1</t>
  </si>
  <si>
    <t>egy.mit.impsub.con.oth.nga.3</t>
  </si>
  <si>
    <t>egy.mit.impsub.con.oth.nga.4</t>
  </si>
  <si>
    <t>egy.mit.impsub.con.oth.nga.5</t>
  </si>
  <si>
    <t>egy.mit.impsub.con.oth.nga.6</t>
  </si>
  <si>
    <t>mit.effprice.ind.coa</t>
  </si>
  <si>
    <t>mit.effprice.coa.ind</t>
  </si>
  <si>
    <t>Energy subsidies: efficient price | Industry | Coal</t>
  </si>
  <si>
    <t>egy.mit.effprice.ind.coa.1</t>
  </si>
  <si>
    <t>egy.mit.effprice.ind.coa.3</t>
  </si>
  <si>
    <t>egy.mit.effprice.ind.coa.4</t>
  </si>
  <si>
    <t>egy.mit.effprice.ind.coa.5</t>
  </si>
  <si>
    <t>egy.mit.effprice.ind.coa.6</t>
  </si>
  <si>
    <t>mit.con.ind.coa</t>
  </si>
  <si>
    <t>mit.con.coa.ind</t>
  </si>
  <si>
    <t>Energy subsidies: consumption of the line | Industry | Coal</t>
  </si>
  <si>
    <t>egy.mit.con.ind.coa.1</t>
  </si>
  <si>
    <t>egy.mit.con.ind.coa.3</t>
  </si>
  <si>
    <t>egy.mit.con.ind.coa.4</t>
  </si>
  <si>
    <t>egy.mit.con.ind.coa.5</t>
  </si>
  <si>
    <t>egy.mit.con.ind.coa.6</t>
  </si>
  <si>
    <t>mit.expsub.con.ind.coa</t>
  </si>
  <si>
    <t>mit.expsub.con.coa.ind</t>
  </si>
  <si>
    <t>Explicit consumer subsidy | Industry | Coal</t>
  </si>
  <si>
    <t>egy.mit.expsub.con.ind.coa.1</t>
  </si>
  <si>
    <t>egy.mit.expsub.con.ind.coa.3</t>
  </si>
  <si>
    <t>egy.mit.expsub.con.ind.coa.4</t>
  </si>
  <si>
    <t>egy.mit.expsub.con.ind.coa.5</t>
  </si>
  <si>
    <t>egy.mit.expsub.con.ind.coa.6</t>
  </si>
  <si>
    <t>mit.impsub.con.ind.coa</t>
  </si>
  <si>
    <t>mit.impsub.con.coa.ind</t>
  </si>
  <si>
    <t>Implicit consumer subsidy | Industry | Coal</t>
  </si>
  <si>
    <t>egy.mit.impsub.con.ind.coa.1</t>
  </si>
  <si>
    <t>egy.mit.impsub.con.ind.coa.3</t>
  </si>
  <si>
    <t>egy.mit.impsub.con.ind.coa.4</t>
  </si>
  <si>
    <t>egy.mit.impsub.con.ind.coa.5</t>
  </si>
  <si>
    <t>egy.mit.impsub.con.ind.coa.6</t>
  </si>
  <si>
    <t>mit.vatrate.res.coa.a</t>
  </si>
  <si>
    <t>Coal, residential - VAT rate</t>
  </si>
  <si>
    <t>mit.effprice.res.coa</t>
  </si>
  <si>
    <t>mit.effprice.coa.res</t>
  </si>
  <si>
    <t>Energy subsidies: efficient price | Residential | Coal</t>
  </si>
  <si>
    <t>egy.mit.effprice.res.coa.1</t>
  </si>
  <si>
    <t>egy.mit.effprice.res.coa.3</t>
  </si>
  <si>
    <t>egy.mit.effprice.res.coa.4</t>
  </si>
  <si>
    <t>egy.mit.effprice.res.coa.5</t>
  </si>
  <si>
    <t>egy.mit.effprice.res.coa.6</t>
  </si>
  <si>
    <t>mit.con.res.coa</t>
  </si>
  <si>
    <t>mit.con.coa.res</t>
  </si>
  <si>
    <t>Energy subsidies: consumption of the line | Residential | Coal</t>
  </si>
  <si>
    <t>egy.mit.con.res.coa.1</t>
  </si>
  <si>
    <t>egy.mit.con.res.coa.3</t>
  </si>
  <si>
    <t>egy.mit.con.res.coa.4</t>
  </si>
  <si>
    <t>egy.mit.con.res.coa.5</t>
  </si>
  <si>
    <t>egy.mit.con.res.coa.6</t>
  </si>
  <si>
    <t>mit.expsub.con.res.coa</t>
  </si>
  <si>
    <t>mit.expsub.con.coa.res</t>
  </si>
  <si>
    <t>Explicit consumer subsidy | Residential | Coal</t>
  </si>
  <si>
    <t>egy.mit.expsub.con.res.coa.1</t>
  </si>
  <si>
    <t>egy.mit.expsub.con.res.coa.3</t>
  </si>
  <si>
    <t>egy.mit.expsub.con.res.coa.4</t>
  </si>
  <si>
    <t>egy.mit.expsub.con.res.coa.5</t>
  </si>
  <si>
    <t>egy.mit.expsub.con.res.coa.6</t>
  </si>
  <si>
    <t>mit.impsub.con.res.coa</t>
  </si>
  <si>
    <t>mit.impsub.con.coa.res</t>
  </si>
  <si>
    <t>Implicit consumer subsidy | Residential | Coal</t>
  </si>
  <si>
    <t>egy.mit.impsub.con.res.coa.1</t>
  </si>
  <si>
    <t>egy.mit.impsub.con.res.coa.3</t>
  </si>
  <si>
    <t>egy.mit.impsub.con.res.coa.4</t>
  </si>
  <si>
    <t>egy.mit.impsub.con.res.coa.5</t>
  </si>
  <si>
    <t>egy.mit.impsub.con.res.coa.6</t>
  </si>
  <si>
    <t>mit.effprice.pow.coa</t>
  </si>
  <si>
    <t>mit.effprice.coa.pow</t>
  </si>
  <si>
    <t>Energy subsidies: efficient price | Power | Coal</t>
  </si>
  <si>
    <t>egy.mit.effprice.pow.coa.1</t>
  </si>
  <si>
    <t>egy.mit.effprice.pow.coa.3</t>
  </si>
  <si>
    <t>egy.mit.effprice.pow.coa.4</t>
  </si>
  <si>
    <t>egy.mit.effprice.pow.coa.5</t>
  </si>
  <si>
    <t>egy.mit.effprice.pow.coa.6</t>
  </si>
  <si>
    <t>mit.con.pow.coa</t>
  </si>
  <si>
    <t>mit.con.coa.pow</t>
  </si>
  <si>
    <t>Energy subsidies: consumption of the line | Power | Coal</t>
  </si>
  <si>
    <t>egy.mit.con.pow.coa.1</t>
  </si>
  <si>
    <t>egy.mit.con.pow.coa.3</t>
  </si>
  <si>
    <t>egy.mit.con.pow.coa.4</t>
  </si>
  <si>
    <t>egy.mit.con.pow.coa.5</t>
  </si>
  <si>
    <t>egy.mit.con.pow.coa.6</t>
  </si>
  <si>
    <t>mit.expsub.con.pow.coa</t>
  </si>
  <si>
    <t>mit.expsub.con.coa.pow</t>
  </si>
  <si>
    <t>Explicit consumer subsidy | Power | Coal</t>
  </si>
  <si>
    <t>egy.mit.expsub.con.pow.coa.1</t>
  </si>
  <si>
    <t>egy.mit.expsub.con.pow.coa.3</t>
  </si>
  <si>
    <t>egy.mit.expsub.con.pow.coa.4</t>
  </si>
  <si>
    <t>egy.mit.expsub.con.pow.coa.5</t>
  </si>
  <si>
    <t>egy.mit.expsub.con.pow.coa.6</t>
  </si>
  <si>
    <t>mit.impsub.con.pow.coa</t>
  </si>
  <si>
    <t>mit.impsub.con.coa.pow</t>
  </si>
  <si>
    <t>Implicit consumer subsidy | Power | Coal</t>
  </si>
  <si>
    <t>egy.mit.impsub.con.pow.coa.1</t>
  </si>
  <si>
    <t>egy.mit.impsub.con.pow.coa.3</t>
  </si>
  <si>
    <t>egy.mit.impsub.con.pow.coa.4</t>
  </si>
  <si>
    <t>egy.mit.impsub.con.pow.coa.5</t>
  </si>
  <si>
    <t>egy.mit.impsub.con.pow.coa.6</t>
  </si>
  <si>
    <t>mit.supcost.oth.coa</t>
  </si>
  <si>
    <t>mit.supcost.coa.other</t>
  </si>
  <si>
    <t>Energy subsidies: supply cost | Other | Coal</t>
  </si>
  <si>
    <t>egy.mit.supcost.oth.coa.1</t>
  </si>
  <si>
    <t>egy.mit.supcost.oth.coa.3</t>
  </si>
  <si>
    <t>egy.mit.supcost.oth.coa.4</t>
  </si>
  <si>
    <t>egy.mit.supcost.oth.coa.5</t>
  </si>
  <si>
    <t>egy.mit.supcost.oth.coa.6</t>
  </si>
  <si>
    <t>mit.extcost.oth.coa</t>
  </si>
  <si>
    <t>mit.extcost.coa.other</t>
  </si>
  <si>
    <t>Energy subsidies: externalities incl. climate (global SCC) | Other | Coal</t>
  </si>
  <si>
    <t>egy.mit.extcost.oth.coa.1</t>
  </si>
  <si>
    <t>egy.mit.extcost.oth.coa.3</t>
  </si>
  <si>
    <t>egy.mit.extcost.oth.coa.4</t>
  </si>
  <si>
    <t>egy.mit.extcost.oth.coa.5</t>
  </si>
  <si>
    <t>egy.mit.extcost.oth.coa.6</t>
  </si>
  <si>
    <t>mit.vatext.oth.coa</t>
  </si>
  <si>
    <t>mit.vatext.coa.other</t>
  </si>
  <si>
    <t>Energy subsidies: VAT on supply cost and externalities | Other | Coal</t>
  </si>
  <si>
    <t>egy.mit.vatext.oth.coa.1</t>
  </si>
  <si>
    <t>egy.mit.vatext.oth.coa.3</t>
  </si>
  <si>
    <t>egy.mit.vatext.oth.coa.4</t>
  </si>
  <si>
    <t>egy.mit.vatext.oth.coa.5</t>
  </si>
  <si>
    <t>egy.mit.vatext.oth.coa.6</t>
  </si>
  <si>
    <t>mit.effprice.oth.coa</t>
  </si>
  <si>
    <t>mit.effprice.coa.other</t>
  </si>
  <si>
    <t>Energy subsidies: efficient price | Other | Coal</t>
  </si>
  <si>
    <t>egy.mit.effprice.oth.coa.1</t>
  </si>
  <si>
    <t>egy.mit.effprice.oth.coa.3</t>
  </si>
  <si>
    <t>egy.mit.effprice.oth.coa.4</t>
  </si>
  <si>
    <t>egy.mit.effprice.oth.coa.5</t>
  </si>
  <si>
    <t>egy.mit.effprice.oth.coa.6</t>
  </si>
  <si>
    <t>mit.rpsub.oth.coa</t>
  </si>
  <si>
    <t>mit.rp.coa.other</t>
  </si>
  <si>
    <t>Energy subsidies: retail price of the scenario | Other | Coal</t>
  </si>
  <si>
    <t>egy.mit.rpsub.oth.coa.1</t>
  </si>
  <si>
    <t>egy.mit.rpsub.oth.coa.3</t>
  </si>
  <si>
    <t>egy.mit.rpsub.oth.coa.4</t>
  </si>
  <si>
    <t>egy.mit.rpsub.oth.coa.5</t>
  </si>
  <si>
    <t>egy.mit.rpsub.oth.coa.6</t>
  </si>
  <si>
    <t>mit.con.oth.coa</t>
  </si>
  <si>
    <t>mit.con.coa.other</t>
  </si>
  <si>
    <t>Energy subsidies: consumption of the line | Other | Coal</t>
  </si>
  <si>
    <t>egy.mit.con.oth.coa.1</t>
  </si>
  <si>
    <t>egy.mit.con.oth.coa.3</t>
  </si>
  <si>
    <t>egy.mit.con.oth.coa.4</t>
  </si>
  <si>
    <t>egy.mit.con.oth.coa.5</t>
  </si>
  <si>
    <t>egy.mit.con.oth.coa.6</t>
  </si>
  <si>
    <t>mit.expsub.con.oth.coa</t>
  </si>
  <si>
    <t>mit.expsub.con.coa.other</t>
  </si>
  <si>
    <t>Explicit consumer subsidy | Other | Coal</t>
  </si>
  <si>
    <t>egy.mit.expsub.con.oth.coa.1</t>
  </si>
  <si>
    <t>egy.mit.expsub.con.oth.coa.3</t>
  </si>
  <si>
    <t>egy.mit.expsub.con.oth.coa.4</t>
  </si>
  <si>
    <t>egy.mit.expsub.con.oth.coa.5</t>
  </si>
  <si>
    <t>egy.mit.expsub.con.oth.coa.6</t>
  </si>
  <si>
    <t>mit.impsub.con.oth.coa</t>
  </si>
  <si>
    <t>mit.impsub.con.coa.other</t>
  </si>
  <si>
    <t>Implicit consumer subsidy | Other | Coal</t>
  </si>
  <si>
    <t>egy.mit.impsub.con.oth.coa.1</t>
  </si>
  <si>
    <t>egy.mit.impsub.con.oth.coa.3</t>
  </si>
  <si>
    <t>egy.mit.impsub.con.oth.coa.4</t>
  </si>
  <si>
    <t>egy.mit.impsub.con.oth.coa.5</t>
  </si>
  <si>
    <t>egy.mit.impsub.con.oth.coa.6</t>
  </si>
  <si>
    <t>mit.effprice.ind.ecy</t>
  </si>
  <si>
    <t>mit.effprice.ecy.ind</t>
  </si>
  <si>
    <t>Energy subsidies: efficient price | Industry | Electricity</t>
  </si>
  <si>
    <t>egy.mit.effprice.ind.ecy.1</t>
  </si>
  <si>
    <t>egy.mit.effprice.ind.ecy.3</t>
  </si>
  <si>
    <t>egy.mit.effprice.ind.ecy.4</t>
  </si>
  <si>
    <t>egy.mit.effprice.ind.ecy.5</t>
  </si>
  <si>
    <t>egy.mit.effprice.ind.ecy.6</t>
  </si>
  <si>
    <t>mit.con.ind.ecy</t>
  </si>
  <si>
    <t>mit.con.ecy.ind</t>
  </si>
  <si>
    <t>Energy subsidies: consumption of the line | Industry | Electricity</t>
  </si>
  <si>
    <t>egy.mit.con.ind.ecy.1</t>
  </si>
  <si>
    <t>egy.mit.con.ind.ecy.3</t>
  </si>
  <si>
    <t>egy.mit.con.ind.ecy.4</t>
  </si>
  <si>
    <t>egy.mit.con.ind.ecy.5</t>
  </si>
  <si>
    <t>egy.mit.con.ind.ecy.6</t>
  </si>
  <si>
    <t>mit.expsub.con.ind.ecy</t>
  </si>
  <si>
    <t>mit.expsub.con.ecy.ind</t>
  </si>
  <si>
    <t>Explicit consumer subsidy | Industry | Electricity</t>
  </si>
  <si>
    <t>egy.mit.expsub.con.ind.ecy.1</t>
  </si>
  <si>
    <t>egy.mit.expsub.con.ind.ecy.3</t>
  </si>
  <si>
    <t>egy.mit.expsub.con.ind.ecy.4</t>
  </si>
  <si>
    <t>egy.mit.expsub.con.ind.ecy.5</t>
  </si>
  <si>
    <t>egy.mit.expsub.con.ind.ecy.6</t>
  </si>
  <si>
    <t>mit.impsub.con.ind.ecy</t>
  </si>
  <si>
    <t>mit.impsub.con.ecy.ind</t>
  </si>
  <si>
    <t>Implicit consumer subsidy | Industry | Electricity</t>
  </si>
  <si>
    <t>egy.mit.impsub.con.ind.ecy.1</t>
  </si>
  <si>
    <t>egy.mit.impsub.con.ind.ecy.3</t>
  </si>
  <si>
    <t>egy.mit.impsub.con.ind.ecy.4</t>
  </si>
  <si>
    <t>egy.mit.impsub.con.ind.ecy.5</t>
  </si>
  <si>
    <t>egy.mit.impsub.con.ind.ecy.6</t>
  </si>
  <si>
    <t>mit.vatrate.res.ecy.t</t>
  </si>
  <si>
    <t>Electricity, residential - VAT rate</t>
  </si>
  <si>
    <t>mit.effprice.res.ecy</t>
  </si>
  <si>
    <t>mit.effprice.ecy.res</t>
  </si>
  <si>
    <t>Energy subsidies: efficient price | Residential | Electricity</t>
  </si>
  <si>
    <t>egy.mit.effprice.res.ecy.1</t>
  </si>
  <si>
    <t>egy.mit.effprice.res.ecy.3</t>
  </si>
  <si>
    <t>egy.mit.effprice.res.ecy.4</t>
  </si>
  <si>
    <t>egy.mit.effprice.res.ecy.5</t>
  </si>
  <si>
    <t>egy.mit.effprice.res.ecy.6</t>
  </si>
  <si>
    <t>mit.con.res.ecy</t>
  </si>
  <si>
    <t>mit.con.ecy.res</t>
  </si>
  <si>
    <t>Energy subsidies: consumption of the line | Residential | Electricity</t>
  </si>
  <si>
    <t>egy.mit.con.res.ecy.1</t>
  </si>
  <si>
    <t>egy.mit.con.res.ecy.3</t>
  </si>
  <si>
    <t>egy.mit.con.res.ecy.4</t>
  </si>
  <si>
    <t>egy.mit.con.res.ecy.5</t>
  </si>
  <si>
    <t>egy.mit.con.res.ecy.6</t>
  </si>
  <si>
    <t>mit.expsub.con.res.ecy</t>
  </si>
  <si>
    <t>mit.expsub.con.ecy.res</t>
  </si>
  <si>
    <t>Explicit consumer subsidy | Residential | Electricity</t>
  </si>
  <si>
    <t>egy.mit.expsub.con.res.ecy.1</t>
  </si>
  <si>
    <t>egy.mit.expsub.con.res.ecy.3</t>
  </si>
  <si>
    <t>egy.mit.expsub.con.res.ecy.4</t>
  </si>
  <si>
    <t>egy.mit.expsub.con.res.ecy.5</t>
  </si>
  <si>
    <t>egy.mit.expsub.con.res.ecy.6</t>
  </si>
  <si>
    <t>mit.impsub.con.res.ecy</t>
  </si>
  <si>
    <t>mit.impsub.con.ecy.res</t>
  </si>
  <si>
    <t>Implicit consumer subsidy | Residential | Electricity</t>
  </si>
  <si>
    <t>egy.mit.impsub.con.res.ecy.1</t>
  </si>
  <si>
    <t>egy.mit.impsub.con.res.ecy.3</t>
  </si>
  <si>
    <t>egy.mit.impsub.con.res.ecy.4</t>
  </si>
  <si>
    <t>egy.mit.impsub.con.res.ecy.5</t>
  </si>
  <si>
    <t>egy.mit.impsub.con.res.ecy.6</t>
  </si>
  <si>
    <t>mit.supcost.oth.ecy</t>
  </si>
  <si>
    <t>mit.supcost.ecy.other</t>
  </si>
  <si>
    <t>Energy subsidies: supply cost | Other | Electricity</t>
  </si>
  <si>
    <t>egy.mit.supcost.oth.ecy.1</t>
  </si>
  <si>
    <t>egy.mit.supcost.oth.ecy.3</t>
  </si>
  <si>
    <t>egy.mit.supcost.oth.ecy.4</t>
  </si>
  <si>
    <t>egy.mit.supcost.oth.ecy.5</t>
  </si>
  <si>
    <t>egy.mit.supcost.oth.ecy.6</t>
  </si>
  <si>
    <t>mit.extcost.oth.ecy</t>
  </si>
  <si>
    <t>mit.extcost.ecy.other</t>
  </si>
  <si>
    <t>Energy subsidies: externalities incl. climate (global SCC) | Other | Electricity</t>
  </si>
  <si>
    <t>egy.mit.extcost.oth.ecy.1</t>
  </si>
  <si>
    <t>egy.mit.extcost.oth.ecy.3</t>
  </si>
  <si>
    <t>egy.mit.extcost.oth.ecy.4</t>
  </si>
  <si>
    <t>egy.mit.extcost.oth.ecy.5</t>
  </si>
  <si>
    <t>egy.mit.extcost.oth.ecy.6</t>
  </si>
  <si>
    <t>mit.vatext.oth.ecy</t>
  </si>
  <si>
    <t>mit.vatext.ecy.other</t>
  </si>
  <si>
    <t>Energy subsidies: VAT on supply cost and externalities | Other | Electricity</t>
  </si>
  <si>
    <t>egy.mit.vatext.oth.ecy.1</t>
  </si>
  <si>
    <t>egy.mit.vatext.oth.ecy.3</t>
  </si>
  <si>
    <t>egy.mit.vatext.oth.ecy.4</t>
  </si>
  <si>
    <t>egy.mit.vatext.oth.ecy.5</t>
  </si>
  <si>
    <t>egy.mit.vatext.oth.ecy.6</t>
  </si>
  <si>
    <t>mit.effprice.oth.ecy</t>
  </si>
  <si>
    <t>mit.effprice.ecy.other</t>
  </si>
  <si>
    <t>Energy subsidies: efficient price | Other | Electricity</t>
  </si>
  <si>
    <t>egy.mit.effprice.oth.ecy.1</t>
  </si>
  <si>
    <t>egy.mit.effprice.oth.ecy.3</t>
  </si>
  <si>
    <t>egy.mit.effprice.oth.ecy.4</t>
  </si>
  <si>
    <t>egy.mit.effprice.oth.ecy.5</t>
  </si>
  <si>
    <t>egy.mit.effprice.oth.ecy.6</t>
  </si>
  <si>
    <t>mit.rpsub.oth.ecy</t>
  </si>
  <si>
    <t>mit.rp.ecy.other</t>
  </si>
  <si>
    <t>Energy subsidies: retail price of the scenario | Other | Electricity</t>
  </si>
  <si>
    <t>egy.mit.rpsub.oth.ecy.1</t>
  </si>
  <si>
    <t>egy.mit.rpsub.oth.ecy.3</t>
  </si>
  <si>
    <t>egy.mit.rpsub.oth.ecy.4</t>
  </si>
  <si>
    <t>egy.mit.rpsub.oth.ecy.5</t>
  </si>
  <si>
    <t>egy.mit.rpsub.oth.ecy.6</t>
  </si>
  <si>
    <t>mit.con.oth.ecy</t>
  </si>
  <si>
    <t>mit.con.ecy.other</t>
  </si>
  <si>
    <t>Energy subsidies: consumption of the line | Other | Electricity</t>
  </si>
  <si>
    <t>egy.mit.con.oth.ecy.1</t>
  </si>
  <si>
    <t>egy.mit.con.oth.ecy.3</t>
  </si>
  <si>
    <t>egy.mit.con.oth.ecy.4</t>
  </si>
  <si>
    <t>egy.mit.con.oth.ecy.5</t>
  </si>
  <si>
    <t>egy.mit.con.oth.ecy.6</t>
  </si>
  <si>
    <t>mit.expsub.con.oth.ecy</t>
  </si>
  <si>
    <t>mit.expsub.con.ecy.other</t>
  </si>
  <si>
    <t>Explicit consumer subsidy | Other | Electricity</t>
  </si>
  <si>
    <t>egy.mit.expsub.con.oth.ecy.1</t>
  </si>
  <si>
    <t>egy.mit.expsub.con.oth.ecy.3</t>
  </si>
  <si>
    <t>egy.mit.expsub.con.oth.ecy.4</t>
  </si>
  <si>
    <t>egy.mit.expsub.con.oth.ecy.5</t>
  </si>
  <si>
    <t>egy.mit.expsub.con.oth.ecy.6</t>
  </si>
  <si>
    <t>mit.impsub.con.oth.ecy</t>
  </si>
  <si>
    <t>mit.impsub.con.ecy.other</t>
  </si>
  <si>
    <t>Implicit consumer subsidy | Other | Electricity</t>
  </si>
  <si>
    <t>egy.mit.impsub.con.oth.ecy.1</t>
  </si>
  <si>
    <t>egy.mit.impsub.con.oth.ecy.3</t>
  </si>
  <si>
    <t>egy.mit.impsub.con.oth.ecy.4</t>
  </si>
  <si>
    <t>egy.mit.impsub.con.oth.ecy.5</t>
  </si>
  <si>
    <t>egy.mit.impsub.con.oth.ecy.6</t>
  </si>
  <si>
    <t>mit.expsub.con.tot</t>
  </si>
  <si>
    <t>mit.expsub.con.all.all</t>
  </si>
  <si>
    <t xml:space="preserve">Explicit consumer subsidy |  | </t>
  </si>
  <si>
    <t>egy.mit.expsub.con.tot.1</t>
  </si>
  <si>
    <t>egy.mit.expsub.con.tot.3</t>
  </si>
  <si>
    <t>egy.mit.expsub.con.tot.4</t>
  </si>
  <si>
    <t>egy.mit.expsub.con.tot.5</t>
  </si>
  <si>
    <t>egy.mit.expsub.con.tot.6</t>
  </si>
  <si>
    <t>mit.impsub.con.tot</t>
  </si>
  <si>
    <t>mit.impsub.con.all.all</t>
  </si>
  <si>
    <t xml:space="preserve">Implicit consumer subsidy |  | </t>
  </si>
  <si>
    <t>egy.mit.impsub.con.tot.1</t>
  </si>
  <si>
    <t>egy.mit.impsub.con.tot.3</t>
  </si>
  <si>
    <t>egy.mit.impsub.con.tot.4</t>
  </si>
  <si>
    <t>egy.mit.impsub.con.tot.5</t>
  </si>
  <si>
    <t>egy.mit.impsub.con.tot.6</t>
  </si>
  <si>
    <t>mit.expsubgdp.con.tot</t>
  </si>
  <si>
    <t>mit.expsubgdp.con.all.all</t>
  </si>
  <si>
    <t xml:space="preserve">Explicit consumer subsidy, share of baseline GDP |  | </t>
  </si>
  <si>
    <t>egy.mit.expsubgdp.con.tot.1</t>
  </si>
  <si>
    <t>egy.mit.expsubgdp.con.tot.3</t>
  </si>
  <si>
    <t>egy.mit.expsubgdp.con.tot.4</t>
  </si>
  <si>
    <t>egy.mit.expsubgdp.con.tot.5</t>
  </si>
  <si>
    <t>egy.mit.expsubgdp.con.tot.6</t>
  </si>
  <si>
    <t>mit.impsubgdp.con.tot</t>
  </si>
  <si>
    <t>mit.impsubgdp.con.all.all</t>
  </si>
  <si>
    <t xml:space="preserve">Implicit consumer subsidy, share of baseline GDP |  | </t>
  </si>
  <si>
    <t>egy.mit.impsubgdp.con.tot.1</t>
  </si>
  <si>
    <t>egy.mit.impsubgdp.con.tot.3</t>
  </si>
  <si>
    <t>egy.mit.impsubgdp.con.tot.4</t>
  </si>
  <si>
    <t>egy.mit.impsubgdp.con.tot.5</t>
  </si>
  <si>
    <t>egy.mit.impsubgdp.con.tot.6</t>
  </si>
  <si>
    <t>Not in legacy MTOutputs: prices</t>
  </si>
  <si>
    <t>mit.pav.las.all.coa</t>
  </si>
  <si>
    <t>Price index against scenario 1 (Laspeyres: scenario 1 quantities; scenario 1 = 1) | All sectors | Coal</t>
  </si>
  <si>
    <t>egy.mit.pav.las.all.coa.1</t>
  </si>
  <si>
    <t>egy.mit.pav.las.all.coa.3</t>
  </si>
  <si>
    <t>egy.mit.pav.las.all.coa.4</t>
  </si>
  <si>
    <t>egy.mit.pav.las.all.coa.5</t>
  </si>
  <si>
    <t>egy.mit.pav.las.all.coa.6</t>
  </si>
  <si>
    <t>mit.pav.las.all.nga</t>
  </si>
  <si>
    <t>Price index against scenario 1 (Laspeyres: scenario 1 quantities; scenario 1 = 1) | All sectors | Natural gas</t>
  </si>
  <si>
    <t>egy.mit.pav.las.all.nga.1</t>
  </si>
  <si>
    <t>egy.mit.pav.las.all.nga.3</t>
  </si>
  <si>
    <t>egy.mit.pav.las.all.nga.4</t>
  </si>
  <si>
    <t>egy.mit.pav.las.all.nga.5</t>
  </si>
  <si>
    <t>egy.mit.pav.las.all.nga.6</t>
  </si>
  <si>
    <t>mit.pav.las.all.gso</t>
  </si>
  <si>
    <t>Price index against scenario 1 (Laspeyres: scenario 1 quantities; scenario 1 = 1) | All sectors | Gasoline</t>
  </si>
  <si>
    <t>egy.mit.pav.las.all.gso.1</t>
  </si>
  <si>
    <t>egy.mit.pav.las.all.gso.3</t>
  </si>
  <si>
    <t>egy.mit.pav.las.all.gso.4</t>
  </si>
  <si>
    <t>egy.mit.pav.las.all.gso.5</t>
  </si>
  <si>
    <t>egy.mit.pav.las.all.gso.6</t>
  </si>
  <si>
    <t>mit.pav.las.all.die</t>
  </si>
  <si>
    <t>Price index against scenario 1 (Laspeyres: scenario 1 quantities; scenario 1 = 1) | All sectors | Diesel</t>
  </si>
  <si>
    <t>egy.mit.pav.las.all.die.1</t>
  </si>
  <si>
    <t>egy.mit.pav.las.all.die.3</t>
  </si>
  <si>
    <t>egy.mit.pav.las.all.die.4</t>
  </si>
  <si>
    <t>egy.mit.pav.las.all.die.5</t>
  </si>
  <si>
    <t>egy.mit.pav.las.all.die.6</t>
  </si>
  <si>
    <t>mit.pav.las.all.lpg</t>
  </si>
  <si>
    <t>Price index against scenario 1 (Laspeyres: scenario 1 quantities; scenario 1 = 1) | All sectors | LPG</t>
  </si>
  <si>
    <t>egy.mit.pav.las.all.lpg.1</t>
  </si>
  <si>
    <t>egy.mit.pav.las.all.lpg.3</t>
  </si>
  <si>
    <t>egy.mit.pav.las.all.lpg.4</t>
  </si>
  <si>
    <t>egy.mit.pav.las.all.lpg.5</t>
  </si>
  <si>
    <t>egy.mit.pav.las.all.lpg.6</t>
  </si>
  <si>
    <t>mit.pav.las.all.ker</t>
  </si>
  <si>
    <t>Price index against scenario 1 (Laspeyres: scenario 1 quantities; scenario 1 = 1) | All sectors | Kerosene</t>
  </si>
  <si>
    <t>egy.mit.pav.las.all.ker.1</t>
  </si>
  <si>
    <t>egy.mit.pav.las.all.ker.3</t>
  </si>
  <si>
    <t>egy.mit.pav.las.all.ker.4</t>
  </si>
  <si>
    <t>egy.mit.pav.las.all.ker.5</t>
  </si>
  <si>
    <t>egy.mit.pav.las.all.ker.6</t>
  </si>
  <si>
    <t>mit.pav.las.all.jfu</t>
  </si>
  <si>
    <t>Price index against scenario 1 (Laspeyres: scenario 1 quantities; scenario 1 = 1) | All sectors | Jet fuel</t>
  </si>
  <si>
    <t>egy.mit.pav.las.all.jfu.1</t>
  </si>
  <si>
    <t>egy.mit.pav.las.all.jfu.3</t>
  </si>
  <si>
    <t>egy.mit.pav.las.all.jfu.4</t>
  </si>
  <si>
    <t>egy.mit.pav.las.all.jfu.5</t>
  </si>
  <si>
    <t>egy.mit.pav.las.all.jfu.6</t>
  </si>
  <si>
    <t>mit.pav.las.all.oop</t>
  </si>
  <si>
    <t>Price index against scenario 1 (Laspeyres: scenario 1 quantities; scenario 1 = 1) | All sectors | Other oil products</t>
  </si>
  <si>
    <t>egy.mit.pav.las.all.oop.1</t>
  </si>
  <si>
    <t>egy.mit.pav.las.all.oop.3</t>
  </si>
  <si>
    <t>egy.mit.pav.las.all.oop.4</t>
  </si>
  <si>
    <t>egy.mit.pav.las.all.oop.5</t>
  </si>
  <si>
    <t>egy.mit.pav.las.all.oop.6</t>
  </si>
  <si>
    <t>mit.pav.las.all.bio</t>
  </si>
  <si>
    <t>Price index against scenario 1 (Laspeyres: scenario 1 quantities; scenario 1 = 1) | All sectors | Biomass</t>
  </si>
  <si>
    <t>egy.mit.pav.las.all.bio.1</t>
  </si>
  <si>
    <t>egy.mit.pav.las.all.bio.3</t>
  </si>
  <si>
    <t>egy.mit.pav.las.all.bio.4</t>
  </si>
  <si>
    <t>egy.mit.pav.las.all.bio.5</t>
  </si>
  <si>
    <t>egy.mit.pav.las.all.bio.6</t>
  </si>
  <si>
    <t>mit.pav.las.all.ecy</t>
  </si>
  <si>
    <t>Price index against scenario 1 (Laspeyres: scenario 1 quantities; scenario 1 = 1) | All sectors | Electricity</t>
  </si>
  <si>
    <t>egy.mit.pav.las.all.ecy.1</t>
  </si>
  <si>
    <t>egy.mit.pav.las.all.ecy.3</t>
  </si>
  <si>
    <t>egy.mit.pav.las.all.ecy.4</t>
  </si>
  <si>
    <t>egy.mit.pav.las.all.ecy.5</t>
  </si>
  <si>
    <t>egy.mit.pav.las.all.ecy.6</t>
  </si>
  <si>
    <t>mit.pav.las.all.all</t>
  </si>
  <si>
    <t>Price index against scenario 1 (Laspeyres: scenario 1 quantities; scenario 1 = 1) | All sectors | All fuels</t>
  </si>
  <si>
    <t>egy.mit.pav.las.all.all.1</t>
  </si>
  <si>
    <t>egy.mit.pav.las.all.all.3</t>
  </si>
  <si>
    <t>egy.mit.pav.las.all.all.4</t>
  </si>
  <si>
    <t>egy.mit.pav.las.all.all.5</t>
  </si>
  <si>
    <t>egy.mit.pav.las.all.all.6</t>
  </si>
  <si>
    <t>mit.pav.time.all.all</t>
  </si>
  <si>
    <t>Price index over time (base-year quantities; base year = 1) | All sectors | All fuels</t>
  </si>
  <si>
    <t>egy.mit.pav.time.all.all.1</t>
  </si>
  <si>
    <t>egy.mit.pav.time.all.all.3</t>
  </si>
  <si>
    <t>egy.mit.pav.time.all.all.4</t>
  </si>
  <si>
    <t>egy.mit.pav.time.all.all.5</t>
  </si>
  <si>
    <t>egy.mit.pav.time.all.all.6</t>
  </si>
  <si>
    <t>mit.pav.idx.all.coa</t>
  </si>
  <si>
    <t>Price index reported (Settings C54: Legacy* = pav.lidx, Laspeyres = pav.las) | All sectors | Coal</t>
  </si>
  <si>
    <t>egy.mit.pav.idx.all.coa.1</t>
  </si>
  <si>
    <t>egy.mit.pav.idx.all.coa.3</t>
  </si>
  <si>
    <t>egy.mit.pav.idx.all.coa.4</t>
  </si>
  <si>
    <t>egy.mit.pav.idx.all.coa.5</t>
  </si>
  <si>
    <t>egy.mit.pav.idx.all.coa.6</t>
  </si>
  <si>
    <t>mit.pav.idx.all.nga</t>
  </si>
  <si>
    <t>Price index reported (Settings C54: Legacy* = pav.lidx, Laspeyres = pav.las) | All sectors | Natural gas</t>
  </si>
  <si>
    <t>egy.mit.pav.idx.all.nga.1</t>
  </si>
  <si>
    <t>egy.mit.pav.idx.all.nga.3</t>
  </si>
  <si>
    <t>egy.mit.pav.idx.all.nga.4</t>
  </si>
  <si>
    <t>egy.mit.pav.idx.all.nga.5</t>
  </si>
  <si>
    <t>egy.mit.pav.idx.all.nga.6</t>
  </si>
  <si>
    <t>mit.pav.idx.all.gso</t>
  </si>
  <si>
    <t>Price index reported (Settings C54: Legacy* = pav.lidx, Laspeyres = pav.las) | All sectors | Gasoline</t>
  </si>
  <si>
    <t>egy.mit.pav.idx.all.gso.1</t>
  </si>
  <si>
    <t>egy.mit.pav.idx.all.gso.3</t>
  </si>
  <si>
    <t>egy.mit.pav.idx.all.gso.4</t>
  </si>
  <si>
    <t>egy.mit.pav.idx.all.gso.5</t>
  </si>
  <si>
    <t>egy.mit.pav.idx.all.gso.6</t>
  </si>
  <si>
    <t>mit.pav.idx.all.die</t>
  </si>
  <si>
    <t>Price index reported (Settings C54: Legacy* = pav.lidx, Laspeyres = pav.las) | All sectors | Diesel</t>
  </si>
  <si>
    <t>egy.mit.pav.idx.all.die.1</t>
  </si>
  <si>
    <t>egy.mit.pav.idx.all.die.3</t>
  </si>
  <si>
    <t>egy.mit.pav.idx.all.die.4</t>
  </si>
  <si>
    <t>egy.mit.pav.idx.all.die.5</t>
  </si>
  <si>
    <t>egy.mit.pav.idx.all.die.6</t>
  </si>
  <si>
    <t>mit.pav.idx.all.lpg</t>
  </si>
  <si>
    <t>Price index reported (Settings C54: Legacy* = pav.lidx, Laspeyres = pav.las) | All sectors | LPG</t>
  </si>
  <si>
    <t>egy.mit.pav.idx.all.lpg.1</t>
  </si>
  <si>
    <t>egy.mit.pav.idx.all.lpg.3</t>
  </si>
  <si>
    <t>egy.mit.pav.idx.all.lpg.4</t>
  </si>
  <si>
    <t>egy.mit.pav.idx.all.lpg.5</t>
  </si>
  <si>
    <t>egy.mit.pav.idx.all.lpg.6</t>
  </si>
  <si>
    <t>mit.pav.idx.all.ker</t>
  </si>
  <si>
    <t>Price index reported (Settings C54: Legacy* = pav.lidx, Laspeyres = pav.las) | All sectors | Kerosene</t>
  </si>
  <si>
    <t>egy.mit.pav.idx.all.ker.1</t>
  </si>
  <si>
    <t>egy.mit.pav.idx.all.ker.3</t>
  </si>
  <si>
    <t>egy.mit.pav.idx.all.ker.4</t>
  </si>
  <si>
    <t>egy.mit.pav.idx.all.ker.5</t>
  </si>
  <si>
    <t>egy.mit.pav.idx.all.ker.6</t>
  </si>
  <si>
    <t>mit.pav.idx.all.jfu</t>
  </si>
  <si>
    <t>Price index reported (Settings C54: Legacy* = pav.lidx, Laspeyres = pav.las) | All sectors | Jet fuel</t>
  </si>
  <si>
    <t>egy.mit.pav.idx.all.jfu.1</t>
  </si>
  <si>
    <t>egy.mit.pav.idx.all.jfu.3</t>
  </si>
  <si>
    <t>egy.mit.pav.idx.all.jfu.4</t>
  </si>
  <si>
    <t>egy.mit.pav.idx.all.jfu.5</t>
  </si>
  <si>
    <t>egy.mit.pav.idx.all.jfu.6</t>
  </si>
  <si>
    <t>mit.pav.idx.all.oop</t>
  </si>
  <si>
    <t>Price index reported (Settings C54: Legacy* = pav.lidx, Laspeyres = pav.las) | All sectors | Other oil products</t>
  </si>
  <si>
    <t>egy.mit.pav.idx.all.oop.1</t>
  </si>
  <si>
    <t>egy.mit.pav.idx.all.oop.3</t>
  </si>
  <si>
    <t>egy.mit.pav.idx.all.oop.4</t>
  </si>
  <si>
    <t>egy.mit.pav.idx.all.oop.5</t>
  </si>
  <si>
    <t>egy.mit.pav.idx.all.oop.6</t>
  </si>
  <si>
    <t>mit.pav.idx.all.bio</t>
  </si>
  <si>
    <t>Price index reported (Settings C54: Legacy* = pav.lidx, Laspeyres = pav.las) | All sectors | Biomass</t>
  </si>
  <si>
    <t>egy.mit.pav.idx.all.bio.1</t>
  </si>
  <si>
    <t>egy.mit.pav.idx.all.bio.3</t>
  </si>
  <si>
    <t>egy.mit.pav.idx.all.bio.4</t>
  </si>
  <si>
    <t>egy.mit.pav.idx.all.bio.5</t>
  </si>
  <si>
    <t>egy.mit.pav.idx.all.bio.6</t>
  </si>
  <si>
    <t>mit.pav.idx.all.ecy</t>
  </si>
  <si>
    <t>Price index reported (Settings C54: Legacy* = pav.lidx, Laspeyres = pav.las) | All sectors | Electricity</t>
  </si>
  <si>
    <t>egy.mit.pav.idx.all.ecy.1</t>
  </si>
  <si>
    <t>egy.mit.pav.idx.all.ecy.3</t>
  </si>
  <si>
    <t>egy.mit.pav.idx.all.ecy.4</t>
  </si>
  <si>
    <t>egy.mit.pav.idx.all.ecy.5</t>
  </si>
  <si>
    <t>egy.mit.pav.idx.all.ecy.6</t>
  </si>
  <si>
    <t>mit.pav.idx.all.all</t>
  </si>
  <si>
    <t>Price index reported (Settings C54: Legacy* = pav.lidx, Laspeyres = pav.las) | All sectors | All fuels</t>
  </si>
  <si>
    <t>egy.mit.pav.idx.all.all.1</t>
  </si>
  <si>
    <t>egy.mit.pav.idx.all.all.3</t>
  </si>
  <si>
    <t>egy.mit.pav.idx.all.all.4</t>
  </si>
  <si>
    <t>egy.mit.pav.idx.all.all.5</t>
  </si>
  <si>
    <t>egy.mit.pav.idx.all.all.6</t>
  </si>
  <si>
    <t>mit.xct.p</t>
  </si>
  <si>
    <t>Existing carbon tax: factor on the data rates</t>
  </si>
  <si>
    <t>factor</t>
  </si>
  <si>
    <t>egy.mit.xct.p.1</t>
  </si>
  <si>
    <t>egy.mit.xct.p.3</t>
  </si>
  <si>
    <t>egy.mit.xct.p.4</t>
  </si>
  <si>
    <t>egy.mit.xct.p.5</t>
  </si>
  <si>
    <t>egy.mit.xct.p.6</t>
  </si>
  <si>
    <t>mit.xets.p</t>
  </si>
  <si>
    <t>Existing ETS: factor on the data prices (national and EU ETS)</t>
  </si>
  <si>
    <t>egy.mit.xets.p.1</t>
  </si>
  <si>
    <t>egy.mit.xets.p.3</t>
  </si>
  <si>
    <t>egy.mit.xets.p.4</t>
  </si>
  <si>
    <t>egy.mit.xets.p.5</t>
  </si>
  <si>
    <t>egy.mit.xets.p.6</t>
  </si>
  <si>
    <t>mit.pbc.all.gso</t>
  </si>
  <si>
    <t>Retail price before new taxes and subsidies | All sectors | Gasoline</t>
  </si>
  <si>
    <t>egy.mit.pbc.all.gso.1</t>
  </si>
  <si>
    <t>egy.mit.pbc.all.gso.3</t>
  </si>
  <si>
    <t>egy.mit.pbc.all.gso.4</t>
  </si>
  <si>
    <t>egy.mit.pbc.all.gso.5</t>
  </si>
  <si>
    <t>egy.mit.pbc.all.gso.6</t>
  </si>
  <si>
    <t>mit.pbc.all.die</t>
  </si>
  <si>
    <t>Retail price before new taxes and subsidies | All sectors | Diesel</t>
  </si>
  <si>
    <t>egy.mit.pbc.all.die.1</t>
  </si>
  <si>
    <t>egy.mit.pbc.all.die.3</t>
  </si>
  <si>
    <t>egy.mit.pbc.all.die.4</t>
  </si>
  <si>
    <t>egy.mit.pbc.all.die.5</t>
  </si>
  <si>
    <t>egy.mit.pbc.all.die.6</t>
  </si>
  <si>
    <t>mit.pbc.res.nga</t>
  </si>
  <si>
    <t>Retail price before new taxes and subsidies | Residential | Natural gas</t>
  </si>
  <si>
    <t>egy.mit.pbc.res.nga.1</t>
  </si>
  <si>
    <t>egy.mit.pbc.res.nga.3</t>
  </si>
  <si>
    <t>egy.mit.pbc.res.nga.4</t>
  </si>
  <si>
    <t>egy.mit.pbc.res.nga.5</t>
  </si>
  <si>
    <t>egy.mit.pbc.res.nga.6</t>
  </si>
  <si>
    <t>mit.atp.rod.gso</t>
  </si>
  <si>
    <t>After-tax price | Road | Gasoline</t>
  </si>
  <si>
    <t>egy.mit.atp.rod.gso.1</t>
  </si>
  <si>
    <t>egy.mit.atp.rod.gso.3</t>
  </si>
  <si>
    <t>egy.mit.atp.rod.gso.4</t>
  </si>
  <si>
    <t>egy.mit.atp.rod.gso.5</t>
  </si>
  <si>
    <t>egy.mit.atp.rod.gso.6</t>
  </si>
  <si>
    <t>mit.rcarb.res.ecy</t>
  </si>
  <si>
    <t>New-policy cost per user group (carbon tax, ETS at the tax-equivalent price, fuel price reform; memo, revenue: prnew in M) | Residential | Electricity</t>
  </si>
  <si>
    <t>egy.mit.rcarb.res.ecy.1</t>
  </si>
  <si>
    <t>egy.mit.rcarb.res.ecy.3</t>
  </si>
  <si>
    <t>egy.mit.rcarb.res.ecy.4</t>
  </si>
  <si>
    <t>egy.mit.rcarb.res.ecy.5</t>
  </si>
  <si>
    <t>egy.mit.rcarb.res.ecy.6</t>
  </si>
  <si>
    <t>mit.rcarb.ind.ecy</t>
  </si>
  <si>
    <t>New-policy cost per user group (carbon tax, ETS at the tax-equivalent price, fuel price reform; memo, revenue: prnew in M) | Industry | Electricity</t>
  </si>
  <si>
    <t>egy.mit.rcarb.ind.ecy.1</t>
  </si>
  <si>
    <t>egy.mit.rcarb.ind.ecy.3</t>
  </si>
  <si>
    <t>egy.mit.rcarb.ind.ecy.4</t>
  </si>
  <si>
    <t>egy.mit.rcarb.ind.ecy.5</t>
  </si>
  <si>
    <t>egy.mit.rcarb.ind.ecy.6</t>
  </si>
  <si>
    <t>Not in legacy MTOutputs: energy use</t>
  </si>
  <si>
    <t>Fuel use | All sectors | All fuels</t>
  </si>
  <si>
    <t>egy.mit.ener.tot.tot.1</t>
  </si>
  <si>
    <t>egy.mit.ener.tot.tot.3</t>
  </si>
  <si>
    <t>egy.mit.ener.tot.tot.4</t>
  </si>
  <si>
    <t>egy.mit.ener.tot.tot.5</t>
  </si>
  <si>
    <t>egy.mit.ener.tot.tot.6</t>
  </si>
  <si>
    <t>mit.ener.oen.tot</t>
  </si>
  <si>
    <t>Fuel use | Other energy use | All fuels</t>
  </si>
  <si>
    <t>egy.mit.ener.oen.tot.1</t>
  </si>
  <si>
    <t>egy.mit.ener.oen.tot.3</t>
  </si>
  <si>
    <t>egy.mit.ener.oen.tot.4</t>
  </si>
  <si>
    <t>egy.mit.ener.oen.tot.5</t>
  </si>
  <si>
    <t>egy.mit.ener.oen.tot.6</t>
  </si>
  <si>
    <t>mit.ener.pct.all.all</t>
  </si>
  <si>
    <t>Change in fuel use vs scenario 1 | All sectors | All fuels</t>
  </si>
  <si>
    <t>egy.mit.ener.pct.all.all.1</t>
  </si>
  <si>
    <t>egy.mit.ener.pct.all.all.3</t>
  </si>
  <si>
    <t>egy.mit.ener.pct.all.all.4</t>
  </si>
  <si>
    <t>egy.mit.ener.pct.all.all.5</t>
  </si>
  <si>
    <t>egy.mit.ener.pct.all.all.6</t>
  </si>
  <si>
    <t>mit.eldem.tra.ecy</t>
  </si>
  <si>
    <t>Electricity demand (memo: power model H; not in the fuel totals; sector policies do not act on it) | Transport | Electricity</t>
  </si>
  <si>
    <t>egy.mit.eldem.tra.ecy.1</t>
  </si>
  <si>
    <t>egy.mit.eldem.tra.ecy.3</t>
  </si>
  <si>
    <t>egy.mit.eldem.tra.ecy.4</t>
  </si>
  <si>
    <t>egy.mit.eldem.tra.ecy.5</t>
  </si>
  <si>
    <t>egy.mit.eldem.tra.ecy.6</t>
  </si>
  <si>
    <t>mit.eldem.bld.ecy</t>
  </si>
  <si>
    <t>Electricity demand (memo: power model H; not in the fuel totals; sector policies do not act on it) | Buildings | Electricity</t>
  </si>
  <si>
    <t>egy.mit.eldem.bld.ecy.1</t>
  </si>
  <si>
    <t>egy.mit.eldem.bld.ecy.3</t>
  </si>
  <si>
    <t>egy.mit.eldem.bld.ecy.4</t>
  </si>
  <si>
    <t>egy.mit.eldem.bld.ecy.5</t>
  </si>
  <si>
    <t>egy.mit.eldem.bld.ecy.6</t>
  </si>
  <si>
    <t>mit.eldem.ind.ecy</t>
  </si>
  <si>
    <t>Electricity demand (memo: power model H; not in the fuel totals; sector policies do not act on it) | Industry | Electricity</t>
  </si>
  <si>
    <t>egy.mit.eldem.ind.ecy.1</t>
  </si>
  <si>
    <t>egy.mit.eldem.ind.ecy.3</t>
  </si>
  <si>
    <t>egy.mit.eldem.ind.ecy.4</t>
  </si>
  <si>
    <t>egy.mit.eldem.ind.ecy.5</t>
  </si>
  <si>
    <t>egy.mit.eldem.ind.ecy.6</t>
  </si>
  <si>
    <t>mit.eldem.oen.ecy</t>
  </si>
  <si>
    <t>Electricity demand (memo: power model H; not in the fuel totals; sector policies do not act on it) | Other energy use | Electricity</t>
  </si>
  <si>
    <t>egy.mit.eldem.oen.ecy.1</t>
  </si>
  <si>
    <t>egy.mit.eldem.oen.ecy.3</t>
  </si>
  <si>
    <t>egy.mit.eldem.oen.ecy.4</t>
  </si>
  <si>
    <t>egy.mit.eldem.oen.ecy.5</t>
  </si>
  <si>
    <t>egy.mit.eldem.oen.ecy.6</t>
  </si>
  <si>
    <t>Not in legacy MTOutputs: power</t>
  </si>
  <si>
    <t>mit.ghg.enrp.enr.all</t>
  </si>
  <si>
    <t>Energy-related GHGs including the forcing of the local pollutants | Energy | All fuels</t>
  </si>
  <si>
    <t>egy.mit.ghg.enrp.enr.all.1</t>
  </si>
  <si>
    <t>egy.mit.ghg.enrp.enr.all.3</t>
  </si>
  <si>
    <t>egy.mit.ghg.enrp.enr.all.4</t>
  </si>
  <si>
    <t>egy.mit.ghg.enrp.enr.all.5</t>
  </si>
  <si>
    <t>egy.mit.ghg.enrp.enr.all.6</t>
  </si>
  <si>
    <t>mit.gncav</t>
  </si>
  <si>
    <t>Average generation cost (weighted by generation shares)</t>
  </si>
  <si>
    <t>USD/kWh</t>
  </si>
  <si>
    <t>egy.mit.gncav.1</t>
  </si>
  <si>
    <t>egy.mit.gncav.3</t>
  </si>
  <si>
    <t>egy.mit.gncav.4</t>
  </si>
  <si>
    <t>egy.mit.gncav.5</t>
  </si>
  <si>
    <t>egy.mit.gncav.6</t>
  </si>
  <si>
    <t>mit.shr.pow.nga</t>
  </si>
  <si>
    <t>Generation share | Power | Natural gas</t>
  </si>
  <si>
    <t>egy.mit.shr.pow.nga.1</t>
  </si>
  <si>
    <t>egy.mit.shr.pow.nga.3</t>
  </si>
  <si>
    <t>egy.mit.shr.pow.nga.4</t>
  </si>
  <si>
    <t>egy.mit.shr.pow.nga.5</t>
  </si>
  <si>
    <t>egy.mit.shr.pow.nga.6</t>
  </si>
  <si>
    <t>mit.nid.pow.tot</t>
  </si>
  <si>
    <t>New investment, total</t>
  </si>
  <si>
    <t>egy.mit.nid.pow.tot.1</t>
  </si>
  <si>
    <t>egy.mit.nid.pow.tot.3</t>
  </si>
  <si>
    <t>egy.mit.nid.pow.tot.4</t>
  </si>
  <si>
    <t>egy.mit.nid.pow.tot.5</t>
  </si>
  <si>
    <t>egy.mit.nid.pow.tot.6</t>
  </si>
  <si>
    <t>mit.req</t>
  </si>
  <si>
    <t>Required generation (incl. net exports, transmission and statistical differences, own use)</t>
  </si>
  <si>
    <t>egy.mit.req.1</t>
  </si>
  <si>
    <t>egy.mit.req.3</t>
  </si>
  <si>
    <t>egy.mit.req.4</t>
  </si>
  <si>
    <t>egy.mit.req.5</t>
  </si>
  <si>
    <t>egy.mit.req.6</t>
  </si>
  <si>
    <t>mit.cap.pow.tot</t>
  </si>
  <si>
    <t>Nameplate capacity, total</t>
  </si>
  <si>
    <t>egy.mit.cap.pow.tot.1</t>
  </si>
  <si>
    <t>egy.mit.cap.pow.tot.3</t>
  </si>
  <si>
    <t>egy.mit.cap.pow.tot.4</t>
  </si>
  <si>
    <t>egy.mit.cap.pow.tot.5</t>
  </si>
  <si>
    <t>egy.mit.cap.pow.tot.6</t>
  </si>
  <si>
    <t>mit.cap.pow.wnd</t>
  </si>
  <si>
    <t>Nameplate capacity | Power | Wind</t>
  </si>
  <si>
    <t>egy.mit.cap.pow.wnd.1</t>
  </si>
  <si>
    <t>egy.mit.cap.pow.wnd.3</t>
  </si>
  <si>
    <t>egy.mit.cap.pow.wnd.4</t>
  </si>
  <si>
    <t>egy.mit.cap.pow.wnd.5</t>
  </si>
  <si>
    <t>egy.mit.cap.pow.wnd.6</t>
  </si>
  <si>
    <t>mit.cap.pow.sol</t>
  </si>
  <si>
    <t>Nameplate capacity | Power | Solar</t>
  </si>
  <si>
    <t>egy.mit.cap.pow.sol.1</t>
  </si>
  <si>
    <t>egy.mit.cap.pow.sol.3</t>
  </si>
  <si>
    <t>egy.mit.cap.pow.sol.4</t>
  </si>
  <si>
    <t>egy.mit.cap.pow.sol.5</t>
  </si>
  <si>
    <t>egy.mit.cap.pow.sol.6</t>
  </si>
  <si>
    <t>mit.nim.pow.tot</t>
  </si>
  <si>
    <t>New nameplate investment, total</t>
  </si>
  <si>
    <t>egy.mit.nim.pow.tot.1</t>
  </si>
  <si>
    <t>egy.mit.nim.pow.tot.3</t>
  </si>
  <si>
    <t>egy.mit.nim.pow.tot.4</t>
  </si>
  <si>
    <t>egy.mit.nim.pow.tot.5</t>
  </si>
  <si>
    <t>egy.mit.nim.pow.tot.6</t>
  </si>
  <si>
    <t>mit.shr.pow.coa</t>
  </si>
  <si>
    <t>Generation share | Power | Coal</t>
  </si>
  <si>
    <t>egy.mit.shr.pow.coa.1</t>
  </si>
  <si>
    <t>egy.mit.shr.pow.coa.3</t>
  </si>
  <si>
    <t>egy.mit.shr.pow.coa.4</t>
  </si>
  <si>
    <t>egy.mit.shr.pow.coa.5</t>
  </si>
  <si>
    <t>egy.mit.shr.pow.coa.6</t>
  </si>
  <si>
    <t>mit.shr.pow.oop</t>
  </si>
  <si>
    <t>Generation share | Power | Other oil products</t>
  </si>
  <si>
    <t>egy.mit.shr.pow.oop.1</t>
  </si>
  <si>
    <t>egy.mit.shr.pow.oop.3</t>
  </si>
  <si>
    <t>egy.mit.shr.pow.oop.4</t>
  </si>
  <si>
    <t>egy.mit.shr.pow.oop.5</t>
  </si>
  <si>
    <t>egy.mit.shr.pow.oop.6</t>
  </si>
  <si>
    <t>mit.shr.pow.wnd</t>
  </si>
  <si>
    <t>Generation share | Power | Wind</t>
  </si>
  <si>
    <t>egy.mit.shr.pow.wnd.1</t>
  </si>
  <si>
    <t>egy.mit.shr.pow.wnd.3</t>
  </si>
  <si>
    <t>egy.mit.shr.pow.wnd.4</t>
  </si>
  <si>
    <t>egy.mit.shr.pow.wnd.5</t>
  </si>
  <si>
    <t>egy.mit.shr.pow.wnd.6</t>
  </si>
  <si>
    <t>mit.shr.pow.sol</t>
  </si>
  <si>
    <t>Generation share | Power | Solar</t>
  </si>
  <si>
    <t>egy.mit.shr.pow.sol.1</t>
  </si>
  <si>
    <t>egy.mit.shr.pow.sol.3</t>
  </si>
  <si>
    <t>egy.mit.shr.pow.sol.4</t>
  </si>
  <si>
    <t>egy.mit.shr.pow.sol.5</t>
  </si>
  <si>
    <t>egy.mit.shr.pow.sol.6</t>
  </si>
  <si>
    <t>mit.shr.pow.hyd</t>
  </si>
  <si>
    <t>Generation share | Power | Hydro</t>
  </si>
  <si>
    <t>egy.mit.shr.pow.hyd.1</t>
  </si>
  <si>
    <t>egy.mit.shr.pow.hyd.3</t>
  </si>
  <si>
    <t>egy.mit.shr.pow.hyd.4</t>
  </si>
  <si>
    <t>egy.mit.shr.pow.hyd.5</t>
  </si>
  <si>
    <t>egy.mit.shr.pow.hyd.6</t>
  </si>
  <si>
    <t>mit.ccpav</t>
  </si>
  <si>
    <t>Average new policy cost per kWh consumed</t>
  </si>
  <si>
    <t>egy.mit.ccpav.1</t>
  </si>
  <si>
    <t>egy.mit.ccpav.3</t>
  </si>
  <si>
    <t>egy.mit.ccpav.4</t>
  </si>
  <si>
    <t>egy.mit.ccpav.5</t>
  </si>
  <si>
    <t>egy.mit.ccpav.6</t>
  </si>
  <si>
    <t>mit.ghg.chg.all.all</t>
  </si>
  <si>
    <t>egy.mit.ghg.chg.all.all.1</t>
  </si>
  <si>
    <t>egy.mit.ghg.chg.all.all.3</t>
  </si>
  <si>
    <t>egy.mit.ghg.chg.all.all.4</t>
  </si>
  <si>
    <t>egy.mit.ghg.chg.all.all.5</t>
  </si>
  <si>
    <t>egy.mit.ghg.chg.all.all.6</t>
  </si>
  <si>
    <t>Not in legacy MTOutputs: emissions</t>
  </si>
  <si>
    <t>mit.kidx.all.gpc</t>
  </si>
  <si>
    <t xml:space="preserve">Kaya identity against the base year (base year = 1); chk = product of the four factors = CO2 index | All sectors | </t>
  </si>
  <si>
    <t>egy.mit.kidx.all.gpc.1</t>
  </si>
  <si>
    <t>egy.mit.kidx.all.gpc.3</t>
  </si>
  <si>
    <t>egy.mit.kidx.all.gpc.4</t>
  </si>
  <si>
    <t>egy.mit.kidx.all.gpc.5</t>
  </si>
  <si>
    <t>egy.mit.kidx.all.gpc.6</t>
  </si>
  <si>
    <t>mit.kidx.all.ei</t>
  </si>
  <si>
    <t>egy.mit.kidx.all.ei.1</t>
  </si>
  <si>
    <t>egy.mit.kidx.all.ei.3</t>
  </si>
  <si>
    <t>egy.mit.kidx.all.ei.4</t>
  </si>
  <si>
    <t>egy.mit.kidx.all.ei.5</t>
  </si>
  <si>
    <t>egy.mit.kidx.all.ei.6</t>
  </si>
  <si>
    <t>mit.kidx.all.ci</t>
  </si>
  <si>
    <t>egy.mit.kidx.all.ci.1</t>
  </si>
  <si>
    <t>egy.mit.kidx.all.ci.3</t>
  </si>
  <si>
    <t>egy.mit.kidx.all.ci.4</t>
  </si>
  <si>
    <t>egy.mit.kidx.all.ci.5</t>
  </si>
  <si>
    <t>egy.mit.kidx.all.ci.6</t>
  </si>
  <si>
    <t>mit.kidx.all.co2</t>
  </si>
  <si>
    <t>Kaya identity against the base year (base year = 1); chk = product of the four factors = CO2 index | All sectors | CO2</t>
  </si>
  <si>
    <t>egy.mit.kidx.all.co2.1</t>
  </si>
  <si>
    <t>egy.mit.kidx.all.co2.3</t>
  </si>
  <si>
    <t>egy.mit.kidx.all.co2.4</t>
  </si>
  <si>
    <t>egy.mit.kidx.all.co2.5</t>
  </si>
  <si>
    <t>egy.mit.kidx.all.co2.6</t>
  </si>
  <si>
    <t>mit.cov.all.all.all</t>
  </si>
  <si>
    <t>Share of energy CO2 covered by the carbon tax or the ETS | All sectors | All fuels</t>
  </si>
  <si>
    <t>egy.mit.cov.all.all.all.1</t>
  </si>
  <si>
    <t>egy.mit.cov.all.all.all.3</t>
  </si>
  <si>
    <t>egy.mit.cov.all.all.all.4</t>
  </si>
  <si>
    <t>egy.mit.cov.all.all.all.5</t>
  </si>
  <si>
    <t>egy.mit.cov.all.all.all.6</t>
  </si>
  <si>
    <t>mit.co2.chg.all.all</t>
  </si>
  <si>
    <t>egy.mit.co2.chg.all.all.1</t>
  </si>
  <si>
    <t>egy.mit.co2.chg.all.all.3</t>
  </si>
  <si>
    <t>egy.mit.co2.chg.all.all.4</t>
  </si>
  <si>
    <t>egy.mit.co2.chg.all.all.5</t>
  </si>
  <si>
    <t>egy.mit.co2.chg.all.all.6</t>
  </si>
  <si>
    <t>mit.co2.ets.all.all</t>
  </si>
  <si>
    <t>CO2 emissions covered by the new ETS | All sectors | All fuels</t>
  </si>
  <si>
    <t>egy.mit.co2.ets.all.all.1</t>
  </si>
  <si>
    <t>egy.mit.co2.ets.all.all.3</t>
  </si>
  <si>
    <t>egy.mit.co2.ets.all.all.4</t>
  </si>
  <si>
    <t>egy.mit.co2.ets.all.all.5</t>
  </si>
  <si>
    <t>egy.mit.co2.ets.all.all.6</t>
  </si>
  <si>
    <t>mit.co2.cap.all.all</t>
  </si>
  <si>
    <t>ETS cap | All sectors | All fuels</t>
  </si>
  <si>
    <t>egy.mit.co2.cap.all.all.1</t>
  </si>
  <si>
    <t>egy.mit.co2.cap.all.all.3</t>
  </si>
  <si>
    <t>egy.mit.co2.cap.all.all.4</t>
  </si>
  <si>
    <t>egy.mit.co2.cap.all.all.5</t>
  </si>
  <si>
    <t>egy.mit.co2.cap.all.all.6</t>
  </si>
  <si>
    <t>mit.ch4.rev.all.all</t>
  </si>
  <si>
    <t>Revenue from the methane fee | All sectors | All fuels</t>
  </si>
  <si>
    <t>egy.mit.ch4.rev.all.all.1</t>
  </si>
  <si>
    <t>egy.mit.ch4.rev.all.all.3</t>
  </si>
  <si>
    <t>egy.mit.ch4.rev.all.all.4</t>
  </si>
  <si>
    <t>egy.mit.ch4.rev.all.all.5</t>
  </si>
  <si>
    <t>egy.mit.ch4.rev.all.all.6</t>
  </si>
  <si>
    <t>mit.em.tot.pm2</t>
  </si>
  <si>
    <t>Local air pollutant emissions | All sectors | PM2.5</t>
  </si>
  <si>
    <t>kt</t>
  </si>
  <si>
    <t>egy.mit.em.tot.pm2.1</t>
  </si>
  <si>
    <t>egy.mit.em.tot.pm2.3</t>
  </si>
  <si>
    <t>egy.mit.em.tot.pm2.4</t>
  </si>
  <si>
    <t>egy.mit.em.tot.pm2.5</t>
  </si>
  <si>
    <t>egy.mit.em.tot.pm2.6</t>
  </si>
  <si>
    <t>mit.em.tot.nox</t>
  </si>
  <si>
    <t>Local air pollutant emissions | All sectors | NOx</t>
  </si>
  <si>
    <t>egy.mit.em.tot.nox.1</t>
  </si>
  <si>
    <t>egy.mit.em.tot.nox.3</t>
  </si>
  <si>
    <t>egy.mit.em.tot.nox.4</t>
  </si>
  <si>
    <t>egy.mit.em.tot.nox.5</t>
  </si>
  <si>
    <t>egy.mit.em.tot.nox.6</t>
  </si>
  <si>
    <t>mit.em.tot.so2</t>
  </si>
  <si>
    <t>Local air pollutant emissions | All sectors | SO2</t>
  </si>
  <si>
    <t>egy.mit.em.tot.so2.1</t>
  </si>
  <si>
    <t>egy.mit.em.tot.so2.3</t>
  </si>
  <si>
    <t>egy.mit.em.tot.so2.4</t>
  </si>
  <si>
    <t>egy.mit.em.tot.so2.5</t>
  </si>
  <si>
    <t>egy.mit.em.tot.so2.6</t>
  </si>
  <si>
    <t>mit.em.tot.bc</t>
  </si>
  <si>
    <t>Local air pollutant emissions | All sectors | Black carbon</t>
  </si>
  <si>
    <t>egy.mit.em.tot.bc.1</t>
  </si>
  <si>
    <t>egy.mit.em.tot.bc.3</t>
  </si>
  <si>
    <t>egy.mit.em.tot.bc.4</t>
  </si>
  <si>
    <t>egy.mit.em.tot.bc.5</t>
  </si>
  <si>
    <t>egy.mit.em.tot.bc.6</t>
  </si>
  <si>
    <t>mit.apf.tot.tot</t>
  </si>
  <si>
    <t>Forcing of local air pollutants (memo, not in the GHG totals) | All sectors | All fuels</t>
  </si>
  <si>
    <t>egy.mit.apf.tot.tot.1</t>
  </si>
  <si>
    <t>egy.mit.apf.tot.tot.3</t>
  </si>
  <si>
    <t>egy.mit.apf.tot.tot.4</t>
  </si>
  <si>
    <t>egy.mit.apf.tot.tot.5</t>
  </si>
  <si>
    <t>egy.mit.apf.tot.tot.6</t>
  </si>
  <si>
    <t>mit.ndc.lvl.all.sel</t>
  </si>
  <si>
    <t>egy.mit.ndc.lvl.all.sel.1</t>
  </si>
  <si>
    <t>egy.mit.ndc.lvl.all.sel.3</t>
  </si>
  <si>
    <t>egy.mit.ndc.lvl.all.sel.4</t>
  </si>
  <si>
    <t>egy.mit.ndc.lvl.all.sel.5</t>
  </si>
  <si>
    <t>egy.mit.ndc.lvl.all.sel.6</t>
  </si>
  <si>
    <t>mit.ndc.gap.all.all</t>
  </si>
  <si>
    <t>Share of the NDC reduction achieved | All sectors | All fuels</t>
  </si>
  <si>
    <t>egy.mit.ndc.gap.all.all.1</t>
  </si>
  <si>
    <t>egy.mit.ndc.gap.all.all.3</t>
  </si>
  <si>
    <t>egy.mit.ndc.gap.all.all.4</t>
  </si>
  <si>
    <t>egy.mit.ndc.gap.all.all.5</t>
  </si>
  <si>
    <t>egy.mit.ndc.gap.all.all.6</t>
  </si>
  <si>
    <t>Not in legacy MTOutputs: revenue and fiscal</t>
  </si>
  <si>
    <t>mit.rpct.all.chg</t>
  </si>
  <si>
    <t>egy.mit.rpct.all.chg.1</t>
  </si>
  <si>
    <t>egy.mit.rpct.all.chg.3</t>
  </si>
  <si>
    <t>egy.mit.rpct.all.chg.4</t>
  </si>
  <si>
    <t>egy.mit.rpct.all.chg.5</t>
  </si>
  <si>
    <t>egy.mit.rpct.all.chg.6</t>
  </si>
  <si>
    <t>mit.rpct.all.sub</t>
  </si>
  <si>
    <t>egy.mit.rpct.all.sub.1</t>
  </si>
  <si>
    <t>egy.mit.rpct.all.sub.3</t>
  </si>
  <si>
    <t>egy.mit.rpct.all.sub.4</t>
  </si>
  <si>
    <t>egy.mit.rpct.all.sub.5</t>
  </si>
  <si>
    <t>egy.mit.rpct.all.sub.6</t>
  </si>
  <si>
    <t>mit.rbe.all.all</t>
  </si>
  <si>
    <t>Base erosion: change in existing taxes net of subsidies against scenario 1 | All sectors | All fuels</t>
  </si>
  <si>
    <t>egy.mit.rbe.all.all.1</t>
  </si>
  <si>
    <t>egy.mit.rbe.all.all.3</t>
  </si>
  <si>
    <t>egy.mit.rbe.all.all.4</t>
  </si>
  <si>
    <t>egy.mit.rbe.all.all.5</t>
  </si>
  <si>
    <t>egy.mit.rbe.all.all.6</t>
  </si>
  <si>
    <t>mit.xnim.tot.tot</t>
  </si>
  <si>
    <t>Change in net energy imports against scenario 1 (positive = more imports) | All sectors | All fuels</t>
  </si>
  <si>
    <t>egy.mit.xnim.tot.tot.1</t>
  </si>
  <si>
    <t>egy.mit.xnim.tot.tot.3</t>
  </si>
  <si>
    <t>egy.mit.xnim.tot.tot.4</t>
  </si>
  <si>
    <t>egy.mit.xnim.tot.tot.5</t>
  </si>
  <si>
    <t>egy.mit.xnim.tot.tot.6</t>
  </si>
  <si>
    <t>mit.xtbp.all.all</t>
  </si>
  <si>
    <t>Energy trade balance of the scenario: baseline - change in net imports | All sectors | All fuels</t>
  </si>
  <si>
    <t>egy.mit.xtbp.all.all.1</t>
  </si>
  <si>
    <t>egy.mit.xtbp.all.all.3</t>
  </si>
  <si>
    <t>egy.mit.xtbp.all.all.4</t>
  </si>
  <si>
    <t>egy.mit.xtbp.all.all.5</t>
  </si>
  <si>
    <t>egy.mit.xtbp.all.all.6</t>
  </si>
  <si>
    <t>mit.xtb.pct.all.all</t>
  </si>
  <si>
    <t>Energy trade balance of the scenario, % of baseline real GDP | All sectors | All fuels</t>
  </si>
  <si>
    <t>egy.mit.xtb.pct.all.all.1</t>
  </si>
  <si>
    <t>egy.mit.xtb.pct.all.all.3</t>
  </si>
  <si>
    <t>egy.mit.xtb.pct.all.all.4</t>
  </si>
  <si>
    <t>egy.mit.xtb.pct.all.all.5</t>
  </si>
  <si>
    <t>egy.mit.xtb.pct.all.all.6</t>
  </si>
  <si>
    <t>mit.rtx.tot.tot</t>
  </si>
  <si>
    <t>Revenue from existing taxes (excise and other taxes + VAT; incl. the change in existing carbon pricing) | All sectors | All fuels</t>
  </si>
  <si>
    <t>egy.mit.rtx.tot.tot.1</t>
  </si>
  <si>
    <t>egy.mit.rtx.tot.tot.3</t>
  </si>
  <si>
    <t>egy.mit.rtx.tot.tot.4</t>
  </si>
  <si>
    <t>egy.mit.rtx.tot.tot.5</t>
  </si>
  <si>
    <t>egy.mit.rtx.tot.tot.6</t>
  </si>
  <si>
    <t>mit.rsub.tot.tot</t>
  </si>
  <si>
    <t>Existing consumer subsidies (negative = fiscal cost) | All sectors | All fuels</t>
  </si>
  <si>
    <t>egy.mit.rsub.tot.tot.1</t>
  </si>
  <si>
    <t>egy.mit.rsub.tot.tot.3</t>
  </si>
  <si>
    <t>egy.mit.rsub.tot.tot.4</t>
  </si>
  <si>
    <t>egy.mit.rsub.tot.tot.5</t>
  </si>
  <si>
    <t>egy.mit.rsub.tot.tot.6</t>
  </si>
  <si>
    <t>mit.rnew.tot.tot</t>
  </si>
  <si>
    <t>Revenue from new policies (carbon tax, excise, auctioned ETS, VAT on them) | All sectors | All fuels</t>
  </si>
  <si>
    <t>egy.mit.rnew.tot.tot.1</t>
  </si>
  <si>
    <t>egy.mit.rnew.tot.tot.3</t>
  </si>
  <si>
    <t>egy.mit.rnew.tot.tot.4</t>
  </si>
  <si>
    <t>egy.mit.rnew.tot.tot.5</t>
  </si>
  <si>
    <t>egy.mit.rnew.tot.tot.6</t>
  </si>
  <si>
    <t>mit.rtot.chg.all.all</t>
  </si>
  <si>
    <t>Change in total revenue vs scenario 1 (fiscal effect) | All sectors | All fuels</t>
  </si>
  <si>
    <t>egy.mit.rtot.chg.all.all.1</t>
  </si>
  <si>
    <t>egy.mit.rtot.chg.all.all.3</t>
  </si>
  <si>
    <t>egy.mit.rtot.chg.all.all.4</t>
  </si>
  <si>
    <t>egy.mit.rtot.chg.all.all.5</t>
  </si>
  <si>
    <t>egy.mit.rtot.chg.all.all.6</t>
  </si>
  <si>
    <t>mit.rtx.pow.tot</t>
  </si>
  <si>
    <t>Revenue from existing taxes (excise and other taxes + VAT; incl. the change in existing carbon pricing) | Power | All fuels</t>
  </si>
  <si>
    <t>egy.mit.rtx.pow.tot.1</t>
  </si>
  <si>
    <t>egy.mit.rtx.pow.tot.3</t>
  </si>
  <si>
    <t>egy.mit.rtx.pow.tot.4</t>
  </si>
  <si>
    <t>egy.mit.rtx.pow.tot.5</t>
  </si>
  <si>
    <t>egy.mit.rtx.pow.tot.6</t>
  </si>
  <si>
    <t>mit.rsub.pow.tot</t>
  </si>
  <si>
    <t>Existing consumer subsidies (negative = fiscal cost) | Power | All fuels</t>
  </si>
  <si>
    <t>egy.mit.rsub.pow.tot.1</t>
  </si>
  <si>
    <t>egy.mit.rsub.pow.tot.3</t>
  </si>
  <si>
    <t>egy.mit.rsub.pow.tot.4</t>
  </si>
  <si>
    <t>egy.mit.rsub.pow.tot.5</t>
  </si>
  <si>
    <t>egy.mit.rsub.pow.tot.6</t>
  </si>
  <si>
    <t>mit.rnew.pow.tot</t>
  </si>
  <si>
    <t>Revenue from new policies (carbon tax, excise, auctioned ETS, VAT on them) | Power | All fuels</t>
  </si>
  <si>
    <t>egy.mit.rnew.pow.tot.1</t>
  </si>
  <si>
    <t>egy.mit.rnew.pow.tot.3</t>
  </si>
  <si>
    <t>egy.mit.rnew.pow.tot.4</t>
  </si>
  <si>
    <t>egy.mit.rnew.pow.tot.5</t>
  </si>
  <si>
    <t>egy.mit.rnew.pow.tot.6</t>
  </si>
  <si>
    <t>mit.rxcp.tot.tot</t>
  </si>
  <si>
    <t>Revenue from existing carbon pricing (memo: level; the part embedded in the price data is in rtx) | All sectors | All fuels</t>
  </si>
  <si>
    <t>egy.mit.rxcp.tot.tot.1</t>
  </si>
  <si>
    <t>egy.mit.rxcp.tot.tot.3</t>
  </si>
  <si>
    <t>egy.mit.rxcp.tot.tot.4</t>
  </si>
  <si>
    <t>egy.mit.rxcp.tot.tot.5</t>
  </si>
  <si>
    <t>egy.mit.rxcp.tot.tot.6</t>
  </si>
  <si>
    <t>mit.fis.sp.all.all</t>
  </si>
  <si>
    <t>Fiscal space: total revenue above scenario 1 | All sectors | All fuels</t>
  </si>
  <si>
    <t>share of GDP</t>
  </si>
  <si>
    <t>egy.mit.fis.sp.all.all.1</t>
  </si>
  <si>
    <t>egy.mit.fis.sp.all.all.3</t>
  </si>
  <si>
    <t>egy.mit.fis.sp.all.all.4</t>
  </si>
  <si>
    <t>egy.mit.fis.sp.all.all.5</t>
  </si>
  <si>
    <t>egy.mit.fis.sp.all.all.6</t>
  </si>
  <si>
    <t>Not in legacy MTOutputs: macroeconomy and welfare</t>
  </si>
  <si>
    <t>mit.gdpn.all.lcu</t>
  </si>
  <si>
    <t xml:space="preserve">Nominal GDP (local currency, USD) | All sectors | </t>
  </si>
  <si>
    <t>bn nominal (LCU or USD, by row)</t>
  </si>
  <si>
    <t>egy.mit.gdpn.all.lcu.1</t>
  </si>
  <si>
    <t>egy.mit.gdpn.all.lcu.3</t>
  </si>
  <si>
    <t>egy.mit.gdpn.all.lcu.4</t>
  </si>
  <si>
    <t>egy.mit.gdpn.all.lcu.5</t>
  </si>
  <si>
    <t>egy.mit.gdpn.all.lcu.6</t>
  </si>
  <si>
    <t>mit.gdpn.all.usd</t>
  </si>
  <si>
    <t>egy.mit.gdpn.all.usd.1</t>
  </si>
  <si>
    <t>egy.mit.gdpn.all.usd.3</t>
  </si>
  <si>
    <t>egy.mit.gdpn.all.usd.4</t>
  </si>
  <si>
    <t>egy.mit.gdpn.all.usd.5</t>
  </si>
  <si>
    <t>egy.mit.gdpn.all.usd.6</t>
  </si>
  <si>
    <t>mit.scc.all.nat</t>
  </si>
  <si>
    <t>egy.mit.scc.all.nat.1</t>
  </si>
  <si>
    <t>egy.mit.scc.all.nat.3</t>
  </si>
  <si>
    <t>egy.mit.scc.all.nat.4</t>
  </si>
  <si>
    <t>egy.mit.scc.all.nat.5</t>
  </si>
  <si>
    <t>egy.mit.scc.all.nat.6</t>
  </si>
  <si>
    <t>mit.mfc.tot.tot</t>
  </si>
  <si>
    <t>Efficiency cost of the methane fee: area under the abatement curve | All sectors | All fuels</t>
  </si>
  <si>
    <t>egy.mit.mfc.tot.tot.1</t>
  </si>
  <si>
    <t>egy.mit.mfc.tot.tot.3</t>
  </si>
  <si>
    <t>egy.mit.mfc.tot.tot.4</t>
  </si>
  <si>
    <t>egy.mit.mfc.tot.tot.5</t>
  </si>
  <si>
    <t>egy.mit.mfc.tot.tot.6</t>
  </si>
  <si>
    <t>mit.gdp.eff.tot.tot</t>
  </si>
  <si>
    <t>GDP effect of the revenue use (level, vs baseline) | All sectors | All fuels</t>
  </si>
  <si>
    <t>egy.mit.gdp.eff.tot.tot.1</t>
  </si>
  <si>
    <t>egy.mit.gdp.eff.tot.tot.3</t>
  </si>
  <si>
    <t>egy.mit.gdp.eff.tot.tot.4</t>
  </si>
  <si>
    <t>egy.mit.gdp.eff.tot.tot.5</t>
  </si>
  <si>
    <t>egy.mit.gdp.eff.tot.tot.6</t>
  </si>
  <si>
    <t>mit.gdp.chg.usd.all.all</t>
  </si>
  <si>
    <t>Change in real GDP level against the baseline (memo) | All sectors | All fuels</t>
  </si>
  <si>
    <t>egy.mit.gdp.chg.usd.all.all.1</t>
  </si>
  <si>
    <t>egy.mit.gdp.chg.usd.all.all.3</t>
  </si>
  <si>
    <t>egy.mit.gdp.chg.usd.all.all.4</t>
  </si>
  <si>
    <t>egy.mit.gdp.chg.usd.all.all.5</t>
  </si>
  <si>
    <t>egy.mit.gdp.chg.usd.all.all.6</t>
  </si>
  <si>
    <t>CompareStored: the stored scenarios against the first slot (the baseline)</t>
  </si>
  <si>
    <t>Reads StoredScenarios (values). Choose the year; F9 recalculates. Indicator of each time series: the dropdown in its title.</t>
  </si>
  <si>
    <t>Year</t>
  </si>
  <si>
    <t>Position of the year in a slot</t>
  </si>
  <si>
    <t>Column of the slot on StoredScenarios</t>
  </si>
  <si>
    <t>Slot</t>
  </si>
  <si>
    <t>Scenario</t>
  </si>
  <si>
    <t>Key results in the chosen year: level, difference and % difference vs the first slot</t>
  </si>
  <si>
    <t>Energy CO2 emissions</t>
  </si>
  <si>
    <t xml:space="preserve">  difference vs the first slot</t>
  </si>
  <si>
    <t xml:space="preserve">  % difference vs the first slot</t>
  </si>
  <si>
    <t>GHG emissions excluding LULUCF</t>
  </si>
  <si>
    <t>Revenue (share of GDP)</t>
  </si>
  <si>
    <t>GDP effect of revenue use</t>
  </si>
  <si>
    <t>Net welfare effect (share of GDP)</t>
  </si>
  <si>
    <t>Time series (choose the indicator in the dropdown of each title; chart beside each table)</t>
  </si>
  <si>
    <t>Indicator list (the time-series dropdowns; code stem, description,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</si>
</sst>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0.0000"/>
    <numFmt numFmtId="167" formatCode="0.000"/>
    <numFmt numFmtId="168" formatCode="#,##0.000"/>
    <numFmt numFmtId="169" formatCode="0;\-0;;@"/>
  </numFmts>
  <fonts count="10" x14ac:knownFonts="1">
    <font>
      <sz val="11"/>
      <color theme="1"/>
      <name val="Calibri"/>
      <family val="2"/>
      <scheme val="minor"/>
    </font>
    <font>
      <b/>
      <sz val="14"/>
      <color rgb="FFFFFFFF"/>
      <name val="Arial"/>
    </font>
    <font>
      <sz val="10"/>
      <name val="Arial"/>
    </font>
    <font>
      <b/>
      <sz val="11"/>
      <color rgb="FFFFFFFF"/>
      <name val="Arial"/>
    </font>
    <font>
      <b/>
      <sz val="10"/>
      <name val="Arial"/>
    </font>
    <font>
      <sz val="12"/>
      <color theme="10"/>
      <name val="Calibri"/>
      <family val="2"/>
      <scheme val="minor"/>
    </font>
    <font>
      <sz val="10"/>
      <color rgb="FF595959"/>
      <name val="Arial"/>
    </font>
    <font>
      <b/>
      <sz val="12"/>
      <color rgb="FFFFFFFF"/>
      <name val="Arial"/>
    </font>
    <font>
      <i/>
      <sz val="10"/>
      <name val="Arial"/>
    </font>
    <font>
      <sz val="10"/>
      <color rgb="FFBFBFBF"/>
      <name val="Arial"/>
    </font>
  </fonts>
  <fills count="7">
    <fill>
      <patternFill patternType="none"/>
    </fill>
    <fill>
      <patternFill patternType="gray125"/>
    </fill>
    <fill>
      <patternFill patternType="solid">
        <fgColor rgb="FF00AE49"/>
        <bgColor rgb="FF00AE49"/>
      </patternFill>
    </fill>
    <fill>
      <patternFill patternType="solid">
        <fgColor rgb="FF92D050"/>
        <bgColor rgb="FF92D050"/>
      </patternFill>
    </fill>
    <fill>
      <patternFill patternType="solid">
        <fgColor rgb="FFEBF1DE"/>
        <bgColor rgb="FFEBF1DE"/>
      </patternFill>
    </fill>
    <fill>
      <patternFill patternType="solid">
        <fgColor rgb="FFDDD9C4"/>
        <bgColor rgb="FFDDD9C4"/>
      </patternFill>
    </fill>
    <fill>
      <patternFill patternType="solid">
        <fgColor rgb="FFDCE6F1"/>
        <bgColor rgb="FFDCE6F1"/>
      </patternFill>
    </fill>
  </fills>
  <borders count="2">
    <border>
      <left/>
      <right/>
      <top/>
      <bottom/>
      <diagonal/>
    </border>
    <border>
      <left/>
      <right/>
      <top/>
      <bottom style="thin">
        <color rgb="FF000000"/>
      </bottom>
      <diagonal/>
    </border>
  </borders>
  <cellStyleXfs count="2">
    <xf numFmtId="0" fontId="0" fillId="0" borderId="0"/>
    <xf numFmtId="0" fontId="5" fillId="0" borderId="0"/>
  </cellStyleXfs>
  <cellXfs count="47">
    <xf numFmtId="0" fontId="0" fillId="0" borderId="0" xfId="0"/>
    <xf numFmtId="0" fontId="1" fillId="2" borderId="0" xfId="0" applyFont="1" applyFill="1"/>
    <xf numFmtId="0" fontId="0" fillId="2" borderId="0" xfId="0" applyFill="1"/>
    <xf numFmtId="0" fontId="2" fillId="0" borderId="0" xfId="0" applyFont="1"/>
    <xf numFmtId="0" fontId="3" fillId="3" borderId="0" xfId="0" applyFont="1" applyFill="1"/>
    <xf numFmtId="0" fontId="0" fillId="3" borderId="0" xfId="0" applyFill="1"/>
    <xf numFmtId="0" fontId="4" fillId="0" borderId="0" xfId="0" applyFont="1"/>
    <xf numFmtId="0" fontId="2" fillId="0" borderId="0" xfId="0" applyFont="1" applyAlignment="1">
      <alignment vertical="top" wrapText="1"/>
    </xf>
    <xf numFmtId="0" fontId="4" fillId="0" borderId="1" xfId="0" applyFont="1" applyBorder="1"/>
    <xf numFmtId="0" fontId="5" fillId="0" borderId="0" xfId="1"/>
    <xf numFmtId="0" fontId="4" fillId="4" borderId="0" xfId="0" applyFont="1" applyFill="1"/>
    <xf numFmtId="0" fontId="6" fillId="0" borderId="0" xfId="0" applyFont="1"/>
    <xf numFmtId="0" fontId="2" fillId="4" borderId="0" xfId="0" applyFont="1" applyFill="1"/>
    <xf numFmtId="1" fontId="4" fillId="5" borderId="0" xfId="0" applyNumberFormat="1" applyFont="1" applyFill="1"/>
    <xf numFmtId="1" fontId="4" fillId="0" borderId="0" xfId="0" applyNumberFormat="1" applyFont="1"/>
    <xf numFmtId="0" fontId="7" fillId="3" borderId="0" xfId="0" applyFont="1" applyFill="1"/>
    <xf numFmtId="0" fontId="8" fillId="0" borderId="0" xfId="0" applyFont="1"/>
    <xf numFmtId="0" fontId="8" fillId="6" borderId="0" xfId="0" applyFont="1" applyFill="1"/>
    <xf numFmtId="2" fontId="2" fillId="0" borderId="0" xfId="0" applyNumberFormat="1" applyFont="1"/>
    <xf numFmtId="164" fontId="2" fillId="0" borderId="0" xfId="0" applyNumberFormat="1" applyFont="1"/>
    <xf numFmtId="3" fontId="2" fillId="0" borderId="0" xfId="0" applyNumberFormat="1" applyFont="1"/>
    <xf numFmtId="10" fontId="2" fillId="0" borderId="0" xfId="0" applyNumberFormat="1" applyFont="1"/>
    <xf numFmtId="165" fontId="2" fillId="0" borderId="0" xfId="0" applyNumberFormat="1" applyFont="1"/>
    <xf numFmtId="166" fontId="2" fillId="0" borderId="0" xfId="0" applyNumberFormat="1" applyFont="1"/>
    <xf numFmtId="4" fontId="2" fillId="0" borderId="0" xfId="0" applyNumberFormat="1" applyFont="1"/>
    <xf numFmtId="167" fontId="2" fillId="0" borderId="0" xfId="0" applyNumberFormat="1" applyFont="1"/>
    <xf numFmtId="9" fontId="2" fillId="0" borderId="0" xfId="0" applyNumberFormat="1" applyFont="1"/>
    <xf numFmtId="168" fontId="2" fillId="0" borderId="0" xfId="0" applyNumberFormat="1" applyFont="1"/>
    <xf numFmtId="1" fontId="4" fillId="4" borderId="0" xfId="0" applyNumberFormat="1" applyFont="1" applyFill="1"/>
    <xf numFmtId="0" fontId="9" fillId="0" borderId="0" xfId="0" applyFont="1"/>
    <xf numFmtId="1" fontId="9" fillId="0" borderId="0" xfId="0" applyNumberFormat="1" applyFont="1"/>
    <xf numFmtId="169" fontId="4" fillId="5" borderId="0" xfId="0" applyNumberFormat="1" applyFont="1" applyFill="1"/>
    <xf numFmtId="169" fontId="4" fillId="0" borderId="0" xfId="0" applyNumberFormat="1" applyFont="1"/>
    <xf numFmtId="0" fontId="4" fillId="5" borderId="0" xfId="0" applyFont="1" applyFill="1"/>
    <xf numFmtId="164" fontId="4" fillId="5" borderId="0" xfId="0" applyNumberFormat="1" applyFont="1" applyFill="1"/>
    <xf numFmtId="164" fontId="4" fillId="0" borderId="0" xfId="0" applyNumberFormat="1" applyFont="1"/>
    <xf numFmtId="164" fontId="2" fillId="5" borderId="0" xfId="0" applyNumberFormat="1" applyFont="1" applyFill="1"/>
    <xf numFmtId="0" fontId="2" fillId="0" borderId="1" xfId="0" applyFont="1" applyBorder="1"/>
    <xf numFmtId="165" fontId="2" fillId="5" borderId="1" xfId="0" applyNumberFormat="1" applyFont="1" applyFill="1" applyBorder="1"/>
    <xf numFmtId="165" fontId="2" fillId="0" borderId="1" xfId="0" applyNumberFormat="1" applyFont="1" applyBorder="1"/>
    <xf numFmtId="10" fontId="4" fillId="5" borderId="0" xfId="0" applyNumberFormat="1" applyFont="1" applyFill="1"/>
    <xf numFmtId="10" fontId="4" fillId="0" borderId="0" xfId="0" applyNumberFormat="1" applyFont="1"/>
    <xf numFmtId="10" fontId="2" fillId="5" borderId="0" xfId="0" applyNumberFormat="1" applyFont="1" applyFill="1"/>
    <xf numFmtId="0" fontId="0" fillId="0" borderId="1" xfId="0" applyBorder="1"/>
    <xf numFmtId="1" fontId="4" fillId="5" borderId="1" xfId="0" applyNumberFormat="1" applyFont="1" applyFill="1" applyBorder="1"/>
    <xf numFmtId="1" fontId="4" fillId="0" borderId="1" xfId="0" applyNumberFormat="1" applyFont="1" applyBorder="1"/>
    <xf numFmtId="22" fontId="2" fillId="0" borderId="0" xfId="0" applyNumberFormat="1" applyFont="1"/>
  </cellXfs>
  <cellStyles count="2">
    <cellStyle name="Hyperlink" xfId="1" builtinId="8"/>
    <cellStyle name="Normal" xfId="0" builtinId="0"/>
  </cellStyles>
  <dxfs count="4">
    <dxf>
      <font>
        <color rgb="FFFFFFFF"/>
      </font>
    </dxf>
    <dxf>
      <font>
        <color rgb="FFFFFFFF"/>
      </font>
    </dxf>
    <dxf>
      <font>
        <color rgb="FFFFFFFF"/>
      </font>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Energy CO2 emissions</a:t>
            </a:r>
          </a:p>
        </c:rich>
      </c:tx>
      <c:overlay val="1"/>
    </c:title>
    <c:autoTitleDeleted val="0"/>
    <c:plotArea>
      <c:layout/>
      <c:lineChart>
        <c:grouping val="standard"/>
        <c:varyColors val="1"/>
        <c:ser>
          <c:idx val="0"/>
          <c:order val="0"/>
          <c:tx>
            <c:strRef>
              <c:f>CompareStored!$C$37</c:f>
              <c:strCache>
                <c:ptCount val="1"/>
                <c:pt idx="0">
                  <c:v>S1: 1</c:v>
                </c:pt>
              </c:strCache>
            </c:strRef>
          </c:tx>
          <c:spPr>
            <a:ln>
              <a:solidFill>
                <a:srgbClr val="404040"/>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CompareStored!$D$37:$W$37</c:f>
              <c:numCache>
                <c:formatCode>#,##0.00</c:formatCode>
                <c:ptCount val="20"/>
                <c:pt idx="0">
                  <c:v>211.05353640000001</c:v>
                </c:pt>
                <c:pt idx="1">
                  <c:v>207.04102830294221</c:v>
                </c:pt>
                <c:pt idx="2">
                  <c:v>242.71474311576381</c:v>
                </c:pt>
                <c:pt idx="3">
                  <c:v>257.68997748983497</c:v>
                </c:pt>
                <c:pt idx="4">
                  <c:v>264.57773753673689</c:v>
                </c:pt>
                <c:pt idx="5">
                  <c:v>271.55231492051871</c:v>
                </c:pt>
                <c:pt idx="6">
                  <c:v>279.61463350408837</c:v>
                </c:pt>
                <c:pt idx="7">
                  <c:v>287.62218124538617</c:v>
                </c:pt>
                <c:pt idx="8">
                  <c:v>294.15935922164368</c:v>
                </c:pt>
                <c:pt idx="9">
                  <c:v>297.48408684570808</c:v>
                </c:pt>
                <c:pt idx="10">
                  <c:v>300.43720378961552</c:v>
                </c:pt>
                <c:pt idx="11">
                  <c:v>306.34351053084748</c:v>
                </c:pt>
                <c:pt idx="12">
                  <c:v>311.68393210140539</c:v>
                </c:pt>
                <c:pt idx="13">
                  <c:v>317.52871593879098</c:v>
                </c:pt>
                <c:pt idx="14">
                  <c:v>323.42567658890391</c:v>
                </c:pt>
                <c:pt idx="15">
                  <c:v>329.42969215015819</c:v>
                </c:pt>
                <c:pt idx="16">
                  <c:v>335.52508070341258</c:v>
                </c:pt>
                <c:pt idx="17">
                  <c:v>341.7133561710508</c:v>
                </c:pt>
                <c:pt idx="18">
                  <c:v>348.00495779395749</c:v>
                </c:pt>
                <c:pt idx="19">
                  <c:v>354.40262232420667</c:v>
                </c:pt>
              </c:numCache>
            </c:numRef>
          </c:val>
          <c:smooth val="0"/>
          <c:extLst>
            <c:ext xmlns:c16="http://schemas.microsoft.com/office/drawing/2014/chart" uri="{C3380CC4-5D6E-409C-BE32-E72D297353CC}">
              <c16:uniqueId val="{00000000-2DCB-49E2-A6E9-B439E93D7141}"/>
            </c:ext>
          </c:extLst>
        </c:ser>
        <c:ser>
          <c:idx val="1"/>
          <c:order val="1"/>
          <c:tx>
            <c:strRef>
              <c:f>CompareStored!$C$38</c:f>
              <c:strCache>
                <c:ptCount val="1"/>
                <c:pt idx="0">
                  <c:v>S2: 3</c:v>
                </c:pt>
              </c:strCache>
            </c:strRef>
          </c:tx>
          <c:spPr>
            <a:ln>
              <a:solidFill>
                <a:srgbClr val="1F77B4"/>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CompareStored!$D$38:$W$38</c:f>
              <c:numCache>
                <c:formatCode>#,##0.00</c:formatCode>
                <c:ptCount val="20"/>
                <c:pt idx="0">
                  <c:v>211.05353640000001</c:v>
                </c:pt>
                <c:pt idx="1">
                  <c:v>206.98760399179039</c:v>
                </c:pt>
                <c:pt idx="2">
                  <c:v>242.66324823627789</c:v>
                </c:pt>
                <c:pt idx="3">
                  <c:v>257.64034486118982</c:v>
                </c:pt>
                <c:pt idx="4">
                  <c:v>264.52808195659583</c:v>
                </c:pt>
                <c:pt idx="5">
                  <c:v>248.50895853227971</c:v>
                </c:pt>
                <c:pt idx="6">
                  <c:v>245.8389413846545</c:v>
                </c:pt>
                <c:pt idx="7">
                  <c:v>255.18012253591391</c:v>
                </c:pt>
                <c:pt idx="8">
                  <c:v>259.89699142201619</c:v>
                </c:pt>
                <c:pt idx="9">
                  <c:v>264.03258022036431</c:v>
                </c:pt>
                <c:pt idx="10">
                  <c:v>266.41116283973389</c:v>
                </c:pt>
                <c:pt idx="11">
                  <c:v>272.37444608891138</c:v>
                </c:pt>
                <c:pt idx="12">
                  <c:v>277.01861466642379</c:v>
                </c:pt>
                <c:pt idx="13">
                  <c:v>282.49852349518648</c:v>
                </c:pt>
                <c:pt idx="14">
                  <c:v>288.05975792980138</c:v>
                </c:pt>
                <c:pt idx="15">
                  <c:v>293.83681659393051</c:v>
                </c:pt>
                <c:pt idx="16">
                  <c:v>299.55370548296128</c:v>
                </c:pt>
                <c:pt idx="17">
                  <c:v>305.30261819864143</c:v>
                </c:pt>
                <c:pt idx="18">
                  <c:v>310.9631779607115</c:v>
                </c:pt>
                <c:pt idx="19">
                  <c:v>316.68102204919029</c:v>
                </c:pt>
              </c:numCache>
            </c:numRef>
          </c:val>
          <c:smooth val="0"/>
          <c:extLst>
            <c:ext xmlns:c16="http://schemas.microsoft.com/office/drawing/2014/chart" uri="{C3380CC4-5D6E-409C-BE32-E72D297353CC}">
              <c16:uniqueId val="{00000001-2DCB-49E2-A6E9-B439E93D7141}"/>
            </c:ext>
          </c:extLst>
        </c:ser>
        <c:ser>
          <c:idx val="2"/>
          <c:order val="2"/>
          <c:tx>
            <c:strRef>
              <c:f>CompareStored!$C$39</c:f>
              <c:strCache>
                <c:ptCount val="1"/>
                <c:pt idx="0">
                  <c:v>S3: 4</c:v>
                </c:pt>
              </c:strCache>
            </c:strRef>
          </c:tx>
          <c:spPr>
            <a:ln>
              <a:solidFill>
                <a:srgbClr val="FF7F0E"/>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CompareStored!$D$39:$W$39</c:f>
              <c:numCache>
                <c:formatCode>#,##0.00</c:formatCode>
                <c:ptCount val="20"/>
                <c:pt idx="0">
                  <c:v>211.05353640000001</c:v>
                </c:pt>
                <c:pt idx="1">
                  <c:v>206.85609343168881</c:v>
                </c:pt>
                <c:pt idx="2">
                  <c:v>242.53649537197961</c:v>
                </c:pt>
                <c:pt idx="3">
                  <c:v>257.51818374906497</c:v>
                </c:pt>
                <c:pt idx="4">
                  <c:v>264.40610579395792</c:v>
                </c:pt>
                <c:pt idx="5">
                  <c:v>256.511647265009</c:v>
                </c:pt>
                <c:pt idx="6">
                  <c:v>243.24367863414051</c:v>
                </c:pt>
                <c:pt idx="7">
                  <c:v>229.39518523804171</c:v>
                </c:pt>
                <c:pt idx="8">
                  <c:v>220.28322414594101</c:v>
                </c:pt>
                <c:pt idx="9">
                  <c:v>215.21492403928411</c:v>
                </c:pt>
                <c:pt idx="10">
                  <c:v>207.32838465195391</c:v>
                </c:pt>
                <c:pt idx="11">
                  <c:v>203.19027482156659</c:v>
                </c:pt>
                <c:pt idx="12">
                  <c:v>197.33803146051781</c:v>
                </c:pt>
                <c:pt idx="13">
                  <c:v>193.627236833236</c:v>
                </c:pt>
                <c:pt idx="14">
                  <c:v>188.9813407358086</c:v>
                </c:pt>
                <c:pt idx="15">
                  <c:v>185.9934460035681</c:v>
                </c:pt>
                <c:pt idx="16">
                  <c:v>181.9407095740375</c:v>
                </c:pt>
                <c:pt idx="17">
                  <c:v>179.6578176908038</c:v>
                </c:pt>
                <c:pt idx="18">
                  <c:v>175.72158349541999</c:v>
                </c:pt>
                <c:pt idx="19">
                  <c:v>174.25869525754109</c:v>
                </c:pt>
              </c:numCache>
            </c:numRef>
          </c:val>
          <c:smooth val="0"/>
          <c:extLst>
            <c:ext xmlns:c16="http://schemas.microsoft.com/office/drawing/2014/chart" uri="{C3380CC4-5D6E-409C-BE32-E72D297353CC}">
              <c16:uniqueId val="{00000002-2DCB-49E2-A6E9-B439E93D7141}"/>
            </c:ext>
          </c:extLst>
        </c:ser>
        <c:ser>
          <c:idx val="3"/>
          <c:order val="3"/>
          <c:tx>
            <c:strRef>
              <c:f>CompareStored!$C$40</c:f>
              <c:strCache>
                <c:ptCount val="1"/>
                <c:pt idx="0">
                  <c:v>S4: 5</c:v>
                </c:pt>
              </c:strCache>
            </c:strRef>
          </c:tx>
          <c:spPr>
            <a:ln>
              <a:solidFill>
                <a:srgbClr val="2CA02C"/>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CompareStored!$D$40:$W$40</c:f>
              <c:numCache>
                <c:formatCode>#,##0.00</c:formatCode>
                <c:ptCount val="20"/>
                <c:pt idx="0">
                  <c:v>211.05353640000001</c:v>
                </c:pt>
                <c:pt idx="1">
                  <c:v>206.7272622499039</c:v>
                </c:pt>
                <c:pt idx="2">
                  <c:v>242.41216703597181</c:v>
                </c:pt>
                <c:pt idx="3">
                  <c:v>257.39820438189957</c:v>
                </c:pt>
                <c:pt idx="4">
                  <c:v>264.28597446439471</c:v>
                </c:pt>
                <c:pt idx="5">
                  <c:v>244.9890036472554</c:v>
                </c:pt>
                <c:pt idx="6">
                  <c:v>251.83345797676989</c:v>
                </c:pt>
                <c:pt idx="7">
                  <c:v>258.77434742832821</c:v>
                </c:pt>
                <c:pt idx="8">
                  <c:v>263.94460502233051</c:v>
                </c:pt>
                <c:pt idx="9">
                  <c:v>265.14983333921731</c:v>
                </c:pt>
                <c:pt idx="10">
                  <c:v>264.68423589173591</c:v>
                </c:pt>
                <c:pt idx="11">
                  <c:v>268.48302628516291</c:v>
                </c:pt>
                <c:pt idx="12">
                  <c:v>267.93010833306431</c:v>
                </c:pt>
                <c:pt idx="13">
                  <c:v>268.65853005369621</c:v>
                </c:pt>
                <c:pt idx="14">
                  <c:v>269.88922021715217</c:v>
                </c:pt>
                <c:pt idx="15">
                  <c:v>270.56974833537078</c:v>
                </c:pt>
                <c:pt idx="16">
                  <c:v>271.75789572051087</c:v>
                </c:pt>
                <c:pt idx="17">
                  <c:v>273.17764569827648</c:v>
                </c:pt>
                <c:pt idx="18">
                  <c:v>274.39707925412188</c:v>
                </c:pt>
                <c:pt idx="19">
                  <c:v>276.05871740837449</c:v>
                </c:pt>
              </c:numCache>
            </c:numRef>
          </c:val>
          <c:smooth val="0"/>
          <c:extLst>
            <c:ext xmlns:c16="http://schemas.microsoft.com/office/drawing/2014/chart" uri="{C3380CC4-5D6E-409C-BE32-E72D297353CC}">
              <c16:uniqueId val="{00000003-2DCB-49E2-A6E9-B439E93D7141}"/>
            </c:ext>
          </c:extLst>
        </c:ser>
        <c:ser>
          <c:idx val="4"/>
          <c:order val="4"/>
          <c:tx>
            <c:strRef>
              <c:f>CompareStored!$C$41</c:f>
              <c:strCache>
                <c:ptCount val="1"/>
                <c:pt idx="0">
                  <c:v>S5: 6</c:v>
                </c:pt>
              </c:strCache>
            </c:strRef>
          </c:tx>
          <c:spPr>
            <a:ln>
              <a:solidFill>
                <a:srgbClr val="D62728"/>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CompareStored!$D$41:$W$41</c:f>
              <c:numCache>
                <c:formatCode>#,##0.00</c:formatCode>
                <c:ptCount val="20"/>
                <c:pt idx="0">
                  <c:v>211.05353640000001</c:v>
                </c:pt>
                <c:pt idx="1">
                  <c:v>206.913593095572</c:v>
                </c:pt>
                <c:pt idx="2">
                  <c:v>242.59191349109801</c:v>
                </c:pt>
                <c:pt idx="3">
                  <c:v>257.57159297320089</c:v>
                </c:pt>
                <c:pt idx="4">
                  <c:v>264.45939329273858</c:v>
                </c:pt>
                <c:pt idx="5">
                  <c:v>226.16316752596961</c:v>
                </c:pt>
                <c:pt idx="6">
                  <c:v>211.61098715110819</c:v>
                </c:pt>
                <c:pt idx="7">
                  <c:v>220.31939479863331</c:v>
                </c:pt>
                <c:pt idx="8">
                  <c:v>222.05405130772681</c:v>
                </c:pt>
                <c:pt idx="9">
                  <c:v>229.52180441626049</c:v>
                </c:pt>
                <c:pt idx="10">
                  <c:v>228.54136312776311</c:v>
                </c:pt>
                <c:pt idx="11">
                  <c:v>232.39383558900909</c:v>
                </c:pt>
                <c:pt idx="12">
                  <c:v>233.2313114959745</c:v>
                </c:pt>
                <c:pt idx="13">
                  <c:v>235.87704785807699</c:v>
                </c:pt>
                <c:pt idx="14">
                  <c:v>237.80395800274749</c:v>
                </c:pt>
                <c:pt idx="15">
                  <c:v>240.82192639814451</c:v>
                </c:pt>
                <c:pt idx="16">
                  <c:v>243.01640633613141</c:v>
                </c:pt>
                <c:pt idx="17">
                  <c:v>246.0466416484756</c:v>
                </c:pt>
                <c:pt idx="18">
                  <c:v>248.32062498733939</c:v>
                </c:pt>
                <c:pt idx="19">
                  <c:v>251.36393501958679</c:v>
                </c:pt>
              </c:numCache>
            </c:numRef>
          </c:val>
          <c:smooth val="0"/>
          <c:extLst>
            <c:ext xmlns:c16="http://schemas.microsoft.com/office/drawing/2014/chart" uri="{C3380CC4-5D6E-409C-BE32-E72D297353CC}">
              <c16:uniqueId val="{00000004-2DCB-49E2-A6E9-B439E93D7141}"/>
            </c:ext>
          </c:extLst>
        </c:ser>
        <c:ser>
          <c:idx val="5"/>
          <c:order val="5"/>
          <c:tx>
            <c:strRef>
              <c:f>CompareStored!$C$42</c:f>
              <c:strCache>
                <c:ptCount val="1"/>
              </c:strCache>
            </c:strRef>
          </c:tx>
          <c:spPr>
            <a:ln>
              <a:solidFill>
                <a:srgbClr val="9467BD"/>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CompareStored!$D$42:$W$42</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2DCB-49E2-A6E9-B439E93D7141}"/>
            </c:ext>
          </c:extLst>
        </c:ser>
        <c:ser>
          <c:idx val="6"/>
          <c:order val="6"/>
          <c:tx>
            <c:strRef>
              <c:f>CompareStored!$C$43</c:f>
              <c:strCache>
                <c:ptCount val="1"/>
              </c:strCache>
            </c:strRef>
          </c:tx>
          <c:spPr>
            <a:ln>
              <a:solidFill>
                <a:srgbClr val="8C564B"/>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CompareStored!$D$43:$W$43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2DCB-49E2-A6E9-B439E93D7141}"/>
            </c:ext>
          </c:extLst>
        </c:ser>
        <c:ser>
          <c:idx val="7"/>
          <c:order val="7"/>
          <c:tx>
            <c:strRef>
              <c:f>CompareStored!$C$44</c:f>
              <c:strCache>
                <c:ptCount val="1"/>
              </c:strCache>
            </c:strRef>
          </c:tx>
          <c:spPr>
            <a:ln>
              <a:solidFill>
                <a:srgbClr val="E377C2"/>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CompareStored!$D$44:$W$44</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2DCB-49E2-A6E9-B439E93D7141}"/>
            </c:ext>
          </c:extLst>
        </c:ser>
        <c:ser>
          <c:idx val="8"/>
          <c:order val="8"/>
          <c:tx>
            <c:strRef>
              <c:f>CompareStored!$C$45</c:f>
              <c:strCache>
                <c:ptCount val="1"/>
              </c:strCache>
            </c:strRef>
          </c:tx>
          <c:spPr>
            <a:ln>
              <a:solidFill>
                <a:srgbClr val="17BECF"/>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CompareStored!$D$45:$W$45</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2DCB-49E2-A6E9-B439E93D7141}"/>
            </c:ext>
          </c:extLst>
        </c:ser>
        <c:ser>
          <c:idx val="9"/>
          <c:order val="9"/>
          <c:tx>
            <c:strRef>
              <c:f>CompareStored!$C$46</c:f>
              <c:strCache>
                <c:ptCount val="1"/>
              </c:strCache>
            </c:strRef>
          </c:tx>
          <c:spPr>
            <a:ln>
              <a:solidFill>
                <a:srgbClr val="BCBD22"/>
              </a:solidFill>
              <a:prstDash val="solid"/>
            </a:ln>
          </c:spPr>
          <c:marker>
            <c:symbol val="none"/>
          </c:marker>
          <c:cat>
            <c:numRef>
              <c:f>CompareStored!$D$36:$W$36</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CompareStored!$D$46:$W$46</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2DCB-49E2-A6E9-B439E93D714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0"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mit.ghg.tot.tot</a:t>
            </a:r>
          </a:p>
        </c:rich>
      </c:tx>
      <c:overlay val="1"/>
    </c:title>
    <c:autoTitleDeleted val="0"/>
    <c:plotArea>
      <c:layout/>
      <c:lineChart>
        <c:grouping val="standard"/>
        <c:varyColors val="1"/>
        <c:ser>
          <c:idx val="0"/>
          <c:order val="0"/>
          <c:tx>
            <c:strRef>
              <c:f>CompareStored!$C$54</c:f>
              <c:strCache>
                <c:ptCount val="1"/>
                <c:pt idx="0">
                  <c:v>S1: 1</c:v>
                </c:pt>
              </c:strCache>
            </c:strRef>
          </c:tx>
          <c:spPr>
            <a:ln>
              <a:solidFill>
                <a:srgbClr val="404040"/>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CompareStored!$D$54:$W$54</c:f>
              <c:numCache>
                <c:formatCode>#,##0.00</c:formatCode>
                <c:ptCount val="20"/>
                <c:pt idx="0">
                  <c:v>400.90737196203099</c:v>
                </c:pt>
                <c:pt idx="1">
                  <c:v>411.84937392728278</c:v>
                </c:pt>
                <c:pt idx="2">
                  <c:v>455.59124511957918</c:v>
                </c:pt>
                <c:pt idx="3">
                  <c:v>477.36702358274403</c:v>
                </c:pt>
                <c:pt idx="4">
                  <c:v>487.86793242195552</c:v>
                </c:pt>
                <c:pt idx="5">
                  <c:v>498.99405062650891</c:v>
                </c:pt>
                <c:pt idx="6">
                  <c:v>511.73279510283589</c:v>
                </c:pt>
                <c:pt idx="7">
                  <c:v>524.32273215725093</c:v>
                </c:pt>
                <c:pt idx="8">
                  <c:v>535.27504767227538</c:v>
                </c:pt>
                <c:pt idx="9">
                  <c:v>543.04626669383117</c:v>
                </c:pt>
                <c:pt idx="10">
                  <c:v>550.45421029158126</c:v>
                </c:pt>
                <c:pt idx="11">
                  <c:v>560.8952017747755</c:v>
                </c:pt>
                <c:pt idx="12">
                  <c:v>570.8122366465351</c:v>
                </c:pt>
                <c:pt idx="13">
                  <c:v>581.2828013793843</c:v>
                </c:pt>
                <c:pt idx="14">
                  <c:v>591.84817645878991</c:v>
                </c:pt>
                <c:pt idx="15">
                  <c:v>602.56642492217588</c:v>
                </c:pt>
                <c:pt idx="16">
                  <c:v>613.41224247905666</c:v>
                </c:pt>
                <c:pt idx="17">
                  <c:v>624.38499383423209</c:v>
                </c:pt>
                <c:pt idx="18">
                  <c:v>635.48581898463704</c:v>
                </c:pt>
                <c:pt idx="19">
                  <c:v>646.70672490742345</c:v>
                </c:pt>
              </c:numCache>
            </c:numRef>
          </c:val>
          <c:smooth val="0"/>
          <c:extLst>
            <c:ext xmlns:c16="http://schemas.microsoft.com/office/drawing/2014/chart" uri="{C3380CC4-5D6E-409C-BE32-E72D297353CC}">
              <c16:uniqueId val="{00000000-D246-4040-B1B7-B98BA37C6506}"/>
            </c:ext>
          </c:extLst>
        </c:ser>
        <c:ser>
          <c:idx val="1"/>
          <c:order val="1"/>
          <c:tx>
            <c:strRef>
              <c:f>CompareStored!$C$55</c:f>
              <c:strCache>
                <c:ptCount val="1"/>
                <c:pt idx="0">
                  <c:v>S2: 3</c:v>
                </c:pt>
              </c:strCache>
            </c:strRef>
          </c:tx>
          <c:spPr>
            <a:ln>
              <a:solidFill>
                <a:srgbClr val="1F77B4"/>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CompareStored!$D$55:$W$55</c:f>
              <c:numCache>
                <c:formatCode>#,##0.00</c:formatCode>
                <c:ptCount val="20"/>
                <c:pt idx="0">
                  <c:v>400.90737196203099</c:v>
                </c:pt>
                <c:pt idx="1">
                  <c:v>411.79560061694713</c:v>
                </c:pt>
                <c:pt idx="2">
                  <c:v>455.53941406350992</c:v>
                </c:pt>
                <c:pt idx="3">
                  <c:v>477.31709211980808</c:v>
                </c:pt>
                <c:pt idx="4">
                  <c:v>487.8179842896306</c:v>
                </c:pt>
                <c:pt idx="5">
                  <c:v>465.63503896757481</c:v>
                </c:pt>
                <c:pt idx="6">
                  <c:v>467.13581487532463</c:v>
                </c:pt>
                <c:pt idx="7">
                  <c:v>480.7699538755503</c:v>
                </c:pt>
                <c:pt idx="8">
                  <c:v>489.47111041577108</c:v>
                </c:pt>
                <c:pt idx="9">
                  <c:v>497.72232152895958</c:v>
                </c:pt>
                <c:pt idx="10">
                  <c:v>504.17230628465512</c:v>
                </c:pt>
                <c:pt idx="11">
                  <c:v>514.35412865688249</c:v>
                </c:pt>
                <c:pt idx="12">
                  <c:v>523.27749111482353</c:v>
                </c:pt>
                <c:pt idx="13">
                  <c:v>533.07070769233678</c:v>
                </c:pt>
                <c:pt idx="14">
                  <c:v>542.99866514615292</c:v>
                </c:pt>
                <c:pt idx="15">
                  <c:v>553.2201392707085</c:v>
                </c:pt>
                <c:pt idx="16">
                  <c:v>563.38161472505806</c:v>
                </c:pt>
                <c:pt idx="17">
                  <c:v>573.5878023652765</c:v>
                </c:pt>
                <c:pt idx="18">
                  <c:v>583.68301509417574</c:v>
                </c:pt>
                <c:pt idx="19">
                  <c:v>593.83213132882952</c:v>
                </c:pt>
              </c:numCache>
            </c:numRef>
          </c:val>
          <c:smooth val="0"/>
          <c:extLst>
            <c:ext xmlns:c16="http://schemas.microsoft.com/office/drawing/2014/chart" uri="{C3380CC4-5D6E-409C-BE32-E72D297353CC}">
              <c16:uniqueId val="{00000001-D246-4040-B1B7-B98BA37C6506}"/>
            </c:ext>
          </c:extLst>
        </c:ser>
        <c:ser>
          <c:idx val="2"/>
          <c:order val="2"/>
          <c:tx>
            <c:strRef>
              <c:f>CompareStored!$C$56</c:f>
              <c:strCache>
                <c:ptCount val="1"/>
                <c:pt idx="0">
                  <c:v>S3: 4</c:v>
                </c:pt>
              </c:strCache>
            </c:strRef>
          </c:tx>
          <c:spPr>
            <a:ln>
              <a:solidFill>
                <a:srgbClr val="FF7F0E"/>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CompareStored!$D$56:$W$56</c:f>
              <c:numCache>
                <c:formatCode>#,##0.00</c:formatCode>
                <c:ptCount val="20"/>
                <c:pt idx="0">
                  <c:v>400.90737196203099</c:v>
                </c:pt>
                <c:pt idx="1">
                  <c:v>411.66321731161719</c:v>
                </c:pt>
                <c:pt idx="2">
                  <c:v>455.41182046586499</c:v>
                </c:pt>
                <c:pt idx="3">
                  <c:v>477.19418270997289</c:v>
                </c:pt>
                <c:pt idx="4">
                  <c:v>487.69527857458928</c:v>
                </c:pt>
                <c:pt idx="5">
                  <c:v>477.38428246086261</c:v>
                </c:pt>
                <c:pt idx="6">
                  <c:v>461.57626503353191</c:v>
                </c:pt>
                <c:pt idx="7">
                  <c:v>446.30518069148468</c:v>
                </c:pt>
                <c:pt idx="8">
                  <c:v>436.46543209312551</c:v>
                </c:pt>
                <c:pt idx="9">
                  <c:v>431.76533606723319</c:v>
                </c:pt>
                <c:pt idx="10">
                  <c:v>424.51219669120871</c:v>
                </c:pt>
                <c:pt idx="11">
                  <c:v>421.32575605307062</c:v>
                </c:pt>
                <c:pt idx="12">
                  <c:v>416.64517918081663</c:v>
                </c:pt>
                <c:pt idx="13">
                  <c:v>414.31754625021568</c:v>
                </c:pt>
                <c:pt idx="14">
                  <c:v>411.19850309148768</c:v>
                </c:pt>
                <c:pt idx="15">
                  <c:v>409.90037638311071</c:v>
                </c:pt>
                <c:pt idx="16">
                  <c:v>407.62889364191261</c:v>
                </c:pt>
                <c:pt idx="17">
                  <c:v>407.22968907459938</c:v>
                </c:pt>
                <c:pt idx="18">
                  <c:v>405.20201110553018</c:v>
                </c:pt>
                <c:pt idx="19">
                  <c:v>405.6995104862749</c:v>
                </c:pt>
              </c:numCache>
            </c:numRef>
          </c:val>
          <c:smooth val="0"/>
          <c:extLst>
            <c:ext xmlns:c16="http://schemas.microsoft.com/office/drawing/2014/chart" uri="{C3380CC4-5D6E-409C-BE32-E72D297353CC}">
              <c16:uniqueId val="{00000002-D246-4040-B1B7-B98BA37C6506}"/>
            </c:ext>
          </c:extLst>
        </c:ser>
        <c:ser>
          <c:idx val="3"/>
          <c:order val="3"/>
          <c:tx>
            <c:strRef>
              <c:f>CompareStored!$C$57</c:f>
              <c:strCache>
                <c:ptCount val="1"/>
                <c:pt idx="0">
                  <c:v>S4: 5</c:v>
                </c:pt>
              </c:strCache>
            </c:strRef>
          </c:tx>
          <c:spPr>
            <a:ln>
              <a:solidFill>
                <a:srgbClr val="2CA02C"/>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CompareStored!$D$57:$W$57</c:f>
              <c:numCache>
                <c:formatCode>#,##0.00</c:formatCode>
                <c:ptCount val="20"/>
                <c:pt idx="0">
                  <c:v>400.90737196203099</c:v>
                </c:pt>
                <c:pt idx="1">
                  <c:v>411.53354123828802</c:v>
                </c:pt>
                <c:pt idx="2">
                  <c:v>455.28667719301279</c:v>
                </c:pt>
                <c:pt idx="3">
                  <c:v>477.07347695302229</c:v>
                </c:pt>
                <c:pt idx="4">
                  <c:v>487.57443489942739</c:v>
                </c:pt>
                <c:pt idx="5">
                  <c:v>461.15429194009579</c:v>
                </c:pt>
                <c:pt idx="6">
                  <c:v>471.89426051866059</c:v>
                </c:pt>
                <c:pt idx="7">
                  <c:v>482.68862586436438</c:v>
                </c:pt>
                <c:pt idx="8">
                  <c:v>491.49111285579983</c:v>
                </c:pt>
                <c:pt idx="9">
                  <c:v>496.44294588534069</c:v>
                </c:pt>
                <c:pt idx="10">
                  <c:v>499.67590889429681</c:v>
                </c:pt>
                <c:pt idx="11">
                  <c:v>507.33400003779701</c:v>
                </c:pt>
                <c:pt idx="12">
                  <c:v>510.64017211261029</c:v>
                </c:pt>
                <c:pt idx="13">
                  <c:v>515.27240179799344</c:v>
                </c:pt>
                <c:pt idx="14">
                  <c:v>520.58302349196936</c:v>
                </c:pt>
                <c:pt idx="15">
                  <c:v>525.39496387409338</c:v>
                </c:pt>
                <c:pt idx="16">
                  <c:v>530.7190416509759</c:v>
                </c:pt>
                <c:pt idx="17">
                  <c:v>536.29485787172064</c:v>
                </c:pt>
                <c:pt idx="18">
                  <c:v>541.65018135187745</c:v>
                </c:pt>
                <c:pt idx="19">
                  <c:v>547.45832016529755</c:v>
                </c:pt>
              </c:numCache>
            </c:numRef>
          </c:val>
          <c:smooth val="0"/>
          <c:extLst>
            <c:ext xmlns:c16="http://schemas.microsoft.com/office/drawing/2014/chart" uri="{C3380CC4-5D6E-409C-BE32-E72D297353CC}">
              <c16:uniqueId val="{00000003-D246-4040-B1B7-B98BA37C6506}"/>
            </c:ext>
          </c:extLst>
        </c:ser>
        <c:ser>
          <c:idx val="4"/>
          <c:order val="4"/>
          <c:tx>
            <c:strRef>
              <c:f>CompareStored!$C$58</c:f>
              <c:strCache>
                <c:ptCount val="1"/>
                <c:pt idx="0">
                  <c:v>S5: 6</c:v>
                </c:pt>
              </c:strCache>
            </c:strRef>
          </c:tx>
          <c:spPr>
            <a:ln>
              <a:solidFill>
                <a:srgbClr val="D62728"/>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CompareStored!$D$58:$W$58</c:f>
              <c:numCache>
                <c:formatCode>#,##0.00</c:formatCode>
                <c:ptCount val="20"/>
                <c:pt idx="0">
                  <c:v>400.90737196203099</c:v>
                </c:pt>
                <c:pt idx="1">
                  <c:v>411.72110083897269</c:v>
                </c:pt>
                <c:pt idx="2">
                  <c:v>455.46760837735269</c:v>
                </c:pt>
                <c:pt idx="3">
                  <c:v>477.24792122531449</c:v>
                </c:pt>
                <c:pt idx="4">
                  <c:v>487.74888661403412</c:v>
                </c:pt>
                <c:pt idx="5">
                  <c:v>433.34049041204139</c:v>
                </c:pt>
                <c:pt idx="6">
                  <c:v>422.45350127955612</c:v>
                </c:pt>
                <c:pt idx="7">
                  <c:v>435.11944427290553</c:v>
                </c:pt>
                <c:pt idx="8">
                  <c:v>440.44458362160611</c:v>
                </c:pt>
                <c:pt idx="9">
                  <c:v>451.74461793218939</c:v>
                </c:pt>
                <c:pt idx="10">
                  <c:v>454.43160872536203</c:v>
                </c:pt>
                <c:pt idx="11">
                  <c:v>462.16895184035099</c:v>
                </c:pt>
                <c:pt idx="12">
                  <c:v>466.94377128022421</c:v>
                </c:pt>
                <c:pt idx="13">
                  <c:v>473.55953492827382</c:v>
                </c:pt>
                <c:pt idx="14">
                  <c:v>479.50642503214573</c:v>
                </c:pt>
                <c:pt idx="15">
                  <c:v>486.65607204619067</c:v>
                </c:pt>
                <c:pt idx="16">
                  <c:v>492.94304537712731</c:v>
                </c:pt>
                <c:pt idx="17">
                  <c:v>500.07424810412738</c:v>
                </c:pt>
                <c:pt idx="18">
                  <c:v>506.38203527067873</c:v>
                </c:pt>
                <c:pt idx="19">
                  <c:v>513.45264465397645</c:v>
                </c:pt>
              </c:numCache>
            </c:numRef>
          </c:val>
          <c:smooth val="0"/>
          <c:extLst>
            <c:ext xmlns:c16="http://schemas.microsoft.com/office/drawing/2014/chart" uri="{C3380CC4-5D6E-409C-BE32-E72D297353CC}">
              <c16:uniqueId val="{00000004-D246-4040-B1B7-B98BA37C6506}"/>
            </c:ext>
          </c:extLst>
        </c:ser>
        <c:ser>
          <c:idx val="5"/>
          <c:order val="5"/>
          <c:tx>
            <c:strRef>
              <c:f>CompareStored!$C$59</c:f>
              <c:strCache>
                <c:ptCount val="1"/>
              </c:strCache>
            </c:strRef>
          </c:tx>
          <c:spPr>
            <a:ln>
              <a:solidFill>
                <a:srgbClr val="9467BD"/>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CompareStored!$D$59:$W$59</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D246-4040-B1B7-B98BA37C6506}"/>
            </c:ext>
          </c:extLst>
        </c:ser>
        <c:ser>
          <c:idx val="6"/>
          <c:order val="6"/>
          <c:tx>
            <c:strRef>
              <c:f>CompareStored!$C$60</c:f>
              <c:strCache>
                <c:ptCount val="1"/>
              </c:strCache>
            </c:strRef>
          </c:tx>
          <c:spPr>
            <a:ln>
              <a:solidFill>
                <a:srgbClr val="8C564B"/>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CompareStored!$D$60:$W$60</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D246-4040-B1B7-B98BA37C6506}"/>
            </c:ext>
          </c:extLst>
        </c:ser>
        <c:ser>
          <c:idx val="7"/>
          <c:order val="7"/>
          <c:tx>
            <c:strRef>
              <c:f>CompareStored!$C$61</c:f>
              <c:strCache>
                <c:ptCount val="1"/>
              </c:strCache>
            </c:strRef>
          </c:tx>
          <c:spPr>
            <a:ln>
              <a:solidFill>
                <a:srgbClr val="E377C2"/>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CompareStored!$D$61:$W$61</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D246-4040-B1B7-B98BA37C6506}"/>
            </c:ext>
          </c:extLst>
        </c:ser>
        <c:ser>
          <c:idx val="8"/>
          <c:order val="8"/>
          <c:tx>
            <c:strRef>
              <c:f>CompareStored!$C$62</c:f>
              <c:strCache>
                <c:ptCount val="1"/>
              </c:strCache>
            </c:strRef>
          </c:tx>
          <c:spPr>
            <a:ln>
              <a:solidFill>
                <a:srgbClr val="17BECF"/>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CompareStored!$D$62:$W$62</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D246-4040-B1B7-B98BA37C6506}"/>
            </c:ext>
          </c:extLst>
        </c:ser>
        <c:ser>
          <c:idx val="9"/>
          <c:order val="9"/>
          <c:tx>
            <c:strRef>
              <c:f>CompareStored!$C$63</c:f>
              <c:strCache>
                <c:ptCount val="1"/>
              </c:strCache>
            </c:strRef>
          </c:tx>
          <c:spPr>
            <a:ln>
              <a:solidFill>
                <a:srgbClr val="BCBD22"/>
              </a:solidFill>
              <a:prstDash val="solid"/>
            </a:ln>
          </c:spPr>
          <c:marker>
            <c:symbol val="none"/>
          </c:marker>
          <c:cat>
            <c:numRef>
              <c:f>CompareStored!$D$53:$W$53</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CompareStored!$D$63:$W$63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D246-4040-B1B7-B98BA37C650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0"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mit.rpct.all.tot</a:t>
            </a:r>
          </a:p>
        </c:rich>
      </c:tx>
      <c:overlay val="1"/>
    </c:title>
    <c:autoTitleDeleted val="0"/>
    <c:plotArea>
      <c:layout/>
      <c:lineChart>
        <c:grouping val="standard"/>
        <c:varyColors val="1"/>
        <c:ser>
          <c:idx val="0"/>
          <c:order val="0"/>
          <c:tx>
            <c:strRef>
              <c:f>CompareStored!$C$71</c:f>
              <c:strCache>
                <c:ptCount val="1"/>
                <c:pt idx="0">
                  <c:v>S1: 1</c:v>
                </c:pt>
              </c:strCache>
            </c:strRef>
          </c:tx>
          <c:spPr>
            <a:ln>
              <a:solidFill>
                <a:srgbClr val="404040"/>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CompareStored!$D$71:$W$71</c:f>
              <c:numCache>
                <c:formatCode>#,##0.00</c:formatCode>
                <c:ptCount val="20"/>
                <c:pt idx="0">
                  <c:v>-8.3116025229717228E-2</c:v>
                </c:pt>
                <c:pt idx="1">
                  <c:v>-7.2950363125241696E-2</c:v>
                </c:pt>
                <c:pt idx="2">
                  <c:v>-8.1477184641626899E-2</c:v>
                </c:pt>
                <c:pt idx="3">
                  <c:v>-7.4659417756431548E-2</c:v>
                </c:pt>
                <c:pt idx="4">
                  <c:v>-7.9854790683934473E-2</c:v>
                </c:pt>
                <c:pt idx="5">
                  <c:v>-7.2334242839758672E-2</c:v>
                </c:pt>
                <c:pt idx="6">
                  <c:v>-6.9047097218265338E-2</c:v>
                </c:pt>
                <c:pt idx="7">
                  <c:v>-6.6805460424216812E-2</c:v>
                </c:pt>
                <c:pt idx="8">
                  <c:v>-6.4507375747590426E-2</c:v>
                </c:pt>
                <c:pt idx="9">
                  <c:v>-6.1845808930849032E-2</c:v>
                </c:pt>
                <c:pt idx="10">
                  <c:v>-5.9988099619419838E-2</c:v>
                </c:pt>
                <c:pt idx="11">
                  <c:v>-5.8900599730276053E-2</c:v>
                </c:pt>
                <c:pt idx="12">
                  <c:v>-5.7751225835204548E-2</c:v>
                </c:pt>
                <c:pt idx="13">
                  <c:v>-5.6709166082376902E-2</c:v>
                </c:pt>
                <c:pt idx="14">
                  <c:v>-5.5698978958168999E-2</c:v>
                </c:pt>
                <c:pt idx="15">
                  <c:v>-5.472576592903193E-2</c:v>
                </c:pt>
                <c:pt idx="16">
                  <c:v>-5.378600123290489E-2</c:v>
                </c:pt>
                <c:pt idx="17">
                  <c:v>-5.2878718866470151E-2</c:v>
                </c:pt>
                <c:pt idx="18">
                  <c:v>-5.2004454214856492E-2</c:v>
                </c:pt>
                <c:pt idx="19">
                  <c:v>-5.1162438487845831E-2</c:v>
                </c:pt>
              </c:numCache>
            </c:numRef>
          </c:val>
          <c:smooth val="0"/>
          <c:extLst>
            <c:ext xmlns:c16="http://schemas.microsoft.com/office/drawing/2014/chart" uri="{C3380CC4-5D6E-409C-BE32-E72D297353CC}">
              <c16:uniqueId val="{00000000-DB7F-4A88-A130-668EE7D9BD2D}"/>
            </c:ext>
          </c:extLst>
        </c:ser>
        <c:ser>
          <c:idx val="1"/>
          <c:order val="1"/>
          <c:tx>
            <c:strRef>
              <c:f>CompareStored!$C$72</c:f>
              <c:strCache>
                <c:ptCount val="1"/>
                <c:pt idx="0">
                  <c:v>S2: 3</c:v>
                </c:pt>
              </c:strCache>
            </c:strRef>
          </c:tx>
          <c:spPr>
            <a:ln>
              <a:solidFill>
                <a:srgbClr val="1F77B4"/>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CompareStored!$D$72:$W$72</c:f>
              <c:numCache>
                <c:formatCode>#,##0.00</c:formatCode>
                <c:ptCount val="20"/>
                <c:pt idx="0">
                  <c:v>-8.3116025229717228E-2</c:v>
                </c:pt>
                <c:pt idx="1">
                  <c:v>-7.2938507681601053E-2</c:v>
                </c:pt>
                <c:pt idx="2">
                  <c:v>-8.1463859693386001E-2</c:v>
                </c:pt>
                <c:pt idx="3">
                  <c:v>-7.4646813479993482E-2</c:v>
                </c:pt>
                <c:pt idx="4">
                  <c:v>-7.9842113042003462E-2</c:v>
                </c:pt>
                <c:pt idx="5">
                  <c:v>-5.9717669672039647E-2</c:v>
                </c:pt>
                <c:pt idx="6">
                  <c:v>-5.4051521417865352E-2</c:v>
                </c:pt>
                <c:pt idx="7">
                  <c:v>-5.2580967418682831E-2</c:v>
                </c:pt>
                <c:pt idx="8">
                  <c:v>-5.0470309205976532E-2</c:v>
                </c:pt>
                <c:pt idx="9">
                  <c:v>-4.8712577795394847E-2</c:v>
                </c:pt>
                <c:pt idx="10">
                  <c:v>-4.7322206347238417E-2</c:v>
                </c:pt>
                <c:pt idx="11">
                  <c:v>-4.6654225645077513E-2</c:v>
                </c:pt>
                <c:pt idx="12">
                  <c:v>-4.5839185202196819E-2</c:v>
                </c:pt>
                <c:pt idx="13">
                  <c:v>-4.5143501390788543E-2</c:v>
                </c:pt>
                <c:pt idx="14">
                  <c:v>-4.4471876964604619E-2</c:v>
                </c:pt>
                <c:pt idx="15">
                  <c:v>-4.3837580906960182E-2</c:v>
                </c:pt>
                <c:pt idx="16">
                  <c:v>-4.3201983596253213E-2</c:v>
                </c:pt>
                <c:pt idx="17">
                  <c:v>-4.2577684860936542E-2</c:v>
                </c:pt>
                <c:pt idx="18">
                  <c:v>-4.1950651009941158E-2</c:v>
                </c:pt>
                <c:pt idx="19">
                  <c:v>-4.1339824242725629E-2</c:v>
                </c:pt>
              </c:numCache>
            </c:numRef>
          </c:val>
          <c:smooth val="0"/>
          <c:extLst>
            <c:ext xmlns:c16="http://schemas.microsoft.com/office/drawing/2014/chart" uri="{C3380CC4-5D6E-409C-BE32-E72D297353CC}">
              <c16:uniqueId val="{00000001-DB7F-4A88-A130-668EE7D9BD2D}"/>
            </c:ext>
          </c:extLst>
        </c:ser>
        <c:ser>
          <c:idx val="2"/>
          <c:order val="2"/>
          <c:tx>
            <c:strRef>
              <c:f>CompareStored!$C$73</c:f>
              <c:strCache>
                <c:ptCount val="1"/>
                <c:pt idx="0">
                  <c:v>S3: 4</c:v>
                </c:pt>
              </c:strCache>
            </c:strRef>
          </c:tx>
          <c:spPr>
            <a:ln>
              <a:solidFill>
                <a:srgbClr val="FF7F0E"/>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CompareStored!$D$73:$W$73</c:f>
              <c:numCache>
                <c:formatCode>#,##0.00</c:formatCode>
                <c:ptCount val="20"/>
                <c:pt idx="0">
                  <c:v>-8.3116025229717228E-2</c:v>
                </c:pt>
                <c:pt idx="1">
                  <c:v>-7.2909410898632315E-2</c:v>
                </c:pt>
                <c:pt idx="2">
                  <c:v>-8.143163897147325E-2</c:v>
                </c:pt>
                <c:pt idx="3">
                  <c:v>-7.4616296899644885E-2</c:v>
                </c:pt>
                <c:pt idx="4">
                  <c:v>-7.9811556083405427E-2</c:v>
                </c:pt>
                <c:pt idx="5">
                  <c:v>-6.5131894304622739E-2</c:v>
                </c:pt>
                <c:pt idx="6">
                  <c:v>-5.3026934238516787E-2</c:v>
                </c:pt>
                <c:pt idx="7">
                  <c:v>-4.3374056433630639E-2</c:v>
                </c:pt>
                <c:pt idx="8">
                  <c:v>-3.5688393121689477E-2</c:v>
                </c:pt>
                <c:pt idx="9">
                  <c:v>-2.9468491804137801E-2</c:v>
                </c:pt>
                <c:pt idx="10">
                  <c:v>-2.4336840052279499E-2</c:v>
                </c:pt>
                <c:pt idx="11">
                  <c:v>-2.010472526936791E-2</c:v>
                </c:pt>
                <c:pt idx="12">
                  <c:v>-1.6363674629183159E-2</c:v>
                </c:pt>
                <c:pt idx="13">
                  <c:v>-1.31729630329534E-2</c:v>
                </c:pt>
                <c:pt idx="14">
                  <c:v>-1.0383651370304611E-2</c:v>
                </c:pt>
                <c:pt idx="15">
                  <c:v>-7.9680291518537446E-3</c:v>
                </c:pt>
                <c:pt idx="16">
                  <c:v>-5.8742755002261053E-3</c:v>
                </c:pt>
                <c:pt idx="17">
                  <c:v>-4.0279714912824427E-3</c:v>
                </c:pt>
                <c:pt idx="18">
                  <c:v>-2.466064910062341E-3</c:v>
                </c:pt>
                <c:pt idx="19">
                  <c:v>-1.0284303929520701E-3</c:v>
                </c:pt>
              </c:numCache>
            </c:numRef>
          </c:val>
          <c:smooth val="0"/>
          <c:extLst>
            <c:ext xmlns:c16="http://schemas.microsoft.com/office/drawing/2014/chart" uri="{C3380CC4-5D6E-409C-BE32-E72D297353CC}">
              <c16:uniqueId val="{00000002-DB7F-4A88-A130-668EE7D9BD2D}"/>
            </c:ext>
          </c:extLst>
        </c:ser>
        <c:ser>
          <c:idx val="3"/>
          <c:order val="3"/>
          <c:tx>
            <c:strRef>
              <c:f>CompareStored!$C$74</c:f>
              <c:strCache>
                <c:ptCount val="1"/>
                <c:pt idx="0">
                  <c:v>S4: 5</c:v>
                </c:pt>
              </c:strCache>
            </c:strRef>
          </c:tx>
          <c:spPr>
            <a:ln>
              <a:solidFill>
                <a:srgbClr val="2CA02C"/>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CompareStored!$D$74:$W$74</c:f>
              <c:numCache>
                <c:formatCode>#,##0.00</c:formatCode>
                <c:ptCount val="20"/>
                <c:pt idx="0">
                  <c:v>-8.3116025229717228E-2</c:v>
                </c:pt>
                <c:pt idx="1">
                  <c:v>-7.2880842789810968E-2</c:v>
                </c:pt>
                <c:pt idx="2">
                  <c:v>-8.1399529772968729E-2</c:v>
                </c:pt>
                <c:pt idx="3">
                  <c:v>-7.4585876895145786E-2</c:v>
                </c:pt>
                <c:pt idx="4">
                  <c:v>-7.9780965928660616E-2</c:v>
                </c:pt>
                <c:pt idx="5">
                  <c:v>-6.1518875272196898E-2</c:v>
                </c:pt>
                <c:pt idx="6">
                  <c:v>-5.8666830669112692E-2</c:v>
                </c:pt>
                <c:pt idx="7">
                  <c:v>-5.6772159079757509E-2</c:v>
                </c:pt>
                <c:pt idx="8">
                  <c:v>-5.4716239859248762E-2</c:v>
                </c:pt>
                <c:pt idx="9">
                  <c:v>-5.2225757242600798E-2</c:v>
                </c:pt>
                <c:pt idx="10">
                  <c:v>-5.0263128338439822E-2</c:v>
                </c:pt>
                <c:pt idx="11">
                  <c:v>-4.9286746710945309E-2</c:v>
                </c:pt>
                <c:pt idx="12">
                  <c:v>-4.7816811961095759E-2</c:v>
                </c:pt>
                <c:pt idx="13">
                  <c:v>-4.6571454550186388E-2</c:v>
                </c:pt>
                <c:pt idx="14">
                  <c:v>-4.547066387974253E-2</c:v>
                </c:pt>
                <c:pt idx="15">
                  <c:v>-4.4359413458985031E-2</c:v>
                </c:pt>
                <c:pt idx="16">
                  <c:v>-4.33452016684907E-2</c:v>
                </c:pt>
                <c:pt idx="17">
                  <c:v>-4.2401921390325628E-2</c:v>
                </c:pt>
                <c:pt idx="18">
                  <c:v>-4.1470400674904838E-2</c:v>
                </c:pt>
                <c:pt idx="19">
                  <c:v>-4.0617963878270852E-2</c:v>
                </c:pt>
              </c:numCache>
            </c:numRef>
          </c:val>
          <c:smooth val="0"/>
          <c:extLst>
            <c:ext xmlns:c16="http://schemas.microsoft.com/office/drawing/2014/chart" uri="{C3380CC4-5D6E-409C-BE32-E72D297353CC}">
              <c16:uniqueId val="{00000003-DB7F-4A88-A130-668EE7D9BD2D}"/>
            </c:ext>
          </c:extLst>
        </c:ser>
        <c:ser>
          <c:idx val="4"/>
          <c:order val="4"/>
          <c:tx>
            <c:strRef>
              <c:f>CompareStored!$C$75</c:f>
              <c:strCache>
                <c:ptCount val="1"/>
                <c:pt idx="0">
                  <c:v>S5: 6</c:v>
                </c:pt>
              </c:strCache>
            </c:strRef>
          </c:tx>
          <c:spPr>
            <a:ln>
              <a:solidFill>
                <a:srgbClr val="D62728"/>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CompareStored!$D$75:$W$75</c:f>
              <c:numCache>
                <c:formatCode>#,##0.00</c:formatCode>
                <c:ptCount val="20"/>
                <c:pt idx="0">
                  <c:v>-8.3116025229717228E-2</c:v>
                </c:pt>
                <c:pt idx="1">
                  <c:v>-7.2922118226510083E-2</c:v>
                </c:pt>
                <c:pt idx="2">
                  <c:v>-8.1445628679307921E-2</c:v>
                </c:pt>
                <c:pt idx="3">
                  <c:v>-7.462955310715659E-2</c:v>
                </c:pt>
                <c:pt idx="4">
                  <c:v>-7.9824806349949665E-2</c:v>
                </c:pt>
                <c:pt idx="5">
                  <c:v>-4.5317762430806083E-2</c:v>
                </c:pt>
                <c:pt idx="6">
                  <c:v>-3.7905667772718872E-2</c:v>
                </c:pt>
                <c:pt idx="7">
                  <c:v>-3.6875804034190052E-2</c:v>
                </c:pt>
                <c:pt idx="8">
                  <c:v>-3.5043869784156613E-2</c:v>
                </c:pt>
                <c:pt idx="9">
                  <c:v>-3.4147051350124531E-2</c:v>
                </c:pt>
                <c:pt idx="10">
                  <c:v>-3.3179526138103037E-2</c:v>
                </c:pt>
                <c:pt idx="11">
                  <c:v>-3.2778259293316347E-2</c:v>
                </c:pt>
                <c:pt idx="12">
                  <c:v>-3.2215390539374361E-2</c:v>
                </c:pt>
                <c:pt idx="13">
                  <c:v>-3.1845302759714263E-2</c:v>
                </c:pt>
                <c:pt idx="14">
                  <c:v>-3.1441614598237057E-2</c:v>
                </c:pt>
                <c:pt idx="15">
                  <c:v>-3.1140597506912629E-2</c:v>
                </c:pt>
                <c:pt idx="16">
                  <c:v>-3.077498485641255E-2</c:v>
                </c:pt>
                <c:pt idx="17">
                  <c:v>-3.046549418312032E-2</c:v>
                </c:pt>
                <c:pt idx="18">
                  <c:v>-3.009257253862456E-2</c:v>
                </c:pt>
                <c:pt idx="19">
                  <c:v>-2.976788424749462E-2</c:v>
                </c:pt>
              </c:numCache>
            </c:numRef>
          </c:val>
          <c:smooth val="0"/>
          <c:extLst>
            <c:ext xmlns:c16="http://schemas.microsoft.com/office/drawing/2014/chart" uri="{C3380CC4-5D6E-409C-BE32-E72D297353CC}">
              <c16:uniqueId val="{00000004-DB7F-4A88-A130-668EE7D9BD2D}"/>
            </c:ext>
          </c:extLst>
        </c:ser>
        <c:ser>
          <c:idx val="5"/>
          <c:order val="5"/>
          <c:tx>
            <c:strRef>
              <c:f>CompareStored!$C$76</c:f>
              <c:strCache>
                <c:ptCount val="1"/>
              </c:strCache>
            </c:strRef>
          </c:tx>
          <c:spPr>
            <a:ln>
              <a:solidFill>
                <a:srgbClr val="9467BD"/>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CompareStored!$D$76:$W$76</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DB7F-4A88-A130-668EE7D9BD2D}"/>
            </c:ext>
          </c:extLst>
        </c:ser>
        <c:ser>
          <c:idx val="6"/>
          <c:order val="6"/>
          <c:tx>
            <c:strRef>
              <c:f>CompareStored!$C$77</c:f>
              <c:strCache>
                <c:ptCount val="1"/>
              </c:strCache>
            </c:strRef>
          </c:tx>
          <c:spPr>
            <a:ln>
              <a:solidFill>
                <a:srgbClr val="8C564B"/>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CompareStored!$D$77:$W$77</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DB7F-4A88-A130-668EE7D9BD2D}"/>
            </c:ext>
          </c:extLst>
        </c:ser>
        <c:ser>
          <c:idx val="7"/>
          <c:order val="7"/>
          <c:tx>
            <c:strRef>
              <c:f>CompareStored!$C$78</c:f>
              <c:strCache>
                <c:ptCount val="1"/>
              </c:strCache>
            </c:strRef>
          </c:tx>
          <c:spPr>
            <a:ln>
              <a:solidFill>
                <a:srgbClr val="E377C2"/>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CompareStored!$D$78:$W$78</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DB7F-4A88-A130-668EE7D9BD2D}"/>
            </c:ext>
          </c:extLst>
        </c:ser>
        <c:ser>
          <c:idx val="8"/>
          <c:order val="8"/>
          <c:tx>
            <c:strRef>
              <c:f>CompareStored!$C$79</c:f>
              <c:strCache>
                <c:ptCount val="1"/>
              </c:strCache>
            </c:strRef>
          </c:tx>
          <c:spPr>
            <a:ln>
              <a:solidFill>
                <a:srgbClr val="17BECF"/>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CompareStored!$D$79:$W$79</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DB7F-4A88-A130-668EE7D9BD2D}"/>
            </c:ext>
          </c:extLst>
        </c:ser>
        <c:ser>
          <c:idx val="9"/>
          <c:order val="9"/>
          <c:tx>
            <c:strRef>
              <c:f>CompareStored!$C$80</c:f>
              <c:strCache>
                <c:ptCount val="1"/>
              </c:strCache>
            </c:strRef>
          </c:tx>
          <c:spPr>
            <a:ln>
              <a:solidFill>
                <a:srgbClr val="BCBD22"/>
              </a:solidFill>
              <a:prstDash val="solid"/>
            </a:ln>
          </c:spPr>
          <c:marker>
            <c:symbol val="none"/>
          </c:marker>
          <c:cat>
            <c:numRef>
              <c:f>CompareStored!$D$70:$W$70</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CompareStored!$D$80:$W$80</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DB7F-4A88-A130-668EE7D9BD2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0"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mit.gdp.eff.tot.tot</a:t>
            </a:r>
          </a:p>
        </c:rich>
      </c:tx>
      <c:overlay val="1"/>
    </c:title>
    <c:autoTitleDeleted val="0"/>
    <c:plotArea>
      <c:layout/>
      <c:lineChart>
        <c:grouping val="standard"/>
        <c:varyColors val="1"/>
        <c:ser>
          <c:idx val="0"/>
          <c:order val="0"/>
          <c:tx>
            <c:strRef>
              <c:f>CompareStored!$C$88</c:f>
              <c:strCache>
                <c:ptCount val="1"/>
                <c:pt idx="0">
                  <c:v>S1: 1</c:v>
                </c:pt>
              </c:strCache>
            </c:strRef>
          </c:tx>
          <c:spPr>
            <a:ln>
              <a:solidFill>
                <a:srgbClr val="404040"/>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CompareStored!$D$88:$W$88</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159A-4E42-A41A-943372E700FD}"/>
            </c:ext>
          </c:extLst>
        </c:ser>
        <c:ser>
          <c:idx val="1"/>
          <c:order val="1"/>
          <c:tx>
            <c:strRef>
              <c:f>CompareStored!$C$89</c:f>
              <c:strCache>
                <c:ptCount val="1"/>
                <c:pt idx="0">
                  <c:v>S2: 3</c:v>
                </c:pt>
              </c:strCache>
            </c:strRef>
          </c:tx>
          <c:spPr>
            <a:ln>
              <a:solidFill>
                <a:srgbClr val="1F77B4"/>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CompareStored!$D$89:$W$89</c:f>
              <c:numCache>
                <c:formatCode>#,##0.00</c:formatCode>
                <c:ptCount val="20"/>
                <c:pt idx="0">
                  <c:v>0</c:v>
                </c:pt>
                <c:pt idx="1">
                  <c:v>0</c:v>
                </c:pt>
                <c:pt idx="2">
                  <c:v>0</c:v>
                </c:pt>
                <c:pt idx="3">
                  <c:v>0</c:v>
                </c:pt>
                <c:pt idx="4">
                  <c:v>5.9205452550422482E-8</c:v>
                </c:pt>
                <c:pt idx="5">
                  <c:v>-1.3201771312711821E-7</c:v>
                </c:pt>
                <c:pt idx="6">
                  <c:v>5.9217675814382596E-4</c:v>
                </c:pt>
                <c:pt idx="7">
                  <c:v>-7.5220772288970617E-4</c:v>
                </c:pt>
                <c:pt idx="8">
                  <c:v>-5.1984963523404881E-4</c:v>
                </c:pt>
                <c:pt idx="9">
                  <c:v>-1.057590043190572E-3</c:v>
                </c:pt>
                <c:pt idx="10">
                  <c:v>-3.5147061175809952E-4</c:v>
                </c:pt>
                <c:pt idx="11">
                  <c:v>9.2018296975317215E-4</c:v>
                </c:pt>
                <c:pt idx="12">
                  <c:v>1.890254042487135E-3</c:v>
                </c:pt>
                <c:pt idx="13">
                  <c:v>3.082947986599967E-3</c:v>
                </c:pt>
                <c:pt idx="14">
                  <c:v>4.8128755115701737E-3</c:v>
                </c:pt>
                <c:pt idx="15">
                  <c:v>5.9860507882638879E-3</c:v>
                </c:pt>
                <c:pt idx="16">
                  <c:v>6.8574162196372076E-3</c:v>
                </c:pt>
                <c:pt idx="17">
                  <c:v>7.0731345479966143E-3</c:v>
                </c:pt>
                <c:pt idx="18">
                  <c:v>7.1052519026121976E-3</c:v>
                </c:pt>
                <c:pt idx="19">
                  <c:v>7.1667395272041311E-3</c:v>
                </c:pt>
              </c:numCache>
            </c:numRef>
          </c:val>
          <c:smooth val="0"/>
          <c:extLst>
            <c:ext xmlns:c16="http://schemas.microsoft.com/office/drawing/2014/chart" uri="{C3380CC4-5D6E-409C-BE32-E72D297353CC}">
              <c16:uniqueId val="{00000001-159A-4E42-A41A-943372E700FD}"/>
            </c:ext>
          </c:extLst>
        </c:ser>
        <c:ser>
          <c:idx val="2"/>
          <c:order val="2"/>
          <c:tx>
            <c:strRef>
              <c:f>CompareStored!$C$90</c:f>
              <c:strCache>
                <c:ptCount val="1"/>
                <c:pt idx="0">
                  <c:v>S3: 4</c:v>
                </c:pt>
              </c:strCache>
            </c:strRef>
          </c:tx>
          <c:spPr>
            <a:ln>
              <a:solidFill>
                <a:srgbClr val="FF7F0E"/>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CompareStored!$D$90:$W$90</c:f>
              <c:numCache>
                <c:formatCode>#,##0.00</c:formatCode>
                <c:ptCount val="20"/>
                <c:pt idx="0">
                  <c:v>0</c:v>
                </c:pt>
                <c:pt idx="1">
                  <c:v>0</c:v>
                </c:pt>
                <c:pt idx="2">
                  <c:v>0</c:v>
                </c:pt>
                <c:pt idx="3">
                  <c:v>0</c:v>
                </c:pt>
                <c:pt idx="4">
                  <c:v>1.8812485809207181E-7</c:v>
                </c:pt>
                <c:pt idx="5">
                  <c:v>-4.2152979852737081E-7</c:v>
                </c:pt>
                <c:pt idx="6">
                  <c:v>3.3582619979690201E-4</c:v>
                </c:pt>
                <c:pt idx="7">
                  <c:v>-7.6898774917475723E-5</c:v>
                </c:pt>
                <c:pt idx="8">
                  <c:v>-4.3971322822170948E-4</c:v>
                </c:pt>
                <c:pt idx="9">
                  <c:v>-1.0727883395325621E-3</c:v>
                </c:pt>
                <c:pt idx="10">
                  <c:v>-1.1991180586127541E-3</c:v>
                </c:pt>
                <c:pt idx="11">
                  <c:v>-4.5897584161660359E-4</c:v>
                </c:pt>
                <c:pt idx="12">
                  <c:v>8.4837283306014779E-4</c:v>
                </c:pt>
                <c:pt idx="13">
                  <c:v>2.6810960419315411E-3</c:v>
                </c:pt>
                <c:pt idx="14">
                  <c:v>5.246481020818621E-3</c:v>
                </c:pt>
                <c:pt idx="15">
                  <c:v>8.2015696291917132E-3</c:v>
                </c:pt>
                <c:pt idx="16">
                  <c:v>1.13295894169808E-2</c:v>
                </c:pt>
                <c:pt idx="17">
                  <c:v>1.4158574845371299E-2</c:v>
                </c:pt>
                <c:pt idx="18">
                  <c:v>1.658902025963389E-2</c:v>
                </c:pt>
                <c:pt idx="19">
                  <c:v>1.875000788299816E-2</c:v>
                </c:pt>
              </c:numCache>
            </c:numRef>
          </c:val>
          <c:smooth val="0"/>
          <c:extLst>
            <c:ext xmlns:c16="http://schemas.microsoft.com/office/drawing/2014/chart" uri="{C3380CC4-5D6E-409C-BE32-E72D297353CC}">
              <c16:uniqueId val="{00000002-159A-4E42-A41A-943372E700FD}"/>
            </c:ext>
          </c:extLst>
        </c:ser>
        <c:ser>
          <c:idx val="3"/>
          <c:order val="3"/>
          <c:tx>
            <c:strRef>
              <c:f>CompareStored!$C$91</c:f>
              <c:strCache>
                <c:ptCount val="1"/>
                <c:pt idx="0">
                  <c:v>S4: 5</c:v>
                </c:pt>
              </c:strCache>
            </c:strRef>
          </c:tx>
          <c:spPr>
            <a:ln>
              <a:solidFill>
                <a:srgbClr val="2CA02C"/>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CompareStored!$D$91:$W$91</c:f>
              <c:numCache>
                <c:formatCode>#,##0.00</c:formatCode>
                <c:ptCount val="20"/>
                <c:pt idx="0">
                  <c:v>0</c:v>
                </c:pt>
                <c:pt idx="1">
                  <c:v>0</c:v>
                </c:pt>
                <c:pt idx="2">
                  <c:v>0</c:v>
                </c:pt>
                <c:pt idx="3">
                  <c:v>0</c:v>
                </c:pt>
                <c:pt idx="4">
                  <c:v>3.1324986600135792E-7</c:v>
                </c:pt>
                <c:pt idx="5">
                  <c:v>-7.6303938205089913E-7</c:v>
                </c:pt>
                <c:pt idx="6">
                  <c:v>5.0368298558021128E-4</c:v>
                </c:pt>
                <c:pt idx="7">
                  <c:v>-7.5784492412212521E-4</c:v>
                </c:pt>
                <c:pt idx="8">
                  <c:v>-2.605619004071762E-4</c:v>
                </c:pt>
                <c:pt idx="9">
                  <c:v>-8.6538971427405098E-4</c:v>
                </c:pt>
                <c:pt idx="10">
                  <c:v>-7.1936294217574224E-5</c:v>
                </c:pt>
                <c:pt idx="11">
                  <c:v>7.6985520634769518E-4</c:v>
                </c:pt>
                <c:pt idx="12">
                  <c:v>1.4112360147431949E-3</c:v>
                </c:pt>
                <c:pt idx="13">
                  <c:v>2.272657403203599E-3</c:v>
                </c:pt>
                <c:pt idx="14">
                  <c:v>3.5368558690463238E-3</c:v>
                </c:pt>
                <c:pt idx="15">
                  <c:v>4.2954142486007971E-3</c:v>
                </c:pt>
                <c:pt idx="16">
                  <c:v>4.9358387164240734E-3</c:v>
                </c:pt>
                <c:pt idx="17">
                  <c:v>5.0608358500852831E-3</c:v>
                </c:pt>
                <c:pt idx="18">
                  <c:v>5.2428927818908991E-3</c:v>
                </c:pt>
                <c:pt idx="19">
                  <c:v>5.4558029912540884E-3</c:v>
                </c:pt>
              </c:numCache>
            </c:numRef>
          </c:val>
          <c:smooth val="0"/>
          <c:extLst>
            <c:ext xmlns:c16="http://schemas.microsoft.com/office/drawing/2014/chart" uri="{C3380CC4-5D6E-409C-BE32-E72D297353CC}">
              <c16:uniqueId val="{00000003-159A-4E42-A41A-943372E700FD}"/>
            </c:ext>
          </c:extLst>
        </c:ser>
        <c:ser>
          <c:idx val="4"/>
          <c:order val="4"/>
          <c:tx>
            <c:strRef>
              <c:f>CompareStored!$C$92</c:f>
              <c:strCache>
                <c:ptCount val="1"/>
                <c:pt idx="0">
                  <c:v>S5: 6</c:v>
                </c:pt>
              </c:strCache>
            </c:strRef>
          </c:tx>
          <c:spPr>
            <a:ln>
              <a:solidFill>
                <a:srgbClr val="D62728"/>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CompareStored!$D$92:$W$92</c:f>
              <c:numCache>
                <c:formatCode>#,##0.00</c:formatCode>
                <c:ptCount val="20"/>
                <c:pt idx="0">
                  <c:v>0</c:v>
                </c:pt>
                <c:pt idx="1">
                  <c:v>0</c:v>
                </c:pt>
                <c:pt idx="2">
                  <c:v>0</c:v>
                </c:pt>
                <c:pt idx="3">
                  <c:v>0</c:v>
                </c:pt>
                <c:pt idx="4">
                  <c:v>1.345218464216424E-7</c:v>
                </c:pt>
                <c:pt idx="5">
                  <c:v>-3.0101952278307967E-7</c:v>
                </c:pt>
                <c:pt idx="6">
                  <c:v>1.2678975410970899E-3</c:v>
                </c:pt>
                <c:pt idx="7">
                  <c:v>-1.656133126351531E-3</c:v>
                </c:pt>
                <c:pt idx="8">
                  <c:v>-1.0259336541282231E-3</c:v>
                </c:pt>
                <c:pt idx="9">
                  <c:v>-2.273187837007043E-3</c:v>
                </c:pt>
                <c:pt idx="10">
                  <c:v>-6.71389126517501E-4</c:v>
                </c:pt>
                <c:pt idx="11">
                  <c:v>1.940011609375594E-3</c:v>
                </c:pt>
                <c:pt idx="12">
                  <c:v>3.9811140869759716E-3</c:v>
                </c:pt>
                <c:pt idx="13">
                  <c:v>6.4773644799108474E-3</c:v>
                </c:pt>
                <c:pt idx="14">
                  <c:v>1.0128595762688399E-2</c:v>
                </c:pt>
                <c:pt idx="15">
                  <c:v>1.255966933990656E-2</c:v>
                </c:pt>
                <c:pt idx="16">
                  <c:v>1.4418851726394091E-2</c:v>
                </c:pt>
                <c:pt idx="17">
                  <c:v>1.488472848458831E-2</c:v>
                </c:pt>
                <c:pt idx="18">
                  <c:v>1.500619459242533E-2</c:v>
                </c:pt>
                <c:pt idx="19">
                  <c:v>1.5190794035507309E-2</c:v>
                </c:pt>
              </c:numCache>
            </c:numRef>
          </c:val>
          <c:smooth val="0"/>
          <c:extLst>
            <c:ext xmlns:c16="http://schemas.microsoft.com/office/drawing/2014/chart" uri="{C3380CC4-5D6E-409C-BE32-E72D297353CC}">
              <c16:uniqueId val="{00000004-159A-4E42-A41A-943372E700FD}"/>
            </c:ext>
          </c:extLst>
        </c:ser>
        <c:ser>
          <c:idx val="5"/>
          <c:order val="5"/>
          <c:tx>
            <c:strRef>
              <c:f>CompareStored!$C$93</c:f>
              <c:strCache>
                <c:ptCount val="1"/>
              </c:strCache>
            </c:strRef>
          </c:tx>
          <c:spPr>
            <a:ln>
              <a:solidFill>
                <a:srgbClr val="9467BD"/>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CompareStored!$D$93:$W$93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159A-4E42-A41A-943372E700FD}"/>
            </c:ext>
          </c:extLst>
        </c:ser>
        <c:ser>
          <c:idx val="6"/>
          <c:order val="6"/>
          <c:tx>
            <c:strRef>
              <c:f>CompareStored!$C$94</c:f>
              <c:strCache>
                <c:ptCount val="1"/>
              </c:strCache>
            </c:strRef>
          </c:tx>
          <c:spPr>
            <a:ln>
              <a:solidFill>
                <a:srgbClr val="8C564B"/>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CompareStored!$D$94:$W$94</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159A-4E42-A41A-943372E700FD}"/>
            </c:ext>
          </c:extLst>
        </c:ser>
        <c:ser>
          <c:idx val="7"/>
          <c:order val="7"/>
          <c:tx>
            <c:strRef>
              <c:f>CompareStored!$C$95</c:f>
              <c:strCache>
                <c:ptCount val="1"/>
              </c:strCache>
            </c:strRef>
          </c:tx>
          <c:spPr>
            <a:ln>
              <a:solidFill>
                <a:srgbClr val="E377C2"/>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CompareStored!$D$95:$W$95</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159A-4E42-A41A-943372E700FD}"/>
            </c:ext>
          </c:extLst>
        </c:ser>
        <c:ser>
          <c:idx val="8"/>
          <c:order val="8"/>
          <c:tx>
            <c:strRef>
              <c:f>CompareStored!$C$96</c:f>
              <c:strCache>
                <c:ptCount val="1"/>
              </c:strCache>
            </c:strRef>
          </c:tx>
          <c:spPr>
            <a:ln>
              <a:solidFill>
                <a:srgbClr val="17BECF"/>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CompareStored!$D$96:$W$96</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159A-4E42-A41A-943372E700FD}"/>
            </c:ext>
          </c:extLst>
        </c:ser>
        <c:ser>
          <c:idx val="9"/>
          <c:order val="9"/>
          <c:tx>
            <c:strRef>
              <c:f>CompareStored!$C$97</c:f>
              <c:strCache>
                <c:ptCount val="1"/>
              </c:strCache>
            </c:strRef>
          </c:tx>
          <c:spPr>
            <a:ln>
              <a:solidFill>
                <a:srgbClr val="BCBD22"/>
              </a:solidFill>
              <a:prstDash val="solid"/>
            </a:ln>
          </c:spPr>
          <c:marker>
            <c:symbol val="none"/>
          </c:marker>
          <c:cat>
            <c:numRef>
              <c:f>CompareStored!$D$87:$W$87</c:f>
              <c:numCache>
                <c:formatCode>0</c:formatCode>
                <c:ptCount val="2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numCache>
            </c:numRef>
          </c:cat>
          <c:val>
            <c:numRef>
              <c:f>CompareStored!$D$97:$W$97</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159A-4E42-A41A-943372E700F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0"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plotArea>
    <c:legend>
      <c:legendPos val="b"/>
      <c:overlay val="1"/>
    </c:legend>
    <c:plotVisOnly val="1"/>
    <c:dispBlanksAs val="gap"/>
    <c:showDLblsOverMax val="1"/>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3</xdr:col>
      <xdr:colOff>115491</xdr:colOff>
      <xdr:row>5</xdr:row>
      <xdr:rowOff>42862</xdr:rowOff>
    </xdr:from>
    <xdr:to>
      <xdr:col>3</xdr:col>
      <xdr:colOff>1410890</xdr:colOff>
      <xdr:row>5</xdr:row>
      <xdr:rowOff>500062</xdr:rowOff>
    </xdr:to>
    <xdr:sp macro="[0]!ActivateAll" textlink="">
      <xdr:nvSpPr>
        <xdr:cNvPr id="1001" name="btnActivateAll">
          <a:extLst>
            <a:ext uri="{FF2B5EF4-FFF2-40B4-BE49-F238E27FC236}">
              <a16:creationId xmlns:a16="http://schemas.microsoft.com/office/drawing/2014/main" id="{00000000-0008-0000-0000-0000E9030000}"/>
            </a:ext>
          </a:extLst>
        </xdr:cNvPr>
        <xdr:cNvSpPr/>
      </xdr:nvSpPr>
      <xdr:spPr>
        <a:xfrm>
          <a:off x="6193632" y="983456"/>
          <a:ext cx="1295399" cy="457200"/>
        </a:xfrm>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Activate all modules</a:t>
          </a:r>
        </a:p>
      </xdr:txBody>
    </xdr:sp>
    <xdr:clientData/>
  </xdr:twoCellAnchor>
  <xdr:twoCellAnchor editAs="absolute">
    <xdr:from>
      <xdr:col>4</xdr:col>
      <xdr:colOff>32147</xdr:colOff>
      <xdr:row>5</xdr:row>
      <xdr:rowOff>19050</xdr:rowOff>
    </xdr:from>
    <xdr:to>
      <xdr:col>4</xdr:col>
      <xdr:colOff>1422797</xdr:colOff>
      <xdr:row>5</xdr:row>
      <xdr:rowOff>452438</xdr:rowOff>
    </xdr:to>
    <xdr:sp macro="[0]!ActivateMitigation" textlink="">
      <xdr:nvSpPr>
        <xdr:cNvPr id="1002" name="btnActivateMitigation">
          <a:extLst>
            <a:ext uri="{FF2B5EF4-FFF2-40B4-BE49-F238E27FC236}">
              <a16:creationId xmlns:a16="http://schemas.microsoft.com/office/drawing/2014/main" id="{00000000-0008-0000-0000-0000EA030000}"/>
            </a:ext>
          </a:extLst>
        </xdr:cNvPr>
        <xdr:cNvSpPr/>
      </xdr:nvSpPr>
      <xdr:spPr>
        <a:xfrm>
          <a:off x="7574757" y="959644"/>
          <a:ext cx="1390650" cy="433388"/>
        </a:xfrm>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Activate Mitigation</a:t>
          </a:r>
        </a:p>
      </xdr:txBody>
    </xdr:sp>
    <xdr:clientData/>
  </xdr:twoCellAnchor>
  <xdr:twoCellAnchor editAs="absolute">
    <xdr:from>
      <xdr:col>6</xdr:col>
      <xdr:colOff>29764</xdr:colOff>
      <xdr:row>5</xdr:row>
      <xdr:rowOff>11905</xdr:rowOff>
    </xdr:from>
    <xdr:to>
      <xdr:col>6</xdr:col>
      <xdr:colOff>1393030</xdr:colOff>
      <xdr:row>5</xdr:row>
      <xdr:rowOff>506015</xdr:rowOff>
    </xdr:to>
    <xdr:sp macro="[0]!ActivateDistribution" textlink="">
      <xdr:nvSpPr>
        <xdr:cNvPr id="1003" name="btnActivateDistribution">
          <a:extLst>
            <a:ext uri="{FF2B5EF4-FFF2-40B4-BE49-F238E27FC236}">
              <a16:creationId xmlns:a16="http://schemas.microsoft.com/office/drawing/2014/main" id="{00000000-0008-0000-0000-0000EB030000}"/>
            </a:ext>
          </a:extLst>
        </xdr:cNvPr>
        <xdr:cNvSpPr/>
      </xdr:nvSpPr>
      <xdr:spPr>
        <a:xfrm>
          <a:off x="10501312" y="952499"/>
          <a:ext cx="1363266" cy="494110"/>
        </a:xfrm>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Activate Distribution</a:t>
          </a:r>
        </a:p>
      </xdr:txBody>
    </xdr:sp>
    <xdr:clientData/>
  </xdr:twoCellAnchor>
  <xdr:twoCellAnchor editAs="absolute">
    <xdr:from>
      <xdr:col>12</xdr:col>
      <xdr:colOff>329802</xdr:colOff>
      <xdr:row>10</xdr:row>
      <xdr:rowOff>19050</xdr:rowOff>
    </xdr:from>
    <xdr:to>
      <xdr:col>20</xdr:col>
      <xdr:colOff>339327</xdr:colOff>
      <xdr:row>12</xdr:row>
      <xdr:rowOff>0</xdr:rowOff>
    </xdr:to>
    <xdr:sp macro="[0]!ActivateAirPollution" textlink="">
      <xdr:nvSpPr>
        <xdr:cNvPr id="1004" name="btnActivateAirPollution">
          <a:extLst>
            <a:ext uri="{FF2B5EF4-FFF2-40B4-BE49-F238E27FC236}">
              <a16:creationId xmlns:a16="http://schemas.microsoft.com/office/drawing/2014/main" id="{00000000-0008-0000-0000-0000EC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Activate Air pollution</a:t>
          </a:r>
        </a:p>
      </xdr:txBody>
    </xdr:sp>
    <xdr:clientData/>
  </xdr:twoCellAnchor>
  <xdr:twoCellAnchor editAs="absolute">
    <xdr:from>
      <xdr:col>12</xdr:col>
      <xdr:colOff>329802</xdr:colOff>
      <xdr:row>12</xdr:row>
      <xdr:rowOff>19050</xdr:rowOff>
    </xdr:from>
    <xdr:to>
      <xdr:col>20</xdr:col>
      <xdr:colOff>339327</xdr:colOff>
      <xdr:row>14</xdr:row>
      <xdr:rowOff>0</xdr:rowOff>
    </xdr:to>
    <xdr:sp macro="[0]!UpdateDataTables" textlink="">
      <xdr:nvSpPr>
        <xdr:cNvPr id="1005" name="btnUpdateDataTables">
          <a:extLst>
            <a:ext uri="{FF2B5EF4-FFF2-40B4-BE49-F238E27FC236}">
              <a16:creationId xmlns:a16="http://schemas.microsoft.com/office/drawing/2014/main" id="{00000000-0008-0000-0000-0000ED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data tables</a:t>
          </a:r>
        </a:p>
      </xdr:txBody>
    </xdr:sp>
    <xdr:clientData/>
  </xdr:twoCellAnchor>
  <xdr:twoCellAnchor editAs="absolute">
    <xdr:from>
      <xdr:col>12</xdr:col>
      <xdr:colOff>329802</xdr:colOff>
      <xdr:row>14</xdr:row>
      <xdr:rowOff>19050</xdr:rowOff>
    </xdr:from>
    <xdr:to>
      <xdr:col>20</xdr:col>
      <xdr:colOff>339327</xdr:colOff>
      <xdr:row>16</xdr:row>
      <xdr:rowOff>0</xdr:rowOff>
    </xdr:to>
    <xdr:sp macro="[0]!UpdateDistributionFromMitigation" textlink="">
      <xdr:nvSpPr>
        <xdr:cNvPr id="1006" name="btnUpdateDistributionFromMitigation">
          <a:extLst>
            <a:ext uri="{FF2B5EF4-FFF2-40B4-BE49-F238E27FC236}">
              <a16:creationId xmlns:a16="http://schemas.microsoft.com/office/drawing/2014/main" id="{00000000-0008-0000-0000-0000EE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Distribution from Mitigation</a:t>
          </a:r>
        </a:p>
      </xdr:txBody>
    </xdr:sp>
    <xdr:clientData/>
  </xdr:twoCellAnchor>
  <xdr:twoCellAnchor editAs="absolute">
    <xdr:from>
      <xdr:col>12</xdr:col>
      <xdr:colOff>329802</xdr:colOff>
      <xdr:row>16</xdr:row>
      <xdr:rowOff>19050</xdr:rowOff>
    </xdr:from>
    <xdr:to>
      <xdr:col>20</xdr:col>
      <xdr:colOff>339327</xdr:colOff>
      <xdr:row>18</xdr:row>
      <xdr:rowOff>0</xdr:rowOff>
    </xdr:to>
    <xdr:sp macro="[0]!StoreLiveScenarios" textlink="">
      <xdr:nvSpPr>
        <xdr:cNvPr id="1007" name="btnStoreLiveScenarios">
          <a:extLst>
            <a:ext uri="{FF2B5EF4-FFF2-40B4-BE49-F238E27FC236}">
              <a16:creationId xmlns:a16="http://schemas.microsoft.com/office/drawing/2014/main" id="{00000000-0008-0000-0000-0000EF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Store live scenarios</a:t>
          </a:r>
        </a:p>
      </xdr:txBody>
    </xdr:sp>
    <xdr:clientData/>
  </xdr:twoCellAnchor>
  <xdr:twoCellAnchor editAs="absolute">
    <xdr:from>
      <xdr:col>12</xdr:col>
      <xdr:colOff>329802</xdr:colOff>
      <xdr:row>18</xdr:row>
      <xdr:rowOff>19050</xdr:rowOff>
    </xdr:from>
    <xdr:to>
      <xdr:col>20</xdr:col>
      <xdr:colOff>339327</xdr:colOff>
      <xdr:row>20</xdr:row>
      <xdr:rowOff>0</xdr:rowOff>
    </xdr:to>
    <xdr:sp macro="[0]!RunStoredScenarios" textlink="">
      <xdr:nvSpPr>
        <xdr:cNvPr id="1008" name="btnRunStoredScenarios">
          <a:extLst>
            <a:ext uri="{FF2B5EF4-FFF2-40B4-BE49-F238E27FC236}">
              <a16:creationId xmlns:a16="http://schemas.microsoft.com/office/drawing/2014/main" id="{00000000-0008-0000-0000-0000F0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Run stored scenarios</a:t>
          </a:r>
        </a:p>
      </xdr:txBody>
    </xdr:sp>
    <xdr:clientData/>
  </xdr:twoCellAnchor>
  <xdr:twoCellAnchor editAs="absolute">
    <xdr:from>
      <xdr:col>12</xdr:col>
      <xdr:colOff>329802</xdr:colOff>
      <xdr:row>20</xdr:row>
      <xdr:rowOff>19050</xdr:rowOff>
    </xdr:from>
    <xdr:to>
      <xdr:col>20</xdr:col>
      <xdr:colOff>339327</xdr:colOff>
      <xdr:row>22</xdr:row>
      <xdr:rowOff>0</xdr:rowOff>
    </xdr:to>
    <xdr:sp macro="[0]!ClearStoredScenarios" textlink="">
      <xdr:nvSpPr>
        <xdr:cNvPr id="1009" name="btnClearStoredScenarios">
          <a:extLst>
            <a:ext uri="{FF2B5EF4-FFF2-40B4-BE49-F238E27FC236}">
              <a16:creationId xmlns:a16="http://schemas.microsoft.com/office/drawing/2014/main" id="{00000000-0008-0000-0000-0000F1030000}"/>
            </a:ext>
          </a:extLst>
        </xdr:cNvPr>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Clear stored scenarios</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24</xdr:col>
      <xdr:colOff>0</xdr:colOff>
      <xdr:row>34</xdr:row>
      <xdr:rowOff>0</xdr:rowOff>
    </xdr:from>
    <xdr:ext cx="5760000" cy="2700000"/>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24</xdr:col>
      <xdr:colOff>0</xdr:colOff>
      <xdr:row>51</xdr:row>
      <xdr:rowOff>0</xdr:rowOff>
    </xdr:from>
    <xdr:ext cx="5760000" cy="2700000"/>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24</xdr:col>
      <xdr:colOff>0</xdr:colOff>
      <xdr:row>68</xdr:row>
      <xdr:rowOff>0</xdr:rowOff>
    </xdr:from>
    <xdr:ext cx="5760000" cy="2700000"/>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24</xdr:col>
      <xdr:colOff>0</xdr:colOff>
      <xdr:row>85</xdr:row>
      <xdr:rowOff>0</xdr:rowOff>
    </xdr:from>
    <xdr:ext cx="5760000" cy="2700000"/>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pmodelai/cpat_ai/raw/main/excel_ai/air_pollution/CPAT-AI-AirPollution_latest.xlsx" TargetMode="External"/><Relationship Id="rId2" Type="http://schemas.openxmlformats.org/officeDocument/2006/relationships/hyperlink" Target="https://github.com/cpmodelai/cpat_ai/raw/main/excel_ai/distribution/CPAT-AI-Distribution_latest.xlsx" TargetMode="External"/><Relationship Id="rId1" Type="http://schemas.openxmlformats.org/officeDocument/2006/relationships/hyperlink" Target="https://github.com/cpmodelai/cpat_ai/raw/main/excel_ai/mitigation/CPAT-AI-Mitigation_latest.xlsx"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808080"/>
  </sheetPr>
  <dimension ref="A2:G24"/>
  <sheetViews>
    <sheetView tabSelected="1" topLeftCell="D3" zoomScale="80" workbookViewId="0">
      <selection activeCell="L10" sqref="L10:U24"/>
    </sheetView>
  </sheetViews>
  <sheetFormatPr defaultColWidth="10.1328125" defaultRowHeight="14.25" x14ac:dyDescent="0.45"/>
  <cols>
    <col min="1" max="1" width="16" customWidth="1"/>
    <col min="2" max="2" width="51.796875" customWidth="1"/>
    <col min="3" max="3" width="17.265625" customWidth="1"/>
    <col min="4" max="7" width="20.53125" customWidth="1"/>
  </cols>
  <sheetData>
    <row r="2" spans="1:7" ht="17.649999999999999" x14ac:dyDescent="0.5">
      <c r="A2" s="1" t="s">
        <v>0</v>
      </c>
      <c r="B2" s="2"/>
      <c r="C2" s="2"/>
      <c r="D2" s="2"/>
      <c r="E2" s="2"/>
      <c r="F2" s="2"/>
      <c r="G2" s="2"/>
    </row>
    <row r="3" spans="1:7" x14ac:dyDescent="0.45">
      <c r="A3" s="3" t="s">
        <v>1</v>
      </c>
    </row>
    <row r="5" spans="1:7" x14ac:dyDescent="0.45">
      <c r="A5" s="4" t="s">
        <v>2</v>
      </c>
      <c r="B5" s="5"/>
      <c r="C5" s="5"/>
    </row>
    <row r="6" spans="1:7" ht="42" customHeight="1" x14ac:dyDescent="0.45">
      <c r="A6" s="6" t="s">
        <v>3</v>
      </c>
      <c r="B6" s="7" t="s">
        <v>4</v>
      </c>
    </row>
    <row r="7" spans="1:7" ht="42" customHeight="1" x14ac:dyDescent="0.45">
      <c r="A7" s="6" t="s">
        <v>5</v>
      </c>
      <c r="B7" s="7" t="s">
        <v>6</v>
      </c>
    </row>
    <row r="8" spans="1:7" ht="42" customHeight="1" x14ac:dyDescent="0.45">
      <c r="A8" s="6" t="s">
        <v>7</v>
      </c>
      <c r="B8" s="7" t="s">
        <v>8</v>
      </c>
    </row>
    <row r="9" spans="1:7" ht="42" customHeight="1" x14ac:dyDescent="0.45">
      <c r="A9" s="6" t="s">
        <v>9</v>
      </c>
      <c r="B9" s="7" t="s">
        <v>10</v>
      </c>
    </row>
    <row r="10" spans="1:7" ht="42" customHeight="1" x14ac:dyDescent="0.45">
      <c r="A10" s="6" t="s">
        <v>11</v>
      </c>
      <c r="B10" s="7" t="s">
        <v>12</v>
      </c>
    </row>
    <row r="11" spans="1:7" ht="42" customHeight="1" x14ac:dyDescent="0.45">
      <c r="A11" s="6" t="s">
        <v>13</v>
      </c>
      <c r="B11" s="7" t="s">
        <v>14</v>
      </c>
    </row>
    <row r="13" spans="1:7" x14ac:dyDescent="0.45">
      <c r="A13" s="4" t="s">
        <v>15</v>
      </c>
      <c r="B13" s="5"/>
      <c r="C13" s="5"/>
      <c r="D13" s="5"/>
      <c r="E13" s="5"/>
      <c r="F13" s="5"/>
      <c r="G13" s="5"/>
    </row>
    <row r="14" spans="1:7" x14ac:dyDescent="0.45">
      <c r="A14" s="8" t="s">
        <v>16</v>
      </c>
      <c r="B14" s="8" t="s">
        <v>17</v>
      </c>
      <c r="C14" s="8" t="s">
        <v>18</v>
      </c>
      <c r="D14" s="8" t="s">
        <v>19</v>
      </c>
      <c r="E14" s="8" t="s">
        <v>20</v>
      </c>
      <c r="F14" s="8" t="s">
        <v>21</v>
      </c>
      <c r="G14" s="8" t="s">
        <v>22</v>
      </c>
    </row>
    <row r="15" spans="1:7" ht="15.75" x14ac:dyDescent="0.5">
      <c r="A15" s="3" t="s">
        <v>23</v>
      </c>
      <c r="B15" s="3" t="s">
        <v>24</v>
      </c>
      <c r="C15" s="3" t="s">
        <v>25</v>
      </c>
      <c r="D15" s="9" t="s">
        <v>26</v>
      </c>
      <c r="E15" s="3" t="s">
        <v>27</v>
      </c>
      <c r="F15" s="3" t="s">
        <v>28</v>
      </c>
      <c r="G15" s="46">
        <v>46326.677777777775</v>
      </c>
    </row>
    <row r="16" spans="1:7" ht="15.75" x14ac:dyDescent="0.5">
      <c r="A16" s="3" t="s">
        <v>29</v>
      </c>
      <c r="B16" s="3" t="s">
        <v>24</v>
      </c>
      <c r="C16" s="3" t="s">
        <v>30</v>
      </c>
      <c r="D16" s="9" t="s">
        <v>31</v>
      </c>
      <c r="E16" s="3" t="s">
        <v>32</v>
      </c>
      <c r="F16" s="3"/>
      <c r="G16" s="3"/>
    </row>
    <row r="17" spans="1:7" ht="15.75" x14ac:dyDescent="0.5">
      <c r="A17" s="3" t="s">
        <v>33</v>
      </c>
      <c r="B17" s="3" t="s">
        <v>34</v>
      </c>
      <c r="C17" s="3" t="s">
        <v>35</v>
      </c>
      <c r="D17" s="9" t="s">
        <v>36</v>
      </c>
      <c r="E17" s="3" t="s">
        <v>37</v>
      </c>
      <c r="F17" s="3"/>
      <c r="G17" s="3"/>
    </row>
    <row r="19" spans="1:7" x14ac:dyDescent="0.45">
      <c r="A19" s="4" t="s">
        <v>38</v>
      </c>
      <c r="B19" s="5"/>
      <c r="C19" s="5"/>
    </row>
    <row r="20" spans="1:7" x14ac:dyDescent="0.45">
      <c r="B20" s="3" t="s">
        <v>39</v>
      </c>
    </row>
    <row r="21" spans="1:7" x14ac:dyDescent="0.45">
      <c r="B21" s="3" t="s">
        <v>40</v>
      </c>
    </row>
    <row r="23" spans="1:7" x14ac:dyDescent="0.45">
      <c r="A23" s="4" t="s">
        <v>41</v>
      </c>
      <c r="B23" s="5"/>
      <c r="C23" s="5"/>
    </row>
    <row r="24" spans="1:7" ht="38.25" x14ac:dyDescent="0.45">
      <c r="A24" s="3" t="s">
        <v>24</v>
      </c>
      <c r="B24" s="7" t="s">
        <v>42</v>
      </c>
      <c r="C24" s="3" t="s">
        <v>43</v>
      </c>
    </row>
  </sheetData>
  <hyperlinks>
    <hyperlink ref="D15" r:id="rId1" xr:uid="{00000000-0004-0000-0000-000000000000}"/>
    <hyperlink ref="D16" r:id="rId2" xr:uid="{00000000-0004-0000-0000-000001000000}"/>
    <hyperlink ref="D17" r:id="rId3" xr:uid="{00000000-0004-0000-0000-000002000000}"/>
  </hyperlinks>
  <pageMargins left="0.75" right="0.75" top="1" bottom="1" header="0.5" footer="0.5"/>
  <headerFooter>
    <oddFooter>&amp;R_x000D_&amp;1#&amp;"Aptos"&amp;10&amp;K000000 Official Use Only</oddFooter>
  </headerFooter>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2:H9"/>
  <sheetViews>
    <sheetView zoomScale="80" workbookViewId="0"/>
  </sheetViews>
  <sheetFormatPr defaultColWidth="10.1328125" defaultRowHeight="14.25" x14ac:dyDescent="0.45"/>
  <cols>
    <col min="1" max="1" width="4" customWidth="1"/>
    <col min="2" max="2" width="16" customWidth="1"/>
    <col min="3" max="3" width="40" customWidth="1"/>
    <col min="4" max="5" width="4" customWidth="1"/>
    <col min="6" max="6" width="40" customWidth="1"/>
    <col min="7" max="7" width="8" customWidth="1"/>
    <col min="8" max="8" width="100" customWidth="1"/>
  </cols>
  <sheetData>
    <row r="2" spans="1:8" ht="17.649999999999999" x14ac:dyDescent="0.5">
      <c r="A2" s="1" t="s">
        <v>44</v>
      </c>
      <c r="B2" s="2"/>
      <c r="C2" s="2"/>
      <c r="D2" s="2"/>
      <c r="E2" s="2"/>
      <c r="F2" s="2"/>
      <c r="G2" s="2"/>
      <c r="H2" s="2"/>
    </row>
    <row r="3" spans="1:8" x14ac:dyDescent="0.45">
      <c r="A3" s="3" t="s">
        <v>45</v>
      </c>
    </row>
    <row r="4" spans="1:8" x14ac:dyDescent="0.45">
      <c r="F4" s="6" t="s">
        <v>46</v>
      </c>
      <c r="G4" s="6" t="s">
        <v>47</v>
      </c>
      <c r="H4" s="6" t="s">
        <v>48</v>
      </c>
    </row>
    <row r="5" spans="1:8" x14ac:dyDescent="0.45">
      <c r="B5" s="6" t="s">
        <v>49</v>
      </c>
      <c r="C5" s="10" t="s">
        <v>50</v>
      </c>
      <c r="F5" s="3" t="s">
        <v>50</v>
      </c>
      <c r="G5" s="3" t="s">
        <v>51</v>
      </c>
      <c r="H5" s="3"/>
    </row>
    <row r="6" spans="1:8" x14ac:dyDescent="0.45">
      <c r="B6" s="6" t="s">
        <v>52</v>
      </c>
      <c r="C6" s="10" t="s">
        <v>53</v>
      </c>
      <c r="D6" s="11" t="s">
        <v>54</v>
      </c>
      <c r="F6" s="3" t="s">
        <v>55</v>
      </c>
      <c r="G6" s="3" t="s">
        <v>56</v>
      </c>
      <c r="H6" s="12" t="s">
        <v>57</v>
      </c>
    </row>
    <row r="7" spans="1:8" x14ac:dyDescent="0.45">
      <c r="F7" s="3" t="s">
        <v>58</v>
      </c>
      <c r="G7" s="3" t="s">
        <v>59</v>
      </c>
      <c r="H7" s="12"/>
    </row>
    <row r="8" spans="1:8" x14ac:dyDescent="0.45">
      <c r="F8" s="3" t="s">
        <v>60</v>
      </c>
      <c r="G8" s="3" t="s">
        <v>56</v>
      </c>
      <c r="H8" s="12"/>
    </row>
    <row r="9" spans="1:8" x14ac:dyDescent="0.45">
      <c r="F9" s="3" t="s">
        <v>61</v>
      </c>
      <c r="G9" s="3" t="s">
        <v>56</v>
      </c>
      <c r="H9" s="12"/>
    </row>
  </sheetData>
  <dataValidations count="2">
    <dataValidation type="list" sqref="C5" xr:uid="{00000000-0002-0000-0100-000000000000}">
      <formula1>$F$5:$F$9</formula1>
    </dataValidation>
    <dataValidation type="list" sqref="C6" xr:uid="{00000000-0002-0000-0100-000001000000}">
      <formula1>"Country,All countries"</formula1>
    </dataValidation>
  </dataValidations>
  <pageMargins left="0.75" right="0.75" top="1" bottom="1" header="0.5" footer="0.5"/>
  <headerFooter>
    <oddFooter>&amp;R_x000D_&amp;1#&amp;"Aptos"&amp;10&amp;K000000 Official Use Only</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AE49"/>
  </sheetPr>
  <dimension ref="A1:HV1186"/>
  <sheetViews>
    <sheetView zoomScale="80" workbookViewId="0">
      <pane xSplit="11" ySplit="6" topLeftCell="L7" activePane="bottomRight" state="frozen"/>
      <selection pane="topRight"/>
      <selection pane="bottomLeft"/>
      <selection pane="bottomRight"/>
    </sheetView>
  </sheetViews>
  <sheetFormatPr defaultColWidth="10.1328125" defaultRowHeight="14.25" x14ac:dyDescent="0.45"/>
  <cols>
    <col min="1" max="1" width="26" customWidth="1"/>
    <col min="2" max="2" width="7" customWidth="1"/>
    <col min="3" max="3" width="22" customWidth="1"/>
    <col min="4" max="7" width="4" customWidth="1"/>
    <col min="8" max="8" width="52" customWidth="1"/>
    <col min="9" max="9" width="14" customWidth="1"/>
    <col min="10" max="10" width="4" customWidth="1"/>
    <col min="11" max="11" width="26" customWidth="1"/>
    <col min="12" max="31" width="9" customWidth="1"/>
    <col min="32" max="32" width="3" customWidth="1"/>
    <col min="33" max="33" width="26" customWidth="1"/>
    <col min="34" max="53" width="9" customWidth="1"/>
    <col min="54" max="54" width="3" customWidth="1"/>
    <col min="55" max="55" width="26" customWidth="1"/>
    <col min="56" max="75" width="9" customWidth="1"/>
    <col min="76" max="76" width="3" customWidth="1"/>
    <col min="77" max="77" width="26" customWidth="1"/>
    <col min="78" max="97" width="9" customWidth="1"/>
    <col min="98" max="98" width="3" customWidth="1"/>
    <col min="99" max="99" width="26" customWidth="1"/>
    <col min="100" max="119" width="9" customWidth="1"/>
    <col min="120" max="120" width="3" customWidth="1"/>
    <col min="121" max="121" width="26" customWidth="1"/>
    <col min="122" max="141" width="9" customWidth="1"/>
    <col min="142" max="142" width="3" customWidth="1"/>
    <col min="143" max="143" width="26" customWidth="1"/>
    <col min="144" max="163" width="9" customWidth="1"/>
    <col min="164" max="164" width="3" customWidth="1"/>
    <col min="165" max="165" width="26" customWidth="1"/>
    <col min="166" max="185" width="9" customWidth="1"/>
    <col min="186" max="186" width="3" customWidth="1"/>
    <col min="187" max="187" width="26" customWidth="1"/>
    <col min="188" max="207" width="9" customWidth="1"/>
    <col min="208" max="208" width="3" customWidth="1"/>
    <col min="209" max="209" width="26" customWidth="1"/>
    <col min="210" max="229" width="9" customWidth="1"/>
    <col min="230" max="230" width="3" customWidth="1"/>
  </cols>
  <sheetData>
    <row r="1" spans="1:230" x14ac:dyDescent="0.45">
      <c r="A1" s="6" t="s">
        <v>62</v>
      </c>
      <c r="B1" s="6" t="s">
        <v>16</v>
      </c>
      <c r="C1" s="6" t="s">
        <v>63</v>
      </c>
      <c r="H1" s="6" t="s">
        <v>64</v>
      </c>
      <c r="I1" s="6" t="s">
        <v>65</v>
      </c>
      <c r="K1" s="6" t="s">
        <v>66</v>
      </c>
      <c r="L1" s="13">
        <v>2022</v>
      </c>
      <c r="M1" s="14">
        <v>2023</v>
      </c>
      <c r="N1" s="14">
        <v>2024</v>
      </c>
      <c r="O1" s="14">
        <v>2025</v>
      </c>
      <c r="P1" s="14">
        <v>2026</v>
      </c>
      <c r="Q1" s="14">
        <v>2027</v>
      </c>
      <c r="R1" s="14">
        <v>2028</v>
      </c>
      <c r="S1" s="14">
        <v>2029</v>
      </c>
      <c r="T1" s="14">
        <v>2030</v>
      </c>
      <c r="U1" s="14">
        <v>2031</v>
      </c>
      <c r="V1" s="14">
        <v>2032</v>
      </c>
      <c r="W1" s="14">
        <v>2033</v>
      </c>
      <c r="X1" s="14">
        <v>2034</v>
      </c>
      <c r="Y1" s="14">
        <v>2035</v>
      </c>
      <c r="Z1" s="14">
        <v>2036</v>
      </c>
      <c r="AA1" s="14">
        <v>2037</v>
      </c>
      <c r="AB1" s="14">
        <v>2038</v>
      </c>
      <c r="AC1" s="14">
        <v>2039</v>
      </c>
      <c r="AD1" s="14">
        <v>2040</v>
      </c>
      <c r="AE1" s="14">
        <v>2041</v>
      </c>
      <c r="AG1" s="6" t="s">
        <v>67</v>
      </c>
      <c r="AH1" s="13">
        <v>2022</v>
      </c>
      <c r="AI1" s="14">
        <v>2023</v>
      </c>
      <c r="AJ1" s="14">
        <v>2024</v>
      </c>
      <c r="AK1" s="14">
        <v>2025</v>
      </c>
      <c r="AL1" s="14">
        <v>2026</v>
      </c>
      <c r="AM1" s="14">
        <v>2027</v>
      </c>
      <c r="AN1" s="14">
        <v>2028</v>
      </c>
      <c r="AO1" s="14">
        <v>2029</v>
      </c>
      <c r="AP1" s="14">
        <v>2030</v>
      </c>
      <c r="AQ1" s="14">
        <v>2031</v>
      </c>
      <c r="AR1" s="14">
        <v>2032</v>
      </c>
      <c r="AS1" s="14">
        <v>2033</v>
      </c>
      <c r="AT1" s="14">
        <v>2034</v>
      </c>
      <c r="AU1" s="14">
        <v>2035</v>
      </c>
      <c r="AV1" s="14">
        <v>2036</v>
      </c>
      <c r="AW1" s="14">
        <v>2037</v>
      </c>
      <c r="AX1" s="14">
        <v>2038</v>
      </c>
      <c r="AY1" s="14">
        <v>2039</v>
      </c>
      <c r="AZ1" s="14">
        <v>2040</v>
      </c>
      <c r="BA1" s="14">
        <v>2041</v>
      </c>
      <c r="BC1" s="6" t="s">
        <v>68</v>
      </c>
      <c r="BD1" s="13">
        <v>2022</v>
      </c>
      <c r="BE1" s="14">
        <v>2023</v>
      </c>
      <c r="BF1" s="14">
        <v>2024</v>
      </c>
      <c r="BG1" s="14">
        <v>2025</v>
      </c>
      <c r="BH1" s="14">
        <v>2026</v>
      </c>
      <c r="BI1" s="14">
        <v>2027</v>
      </c>
      <c r="BJ1" s="14">
        <v>2028</v>
      </c>
      <c r="BK1" s="14">
        <v>2029</v>
      </c>
      <c r="BL1" s="14">
        <v>2030</v>
      </c>
      <c r="BM1" s="14">
        <v>2031</v>
      </c>
      <c r="BN1" s="14">
        <v>2032</v>
      </c>
      <c r="BO1" s="14">
        <v>2033</v>
      </c>
      <c r="BP1" s="14">
        <v>2034</v>
      </c>
      <c r="BQ1" s="14">
        <v>2035</v>
      </c>
      <c r="BR1" s="14">
        <v>2036</v>
      </c>
      <c r="BS1" s="14">
        <v>2037</v>
      </c>
      <c r="BT1" s="14">
        <v>2038</v>
      </c>
      <c r="BU1" s="14">
        <v>2039</v>
      </c>
      <c r="BV1" s="14">
        <v>2040</v>
      </c>
      <c r="BW1" s="14">
        <v>2041</v>
      </c>
      <c r="BY1" s="6" t="s">
        <v>69</v>
      </c>
      <c r="BZ1" s="13">
        <v>2022</v>
      </c>
      <c r="CA1" s="14">
        <v>2023</v>
      </c>
      <c r="CB1" s="14">
        <v>2024</v>
      </c>
      <c r="CC1" s="14">
        <v>2025</v>
      </c>
      <c r="CD1" s="14">
        <v>2026</v>
      </c>
      <c r="CE1" s="14">
        <v>2027</v>
      </c>
      <c r="CF1" s="14">
        <v>2028</v>
      </c>
      <c r="CG1" s="14">
        <v>2029</v>
      </c>
      <c r="CH1" s="14">
        <v>2030</v>
      </c>
      <c r="CI1" s="14">
        <v>2031</v>
      </c>
      <c r="CJ1" s="14">
        <v>2032</v>
      </c>
      <c r="CK1" s="14">
        <v>2033</v>
      </c>
      <c r="CL1" s="14">
        <v>2034</v>
      </c>
      <c r="CM1" s="14">
        <v>2035</v>
      </c>
      <c r="CN1" s="14">
        <v>2036</v>
      </c>
      <c r="CO1" s="14">
        <v>2037</v>
      </c>
      <c r="CP1" s="14">
        <v>2038</v>
      </c>
      <c r="CQ1" s="14">
        <v>2039</v>
      </c>
      <c r="CR1" s="14">
        <v>2040</v>
      </c>
      <c r="CS1" s="14">
        <v>2041</v>
      </c>
      <c r="CU1" s="6" t="s">
        <v>70</v>
      </c>
      <c r="CV1" s="13">
        <v>2022</v>
      </c>
      <c r="CW1" s="14">
        <v>2023</v>
      </c>
      <c r="CX1" s="14">
        <v>2024</v>
      </c>
      <c r="CY1" s="14">
        <v>2025</v>
      </c>
      <c r="CZ1" s="14">
        <v>2026</v>
      </c>
      <c r="DA1" s="14">
        <v>2027</v>
      </c>
      <c r="DB1" s="14">
        <v>2028</v>
      </c>
      <c r="DC1" s="14">
        <v>2029</v>
      </c>
      <c r="DD1" s="14">
        <v>2030</v>
      </c>
      <c r="DE1" s="14">
        <v>2031</v>
      </c>
      <c r="DF1" s="14">
        <v>2032</v>
      </c>
      <c r="DG1" s="14">
        <v>2033</v>
      </c>
      <c r="DH1" s="14">
        <v>2034</v>
      </c>
      <c r="DI1" s="14">
        <v>2035</v>
      </c>
      <c r="DJ1" s="14">
        <v>2036</v>
      </c>
      <c r="DK1" s="14">
        <v>2037</v>
      </c>
      <c r="DL1" s="14">
        <v>2038</v>
      </c>
      <c r="DM1" s="14">
        <v>2039</v>
      </c>
      <c r="DN1" s="14">
        <v>2040</v>
      </c>
      <c r="DO1" s="14">
        <v>2041</v>
      </c>
      <c r="DQ1" s="6" t="s">
        <v>71</v>
      </c>
      <c r="DR1" s="13">
        <v>2022</v>
      </c>
      <c r="DS1" s="14">
        <v>2023</v>
      </c>
      <c r="DT1" s="14">
        <v>2024</v>
      </c>
      <c r="DU1" s="14">
        <v>2025</v>
      </c>
      <c r="DV1" s="14">
        <v>2026</v>
      </c>
      <c r="DW1" s="14">
        <v>2027</v>
      </c>
      <c r="DX1" s="14">
        <v>2028</v>
      </c>
      <c r="DY1" s="14">
        <v>2029</v>
      </c>
      <c r="DZ1" s="14">
        <v>2030</v>
      </c>
      <c r="EA1" s="14">
        <v>2031</v>
      </c>
      <c r="EB1" s="14">
        <v>2032</v>
      </c>
      <c r="EC1" s="14">
        <v>2033</v>
      </c>
      <c r="ED1" s="14">
        <v>2034</v>
      </c>
      <c r="EE1" s="14">
        <v>2035</v>
      </c>
      <c r="EF1" s="14">
        <v>2036</v>
      </c>
      <c r="EG1" s="14">
        <v>2037</v>
      </c>
      <c r="EH1" s="14">
        <v>2038</v>
      </c>
      <c r="EI1" s="14">
        <v>2039</v>
      </c>
      <c r="EJ1" s="14">
        <v>2040</v>
      </c>
      <c r="EK1" s="14">
        <v>2041</v>
      </c>
      <c r="EM1" s="6" t="s">
        <v>72</v>
      </c>
      <c r="EN1" s="13">
        <v>2022</v>
      </c>
      <c r="EO1" s="14">
        <v>2023</v>
      </c>
      <c r="EP1" s="14">
        <v>2024</v>
      </c>
      <c r="EQ1" s="14">
        <v>2025</v>
      </c>
      <c r="ER1" s="14">
        <v>2026</v>
      </c>
      <c r="ES1" s="14">
        <v>2027</v>
      </c>
      <c r="ET1" s="14">
        <v>2028</v>
      </c>
      <c r="EU1" s="14">
        <v>2029</v>
      </c>
      <c r="EV1" s="14">
        <v>2030</v>
      </c>
      <c r="EW1" s="14">
        <v>2031</v>
      </c>
      <c r="EX1" s="14">
        <v>2032</v>
      </c>
      <c r="EY1" s="14">
        <v>2033</v>
      </c>
      <c r="EZ1" s="14">
        <v>2034</v>
      </c>
      <c r="FA1" s="14">
        <v>2035</v>
      </c>
      <c r="FB1" s="14">
        <v>2036</v>
      </c>
      <c r="FC1" s="14">
        <v>2037</v>
      </c>
      <c r="FD1" s="14">
        <v>2038</v>
      </c>
      <c r="FE1" s="14">
        <v>2039</v>
      </c>
      <c r="FF1" s="14">
        <v>2040</v>
      </c>
      <c r="FG1" s="14">
        <v>2041</v>
      </c>
      <c r="FI1" s="6" t="s">
        <v>73</v>
      </c>
      <c r="FJ1" s="13">
        <v>2022</v>
      </c>
      <c r="FK1" s="14">
        <v>2023</v>
      </c>
      <c r="FL1" s="14">
        <v>2024</v>
      </c>
      <c r="FM1" s="14">
        <v>2025</v>
      </c>
      <c r="FN1" s="14">
        <v>2026</v>
      </c>
      <c r="FO1" s="14">
        <v>2027</v>
      </c>
      <c r="FP1" s="14">
        <v>2028</v>
      </c>
      <c r="FQ1" s="14">
        <v>2029</v>
      </c>
      <c r="FR1" s="14">
        <v>2030</v>
      </c>
      <c r="FS1" s="14">
        <v>2031</v>
      </c>
      <c r="FT1" s="14">
        <v>2032</v>
      </c>
      <c r="FU1" s="14">
        <v>2033</v>
      </c>
      <c r="FV1" s="14">
        <v>2034</v>
      </c>
      <c r="FW1" s="14">
        <v>2035</v>
      </c>
      <c r="FX1" s="14">
        <v>2036</v>
      </c>
      <c r="FY1" s="14">
        <v>2037</v>
      </c>
      <c r="FZ1" s="14">
        <v>2038</v>
      </c>
      <c r="GA1" s="14">
        <v>2039</v>
      </c>
      <c r="GB1" s="14">
        <v>2040</v>
      </c>
      <c r="GC1" s="14">
        <v>2041</v>
      </c>
      <c r="GE1" s="6" t="s">
        <v>74</v>
      </c>
      <c r="GF1" s="13">
        <v>2022</v>
      </c>
      <c r="GG1" s="14">
        <v>2023</v>
      </c>
      <c r="GH1" s="14">
        <v>2024</v>
      </c>
      <c r="GI1" s="14">
        <v>2025</v>
      </c>
      <c r="GJ1" s="14">
        <v>2026</v>
      </c>
      <c r="GK1" s="14">
        <v>2027</v>
      </c>
      <c r="GL1" s="14">
        <v>2028</v>
      </c>
      <c r="GM1" s="14">
        <v>2029</v>
      </c>
      <c r="GN1" s="14">
        <v>2030</v>
      </c>
      <c r="GO1" s="14">
        <v>2031</v>
      </c>
      <c r="GP1" s="14">
        <v>2032</v>
      </c>
      <c r="GQ1" s="14">
        <v>2033</v>
      </c>
      <c r="GR1" s="14">
        <v>2034</v>
      </c>
      <c r="GS1" s="14">
        <v>2035</v>
      </c>
      <c r="GT1" s="14">
        <v>2036</v>
      </c>
      <c r="GU1" s="14">
        <v>2037</v>
      </c>
      <c r="GV1" s="14">
        <v>2038</v>
      </c>
      <c r="GW1" s="14">
        <v>2039</v>
      </c>
      <c r="GX1" s="14">
        <v>2040</v>
      </c>
      <c r="GY1" s="14">
        <v>2041</v>
      </c>
      <c r="HA1" s="6" t="s">
        <v>75</v>
      </c>
      <c r="HB1" s="13">
        <v>2022</v>
      </c>
      <c r="HC1" s="14">
        <v>2023</v>
      </c>
      <c r="HD1" s="14">
        <v>2024</v>
      </c>
      <c r="HE1" s="14">
        <v>2025</v>
      </c>
      <c r="HF1" s="14">
        <v>2026</v>
      </c>
      <c r="HG1" s="14">
        <v>2027</v>
      </c>
      <c r="HH1" s="14">
        <v>2028</v>
      </c>
      <c r="HI1" s="14">
        <v>2029</v>
      </c>
      <c r="HJ1" s="14">
        <v>2030</v>
      </c>
      <c r="HK1" s="14">
        <v>2031</v>
      </c>
      <c r="HL1" s="14">
        <v>2032</v>
      </c>
      <c r="HM1" s="14">
        <v>2033</v>
      </c>
      <c r="HN1" s="14">
        <v>2034</v>
      </c>
      <c r="HO1" s="14">
        <v>2035</v>
      </c>
      <c r="HP1" s="14">
        <v>2036</v>
      </c>
      <c r="HQ1" s="14">
        <v>2037</v>
      </c>
      <c r="HR1" s="14">
        <v>2038</v>
      </c>
      <c r="HS1" s="14">
        <v>2039</v>
      </c>
      <c r="HT1" s="14">
        <v>2040</v>
      </c>
      <c r="HU1" s="14">
        <v>2041</v>
      </c>
    </row>
    <row r="2" spans="1:230" ht="17.649999999999999" x14ac:dyDescent="0.5">
      <c r="A2" s="1" t="s">
        <v>76</v>
      </c>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row>
    <row r="3" spans="1:230" x14ac:dyDescent="0.45">
      <c r="A3" s="3" t="s">
        <v>77</v>
      </c>
    </row>
    <row r="4" spans="1:230" x14ac:dyDescent="0.45">
      <c r="H4" s="6" t="s">
        <v>78</v>
      </c>
      <c r="L4" s="6" t="s">
        <v>79</v>
      </c>
      <c r="AH4" s="6" t="s">
        <v>80</v>
      </c>
      <c r="BD4" s="6" t="s">
        <v>81</v>
      </c>
      <c r="BZ4" s="6" t="s">
        <v>82</v>
      </c>
      <c r="CV4" s="6" t="s">
        <v>83</v>
      </c>
    </row>
    <row r="5" spans="1:230" x14ac:dyDescent="0.45">
      <c r="H5" s="6" t="s">
        <v>84</v>
      </c>
      <c r="K5" s="14">
        <v>1</v>
      </c>
      <c r="L5" s="14">
        <v>1</v>
      </c>
      <c r="M5" s="14">
        <v>1</v>
      </c>
      <c r="N5" s="14">
        <v>1</v>
      </c>
      <c r="O5" s="14">
        <v>1</v>
      </c>
      <c r="P5" s="14">
        <v>1</v>
      </c>
      <c r="Q5" s="14">
        <v>1</v>
      </c>
      <c r="R5" s="14">
        <v>1</v>
      </c>
      <c r="S5" s="14">
        <v>1</v>
      </c>
      <c r="T5" s="14">
        <v>1</v>
      </c>
      <c r="U5" s="14">
        <v>1</v>
      </c>
      <c r="V5" s="14">
        <v>1</v>
      </c>
      <c r="W5" s="14">
        <v>1</v>
      </c>
      <c r="X5" s="14">
        <v>1</v>
      </c>
      <c r="Y5" s="14">
        <v>1</v>
      </c>
      <c r="Z5" s="14">
        <v>1</v>
      </c>
      <c r="AA5" s="14">
        <v>1</v>
      </c>
      <c r="AB5" s="14">
        <v>1</v>
      </c>
      <c r="AC5" s="14">
        <v>1</v>
      </c>
      <c r="AD5" s="14">
        <v>1</v>
      </c>
      <c r="AE5" s="14">
        <v>1</v>
      </c>
      <c r="AG5" s="14">
        <v>3</v>
      </c>
      <c r="AH5" s="14">
        <v>3</v>
      </c>
      <c r="AI5" s="14">
        <v>3</v>
      </c>
      <c r="AJ5" s="14">
        <v>3</v>
      </c>
      <c r="AK5" s="14">
        <v>3</v>
      </c>
      <c r="AL5" s="14">
        <v>3</v>
      </c>
      <c r="AM5" s="14">
        <v>3</v>
      </c>
      <c r="AN5" s="14">
        <v>3</v>
      </c>
      <c r="AO5" s="14">
        <v>3</v>
      </c>
      <c r="AP5" s="14">
        <v>3</v>
      </c>
      <c r="AQ5" s="14">
        <v>3</v>
      </c>
      <c r="AR5" s="14">
        <v>3</v>
      </c>
      <c r="AS5" s="14">
        <v>3</v>
      </c>
      <c r="AT5" s="14">
        <v>3</v>
      </c>
      <c r="AU5" s="14">
        <v>3</v>
      </c>
      <c r="AV5" s="14">
        <v>3</v>
      </c>
      <c r="AW5" s="14">
        <v>3</v>
      </c>
      <c r="AX5" s="14">
        <v>3</v>
      </c>
      <c r="AY5" s="14">
        <v>3</v>
      </c>
      <c r="AZ5" s="14">
        <v>3</v>
      </c>
      <c r="BA5" s="14">
        <v>3</v>
      </c>
      <c r="BC5" s="14">
        <v>4</v>
      </c>
      <c r="BD5" s="14">
        <v>4</v>
      </c>
      <c r="BE5" s="14">
        <v>4</v>
      </c>
      <c r="BF5" s="14">
        <v>4</v>
      </c>
      <c r="BG5" s="14">
        <v>4</v>
      </c>
      <c r="BH5" s="14">
        <v>4</v>
      </c>
      <c r="BI5" s="14">
        <v>4</v>
      </c>
      <c r="BJ5" s="14">
        <v>4</v>
      </c>
      <c r="BK5" s="14">
        <v>4</v>
      </c>
      <c r="BL5" s="14">
        <v>4</v>
      </c>
      <c r="BM5" s="14">
        <v>4</v>
      </c>
      <c r="BN5" s="14">
        <v>4</v>
      </c>
      <c r="BO5" s="14">
        <v>4</v>
      </c>
      <c r="BP5" s="14">
        <v>4</v>
      </c>
      <c r="BQ5" s="14">
        <v>4</v>
      </c>
      <c r="BR5" s="14">
        <v>4</v>
      </c>
      <c r="BS5" s="14">
        <v>4</v>
      </c>
      <c r="BT5" s="14">
        <v>4</v>
      </c>
      <c r="BU5" s="14">
        <v>4</v>
      </c>
      <c r="BV5" s="14">
        <v>4</v>
      </c>
      <c r="BW5" s="14">
        <v>4</v>
      </c>
      <c r="BY5" s="14">
        <v>5</v>
      </c>
      <c r="BZ5" s="14">
        <v>5</v>
      </c>
      <c r="CA5" s="14">
        <v>5</v>
      </c>
      <c r="CB5" s="14">
        <v>5</v>
      </c>
      <c r="CC5" s="14">
        <v>5</v>
      </c>
      <c r="CD5" s="14">
        <v>5</v>
      </c>
      <c r="CE5" s="14">
        <v>5</v>
      </c>
      <c r="CF5" s="14">
        <v>5</v>
      </c>
      <c r="CG5" s="14">
        <v>5</v>
      </c>
      <c r="CH5" s="14">
        <v>5</v>
      </c>
      <c r="CI5" s="14">
        <v>5</v>
      </c>
      <c r="CJ5" s="14">
        <v>5</v>
      </c>
      <c r="CK5" s="14">
        <v>5</v>
      </c>
      <c r="CL5" s="14">
        <v>5</v>
      </c>
      <c r="CM5" s="14">
        <v>5</v>
      </c>
      <c r="CN5" s="14">
        <v>5</v>
      </c>
      <c r="CO5" s="14">
        <v>5</v>
      </c>
      <c r="CP5" s="14">
        <v>5</v>
      </c>
      <c r="CQ5" s="14">
        <v>5</v>
      </c>
      <c r="CR5" s="14">
        <v>5</v>
      </c>
      <c r="CS5" s="14">
        <v>5</v>
      </c>
      <c r="CU5" s="14">
        <v>6</v>
      </c>
      <c r="CV5" s="14">
        <v>6</v>
      </c>
      <c r="CW5" s="14">
        <v>6</v>
      </c>
      <c r="CX5" s="14">
        <v>6</v>
      </c>
      <c r="CY5" s="14">
        <v>6</v>
      </c>
      <c r="CZ5" s="14">
        <v>6</v>
      </c>
      <c r="DA5" s="14">
        <v>6</v>
      </c>
      <c r="DB5" s="14">
        <v>6</v>
      </c>
      <c r="DC5" s="14">
        <v>6</v>
      </c>
      <c r="DD5" s="14">
        <v>6</v>
      </c>
      <c r="DE5" s="14">
        <v>6</v>
      </c>
      <c r="DF5" s="14">
        <v>6</v>
      </c>
      <c r="DG5" s="14">
        <v>6</v>
      </c>
      <c r="DH5" s="14">
        <v>6</v>
      </c>
      <c r="DI5" s="14">
        <v>6</v>
      </c>
      <c r="DJ5" s="14">
        <v>6</v>
      </c>
      <c r="DK5" s="14">
        <v>6</v>
      </c>
      <c r="DL5" s="14">
        <v>6</v>
      </c>
      <c r="DM5" s="14">
        <v>6</v>
      </c>
      <c r="DN5" s="14">
        <v>6</v>
      </c>
      <c r="DO5" s="14">
        <v>6</v>
      </c>
    </row>
    <row r="6" spans="1:230" x14ac:dyDescent="0.45">
      <c r="H6" s="6" t="s">
        <v>85</v>
      </c>
      <c r="L6" s="11" t="s">
        <v>86</v>
      </c>
      <c r="AH6" s="11" t="s">
        <v>86</v>
      </c>
      <c r="BD6" s="11" t="s">
        <v>86</v>
      </c>
      <c r="BZ6" s="11" t="s">
        <v>86</v>
      </c>
      <c r="CV6" s="11" t="s">
        <v>86</v>
      </c>
    </row>
    <row r="7" spans="1:230" ht="15.4" x14ac:dyDescent="0.45">
      <c r="A7" s="5"/>
      <c r="B7" s="15" t="s">
        <v>87</v>
      </c>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row>
    <row r="8" spans="1:230" x14ac:dyDescent="0.45">
      <c r="A8" s="16" t="s">
        <v>88</v>
      </c>
      <c r="B8" s="3" t="s">
        <v>89</v>
      </c>
      <c r="C8" s="16" t="s">
        <v>90</v>
      </c>
      <c r="H8" s="3" t="s">
        <v>91</v>
      </c>
      <c r="I8" s="3" t="s">
        <v>92</v>
      </c>
      <c r="K8" s="17" t="s">
        <v>93</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G8" s="17" t="s">
        <v>94</v>
      </c>
      <c r="AH8" s="3">
        <v>0</v>
      </c>
      <c r="AI8" s="3">
        <v>0</v>
      </c>
      <c r="AJ8" s="3">
        <v>0</v>
      </c>
      <c r="AK8" s="3">
        <v>0</v>
      </c>
      <c r="AL8" s="3">
        <v>0</v>
      </c>
      <c r="AM8" s="3">
        <v>0.99864858941683654</v>
      </c>
      <c r="AN8" s="3">
        <v>0.99857850490316236</v>
      </c>
      <c r="AO8" s="3">
        <v>0.99857829544408949</v>
      </c>
      <c r="AP8" s="3">
        <v>0.99855775004432545</v>
      </c>
      <c r="AQ8" s="3">
        <v>0.99853231698014078</v>
      </c>
      <c r="AR8" s="3">
        <v>0.99849783967388062</v>
      </c>
      <c r="AS8" s="3">
        <v>0.99848194116748223</v>
      </c>
      <c r="AT8" s="3">
        <v>0.998457891584001</v>
      </c>
      <c r="AU8" s="3">
        <v>0.99843874423063983</v>
      </c>
      <c r="AV8" s="3">
        <v>0.99841966698285156</v>
      </c>
      <c r="AW8" s="3">
        <v>0.99840100622496208</v>
      </c>
      <c r="AX8" s="3">
        <v>0.99838257567263811</v>
      </c>
      <c r="AY8" s="3">
        <v>0.99836459435280411</v>
      </c>
      <c r="AZ8" s="3">
        <v>0.99834688127348559</v>
      </c>
      <c r="BA8" s="3">
        <v>0.99832965859786227</v>
      </c>
      <c r="BC8" s="17" t="s">
        <v>95</v>
      </c>
      <c r="BD8" s="3">
        <v>0</v>
      </c>
      <c r="BE8" s="3">
        <v>0</v>
      </c>
      <c r="BF8" s="3">
        <v>0</v>
      </c>
      <c r="BG8" s="3">
        <v>0</v>
      </c>
      <c r="BH8" s="3">
        <v>0</v>
      </c>
      <c r="BI8" s="3">
        <v>0.99871789417476786</v>
      </c>
      <c r="BJ8" s="3">
        <v>0.99862835402100125</v>
      </c>
      <c r="BK8" s="3">
        <v>0.99852459331364662</v>
      </c>
      <c r="BL8" s="3">
        <v>0.99844430956035146</v>
      </c>
      <c r="BM8" s="3">
        <v>0.99835456486891005</v>
      </c>
      <c r="BN8" s="3">
        <v>0.99823623210806456</v>
      </c>
      <c r="BO8" s="3">
        <v>0.99814174247376664</v>
      </c>
      <c r="BP8" s="3">
        <v>0.99802398365821365</v>
      </c>
      <c r="BQ8" s="3">
        <v>0.99792023859235279</v>
      </c>
      <c r="BR8" s="3">
        <v>0.99779953824717549</v>
      </c>
      <c r="BS8" s="3">
        <v>0.99769095764357729</v>
      </c>
      <c r="BT8" s="3">
        <v>0.99756258855656321</v>
      </c>
      <c r="BU8" s="3">
        <v>0.99745196540888192</v>
      </c>
      <c r="BV8" s="3">
        <v>0.99731260207468353</v>
      </c>
      <c r="BW8" s="3">
        <v>0.99720647110003779</v>
      </c>
      <c r="BY8" s="17" t="s">
        <v>96</v>
      </c>
      <c r="BZ8" s="3">
        <v>0</v>
      </c>
      <c r="CA8" s="3">
        <v>0</v>
      </c>
      <c r="CB8" s="3">
        <v>0</v>
      </c>
      <c r="CC8" s="3">
        <v>0</v>
      </c>
      <c r="CD8" s="3">
        <v>0</v>
      </c>
      <c r="CE8" s="3">
        <v>0.51222394220080936</v>
      </c>
      <c r="CF8" s="3">
        <v>0.51367498887971474</v>
      </c>
      <c r="CG8" s="3">
        <v>0.51434395857578752</v>
      </c>
      <c r="CH8" s="3">
        <v>0.51688404044554692</v>
      </c>
      <c r="CI8" s="3">
        <v>0.52776455600671524</v>
      </c>
      <c r="CJ8" s="3">
        <v>0.54171686886117565</v>
      </c>
      <c r="CK8" s="3">
        <v>0.54751198750775698</v>
      </c>
      <c r="CL8" s="3">
        <v>0.56229806712250374</v>
      </c>
      <c r="CM8" s="3">
        <v>0.57446766338335808</v>
      </c>
      <c r="CN8" s="3">
        <v>0.58570354958152782</v>
      </c>
      <c r="CO8" s="3">
        <v>0.59834664916791924</v>
      </c>
      <c r="CP8" s="3">
        <v>0.60973397340088387</v>
      </c>
      <c r="CQ8" s="3">
        <v>0.62058134401565168</v>
      </c>
      <c r="CR8" s="3">
        <v>0.63169621125250031</v>
      </c>
      <c r="CS8" s="3">
        <v>0.64181925949699226</v>
      </c>
      <c r="CU8" s="17" t="s">
        <v>97</v>
      </c>
      <c r="CV8" s="3">
        <v>0</v>
      </c>
      <c r="CW8" s="3">
        <v>0</v>
      </c>
      <c r="CX8" s="3">
        <v>0</v>
      </c>
      <c r="CY8" s="3">
        <v>0</v>
      </c>
      <c r="CZ8" s="3">
        <v>0</v>
      </c>
      <c r="DA8" s="3">
        <v>0.99851506476277496</v>
      </c>
      <c r="DB8" s="3">
        <v>0.99834857911766661</v>
      </c>
      <c r="DC8" s="3">
        <v>0.99835246943481182</v>
      </c>
      <c r="DD8" s="3">
        <v>0.99831313445509373</v>
      </c>
      <c r="DE8" s="3">
        <v>0.99831229424545098</v>
      </c>
      <c r="DF8" s="3">
        <v>0.99825056750458685</v>
      </c>
      <c r="DG8" s="3">
        <v>0.99822121781540085</v>
      </c>
      <c r="DH8" s="3">
        <v>0.99816694951651108</v>
      </c>
      <c r="DI8" s="3">
        <v>0.99812718124565336</v>
      </c>
      <c r="DJ8" s="3">
        <v>0.99808074976963279</v>
      </c>
      <c r="DK8" s="3">
        <v>0.9980411385557828</v>
      </c>
      <c r="DL8" s="3">
        <v>0.99799636801274039</v>
      </c>
      <c r="DM8" s="3">
        <v>0.99795914291050092</v>
      </c>
      <c r="DN8" s="3">
        <v>0.99791764474307643</v>
      </c>
      <c r="DO8" s="3">
        <v>0.99788306376918656</v>
      </c>
    </row>
    <row r="9" spans="1:230" x14ac:dyDescent="0.45">
      <c r="A9" s="16" t="s">
        <v>98</v>
      </c>
      <c r="B9" s="3" t="s">
        <v>89</v>
      </c>
      <c r="C9" s="16" t="s">
        <v>98</v>
      </c>
      <c r="H9" s="3" t="s">
        <v>99</v>
      </c>
      <c r="I9" s="3" t="s">
        <v>100</v>
      </c>
      <c r="K9" s="17" t="s">
        <v>101</v>
      </c>
      <c r="L9" s="18">
        <v>0</v>
      </c>
      <c r="M9" s="18">
        <v>0</v>
      </c>
      <c r="N9" s="18">
        <v>0</v>
      </c>
      <c r="O9" s="18">
        <v>0</v>
      </c>
      <c r="P9" s="18">
        <v>0</v>
      </c>
      <c r="Q9" s="18">
        <v>0</v>
      </c>
      <c r="R9" s="18">
        <v>0</v>
      </c>
      <c r="S9" s="18">
        <v>0</v>
      </c>
      <c r="T9" s="18">
        <v>0</v>
      </c>
      <c r="U9" s="18">
        <v>0</v>
      </c>
      <c r="V9" s="18">
        <v>0</v>
      </c>
      <c r="W9" s="18">
        <v>0</v>
      </c>
      <c r="X9" s="18">
        <v>0</v>
      </c>
      <c r="Y9" s="18">
        <v>0</v>
      </c>
      <c r="Z9" s="18">
        <v>0</v>
      </c>
      <c r="AA9" s="18">
        <v>0</v>
      </c>
      <c r="AB9" s="18">
        <v>0</v>
      </c>
      <c r="AC9" s="18">
        <v>0</v>
      </c>
      <c r="AD9" s="18">
        <v>0</v>
      </c>
      <c r="AE9" s="18">
        <v>0</v>
      </c>
      <c r="AG9" s="17" t="s">
        <v>102</v>
      </c>
      <c r="AH9" s="18">
        <v>0</v>
      </c>
      <c r="AI9" s="18">
        <v>0</v>
      </c>
      <c r="AJ9" s="18">
        <v>0</v>
      </c>
      <c r="AK9" s="18">
        <v>0</v>
      </c>
      <c r="AL9" s="18">
        <v>0</v>
      </c>
      <c r="AM9" s="18">
        <v>20</v>
      </c>
      <c r="AN9" s="18">
        <v>20</v>
      </c>
      <c r="AO9" s="18">
        <v>20</v>
      </c>
      <c r="AP9" s="18">
        <v>20</v>
      </c>
      <c r="AQ9" s="18">
        <v>20</v>
      </c>
      <c r="AR9" s="18">
        <v>20</v>
      </c>
      <c r="AS9" s="18">
        <v>20</v>
      </c>
      <c r="AT9" s="18">
        <v>20</v>
      </c>
      <c r="AU9" s="18">
        <v>20</v>
      </c>
      <c r="AV9" s="18">
        <v>20</v>
      </c>
      <c r="AW9" s="18">
        <v>20</v>
      </c>
      <c r="AX9" s="18">
        <v>20</v>
      </c>
      <c r="AY9" s="18">
        <v>20</v>
      </c>
      <c r="AZ9" s="18">
        <v>20</v>
      </c>
      <c r="BA9" s="18">
        <v>20</v>
      </c>
      <c r="BC9" s="17" t="s">
        <v>103</v>
      </c>
      <c r="BD9" s="18">
        <v>0</v>
      </c>
      <c r="BE9" s="18">
        <v>0</v>
      </c>
      <c r="BF9" s="18">
        <v>0</v>
      </c>
      <c r="BG9" s="18">
        <v>0</v>
      </c>
      <c r="BH9" s="18">
        <v>0</v>
      </c>
      <c r="BI9" s="18">
        <v>10</v>
      </c>
      <c r="BJ9" s="18">
        <v>23.333333333333339</v>
      </c>
      <c r="BK9" s="18">
        <v>36.666666666666671</v>
      </c>
      <c r="BL9" s="18">
        <v>50</v>
      </c>
      <c r="BM9" s="18">
        <v>63.333333333333343</v>
      </c>
      <c r="BN9" s="18">
        <v>76.666666666666671</v>
      </c>
      <c r="BO9" s="18">
        <v>90</v>
      </c>
      <c r="BP9" s="18">
        <v>103.3333333333333</v>
      </c>
      <c r="BQ9" s="18">
        <v>116.6666666666667</v>
      </c>
      <c r="BR9" s="18">
        <v>130</v>
      </c>
      <c r="BS9" s="18">
        <v>143.33333333333329</v>
      </c>
      <c r="BT9" s="18">
        <v>156.66666666666671</v>
      </c>
      <c r="BU9" s="18">
        <v>170</v>
      </c>
      <c r="BV9" s="18">
        <v>183.33333333333329</v>
      </c>
      <c r="BW9" s="18">
        <v>196.66666666666671</v>
      </c>
      <c r="BY9" s="17" t="s">
        <v>104</v>
      </c>
      <c r="BZ9" s="18">
        <v>0</v>
      </c>
      <c r="CA9" s="18">
        <v>0</v>
      </c>
      <c r="CB9" s="18">
        <v>0</v>
      </c>
      <c r="CC9" s="18">
        <v>0</v>
      </c>
      <c r="CD9" s="18">
        <v>0</v>
      </c>
      <c r="CE9" s="18">
        <v>25</v>
      </c>
      <c r="CF9" s="18">
        <v>25</v>
      </c>
      <c r="CG9" s="18">
        <v>25</v>
      </c>
      <c r="CH9" s="18">
        <v>25</v>
      </c>
      <c r="CI9" s="18">
        <v>25</v>
      </c>
      <c r="CJ9" s="18">
        <v>25</v>
      </c>
      <c r="CK9" s="18">
        <v>25</v>
      </c>
      <c r="CL9" s="18">
        <v>25</v>
      </c>
      <c r="CM9" s="18">
        <v>25</v>
      </c>
      <c r="CN9" s="18">
        <v>25</v>
      </c>
      <c r="CO9" s="18">
        <v>25</v>
      </c>
      <c r="CP9" s="18">
        <v>25</v>
      </c>
      <c r="CQ9" s="18">
        <v>25</v>
      </c>
      <c r="CR9" s="18">
        <v>25</v>
      </c>
      <c r="CS9" s="18">
        <v>25</v>
      </c>
      <c r="CU9" s="17" t="s">
        <v>105</v>
      </c>
      <c r="CV9" s="18">
        <v>0</v>
      </c>
      <c r="CW9" s="18">
        <v>0</v>
      </c>
      <c r="CX9" s="18">
        <v>0</v>
      </c>
      <c r="CY9" s="18">
        <v>0</v>
      </c>
      <c r="CZ9" s="18">
        <v>0</v>
      </c>
      <c r="DA9" s="18">
        <v>50</v>
      </c>
      <c r="DB9" s="18">
        <v>50</v>
      </c>
      <c r="DC9" s="18">
        <v>50</v>
      </c>
      <c r="DD9" s="18">
        <v>50</v>
      </c>
      <c r="DE9" s="18">
        <v>50</v>
      </c>
      <c r="DF9" s="18">
        <v>50</v>
      </c>
      <c r="DG9" s="18">
        <v>50</v>
      </c>
      <c r="DH9" s="18">
        <v>50</v>
      </c>
      <c r="DI9" s="18">
        <v>50</v>
      </c>
      <c r="DJ9" s="18">
        <v>50</v>
      </c>
      <c r="DK9" s="18">
        <v>50</v>
      </c>
      <c r="DL9" s="18">
        <v>50</v>
      </c>
      <c r="DM9" s="18">
        <v>50</v>
      </c>
      <c r="DN9" s="18">
        <v>50</v>
      </c>
      <c r="DO9" s="18">
        <v>50</v>
      </c>
    </row>
    <row r="10" spans="1:230" x14ac:dyDescent="0.45">
      <c r="A10" s="16" t="s">
        <v>106</v>
      </c>
      <c r="B10" s="3" t="s">
        <v>89</v>
      </c>
      <c r="C10" s="16" t="s">
        <v>107</v>
      </c>
      <c r="H10" s="3" t="s">
        <v>108</v>
      </c>
      <c r="I10" s="3" t="s">
        <v>109</v>
      </c>
      <c r="K10" s="17" t="s">
        <v>110</v>
      </c>
      <c r="L10" s="19">
        <v>0</v>
      </c>
      <c r="M10" s="19">
        <v>0</v>
      </c>
      <c r="N10" s="19">
        <v>0</v>
      </c>
      <c r="O10" s="19">
        <v>0</v>
      </c>
      <c r="P10" s="19">
        <v>0</v>
      </c>
      <c r="Q10" s="19">
        <v>0</v>
      </c>
      <c r="R10" s="19">
        <v>0</v>
      </c>
      <c r="S10" s="19">
        <v>0</v>
      </c>
      <c r="T10" s="19">
        <v>0</v>
      </c>
      <c r="U10" s="19">
        <v>0</v>
      </c>
      <c r="V10" s="19">
        <v>0</v>
      </c>
      <c r="W10" s="19">
        <v>0</v>
      </c>
      <c r="X10" s="19">
        <v>0</v>
      </c>
      <c r="Y10" s="19">
        <v>0</v>
      </c>
      <c r="Z10" s="19">
        <v>0</v>
      </c>
      <c r="AA10" s="19">
        <v>0</v>
      </c>
      <c r="AB10" s="19">
        <v>0</v>
      </c>
      <c r="AC10" s="19">
        <v>0</v>
      </c>
      <c r="AD10" s="19">
        <v>0</v>
      </c>
      <c r="AE10" s="19">
        <v>0</v>
      </c>
      <c r="AG10" s="17" t="s">
        <v>111</v>
      </c>
      <c r="AH10" s="19">
        <v>0</v>
      </c>
      <c r="AI10" s="19">
        <v>0</v>
      </c>
      <c r="AJ10" s="19">
        <v>0</v>
      </c>
      <c r="AK10" s="19">
        <v>0</v>
      </c>
      <c r="AL10" s="19">
        <v>0</v>
      </c>
      <c r="AM10" s="19">
        <v>19.972971788336729</v>
      </c>
      <c r="AN10" s="19">
        <v>19.97157009806325</v>
      </c>
      <c r="AO10" s="19">
        <v>19.971565908881789</v>
      </c>
      <c r="AP10" s="19">
        <v>19.971155000886512</v>
      </c>
      <c r="AQ10" s="19">
        <v>19.970646339602819</v>
      </c>
      <c r="AR10" s="19">
        <v>19.969956793477611</v>
      </c>
      <c r="AS10" s="19">
        <v>19.969638823349641</v>
      </c>
      <c r="AT10" s="19">
        <v>19.969157831680018</v>
      </c>
      <c r="AU10" s="19">
        <v>19.968774884612799</v>
      </c>
      <c r="AV10" s="19">
        <v>19.96839333965703</v>
      </c>
      <c r="AW10" s="19">
        <v>19.96802012449924</v>
      </c>
      <c r="AX10" s="19">
        <v>19.967651513452761</v>
      </c>
      <c r="AY10" s="19">
        <v>19.967291887056081</v>
      </c>
      <c r="AZ10" s="19">
        <v>19.966937625469711</v>
      </c>
      <c r="BA10" s="19">
        <v>19.96659317195725</v>
      </c>
      <c r="BC10" s="17" t="s">
        <v>112</v>
      </c>
      <c r="BD10" s="19">
        <v>0</v>
      </c>
      <c r="BE10" s="19">
        <v>0</v>
      </c>
      <c r="BF10" s="19">
        <v>0</v>
      </c>
      <c r="BG10" s="19">
        <v>0</v>
      </c>
      <c r="BH10" s="19">
        <v>0</v>
      </c>
      <c r="BI10" s="19">
        <v>9.9871789417476791</v>
      </c>
      <c r="BJ10" s="19">
        <v>23.301328260490031</v>
      </c>
      <c r="BK10" s="19">
        <v>36.612568421500377</v>
      </c>
      <c r="BL10" s="19">
        <v>49.92221547801757</v>
      </c>
      <c r="BM10" s="19">
        <v>63.229122441697641</v>
      </c>
      <c r="BN10" s="19">
        <v>76.531444461618293</v>
      </c>
      <c r="BO10" s="19">
        <v>89.832756822638999</v>
      </c>
      <c r="BP10" s="19">
        <v>103.1291449780154</v>
      </c>
      <c r="BQ10" s="19">
        <v>116.4240278357745</v>
      </c>
      <c r="BR10" s="19">
        <v>129.71393997213281</v>
      </c>
      <c r="BS10" s="19">
        <v>143.00237059557941</v>
      </c>
      <c r="BT10" s="19">
        <v>156.28480554052831</v>
      </c>
      <c r="BU10" s="19">
        <v>169.56683411950991</v>
      </c>
      <c r="BV10" s="19">
        <v>182.840643713692</v>
      </c>
      <c r="BW10" s="19">
        <v>196.11727264967411</v>
      </c>
      <c r="BY10" s="17" t="s">
        <v>113</v>
      </c>
      <c r="BZ10" s="19">
        <v>0</v>
      </c>
      <c r="CA10" s="19">
        <v>0</v>
      </c>
      <c r="CB10" s="19">
        <v>0</v>
      </c>
      <c r="CC10" s="19">
        <v>0</v>
      </c>
      <c r="CD10" s="19">
        <v>0</v>
      </c>
      <c r="CE10" s="19">
        <v>12.80559855502023</v>
      </c>
      <c r="CF10" s="19">
        <v>12.84187472199287</v>
      </c>
      <c r="CG10" s="19">
        <v>12.858598964394689</v>
      </c>
      <c r="CH10" s="19">
        <v>12.92210101113867</v>
      </c>
      <c r="CI10" s="19">
        <v>13.19411390016788</v>
      </c>
      <c r="CJ10" s="19">
        <v>13.542921721529391</v>
      </c>
      <c r="CK10" s="19">
        <v>13.68779968769392</v>
      </c>
      <c r="CL10" s="19">
        <v>14.05745167806259</v>
      </c>
      <c r="CM10" s="19">
        <v>14.36169158458395</v>
      </c>
      <c r="CN10" s="19">
        <v>14.6425887395382</v>
      </c>
      <c r="CO10" s="19">
        <v>14.958666229197981</v>
      </c>
      <c r="CP10" s="19">
        <v>15.243349335022099</v>
      </c>
      <c r="CQ10" s="19">
        <v>15.514533600391291</v>
      </c>
      <c r="CR10" s="19">
        <v>15.79240528131251</v>
      </c>
      <c r="CS10" s="19">
        <v>16.045481487424809</v>
      </c>
      <c r="CU10" s="17" t="s">
        <v>114</v>
      </c>
      <c r="CV10" s="19">
        <v>0</v>
      </c>
      <c r="CW10" s="19">
        <v>0</v>
      </c>
      <c r="CX10" s="19">
        <v>0</v>
      </c>
      <c r="CY10" s="19">
        <v>0</v>
      </c>
      <c r="CZ10" s="19">
        <v>0</v>
      </c>
      <c r="DA10" s="19">
        <v>49.925753238138753</v>
      </c>
      <c r="DB10" s="19">
        <v>49.917428955883331</v>
      </c>
      <c r="DC10" s="19">
        <v>49.91762347174059</v>
      </c>
      <c r="DD10" s="19">
        <v>49.91565672275469</v>
      </c>
      <c r="DE10" s="19">
        <v>49.91561471227255</v>
      </c>
      <c r="DF10" s="19">
        <v>49.912528375229343</v>
      </c>
      <c r="DG10" s="19">
        <v>49.911060890770052</v>
      </c>
      <c r="DH10" s="19">
        <v>49.908347475825551</v>
      </c>
      <c r="DI10" s="19">
        <v>49.906359062282668</v>
      </c>
      <c r="DJ10" s="19">
        <v>49.904037488481642</v>
      </c>
      <c r="DK10" s="19">
        <v>49.90205692778914</v>
      </c>
      <c r="DL10" s="19">
        <v>49.899818400637017</v>
      </c>
      <c r="DM10" s="19">
        <v>49.897957145525048</v>
      </c>
      <c r="DN10" s="19">
        <v>49.89588223715382</v>
      </c>
      <c r="DO10" s="19">
        <v>49.894153188459327</v>
      </c>
    </row>
    <row r="11" spans="1:230" x14ac:dyDescent="0.45">
      <c r="A11" s="16" t="s">
        <v>115</v>
      </c>
      <c r="B11" s="3" t="s">
        <v>89</v>
      </c>
      <c r="C11" s="16" t="s">
        <v>116</v>
      </c>
      <c r="H11" s="3" t="s">
        <v>117</v>
      </c>
      <c r="I11" s="3" t="s">
        <v>100</v>
      </c>
      <c r="K11" s="17" t="s">
        <v>118</v>
      </c>
      <c r="L11" s="18">
        <v>0</v>
      </c>
      <c r="M11" s="18">
        <v>0</v>
      </c>
      <c r="N11" s="18">
        <v>0</v>
      </c>
      <c r="O11" s="18">
        <v>0</v>
      </c>
      <c r="P11" s="18">
        <v>0</v>
      </c>
      <c r="Q11" s="18">
        <v>0</v>
      </c>
      <c r="R11" s="18">
        <v>0</v>
      </c>
      <c r="S11" s="18">
        <v>0</v>
      </c>
      <c r="T11" s="18">
        <v>0</v>
      </c>
      <c r="U11" s="18">
        <v>0</v>
      </c>
      <c r="V11" s="18">
        <v>0</v>
      </c>
      <c r="W11" s="18">
        <v>0</v>
      </c>
      <c r="X11" s="18">
        <v>0</v>
      </c>
      <c r="Y11" s="18">
        <v>0</v>
      </c>
      <c r="Z11" s="18">
        <v>0</v>
      </c>
      <c r="AA11" s="18">
        <v>0</v>
      </c>
      <c r="AB11" s="18">
        <v>0</v>
      </c>
      <c r="AC11" s="18">
        <v>0</v>
      </c>
      <c r="AD11" s="18">
        <v>0</v>
      </c>
      <c r="AE11" s="18">
        <v>0</v>
      </c>
      <c r="AG11" s="17" t="s">
        <v>119</v>
      </c>
      <c r="AH11" s="18">
        <v>0</v>
      </c>
      <c r="AI11" s="18">
        <v>0</v>
      </c>
      <c r="AJ11" s="18">
        <v>0</v>
      </c>
      <c r="AK11" s="18">
        <v>0</v>
      </c>
      <c r="AL11" s="18">
        <v>0</v>
      </c>
      <c r="AM11" s="18">
        <v>0</v>
      </c>
      <c r="AN11" s="18">
        <v>0</v>
      </c>
      <c r="AO11" s="18">
        <v>0</v>
      </c>
      <c r="AP11" s="18">
        <v>0</v>
      </c>
      <c r="AQ11" s="18">
        <v>0</v>
      </c>
      <c r="AR11" s="18">
        <v>0</v>
      </c>
      <c r="AS11" s="18">
        <v>0</v>
      </c>
      <c r="AT11" s="18">
        <v>0</v>
      </c>
      <c r="AU11" s="18">
        <v>0</v>
      </c>
      <c r="AV11" s="18">
        <v>0</v>
      </c>
      <c r="AW11" s="18">
        <v>0</v>
      </c>
      <c r="AX11" s="18">
        <v>0</v>
      </c>
      <c r="AY11" s="18">
        <v>0</v>
      </c>
      <c r="AZ11" s="18">
        <v>0</v>
      </c>
      <c r="BA11" s="18">
        <v>0</v>
      </c>
      <c r="BC11" s="17" t="s">
        <v>120</v>
      </c>
      <c r="BD11" s="18">
        <v>0</v>
      </c>
      <c r="BE11" s="18">
        <v>0</v>
      </c>
      <c r="BF11" s="18">
        <v>0</v>
      </c>
      <c r="BG11" s="18">
        <v>0</v>
      </c>
      <c r="BH11" s="18">
        <v>0</v>
      </c>
      <c r="BI11" s="18">
        <v>0</v>
      </c>
      <c r="BJ11" s="18">
        <v>0</v>
      </c>
      <c r="BK11" s="18">
        <v>0</v>
      </c>
      <c r="BL11" s="18">
        <v>0</v>
      </c>
      <c r="BM11" s="18">
        <v>0</v>
      </c>
      <c r="BN11" s="18">
        <v>0</v>
      </c>
      <c r="BO11" s="18">
        <v>0</v>
      </c>
      <c r="BP11" s="18">
        <v>0</v>
      </c>
      <c r="BQ11" s="18">
        <v>0</v>
      </c>
      <c r="BR11" s="18">
        <v>0</v>
      </c>
      <c r="BS11" s="18">
        <v>0</v>
      </c>
      <c r="BT11" s="18">
        <v>0</v>
      </c>
      <c r="BU11" s="18">
        <v>0</v>
      </c>
      <c r="BV11" s="18">
        <v>0</v>
      </c>
      <c r="BW11" s="18">
        <v>0</v>
      </c>
      <c r="BY11" s="17" t="s">
        <v>121</v>
      </c>
      <c r="BZ11" s="18">
        <v>0</v>
      </c>
      <c r="CA11" s="18">
        <v>0</v>
      </c>
      <c r="CB11" s="18">
        <v>0</v>
      </c>
      <c r="CC11" s="18">
        <v>0</v>
      </c>
      <c r="CD11" s="18">
        <v>0</v>
      </c>
      <c r="CE11" s="18">
        <v>35.855138605533483</v>
      </c>
      <c r="CF11" s="18">
        <v>49.73812004499954</v>
      </c>
      <c r="CG11" s="18">
        <v>63.894906928085213</v>
      </c>
      <c r="CH11" s="18">
        <v>78.263279055318279</v>
      </c>
      <c r="CI11" s="18">
        <v>92.624368793710985</v>
      </c>
      <c r="CJ11" s="18">
        <v>107.14593547294101</v>
      </c>
      <c r="CK11" s="18">
        <v>122.1917353167337</v>
      </c>
      <c r="CL11" s="18">
        <v>137.44093296769961</v>
      </c>
      <c r="CM11" s="18">
        <v>153.03818818218491</v>
      </c>
      <c r="CN11" s="18">
        <v>160.5783559003207</v>
      </c>
      <c r="CO11" s="18">
        <v>168.33796595543501</v>
      </c>
      <c r="CP11" s="18">
        <v>176.2326674642656</v>
      </c>
      <c r="CQ11" s="18">
        <v>184.26934975819461</v>
      </c>
      <c r="CR11" s="18">
        <v>192.49931097848429</v>
      </c>
      <c r="CS11" s="18">
        <v>200.9331551501827</v>
      </c>
      <c r="CU11" s="17" t="s">
        <v>122</v>
      </c>
      <c r="CV11" s="18">
        <v>0</v>
      </c>
      <c r="CW11" s="18">
        <v>0</v>
      </c>
      <c r="CX11" s="18">
        <v>0</v>
      </c>
      <c r="CY11" s="18">
        <v>0</v>
      </c>
      <c r="CZ11" s="18">
        <v>0</v>
      </c>
      <c r="DA11" s="18">
        <v>0</v>
      </c>
      <c r="DB11" s="18">
        <v>0</v>
      </c>
      <c r="DC11" s="18">
        <v>0</v>
      </c>
      <c r="DD11" s="18">
        <v>0</v>
      </c>
      <c r="DE11" s="18">
        <v>0</v>
      </c>
      <c r="DF11" s="18">
        <v>0</v>
      </c>
      <c r="DG11" s="18">
        <v>0</v>
      </c>
      <c r="DH11" s="18">
        <v>0</v>
      </c>
      <c r="DI11" s="18">
        <v>0</v>
      </c>
      <c r="DJ11" s="18">
        <v>0</v>
      </c>
      <c r="DK11" s="18">
        <v>0</v>
      </c>
      <c r="DL11" s="18">
        <v>0</v>
      </c>
      <c r="DM11" s="18">
        <v>0</v>
      </c>
      <c r="DN11" s="18">
        <v>0</v>
      </c>
      <c r="DO11" s="18">
        <v>0</v>
      </c>
    </row>
    <row r="12" spans="1:230" x14ac:dyDescent="0.45">
      <c r="A12" s="16" t="s">
        <v>123</v>
      </c>
      <c r="B12" s="3" t="s">
        <v>89</v>
      </c>
      <c r="C12" s="16" t="s">
        <v>124</v>
      </c>
      <c r="H12" s="3" t="s">
        <v>125</v>
      </c>
      <c r="I12" s="3" t="s">
        <v>92</v>
      </c>
      <c r="K12" s="17" t="s">
        <v>126</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G12" s="17" t="s">
        <v>127</v>
      </c>
      <c r="AH12" s="3">
        <v>0</v>
      </c>
      <c r="AI12" s="3">
        <v>0</v>
      </c>
      <c r="AJ12" s="3">
        <v>0</v>
      </c>
      <c r="AK12" s="3">
        <v>0</v>
      </c>
      <c r="AL12" s="3">
        <v>0</v>
      </c>
      <c r="AM12" s="3">
        <v>0.42233420394146959</v>
      </c>
      <c r="AN12" s="3">
        <v>0.39767696829015969</v>
      </c>
      <c r="AO12" s="3">
        <v>0.40255799046757651</v>
      </c>
      <c r="AP12" s="3">
        <v>0.39840784390368839</v>
      </c>
      <c r="AQ12" s="3">
        <v>0.39235011230902578</v>
      </c>
      <c r="AR12" s="3">
        <v>0.38264794527517171</v>
      </c>
      <c r="AS12" s="3">
        <v>0.38070635100336492</v>
      </c>
      <c r="AT12" s="3">
        <v>0.37548060539862332</v>
      </c>
      <c r="AU12" s="3">
        <v>0.3722267622332695</v>
      </c>
      <c r="AV12" s="3">
        <v>0.3690109993970403</v>
      </c>
      <c r="AW12" s="3">
        <v>0.36599185640015641</v>
      </c>
      <c r="AX12" s="3">
        <v>0.36301467818572142</v>
      </c>
      <c r="AY12" s="3">
        <v>0.36018223888958562</v>
      </c>
      <c r="AZ12" s="3">
        <v>0.35739708968546607</v>
      </c>
      <c r="BA12" s="3">
        <v>0.35477663816879201</v>
      </c>
      <c r="BC12" s="17" t="s">
        <v>128</v>
      </c>
      <c r="BD12" s="3">
        <v>0</v>
      </c>
      <c r="BE12" s="3">
        <v>0</v>
      </c>
      <c r="BF12" s="3">
        <v>0</v>
      </c>
      <c r="BG12" s="3">
        <v>0</v>
      </c>
      <c r="BH12" s="3">
        <v>0</v>
      </c>
      <c r="BI12" s="3">
        <v>0.4086718365956038</v>
      </c>
      <c r="BJ12" s="3">
        <v>0.42068386059991542</v>
      </c>
      <c r="BK12" s="3">
        <v>0.42141153863831682</v>
      </c>
      <c r="BL12" s="3">
        <v>0.42781924057712539</v>
      </c>
      <c r="BM12" s="3">
        <v>0.43347072818020171</v>
      </c>
      <c r="BN12" s="3">
        <v>0.42850355360961567</v>
      </c>
      <c r="BO12" s="3">
        <v>0.4308587107566384</v>
      </c>
      <c r="BP12" s="3">
        <v>0.42582385969385439</v>
      </c>
      <c r="BQ12" s="3">
        <v>0.42483379748827388</v>
      </c>
      <c r="BR12" s="3">
        <v>0.41920310221598228</v>
      </c>
      <c r="BS12" s="3">
        <v>0.41692840465900638</v>
      </c>
      <c r="BT12" s="3">
        <v>0.40987620487106002</v>
      </c>
      <c r="BU12" s="3">
        <v>0.40735043338030502</v>
      </c>
      <c r="BV12" s="3">
        <v>0.39842049049583278</v>
      </c>
      <c r="BW12" s="3">
        <v>0.39715790349763858</v>
      </c>
      <c r="BY12" s="17" t="s">
        <v>129</v>
      </c>
      <c r="BZ12" s="3">
        <v>0</v>
      </c>
      <c r="CA12" s="3">
        <v>0</v>
      </c>
      <c r="CB12" s="3">
        <v>0</v>
      </c>
      <c r="CC12" s="3">
        <v>0</v>
      </c>
      <c r="CD12" s="3">
        <v>0</v>
      </c>
      <c r="CE12" s="3">
        <v>0</v>
      </c>
      <c r="CF12" s="3">
        <v>0</v>
      </c>
      <c r="CG12" s="3">
        <v>0</v>
      </c>
      <c r="CH12" s="3">
        <v>0</v>
      </c>
      <c r="CI12" s="3">
        <v>0</v>
      </c>
      <c r="CJ12" s="3">
        <v>0</v>
      </c>
      <c r="CK12" s="3">
        <v>0</v>
      </c>
      <c r="CL12" s="3">
        <v>0</v>
      </c>
      <c r="CM12" s="3">
        <v>0</v>
      </c>
      <c r="CN12" s="3">
        <v>0</v>
      </c>
      <c r="CO12" s="3">
        <v>0</v>
      </c>
      <c r="CP12" s="3">
        <v>0</v>
      </c>
      <c r="CQ12" s="3">
        <v>0</v>
      </c>
      <c r="CR12" s="3">
        <v>0</v>
      </c>
      <c r="CS12" s="3">
        <v>0</v>
      </c>
      <c r="CU12" s="17" t="s">
        <v>130</v>
      </c>
      <c r="CV12" s="3">
        <v>0</v>
      </c>
      <c r="CW12" s="3">
        <v>0</v>
      </c>
      <c r="CX12" s="3">
        <v>0</v>
      </c>
      <c r="CY12" s="3">
        <v>0</v>
      </c>
      <c r="CZ12" s="3">
        <v>0</v>
      </c>
      <c r="DA12" s="3">
        <v>0.4637516935262469</v>
      </c>
      <c r="DB12" s="3">
        <v>0.40881914652753731</v>
      </c>
      <c r="DC12" s="3">
        <v>0.41512148017158013</v>
      </c>
      <c r="DD12" s="3">
        <v>0.40547840434905541</v>
      </c>
      <c r="DE12" s="3">
        <v>0.40963866958445327</v>
      </c>
      <c r="DF12" s="3">
        <v>0.39248098294387418</v>
      </c>
      <c r="DG12" s="3">
        <v>0.3868877342513582</v>
      </c>
      <c r="DH12" s="3">
        <v>0.37287242564663092</v>
      </c>
      <c r="DI12" s="3">
        <v>0.36389389790402882</v>
      </c>
      <c r="DJ12" s="3">
        <v>0.35277760837366451</v>
      </c>
      <c r="DK12" s="3">
        <v>0.34413276205040572</v>
      </c>
      <c r="DL12" s="3">
        <v>0.33375386051558781</v>
      </c>
      <c r="DM12" s="3">
        <v>0.32591563860711159</v>
      </c>
      <c r="DN12" s="3">
        <v>0.31662904616086501</v>
      </c>
      <c r="DO12" s="3">
        <v>0.30964268286610608</v>
      </c>
    </row>
    <row r="13" spans="1:230" x14ac:dyDescent="0.45">
      <c r="A13" s="16" t="s">
        <v>131</v>
      </c>
      <c r="B13" s="3" t="s">
        <v>89</v>
      </c>
      <c r="C13" s="16" t="s">
        <v>132</v>
      </c>
      <c r="H13" s="3" t="s">
        <v>133</v>
      </c>
      <c r="I13" s="3" t="s">
        <v>92</v>
      </c>
      <c r="K13" s="17" t="s">
        <v>134</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G13" s="17" t="s">
        <v>135</v>
      </c>
      <c r="AH13" s="3">
        <v>0</v>
      </c>
      <c r="AI13" s="3">
        <v>0</v>
      </c>
      <c r="AJ13" s="3">
        <v>0</v>
      </c>
      <c r="AK13" s="3">
        <v>0</v>
      </c>
      <c r="AL13" s="3">
        <v>0</v>
      </c>
      <c r="AM13" s="3">
        <v>0.26033122894508531</v>
      </c>
      <c r="AN13" s="3">
        <v>0.27068393529486251</v>
      </c>
      <c r="AO13" s="3">
        <v>0.26773159455305179</v>
      </c>
      <c r="AP13" s="3">
        <v>0.2688431129663344</v>
      </c>
      <c r="AQ13" s="3">
        <v>0.27077808470491738</v>
      </c>
      <c r="AR13" s="3">
        <v>0.27435475020182448</v>
      </c>
      <c r="AS13" s="3">
        <v>0.27445101936922062</v>
      </c>
      <c r="AT13" s="3">
        <v>0.27598054668730182</v>
      </c>
      <c r="AU13" s="3">
        <v>0.27662120393902978</v>
      </c>
      <c r="AV13" s="3">
        <v>0.27722676141495439</v>
      </c>
      <c r="AW13" s="3">
        <v>0.27772555211235722</v>
      </c>
      <c r="AX13" s="3">
        <v>0.27819504190141109</v>
      </c>
      <c r="AY13" s="3">
        <v>0.27858935132311891</v>
      </c>
      <c r="AZ13" s="3">
        <v>0.27895525223822371</v>
      </c>
      <c r="BA13" s="3">
        <v>0.27923869454204842</v>
      </c>
      <c r="BC13" s="17" t="s">
        <v>136</v>
      </c>
      <c r="BD13" s="3">
        <v>0</v>
      </c>
      <c r="BE13" s="3">
        <v>0</v>
      </c>
      <c r="BF13" s="3">
        <v>0</v>
      </c>
      <c r="BG13" s="3">
        <v>0</v>
      </c>
      <c r="BH13" s="3">
        <v>0</v>
      </c>
      <c r="BI13" s="3">
        <v>0.25983009196280021</v>
      </c>
      <c r="BJ13" s="3">
        <v>0.26051216965507912</v>
      </c>
      <c r="BK13" s="3">
        <v>0.26497272464431743</v>
      </c>
      <c r="BL13" s="3">
        <v>0.26595326606124542</v>
      </c>
      <c r="BM13" s="3">
        <v>0.26709019875241058</v>
      </c>
      <c r="BN13" s="3">
        <v>0.2726893932623552</v>
      </c>
      <c r="BO13" s="3">
        <v>0.27434883180985431</v>
      </c>
      <c r="BP13" s="3">
        <v>0.27919709189463188</v>
      </c>
      <c r="BQ13" s="3">
        <v>0.28178044236286581</v>
      </c>
      <c r="BR13" s="3">
        <v>0.28638355236940721</v>
      </c>
      <c r="BS13" s="3">
        <v>0.28911458605804458</v>
      </c>
      <c r="BT13" s="3">
        <v>0.29402946273817021</v>
      </c>
      <c r="BU13" s="3">
        <v>0.29652845289086971</v>
      </c>
      <c r="BV13" s="3">
        <v>0.30209629476979061</v>
      </c>
      <c r="BW13" s="3">
        <v>0.30369269599076137</v>
      </c>
      <c r="BY13" s="17" t="s">
        <v>137</v>
      </c>
      <c r="BZ13" s="3">
        <v>0</v>
      </c>
      <c r="CA13" s="3">
        <v>0</v>
      </c>
      <c r="CB13" s="3">
        <v>0</v>
      </c>
      <c r="CC13" s="3">
        <v>0</v>
      </c>
      <c r="CD13" s="3">
        <v>0</v>
      </c>
      <c r="CE13" s="3">
        <v>0.25834594838381059</v>
      </c>
      <c r="CF13" s="3">
        <v>0.25851294759625698</v>
      </c>
      <c r="CG13" s="3">
        <v>0.25827728470783062</v>
      </c>
      <c r="CH13" s="3">
        <v>0.25898422994622577</v>
      </c>
      <c r="CI13" s="3">
        <v>0.26383966841385281</v>
      </c>
      <c r="CJ13" s="3">
        <v>0.27019749930900822</v>
      </c>
      <c r="CK13" s="3">
        <v>0.27244873265571512</v>
      </c>
      <c r="CL13" s="3">
        <v>0.27914021807850492</v>
      </c>
      <c r="CM13" s="3">
        <v>0.28449274832337512</v>
      </c>
      <c r="CN13" s="3">
        <v>0.2893447844242823</v>
      </c>
      <c r="CO13" s="3">
        <v>0.29485190993562521</v>
      </c>
      <c r="CP13" s="3">
        <v>0.29970540233343812</v>
      </c>
      <c r="CQ13" s="3">
        <v>0.3042588341084469</v>
      </c>
      <c r="CR13" s="3">
        <v>0.30891221016437997</v>
      </c>
      <c r="CS13" s="3">
        <v>0.31304656571839462</v>
      </c>
      <c r="CU13" s="17" t="s">
        <v>138</v>
      </c>
      <c r="CV13" s="3">
        <v>0</v>
      </c>
      <c r="CW13" s="3">
        <v>0</v>
      </c>
      <c r="CX13" s="3">
        <v>0</v>
      </c>
      <c r="CY13" s="3">
        <v>0</v>
      </c>
      <c r="CZ13" s="3">
        <v>0</v>
      </c>
      <c r="DA13" s="3">
        <v>0.25383616543053289</v>
      </c>
      <c r="DB13" s="3">
        <v>0.27905740204630131</v>
      </c>
      <c r="DC13" s="3">
        <v>0.27530245122102959</v>
      </c>
      <c r="DD13" s="3">
        <v>0.27908352715926982</v>
      </c>
      <c r="DE13" s="3">
        <v>0.27634885341886312</v>
      </c>
      <c r="DF13" s="3">
        <v>0.28361318389947882</v>
      </c>
      <c r="DG13" s="3">
        <v>0.28542055157408658</v>
      </c>
      <c r="DH13" s="3">
        <v>0.29110542676341677</v>
      </c>
      <c r="DI13" s="3">
        <v>0.29441672782430323</v>
      </c>
      <c r="DJ13" s="3">
        <v>0.29867759511745851</v>
      </c>
      <c r="DK13" s="3">
        <v>0.30175165970655632</v>
      </c>
      <c r="DL13" s="3">
        <v>0.30559992062168911</v>
      </c>
      <c r="DM13" s="3">
        <v>0.30825552858395883</v>
      </c>
      <c r="DN13" s="3">
        <v>0.31155728770997981</v>
      </c>
      <c r="DO13" s="3">
        <v>0.31378591053737481</v>
      </c>
    </row>
    <row r="14" spans="1:230" x14ac:dyDescent="0.45">
      <c r="A14" s="16" t="s">
        <v>139</v>
      </c>
      <c r="B14" s="3" t="s">
        <v>89</v>
      </c>
      <c r="C14" s="16" t="s">
        <v>140</v>
      </c>
      <c r="H14" s="3" t="s">
        <v>141</v>
      </c>
      <c r="I14" s="3" t="s">
        <v>92</v>
      </c>
      <c r="K14" s="17" t="s">
        <v>142</v>
      </c>
      <c r="L14" s="3">
        <v>0</v>
      </c>
      <c r="M14" s="3">
        <v>0</v>
      </c>
      <c r="N14" s="3">
        <v>0</v>
      </c>
      <c r="O14" s="3">
        <v>0</v>
      </c>
      <c r="P14" s="3">
        <v>0</v>
      </c>
      <c r="Q14" s="3">
        <v>0</v>
      </c>
      <c r="R14" s="3">
        <v>0</v>
      </c>
      <c r="S14" s="3">
        <v>0</v>
      </c>
      <c r="T14" s="3">
        <v>0</v>
      </c>
      <c r="U14" s="3">
        <v>0</v>
      </c>
      <c r="V14" s="3">
        <v>0</v>
      </c>
      <c r="W14" s="3">
        <v>0</v>
      </c>
      <c r="X14" s="3">
        <v>0</v>
      </c>
      <c r="Y14" s="3">
        <v>0</v>
      </c>
      <c r="Z14" s="3">
        <v>0</v>
      </c>
      <c r="AA14" s="3">
        <v>0</v>
      </c>
      <c r="AB14" s="3">
        <v>0</v>
      </c>
      <c r="AC14" s="3">
        <v>0</v>
      </c>
      <c r="AD14" s="3">
        <v>0</v>
      </c>
      <c r="AE14" s="3">
        <v>0</v>
      </c>
      <c r="AG14" s="17" t="s">
        <v>143</v>
      </c>
      <c r="AH14" s="3">
        <v>0</v>
      </c>
      <c r="AI14" s="3">
        <v>0</v>
      </c>
      <c r="AJ14" s="3">
        <v>0</v>
      </c>
      <c r="AK14" s="3">
        <v>0</v>
      </c>
      <c r="AL14" s="3">
        <v>0</v>
      </c>
      <c r="AM14" s="3">
        <v>7.1203795216728871E-2</v>
      </c>
      <c r="AN14" s="3">
        <v>7.3391182053351892E-2</v>
      </c>
      <c r="AO14" s="3">
        <v>7.2005317419045367E-2</v>
      </c>
      <c r="AP14" s="3">
        <v>7.1813723095267484E-2</v>
      </c>
      <c r="AQ14" s="3">
        <v>7.1829998251045746E-2</v>
      </c>
      <c r="AR14" s="3">
        <v>7.2297207796948287E-2</v>
      </c>
      <c r="AS14" s="3">
        <v>7.1836515815568464E-2</v>
      </c>
      <c r="AT14" s="3">
        <v>7.1753680212034224E-2</v>
      </c>
      <c r="AU14" s="3">
        <v>7.1453772932480231E-2</v>
      </c>
      <c r="AV14" s="3">
        <v>7.1152587385292634E-2</v>
      </c>
      <c r="AW14" s="3">
        <v>7.082736553634579E-2</v>
      </c>
      <c r="AX14" s="3">
        <v>7.0513356181782672E-2</v>
      </c>
      <c r="AY14" s="3">
        <v>7.0195121696989396E-2</v>
      </c>
      <c r="AZ14" s="3">
        <v>6.9889169278113103E-2</v>
      </c>
      <c r="BA14" s="3">
        <v>6.9575260357222071E-2</v>
      </c>
      <c r="BC14" s="17" t="s">
        <v>144</v>
      </c>
      <c r="BD14" s="3">
        <v>0</v>
      </c>
      <c r="BE14" s="3">
        <v>0</v>
      </c>
      <c r="BF14" s="3">
        <v>0</v>
      </c>
      <c r="BG14" s="3">
        <v>0</v>
      </c>
      <c r="BH14" s="3">
        <v>0</v>
      </c>
      <c r="BI14" s="3">
        <v>7.6595602247276406E-2</v>
      </c>
      <c r="BJ14" s="3">
        <v>7.1893043622217753E-2</v>
      </c>
      <c r="BK14" s="3">
        <v>6.9450021771743364E-2</v>
      </c>
      <c r="BL14" s="3">
        <v>6.6853249841361123E-2</v>
      </c>
      <c r="BM14" s="3">
        <v>6.4006306762772261E-2</v>
      </c>
      <c r="BN14" s="3">
        <v>6.2706563912556329E-2</v>
      </c>
      <c r="BO14" s="3">
        <v>6.0833874981661887E-2</v>
      </c>
      <c r="BP14" s="3">
        <v>5.9922523237545433E-2</v>
      </c>
      <c r="BQ14" s="3">
        <v>5.871771265074021E-2</v>
      </c>
      <c r="BR14" s="3">
        <v>5.8088663905409912E-2</v>
      </c>
      <c r="BS14" s="3">
        <v>5.7201088348848107E-2</v>
      </c>
      <c r="BT14" s="3">
        <v>5.6847073232512993E-2</v>
      </c>
      <c r="BU14" s="3">
        <v>5.6112947499902879E-2</v>
      </c>
      <c r="BV14" s="3">
        <v>5.6035681696306239E-2</v>
      </c>
      <c r="BW14" s="3">
        <v>5.529065992196263E-2</v>
      </c>
      <c r="BY14" s="17" t="s">
        <v>145</v>
      </c>
      <c r="BZ14" s="3">
        <v>0</v>
      </c>
      <c r="CA14" s="3">
        <v>0</v>
      </c>
      <c r="CB14" s="3">
        <v>0</v>
      </c>
      <c r="CC14" s="3">
        <v>0</v>
      </c>
      <c r="CD14" s="3">
        <v>0</v>
      </c>
      <c r="CE14" s="3">
        <v>6.8954587137612461E-2</v>
      </c>
      <c r="CF14" s="3">
        <v>6.840329259510769E-2</v>
      </c>
      <c r="CG14" s="3">
        <v>6.7795300987893492E-2</v>
      </c>
      <c r="CH14" s="3">
        <v>6.7522353232598961E-2</v>
      </c>
      <c r="CI14" s="3">
        <v>6.8312415846615834E-2</v>
      </c>
      <c r="CJ14" s="3">
        <v>6.9500452850749461E-2</v>
      </c>
      <c r="CK14" s="3">
        <v>6.9611203723442566E-2</v>
      </c>
      <c r="CL14" s="3">
        <v>7.085387535828086E-2</v>
      </c>
      <c r="CM14" s="3">
        <v>7.175273123670696E-2</v>
      </c>
      <c r="CN14" s="3">
        <v>7.2518789266820385E-2</v>
      </c>
      <c r="CO14" s="3">
        <v>7.3439799343562331E-2</v>
      </c>
      <c r="CP14" s="3">
        <v>7.4202180873030904E-2</v>
      </c>
      <c r="CQ14" s="3">
        <v>7.4890592354842994E-2</v>
      </c>
      <c r="CR14" s="3">
        <v>7.5610331670869779E-2</v>
      </c>
      <c r="CS14" s="3">
        <v>7.6202149201509056E-2</v>
      </c>
      <c r="CU14" s="17" t="s">
        <v>146</v>
      </c>
      <c r="CV14" s="3">
        <v>0</v>
      </c>
      <c r="CW14" s="3">
        <v>0</v>
      </c>
      <c r="CX14" s="3">
        <v>0</v>
      </c>
      <c r="CY14" s="3">
        <v>0</v>
      </c>
      <c r="CZ14" s="3">
        <v>0</v>
      </c>
      <c r="DA14" s="3">
        <v>6.1661356274176238E-2</v>
      </c>
      <c r="DB14" s="3">
        <v>6.7217387623343602E-2</v>
      </c>
      <c r="DC14" s="3">
        <v>6.5786973018101116E-2</v>
      </c>
      <c r="DD14" s="3">
        <v>6.6275379128747439E-2</v>
      </c>
      <c r="DE14" s="3">
        <v>6.5182649514428675E-2</v>
      </c>
      <c r="DF14" s="3">
        <v>6.6478771956442417E-2</v>
      </c>
      <c r="DG14" s="3">
        <v>6.6456958770520533E-2</v>
      </c>
      <c r="DH14" s="3">
        <v>6.7325566720214822E-2</v>
      </c>
      <c r="DI14" s="3">
        <v>6.7651439156517612E-2</v>
      </c>
      <c r="DJ14" s="3">
        <v>6.8190483902396709E-2</v>
      </c>
      <c r="DK14" s="3">
        <v>6.8444688072366588E-2</v>
      </c>
      <c r="DL14" s="3">
        <v>6.8892737332057169E-2</v>
      </c>
      <c r="DM14" s="3">
        <v>6.9082157872575364E-2</v>
      </c>
      <c r="DN14" s="3">
        <v>6.9438266153625833E-2</v>
      </c>
      <c r="DO14" s="3">
        <v>6.9563722267251341E-2</v>
      </c>
    </row>
    <row r="15" spans="1:230" x14ac:dyDescent="0.45">
      <c r="A15" s="16" t="s">
        <v>147</v>
      </c>
      <c r="B15" s="3" t="s">
        <v>89</v>
      </c>
      <c r="C15" s="16" t="s">
        <v>148</v>
      </c>
      <c r="H15" s="3" t="s">
        <v>149</v>
      </c>
      <c r="I15" s="3" t="s">
        <v>92</v>
      </c>
      <c r="K15" s="17" t="s">
        <v>150</v>
      </c>
      <c r="L15" s="3">
        <v>0</v>
      </c>
      <c r="M15" s="3">
        <v>0</v>
      </c>
      <c r="N15" s="3">
        <v>0</v>
      </c>
      <c r="O15" s="3">
        <v>0</v>
      </c>
      <c r="P15" s="3">
        <v>0</v>
      </c>
      <c r="Q15" s="3">
        <v>0</v>
      </c>
      <c r="R15" s="3">
        <v>0</v>
      </c>
      <c r="S15" s="3">
        <v>0</v>
      </c>
      <c r="T15" s="3">
        <v>0</v>
      </c>
      <c r="U15" s="3">
        <v>0</v>
      </c>
      <c r="V15" s="3">
        <v>0</v>
      </c>
      <c r="W15" s="3">
        <v>0</v>
      </c>
      <c r="X15" s="3">
        <v>0</v>
      </c>
      <c r="Y15" s="3">
        <v>0</v>
      </c>
      <c r="Z15" s="3">
        <v>0</v>
      </c>
      <c r="AA15" s="3">
        <v>0</v>
      </c>
      <c r="AB15" s="3">
        <v>0</v>
      </c>
      <c r="AC15" s="3">
        <v>0</v>
      </c>
      <c r="AD15" s="3">
        <v>0</v>
      </c>
      <c r="AE15" s="3">
        <v>0</v>
      </c>
      <c r="AG15" s="17" t="s">
        <v>151</v>
      </c>
      <c r="AH15" s="3">
        <v>0</v>
      </c>
      <c r="AI15" s="3">
        <v>0</v>
      </c>
      <c r="AJ15" s="3">
        <v>0</v>
      </c>
      <c r="AK15" s="3">
        <v>0</v>
      </c>
      <c r="AL15" s="3">
        <v>0</v>
      </c>
      <c r="AM15" s="3">
        <v>0.2447793613135528</v>
      </c>
      <c r="AN15" s="3">
        <v>0.25682641926478827</v>
      </c>
      <c r="AO15" s="3">
        <v>0.25628339300441588</v>
      </c>
      <c r="AP15" s="3">
        <v>0.25949307007903522</v>
      </c>
      <c r="AQ15" s="3">
        <v>0.26357412171515171</v>
      </c>
      <c r="AR15" s="3">
        <v>0.26919793639993589</v>
      </c>
      <c r="AS15" s="3">
        <v>0.27148805497932837</v>
      </c>
      <c r="AT15" s="3">
        <v>0.27524305928604181</v>
      </c>
      <c r="AU15" s="3">
        <v>0.27813700512586031</v>
      </c>
      <c r="AV15" s="3">
        <v>0.2810293187855642</v>
      </c>
      <c r="AW15" s="3">
        <v>0.28385623217610262</v>
      </c>
      <c r="AX15" s="3">
        <v>0.28665949940372282</v>
      </c>
      <c r="AY15" s="3">
        <v>0.28939788244311038</v>
      </c>
      <c r="AZ15" s="3">
        <v>0.29210537007168269</v>
      </c>
      <c r="BA15" s="3">
        <v>0.29473906552979978</v>
      </c>
      <c r="BC15" s="17" t="s">
        <v>152</v>
      </c>
      <c r="BD15" s="3">
        <v>0</v>
      </c>
      <c r="BE15" s="3">
        <v>0</v>
      </c>
      <c r="BF15" s="3">
        <v>0</v>
      </c>
      <c r="BG15" s="3">
        <v>0</v>
      </c>
      <c r="BH15" s="3">
        <v>0</v>
      </c>
      <c r="BI15" s="3">
        <v>0.2536203633690875</v>
      </c>
      <c r="BJ15" s="3">
        <v>0.24553928014378901</v>
      </c>
      <c r="BK15" s="3">
        <v>0.2426903082592691</v>
      </c>
      <c r="BL15" s="3">
        <v>0.23781855308061939</v>
      </c>
      <c r="BM15" s="3">
        <v>0.2337873311735254</v>
      </c>
      <c r="BN15" s="3">
        <v>0.23433672132353719</v>
      </c>
      <c r="BO15" s="3">
        <v>0.23210032492561211</v>
      </c>
      <c r="BP15" s="3">
        <v>0.23308050883218201</v>
      </c>
      <c r="BQ15" s="3">
        <v>0.2325882860904728</v>
      </c>
      <c r="BR15" s="3">
        <v>0.23412421975637601</v>
      </c>
      <c r="BS15" s="3">
        <v>0.23444687857767821</v>
      </c>
      <c r="BT15" s="3">
        <v>0.23680984771482011</v>
      </c>
      <c r="BU15" s="3">
        <v>0.2374601316378043</v>
      </c>
      <c r="BV15" s="3">
        <v>0.24076013511275371</v>
      </c>
      <c r="BW15" s="3">
        <v>0.24106521168967501</v>
      </c>
      <c r="BY15" s="17" t="s">
        <v>153</v>
      </c>
      <c r="BZ15" s="3">
        <v>0</v>
      </c>
      <c r="CA15" s="3">
        <v>0</v>
      </c>
      <c r="CB15" s="3">
        <v>0</v>
      </c>
      <c r="CC15" s="3">
        <v>0</v>
      </c>
      <c r="CD15" s="3">
        <v>0</v>
      </c>
      <c r="CE15" s="3">
        <v>0.18492340667938631</v>
      </c>
      <c r="CF15" s="3">
        <v>0.18675874868834999</v>
      </c>
      <c r="CG15" s="3">
        <v>0.18827137288006349</v>
      </c>
      <c r="CH15" s="3">
        <v>0.19037745726672209</v>
      </c>
      <c r="CI15" s="3">
        <v>0.1956124717462466</v>
      </c>
      <c r="CJ15" s="3">
        <v>0.202018916701418</v>
      </c>
      <c r="CK15" s="3">
        <v>0.20545205112859941</v>
      </c>
      <c r="CL15" s="3">
        <v>0.21230397368571799</v>
      </c>
      <c r="CM15" s="3">
        <v>0.21822218382327599</v>
      </c>
      <c r="CN15" s="3">
        <v>0.22383997589042509</v>
      </c>
      <c r="CO15" s="3">
        <v>0.2300549398887318</v>
      </c>
      <c r="CP15" s="3">
        <v>0.23582639019441479</v>
      </c>
      <c r="CQ15" s="3">
        <v>0.24143191755236179</v>
      </c>
      <c r="CR15" s="3">
        <v>0.24717366941725061</v>
      </c>
      <c r="CS15" s="3">
        <v>0.25257054457708872</v>
      </c>
      <c r="CU15" s="17" t="s">
        <v>154</v>
      </c>
      <c r="CV15" s="3">
        <v>0</v>
      </c>
      <c r="CW15" s="3">
        <v>0</v>
      </c>
      <c r="CX15" s="3">
        <v>0</v>
      </c>
      <c r="CY15" s="3">
        <v>0</v>
      </c>
      <c r="CZ15" s="3">
        <v>0</v>
      </c>
      <c r="DA15" s="3">
        <v>0.2192658495318188</v>
      </c>
      <c r="DB15" s="3">
        <v>0.24325464292048449</v>
      </c>
      <c r="DC15" s="3">
        <v>0.242141565024101</v>
      </c>
      <c r="DD15" s="3">
        <v>0.24747582381802111</v>
      </c>
      <c r="DE15" s="3">
        <v>0.24714212172770589</v>
      </c>
      <c r="DF15" s="3">
        <v>0.25567762870479133</v>
      </c>
      <c r="DG15" s="3">
        <v>0.25945597321943559</v>
      </c>
      <c r="DH15" s="3">
        <v>0.2668635303862486</v>
      </c>
      <c r="DI15" s="3">
        <v>0.27216511636080382</v>
      </c>
      <c r="DJ15" s="3">
        <v>0.2784350623761131</v>
      </c>
      <c r="DK15" s="3">
        <v>0.28371202872645429</v>
      </c>
      <c r="DL15" s="3">
        <v>0.28974984954340649</v>
      </c>
      <c r="DM15" s="3">
        <v>0.29470581784685518</v>
      </c>
      <c r="DN15" s="3">
        <v>0.30029304471860579</v>
      </c>
      <c r="DO15" s="3">
        <v>0.3048907480984544</v>
      </c>
    </row>
    <row r="16" spans="1:230" x14ac:dyDescent="0.45">
      <c r="A16" s="16" t="s">
        <v>155</v>
      </c>
      <c r="B16" s="3" t="s">
        <v>89</v>
      </c>
      <c r="C16" s="16" t="s">
        <v>156</v>
      </c>
      <c r="H16" s="3" t="s">
        <v>157</v>
      </c>
      <c r="I16" s="3" t="s">
        <v>92</v>
      </c>
      <c r="K16" s="17" t="s">
        <v>158</v>
      </c>
      <c r="L16" s="3">
        <v>0</v>
      </c>
      <c r="M16" s="3">
        <v>0</v>
      </c>
      <c r="N16" s="3">
        <v>0</v>
      </c>
      <c r="O16" s="3">
        <v>0</v>
      </c>
      <c r="P16" s="3">
        <v>0</v>
      </c>
      <c r="Q16" s="3">
        <v>0</v>
      </c>
      <c r="R16" s="3">
        <v>0</v>
      </c>
      <c r="S16" s="3">
        <v>0</v>
      </c>
      <c r="T16" s="3">
        <v>0</v>
      </c>
      <c r="U16" s="3">
        <v>0</v>
      </c>
      <c r="V16" s="3">
        <v>0</v>
      </c>
      <c r="W16" s="3">
        <v>0</v>
      </c>
      <c r="X16" s="3">
        <v>0</v>
      </c>
      <c r="Y16" s="3">
        <v>0</v>
      </c>
      <c r="Z16" s="3">
        <v>0</v>
      </c>
      <c r="AA16" s="3">
        <v>0</v>
      </c>
      <c r="AB16" s="3">
        <v>0</v>
      </c>
      <c r="AC16" s="3">
        <v>0</v>
      </c>
      <c r="AD16" s="3">
        <v>0</v>
      </c>
      <c r="AE16" s="3">
        <v>0</v>
      </c>
      <c r="AG16" s="17" t="s">
        <v>159</v>
      </c>
      <c r="AH16" s="3">
        <v>0</v>
      </c>
      <c r="AI16" s="3">
        <v>0</v>
      </c>
      <c r="AJ16" s="3">
        <v>0</v>
      </c>
      <c r="AK16" s="3">
        <v>0</v>
      </c>
      <c r="AL16" s="3">
        <v>0</v>
      </c>
      <c r="AM16" s="3">
        <v>0</v>
      </c>
      <c r="AN16" s="3">
        <v>0</v>
      </c>
      <c r="AO16" s="3">
        <v>0</v>
      </c>
      <c r="AP16" s="3">
        <v>0</v>
      </c>
      <c r="AQ16" s="3">
        <v>0</v>
      </c>
      <c r="AR16" s="3">
        <v>0</v>
      </c>
      <c r="AS16" s="3">
        <v>0</v>
      </c>
      <c r="AT16" s="3">
        <v>0</v>
      </c>
      <c r="AU16" s="3">
        <v>0</v>
      </c>
      <c r="AV16" s="3">
        <v>0</v>
      </c>
      <c r="AW16" s="3">
        <v>0</v>
      </c>
      <c r="AX16" s="3">
        <v>0</v>
      </c>
      <c r="AY16" s="3">
        <v>0</v>
      </c>
      <c r="AZ16" s="3">
        <v>0</v>
      </c>
      <c r="BA16" s="3">
        <v>0</v>
      </c>
      <c r="BC16" s="17" t="s">
        <v>160</v>
      </c>
      <c r="BD16" s="3">
        <v>0</v>
      </c>
      <c r="BE16" s="3">
        <v>0</v>
      </c>
      <c r="BF16" s="3">
        <v>0</v>
      </c>
      <c r="BG16" s="3">
        <v>0</v>
      </c>
      <c r="BH16" s="3">
        <v>0</v>
      </c>
      <c r="BI16" s="3">
        <v>0</v>
      </c>
      <c r="BJ16" s="3">
        <v>0</v>
      </c>
      <c r="BK16" s="3">
        <v>0</v>
      </c>
      <c r="BL16" s="3">
        <v>0</v>
      </c>
      <c r="BM16" s="3">
        <v>0</v>
      </c>
      <c r="BN16" s="3">
        <v>0</v>
      </c>
      <c r="BO16" s="3">
        <v>0</v>
      </c>
      <c r="BP16" s="3">
        <v>0</v>
      </c>
      <c r="BQ16" s="3">
        <v>0</v>
      </c>
      <c r="BR16" s="3">
        <v>0</v>
      </c>
      <c r="BS16" s="3">
        <v>0</v>
      </c>
      <c r="BT16" s="3">
        <v>0</v>
      </c>
      <c r="BU16" s="3">
        <v>0</v>
      </c>
      <c r="BV16" s="3">
        <v>0</v>
      </c>
      <c r="BW16" s="3">
        <v>0</v>
      </c>
      <c r="BY16" s="17" t="s">
        <v>161</v>
      </c>
      <c r="BZ16" s="3">
        <v>0</v>
      </c>
      <c r="CA16" s="3">
        <v>0</v>
      </c>
      <c r="CB16" s="3">
        <v>0</v>
      </c>
      <c r="CC16" s="3">
        <v>0</v>
      </c>
      <c r="CD16" s="3">
        <v>0</v>
      </c>
      <c r="CE16" s="3">
        <v>0</v>
      </c>
      <c r="CF16" s="3">
        <v>0</v>
      </c>
      <c r="CG16" s="3">
        <v>0</v>
      </c>
      <c r="CH16" s="3">
        <v>0</v>
      </c>
      <c r="CI16" s="3">
        <v>0</v>
      </c>
      <c r="CJ16" s="3">
        <v>0</v>
      </c>
      <c r="CK16" s="3">
        <v>0</v>
      </c>
      <c r="CL16" s="3">
        <v>0</v>
      </c>
      <c r="CM16" s="3">
        <v>0</v>
      </c>
      <c r="CN16" s="3">
        <v>0</v>
      </c>
      <c r="CO16" s="3">
        <v>0</v>
      </c>
      <c r="CP16" s="3">
        <v>0</v>
      </c>
      <c r="CQ16" s="3">
        <v>0</v>
      </c>
      <c r="CR16" s="3">
        <v>0</v>
      </c>
      <c r="CS16" s="3">
        <v>0</v>
      </c>
      <c r="CU16" s="17" t="s">
        <v>162</v>
      </c>
      <c r="CV16" s="3">
        <v>0</v>
      </c>
      <c r="CW16" s="3">
        <v>0</v>
      </c>
      <c r="CX16" s="3">
        <v>0</v>
      </c>
      <c r="CY16" s="3">
        <v>0</v>
      </c>
      <c r="CZ16" s="3">
        <v>0</v>
      </c>
      <c r="DA16" s="3">
        <v>0</v>
      </c>
      <c r="DB16" s="3">
        <v>0</v>
      </c>
      <c r="DC16" s="3">
        <v>0</v>
      </c>
      <c r="DD16" s="3">
        <v>0</v>
      </c>
      <c r="DE16" s="3">
        <v>0</v>
      </c>
      <c r="DF16" s="3">
        <v>0</v>
      </c>
      <c r="DG16" s="3">
        <v>0</v>
      </c>
      <c r="DH16" s="3">
        <v>0</v>
      </c>
      <c r="DI16" s="3">
        <v>0</v>
      </c>
      <c r="DJ16" s="3">
        <v>0</v>
      </c>
      <c r="DK16" s="3">
        <v>0</v>
      </c>
      <c r="DL16" s="3">
        <v>0</v>
      </c>
      <c r="DM16" s="3">
        <v>0</v>
      </c>
      <c r="DN16" s="3">
        <v>0</v>
      </c>
      <c r="DO16" s="3">
        <v>0</v>
      </c>
    </row>
    <row r="17" spans="1:230" ht="15.4" x14ac:dyDescent="0.45">
      <c r="A17" s="5"/>
      <c r="B17" s="15" t="s">
        <v>163</v>
      </c>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row>
    <row r="18" spans="1:230" x14ac:dyDescent="0.45">
      <c r="A18" s="16" t="s">
        <v>164</v>
      </c>
      <c r="B18" s="3" t="s">
        <v>89</v>
      </c>
      <c r="C18" s="16" t="s">
        <v>165</v>
      </c>
      <c r="H18" s="3" t="s">
        <v>166</v>
      </c>
      <c r="I18" s="3" t="s">
        <v>92</v>
      </c>
      <c r="K18" s="17" t="s">
        <v>167</v>
      </c>
      <c r="L18" s="3">
        <v>6.6513450000000002E-2</v>
      </c>
      <c r="M18" s="3">
        <v>3.760281E-2</v>
      </c>
      <c r="N18" s="3">
        <v>2.3988010000000001E-2</v>
      </c>
      <c r="O18" s="3">
        <v>4.3923869999999997E-2</v>
      </c>
      <c r="P18" s="3">
        <v>4.239706E-2</v>
      </c>
      <c r="Q18" s="3">
        <v>4.8292179999999997E-2</v>
      </c>
      <c r="R18" s="3">
        <v>5.5353159999999998E-2</v>
      </c>
      <c r="S18" s="3">
        <v>5.2266060000000003E-2</v>
      </c>
      <c r="T18" s="3">
        <v>4.841877E-2</v>
      </c>
      <c r="U18" s="3">
        <v>4.7887359999999997E-2</v>
      </c>
      <c r="V18" s="3">
        <v>4.7355950000000008E-2</v>
      </c>
      <c r="W18" s="3">
        <v>4.6824540000000012E-2</v>
      </c>
      <c r="X18" s="3">
        <v>4.6293130000000023E-2</v>
      </c>
      <c r="Y18" s="3">
        <v>4.576172000000002E-2</v>
      </c>
      <c r="Z18" s="3">
        <v>4.5230310000000017E-2</v>
      </c>
      <c r="AA18" s="3">
        <v>4.4698900000000027E-2</v>
      </c>
      <c r="AB18" s="3">
        <v>4.4167490000000031E-2</v>
      </c>
      <c r="AC18" s="3">
        <v>4.3636080000000042E-2</v>
      </c>
      <c r="AD18" s="3">
        <v>4.3104670000000039E-2</v>
      </c>
      <c r="AE18" s="3">
        <v>4.2573260000000043E-2</v>
      </c>
      <c r="AG18" s="17" t="s">
        <v>168</v>
      </c>
      <c r="AH18" s="3">
        <v>6.6513450000000002E-2</v>
      </c>
      <c r="AI18" s="3">
        <v>3.760281E-2</v>
      </c>
      <c r="AJ18" s="3">
        <v>2.3988010000000001E-2</v>
      </c>
      <c r="AK18" s="3">
        <v>4.3923869999999997E-2</v>
      </c>
      <c r="AL18" s="3">
        <v>4.239706E-2</v>
      </c>
      <c r="AM18" s="3">
        <v>4.8292179999999997E-2</v>
      </c>
      <c r="AN18" s="3">
        <v>5.5353159999999998E-2</v>
      </c>
      <c r="AO18" s="3">
        <v>5.2266060000000003E-2</v>
      </c>
      <c r="AP18" s="3">
        <v>4.841877E-2</v>
      </c>
      <c r="AQ18" s="3">
        <v>4.7887359999999997E-2</v>
      </c>
      <c r="AR18" s="3">
        <v>4.7355950000000008E-2</v>
      </c>
      <c r="AS18" s="3">
        <v>4.6824540000000012E-2</v>
      </c>
      <c r="AT18" s="3">
        <v>4.6293130000000023E-2</v>
      </c>
      <c r="AU18" s="3">
        <v>4.576172000000002E-2</v>
      </c>
      <c r="AV18" s="3">
        <v>4.5230310000000017E-2</v>
      </c>
      <c r="AW18" s="3">
        <v>4.4698900000000027E-2</v>
      </c>
      <c r="AX18" s="3">
        <v>4.4167490000000031E-2</v>
      </c>
      <c r="AY18" s="3">
        <v>4.3636080000000042E-2</v>
      </c>
      <c r="AZ18" s="3">
        <v>4.3104670000000039E-2</v>
      </c>
      <c r="BA18" s="3">
        <v>4.2573260000000043E-2</v>
      </c>
      <c r="BC18" s="17" t="s">
        <v>169</v>
      </c>
      <c r="BD18" s="3">
        <v>6.6513450000000002E-2</v>
      </c>
      <c r="BE18" s="3">
        <v>3.760281E-2</v>
      </c>
      <c r="BF18" s="3">
        <v>2.3988010000000001E-2</v>
      </c>
      <c r="BG18" s="3">
        <v>4.3923869999999997E-2</v>
      </c>
      <c r="BH18" s="3">
        <v>4.239706E-2</v>
      </c>
      <c r="BI18" s="3">
        <v>4.8292179999999997E-2</v>
      </c>
      <c r="BJ18" s="3">
        <v>5.5353159999999998E-2</v>
      </c>
      <c r="BK18" s="3">
        <v>5.2266060000000003E-2</v>
      </c>
      <c r="BL18" s="3">
        <v>4.841877E-2</v>
      </c>
      <c r="BM18" s="3">
        <v>4.7887359999999997E-2</v>
      </c>
      <c r="BN18" s="3">
        <v>4.7355950000000008E-2</v>
      </c>
      <c r="BO18" s="3">
        <v>4.6824540000000012E-2</v>
      </c>
      <c r="BP18" s="3">
        <v>4.6293130000000023E-2</v>
      </c>
      <c r="BQ18" s="3">
        <v>4.576172000000002E-2</v>
      </c>
      <c r="BR18" s="3">
        <v>4.5230310000000017E-2</v>
      </c>
      <c r="BS18" s="3">
        <v>4.4698900000000027E-2</v>
      </c>
      <c r="BT18" s="3">
        <v>4.4167490000000031E-2</v>
      </c>
      <c r="BU18" s="3">
        <v>4.3636080000000042E-2</v>
      </c>
      <c r="BV18" s="3">
        <v>4.3104670000000039E-2</v>
      </c>
      <c r="BW18" s="3">
        <v>4.2573260000000043E-2</v>
      </c>
      <c r="BY18" s="17" t="s">
        <v>170</v>
      </c>
      <c r="BZ18" s="3">
        <v>6.6513450000000002E-2</v>
      </c>
      <c r="CA18" s="3">
        <v>3.760281E-2</v>
      </c>
      <c r="CB18" s="3">
        <v>2.3988010000000001E-2</v>
      </c>
      <c r="CC18" s="3">
        <v>4.3923869999999997E-2</v>
      </c>
      <c r="CD18" s="3">
        <v>4.239706E-2</v>
      </c>
      <c r="CE18" s="3">
        <v>4.8292179999999997E-2</v>
      </c>
      <c r="CF18" s="3">
        <v>5.5353159999999998E-2</v>
      </c>
      <c r="CG18" s="3">
        <v>5.2266060000000003E-2</v>
      </c>
      <c r="CH18" s="3">
        <v>4.841877E-2</v>
      </c>
      <c r="CI18" s="3">
        <v>4.7887359999999997E-2</v>
      </c>
      <c r="CJ18" s="3">
        <v>4.7355950000000008E-2</v>
      </c>
      <c r="CK18" s="3">
        <v>4.6824540000000012E-2</v>
      </c>
      <c r="CL18" s="3">
        <v>4.6293130000000023E-2</v>
      </c>
      <c r="CM18" s="3">
        <v>4.576172000000002E-2</v>
      </c>
      <c r="CN18" s="3">
        <v>4.5230310000000017E-2</v>
      </c>
      <c r="CO18" s="3">
        <v>4.4698900000000027E-2</v>
      </c>
      <c r="CP18" s="3">
        <v>4.4167490000000031E-2</v>
      </c>
      <c r="CQ18" s="3">
        <v>4.3636080000000042E-2</v>
      </c>
      <c r="CR18" s="3">
        <v>4.3104670000000039E-2</v>
      </c>
      <c r="CS18" s="3">
        <v>4.2573260000000043E-2</v>
      </c>
      <c r="CU18" s="17" t="s">
        <v>171</v>
      </c>
      <c r="CV18" s="3">
        <v>6.6513450000000002E-2</v>
      </c>
      <c r="CW18" s="3">
        <v>3.760281E-2</v>
      </c>
      <c r="CX18" s="3">
        <v>2.3988010000000001E-2</v>
      </c>
      <c r="CY18" s="3">
        <v>4.3923869999999997E-2</v>
      </c>
      <c r="CZ18" s="3">
        <v>4.239706E-2</v>
      </c>
      <c r="DA18" s="3">
        <v>4.8292179999999997E-2</v>
      </c>
      <c r="DB18" s="3">
        <v>5.5353159999999998E-2</v>
      </c>
      <c r="DC18" s="3">
        <v>5.2266060000000003E-2</v>
      </c>
      <c r="DD18" s="3">
        <v>4.841877E-2</v>
      </c>
      <c r="DE18" s="3">
        <v>4.7887359999999997E-2</v>
      </c>
      <c r="DF18" s="3">
        <v>4.7355950000000008E-2</v>
      </c>
      <c r="DG18" s="3">
        <v>4.6824540000000012E-2</v>
      </c>
      <c r="DH18" s="3">
        <v>4.6293130000000023E-2</v>
      </c>
      <c r="DI18" s="3">
        <v>4.576172000000002E-2</v>
      </c>
      <c r="DJ18" s="3">
        <v>4.5230310000000017E-2</v>
      </c>
      <c r="DK18" s="3">
        <v>4.4698900000000027E-2</v>
      </c>
      <c r="DL18" s="3">
        <v>4.4167490000000031E-2</v>
      </c>
      <c r="DM18" s="3">
        <v>4.3636080000000042E-2</v>
      </c>
      <c r="DN18" s="3">
        <v>4.3104670000000039E-2</v>
      </c>
      <c r="DO18" s="3">
        <v>4.2573260000000043E-2</v>
      </c>
    </row>
    <row r="19" spans="1:230" x14ac:dyDescent="0.45">
      <c r="A19" s="16" t="s">
        <v>172</v>
      </c>
      <c r="B19" s="3" t="s">
        <v>89</v>
      </c>
      <c r="C19" s="16" t="s">
        <v>173</v>
      </c>
      <c r="H19" s="3" t="s">
        <v>174</v>
      </c>
      <c r="I19" s="3" t="s">
        <v>175</v>
      </c>
      <c r="K19" s="17" t="s">
        <v>176</v>
      </c>
      <c r="L19" s="3">
        <v>0</v>
      </c>
      <c r="M19" s="3">
        <v>0</v>
      </c>
      <c r="N19" s="3">
        <v>0</v>
      </c>
      <c r="O19" s="3">
        <v>0</v>
      </c>
      <c r="P19" s="3">
        <v>0</v>
      </c>
      <c r="Q19" s="3">
        <v>0</v>
      </c>
      <c r="R19" s="3">
        <v>0</v>
      </c>
      <c r="S19" s="3">
        <v>0</v>
      </c>
      <c r="T19" s="3">
        <v>0</v>
      </c>
      <c r="U19" s="3">
        <v>0</v>
      </c>
      <c r="V19" s="3">
        <v>0</v>
      </c>
      <c r="W19" s="3">
        <v>0</v>
      </c>
      <c r="X19" s="3">
        <v>0</v>
      </c>
      <c r="Y19" s="3">
        <v>0</v>
      </c>
      <c r="Z19" s="3">
        <v>0</v>
      </c>
      <c r="AA19" s="3">
        <v>0</v>
      </c>
      <c r="AB19" s="3">
        <v>0</v>
      </c>
      <c r="AC19" s="3">
        <v>0</v>
      </c>
      <c r="AD19" s="3">
        <v>0</v>
      </c>
      <c r="AE19" s="3">
        <v>0</v>
      </c>
      <c r="AG19" s="17" t="s">
        <v>177</v>
      </c>
      <c r="AH19" s="3">
        <v>0</v>
      </c>
      <c r="AI19" s="3">
        <v>0</v>
      </c>
      <c r="AJ19" s="3">
        <v>0</v>
      </c>
      <c r="AK19" s="3">
        <v>0</v>
      </c>
      <c r="AL19" s="3">
        <v>0</v>
      </c>
      <c r="AM19" s="3">
        <v>6.2064612921968935E-8</v>
      </c>
      <c r="AN19" s="3">
        <v>-2.0180796021486451E-7</v>
      </c>
      <c r="AO19" s="3">
        <v>-4.9075161635971079E-3</v>
      </c>
      <c r="AP19" s="3">
        <v>-3.291932246288412E-3</v>
      </c>
      <c r="AQ19" s="3">
        <v>1.6087500773241979E-4</v>
      </c>
      <c r="AR19" s="3">
        <v>-1.8281255311278111E-5</v>
      </c>
      <c r="AS19" s="3">
        <v>9.46265841798567E-4</v>
      </c>
      <c r="AT19" s="3">
        <v>1.0338762563819621E-3</v>
      </c>
      <c r="AU19" s="3">
        <v>4.921094101551541E-4</v>
      </c>
      <c r="AV19" s="3">
        <v>6.8727888753558251E-4</v>
      </c>
      <c r="AW19" s="3">
        <v>7.2981371866350582E-4</v>
      </c>
      <c r="AX19" s="3">
        <v>6.074922862264997E-4</v>
      </c>
      <c r="AY19" s="3">
        <v>3.4898188200745752E-4</v>
      </c>
      <c r="AZ19" s="3">
        <v>2.5756163636915401E-5</v>
      </c>
      <c r="BA19" s="3">
        <v>-3.7704139055597952E-5</v>
      </c>
      <c r="BC19" s="17" t="s">
        <v>178</v>
      </c>
      <c r="BD19" s="3">
        <v>0</v>
      </c>
      <c r="BE19" s="3">
        <v>0</v>
      </c>
      <c r="BF19" s="3">
        <v>0</v>
      </c>
      <c r="BG19" s="3">
        <v>0</v>
      </c>
      <c r="BH19" s="3">
        <v>0</v>
      </c>
      <c r="BI19" s="3">
        <v>1.972098176015286E-7</v>
      </c>
      <c r="BJ19" s="3">
        <v>-6.4340084733235048E-7</v>
      </c>
      <c r="BK19" s="3">
        <v>-2.788436073353882E-3</v>
      </c>
      <c r="BL19" s="3">
        <v>-4.7666570305750066E-3</v>
      </c>
      <c r="BM19" s="3">
        <v>-4.3489084869019236E-3</v>
      </c>
      <c r="BN19" s="3">
        <v>-3.4022871407933921E-3</v>
      </c>
      <c r="BO19" s="3">
        <v>-2.0197148257908638E-3</v>
      </c>
      <c r="BP19" s="3">
        <v>-1.19021963578404E-3</v>
      </c>
      <c r="BQ19" s="3">
        <v>-9.6956359544127062E-4</v>
      </c>
      <c r="BR19" s="3">
        <v>-5.5990844516050017E-4</v>
      </c>
      <c r="BS19" s="3">
        <v>-1.2907842867572041E-4</v>
      </c>
      <c r="BT19" s="3">
        <v>2.0918410764904629E-4</v>
      </c>
      <c r="BU19" s="3">
        <v>3.8091405315921861E-4</v>
      </c>
      <c r="BV19" s="3">
        <v>3.0002834006039909E-4</v>
      </c>
      <c r="BW19" s="3">
        <v>1.6527400424644849E-4</v>
      </c>
      <c r="BY19" s="17" t="s">
        <v>179</v>
      </c>
      <c r="BZ19" s="3">
        <v>0</v>
      </c>
      <c r="CA19" s="3">
        <v>0</v>
      </c>
      <c r="CB19" s="3">
        <v>0</v>
      </c>
      <c r="CC19" s="3">
        <v>0</v>
      </c>
      <c r="CD19" s="3">
        <v>0</v>
      </c>
      <c r="CE19" s="3">
        <v>3.2837738491527142E-7</v>
      </c>
      <c r="CF19" s="3">
        <v>-1.1358649031964439E-6</v>
      </c>
      <c r="CG19" s="3">
        <v>-4.1840187773651248E-3</v>
      </c>
      <c r="CH19" s="3">
        <v>-1.8525956440294429E-3</v>
      </c>
      <c r="CI19" s="3">
        <v>4.7573601270305848E-4</v>
      </c>
      <c r="CJ19" s="3">
        <v>-1.068965513869637E-4</v>
      </c>
      <c r="CK19" s="3">
        <v>6.528445311773871E-4</v>
      </c>
      <c r="CL19" s="3">
        <v>4.4061291545627958E-4</v>
      </c>
      <c r="CM19" s="3">
        <v>1.565380916632816E-4</v>
      </c>
      <c r="CN19" s="3">
        <v>2.7776954892303547E-4</v>
      </c>
      <c r="CO19" s="3">
        <v>2.526858264282353E-4</v>
      </c>
      <c r="CP19" s="3">
        <v>2.5521790454319042E-4</v>
      </c>
      <c r="CQ19" s="3">
        <v>3.8707467558974943E-5</v>
      </c>
      <c r="CR19" s="3">
        <v>-1.3838209598094489E-4</v>
      </c>
      <c r="CS19" s="3">
        <v>-7.8796652168927487E-5</v>
      </c>
      <c r="CU19" s="17" t="s">
        <v>180</v>
      </c>
      <c r="CV19" s="3">
        <v>0</v>
      </c>
      <c r="CW19" s="3">
        <v>0</v>
      </c>
      <c r="CX19" s="3">
        <v>0</v>
      </c>
      <c r="CY19" s="3">
        <v>0</v>
      </c>
      <c r="CZ19" s="3">
        <v>0</v>
      </c>
      <c r="DA19" s="3">
        <v>1.4101819964296869E-7</v>
      </c>
      <c r="DB19" s="3">
        <v>-4.5964989846797709E-7</v>
      </c>
      <c r="DC19" s="3">
        <v>-1.050766508446197E-2</v>
      </c>
      <c r="DD19" s="3">
        <v>-6.668420046700721E-3</v>
      </c>
      <c r="DE19" s="3">
        <v>3.5550468574181319E-4</v>
      </c>
      <c r="DF19" s="3">
        <v>-1.20971993152857E-4</v>
      </c>
      <c r="DG19" s="3">
        <v>2.008364034644319E-3</v>
      </c>
      <c r="DH19" s="3">
        <v>2.0792777419955692E-3</v>
      </c>
      <c r="DI19" s="3">
        <v>9.3623896785301197E-4</v>
      </c>
      <c r="DJ19" s="3">
        <v>1.379796435124575E-3</v>
      </c>
      <c r="DK19" s="3">
        <v>1.486397278512635E-3</v>
      </c>
      <c r="DL19" s="3">
        <v>1.2245485439473589E-3</v>
      </c>
      <c r="DM19" s="3">
        <v>7.0183543428402513E-4</v>
      </c>
      <c r="DN19" s="3">
        <v>3.9992565625979227E-5</v>
      </c>
      <c r="DO19" s="3">
        <v>-6.4730770633566209E-5</v>
      </c>
    </row>
    <row r="20" spans="1:230" x14ac:dyDescent="0.45">
      <c r="A20" s="16" t="s">
        <v>181</v>
      </c>
      <c r="B20" s="3" t="s">
        <v>89</v>
      </c>
      <c r="C20" s="16" t="s">
        <v>182</v>
      </c>
      <c r="H20" s="3" t="s">
        <v>183</v>
      </c>
      <c r="I20" s="3" t="s">
        <v>175</v>
      </c>
      <c r="K20" s="17" t="s">
        <v>184</v>
      </c>
      <c r="L20" s="3">
        <v>0</v>
      </c>
      <c r="M20" s="3">
        <v>0</v>
      </c>
      <c r="N20" s="3">
        <v>0</v>
      </c>
      <c r="O20" s="3">
        <v>0</v>
      </c>
      <c r="P20" s="3">
        <v>0</v>
      </c>
      <c r="Q20" s="3">
        <v>0</v>
      </c>
      <c r="R20" s="3">
        <v>0</v>
      </c>
      <c r="S20" s="3">
        <v>0</v>
      </c>
      <c r="T20" s="3">
        <v>0</v>
      </c>
      <c r="U20" s="3">
        <v>0</v>
      </c>
      <c r="V20" s="3">
        <v>0</v>
      </c>
      <c r="W20" s="3">
        <v>0</v>
      </c>
      <c r="X20" s="3">
        <v>0</v>
      </c>
      <c r="Y20" s="3">
        <v>0</v>
      </c>
      <c r="Z20" s="3">
        <v>0</v>
      </c>
      <c r="AA20" s="3">
        <v>0</v>
      </c>
      <c r="AB20" s="3">
        <v>0</v>
      </c>
      <c r="AC20" s="3">
        <v>0</v>
      </c>
      <c r="AD20" s="3">
        <v>0</v>
      </c>
      <c r="AE20" s="3">
        <v>0</v>
      </c>
      <c r="AG20" s="17" t="s">
        <v>185</v>
      </c>
      <c r="AH20" s="3">
        <v>0</v>
      </c>
      <c r="AI20" s="3">
        <v>0</v>
      </c>
      <c r="AJ20" s="3">
        <v>0</v>
      </c>
      <c r="AK20" s="3">
        <v>0</v>
      </c>
      <c r="AL20" s="3">
        <v>0</v>
      </c>
      <c r="AM20" s="3">
        <v>0</v>
      </c>
      <c r="AN20" s="3">
        <v>0</v>
      </c>
      <c r="AO20" s="3">
        <v>9.9474508412837116E-4</v>
      </c>
      <c r="AP20" s="3">
        <v>2.3895620507280121E-4</v>
      </c>
      <c r="AQ20" s="3">
        <v>-4.1718828502100261E-5</v>
      </c>
      <c r="AR20" s="3">
        <v>-1.311590129329695E-4</v>
      </c>
      <c r="AS20" s="3">
        <v>-9.8401180365000396E-5</v>
      </c>
      <c r="AT20" s="3">
        <v>-7.6388787746789176E-7</v>
      </c>
      <c r="AU20" s="3">
        <v>-3.2968211373242172E-5</v>
      </c>
      <c r="AV20" s="3">
        <v>4.7587722957735639E-5</v>
      </c>
      <c r="AW20" s="3">
        <v>-1.73592959022084E-5</v>
      </c>
      <c r="AX20" s="3">
        <v>-4.0574521001762188E-5</v>
      </c>
      <c r="AY20" s="3">
        <v>-3.8912170392014188E-5</v>
      </c>
      <c r="AZ20" s="3">
        <v>-3.207223246992722E-6</v>
      </c>
      <c r="BA20" s="3">
        <v>8.7685407654555262E-6</v>
      </c>
      <c r="BC20" s="17" t="s">
        <v>186</v>
      </c>
      <c r="BD20" s="3">
        <v>0</v>
      </c>
      <c r="BE20" s="3">
        <v>0</v>
      </c>
      <c r="BF20" s="3">
        <v>0</v>
      </c>
      <c r="BG20" s="3">
        <v>0</v>
      </c>
      <c r="BH20" s="3">
        <v>0</v>
      </c>
      <c r="BI20" s="3">
        <v>0</v>
      </c>
      <c r="BJ20" s="3">
        <v>0</v>
      </c>
      <c r="BK20" s="3">
        <v>5.651543698032051E-4</v>
      </c>
      <c r="BL20" s="3">
        <v>7.228184116211951E-4</v>
      </c>
      <c r="BM20" s="3">
        <v>6.2253370211458141E-4</v>
      </c>
      <c r="BN20" s="3">
        <v>3.8948157931023737E-4</v>
      </c>
      <c r="BO20" s="3">
        <v>2.1922959362217519E-4</v>
      </c>
      <c r="BP20" s="3">
        <v>2.198399912770922E-4</v>
      </c>
      <c r="BQ20" s="3">
        <v>2.2711897071609369E-4</v>
      </c>
      <c r="BR20" s="3">
        <v>2.34856931805931E-4</v>
      </c>
      <c r="BS20" s="3">
        <v>2.0084243734221809E-4</v>
      </c>
      <c r="BT20" s="3">
        <v>1.5254830783201581E-4</v>
      </c>
      <c r="BU20" s="3">
        <v>1.106502672950359E-4</v>
      </c>
      <c r="BV20" s="3">
        <v>9.5148827882776362E-5</v>
      </c>
      <c r="BW20" s="3">
        <v>9.872194717004306E-5</v>
      </c>
      <c r="BY20" s="17" t="s">
        <v>187</v>
      </c>
      <c r="BZ20" s="3">
        <v>0</v>
      </c>
      <c r="CA20" s="3">
        <v>0</v>
      </c>
      <c r="CB20" s="3">
        <v>0</v>
      </c>
      <c r="CC20" s="3">
        <v>0</v>
      </c>
      <c r="CD20" s="3">
        <v>0</v>
      </c>
      <c r="CE20" s="3">
        <v>0</v>
      </c>
      <c r="CF20" s="3">
        <v>0</v>
      </c>
      <c r="CG20" s="3">
        <v>8.4799111754769085E-4</v>
      </c>
      <c r="CH20" s="3">
        <v>1.038699782460098E-5</v>
      </c>
      <c r="CI20" s="3">
        <v>-2.054172131105116E-5</v>
      </c>
      <c r="CJ20" s="3">
        <v>-1.181158478608337E-4</v>
      </c>
      <c r="CK20" s="3">
        <v>-1.4248754725968309E-5</v>
      </c>
      <c r="CL20" s="3">
        <v>3.9142585215808449E-5</v>
      </c>
      <c r="CM20" s="3">
        <v>-1.2469618846589381E-5</v>
      </c>
      <c r="CN20" s="3">
        <v>8.5779223427028323E-5</v>
      </c>
      <c r="CO20" s="3">
        <v>7.5338633072302007E-6</v>
      </c>
      <c r="CP20" s="3">
        <v>-8.6990710319928691E-7</v>
      </c>
      <c r="CQ20" s="3">
        <v>-2.0411570035497261E-6</v>
      </c>
      <c r="CR20" s="3">
        <v>2.5567309161534831E-5</v>
      </c>
      <c r="CS20" s="3">
        <v>2.4997120370659889E-5</v>
      </c>
      <c r="CU20" s="17" t="s">
        <v>188</v>
      </c>
      <c r="CV20" s="3">
        <v>0</v>
      </c>
      <c r="CW20" s="3">
        <v>0</v>
      </c>
      <c r="CX20" s="3">
        <v>0</v>
      </c>
      <c r="CY20" s="3">
        <v>0</v>
      </c>
      <c r="CZ20" s="3">
        <v>0</v>
      </c>
      <c r="DA20" s="3">
        <v>0</v>
      </c>
      <c r="DB20" s="3">
        <v>0</v>
      </c>
      <c r="DC20" s="3">
        <v>2.1298826958360542E-3</v>
      </c>
      <c r="DD20" s="3">
        <v>4.3522034376681791E-4</v>
      </c>
      <c r="DE20" s="3">
        <v>-5.8607939221295657E-5</v>
      </c>
      <c r="DF20" s="3">
        <v>-2.8493680994917978E-4</v>
      </c>
      <c r="DG20" s="3">
        <v>-1.8869456344925789E-4</v>
      </c>
      <c r="DH20" s="3">
        <v>3.948495236843392E-6</v>
      </c>
      <c r="DI20" s="3">
        <v>-5.5566507347705917E-5</v>
      </c>
      <c r="DJ20" s="3">
        <v>1.1266428325084269E-4</v>
      </c>
      <c r="DK20" s="3">
        <v>-3.7952490127890149E-5</v>
      </c>
      <c r="DL20" s="3">
        <v>-7.5536840623048834E-5</v>
      </c>
      <c r="DM20" s="3">
        <v>-7.9230421420383546E-5</v>
      </c>
      <c r="DN20" s="3">
        <v>5.9525001296826356E-7</v>
      </c>
      <c r="DO20" s="3">
        <v>1.6752861373626789E-5</v>
      </c>
    </row>
    <row r="21" spans="1:230" x14ac:dyDescent="0.45">
      <c r="A21" s="16" t="s">
        <v>189</v>
      </c>
      <c r="B21" s="3" t="s">
        <v>89</v>
      </c>
      <c r="C21" s="16" t="s">
        <v>190</v>
      </c>
      <c r="H21" s="3" t="s">
        <v>191</v>
      </c>
      <c r="I21" s="3" t="s">
        <v>175</v>
      </c>
      <c r="K21" s="17" t="s">
        <v>192</v>
      </c>
      <c r="L21" s="3">
        <v>0</v>
      </c>
      <c r="M21" s="3">
        <v>0</v>
      </c>
      <c r="N21" s="3">
        <v>0</v>
      </c>
      <c r="O21" s="3">
        <v>0</v>
      </c>
      <c r="P21" s="3">
        <v>0</v>
      </c>
      <c r="Q21" s="3">
        <v>0</v>
      </c>
      <c r="R21" s="3">
        <v>0</v>
      </c>
      <c r="S21" s="3">
        <v>0</v>
      </c>
      <c r="T21" s="3">
        <v>0</v>
      </c>
      <c r="U21" s="3">
        <v>0</v>
      </c>
      <c r="V21" s="3">
        <v>0</v>
      </c>
      <c r="W21" s="3">
        <v>0</v>
      </c>
      <c r="X21" s="3">
        <v>0</v>
      </c>
      <c r="Y21" s="3">
        <v>0</v>
      </c>
      <c r="Z21" s="3">
        <v>0</v>
      </c>
      <c r="AA21" s="3">
        <v>0</v>
      </c>
      <c r="AB21" s="3">
        <v>0</v>
      </c>
      <c r="AC21" s="3">
        <v>0</v>
      </c>
      <c r="AD21" s="3">
        <v>0</v>
      </c>
      <c r="AE21" s="3">
        <v>0</v>
      </c>
      <c r="AG21" s="17" t="s">
        <v>193</v>
      </c>
      <c r="AH21" s="3">
        <v>0</v>
      </c>
      <c r="AI21" s="3">
        <v>0</v>
      </c>
      <c r="AJ21" s="3">
        <v>0</v>
      </c>
      <c r="AK21" s="3">
        <v>0</v>
      </c>
      <c r="AL21" s="3">
        <v>0</v>
      </c>
      <c r="AM21" s="3">
        <v>0</v>
      </c>
      <c r="AN21" s="3">
        <v>0</v>
      </c>
      <c r="AO21" s="3">
        <v>4.111613014397269E-3</v>
      </c>
      <c r="AP21" s="3">
        <v>1.2518246896177289E-3</v>
      </c>
      <c r="AQ21" s="3">
        <v>-7.6939538830352641E-5</v>
      </c>
      <c r="AR21" s="3">
        <v>-4.0822764156277328E-4</v>
      </c>
      <c r="AS21" s="3">
        <v>-7.0486814024356293E-5</v>
      </c>
      <c r="AT21" s="3">
        <v>3.2740936248466741E-4</v>
      </c>
      <c r="AU21" s="3">
        <v>5.5756883952316663E-4</v>
      </c>
      <c r="AV21" s="3">
        <v>5.2392925341199963E-4</v>
      </c>
      <c r="AW21" s="3">
        <v>1.0581674239181181E-3</v>
      </c>
      <c r="AX21" s="3">
        <v>7.3940707176162331E-4</v>
      </c>
      <c r="AY21" s="3">
        <v>6.1139530642498384E-4</v>
      </c>
      <c r="AZ21" s="3">
        <v>1.9057445603621161E-4</v>
      </c>
      <c r="BA21" s="3">
        <v>5.802889689584038E-5</v>
      </c>
      <c r="BC21" s="17" t="s">
        <v>194</v>
      </c>
      <c r="BD21" s="3">
        <v>0</v>
      </c>
      <c r="BE21" s="3">
        <v>0</v>
      </c>
      <c r="BF21" s="3">
        <v>0</v>
      </c>
      <c r="BG21" s="3">
        <v>0</v>
      </c>
      <c r="BH21" s="3">
        <v>0</v>
      </c>
      <c r="BI21" s="3">
        <v>0</v>
      </c>
      <c r="BJ21" s="3">
        <v>0</v>
      </c>
      <c r="BK21" s="3">
        <v>2.335971395186581E-3</v>
      </c>
      <c r="BL21" s="3">
        <v>3.1377557764756541E-3</v>
      </c>
      <c r="BM21" s="3">
        <v>2.7838837601065649E-3</v>
      </c>
      <c r="BN21" s="3">
        <v>1.877003560562567E-3</v>
      </c>
      <c r="BO21" s="3">
        <v>1.3229989870109391E-3</v>
      </c>
      <c r="BP21" s="3">
        <v>1.475421050455248E-3</v>
      </c>
      <c r="BQ21" s="3">
        <v>1.8550061931146969E-3</v>
      </c>
      <c r="BR21" s="3">
        <v>2.0026804659392149E-3</v>
      </c>
      <c r="BS21" s="3">
        <v>2.3685979293676632E-3</v>
      </c>
      <c r="BT21" s="3">
        <v>2.5478923191200628E-3</v>
      </c>
      <c r="BU21" s="3">
        <v>2.619993059832963E-3</v>
      </c>
      <c r="BV21" s="3">
        <v>2.4042485159231361E-3</v>
      </c>
      <c r="BW21" s="3">
        <v>2.1171512137822639E-3</v>
      </c>
      <c r="BY21" s="17" t="s">
        <v>195</v>
      </c>
      <c r="BZ21" s="3">
        <v>0</v>
      </c>
      <c r="CA21" s="3">
        <v>0</v>
      </c>
      <c r="CB21" s="3">
        <v>0</v>
      </c>
      <c r="CC21" s="3">
        <v>0</v>
      </c>
      <c r="CD21" s="3">
        <v>0</v>
      </c>
      <c r="CE21" s="3">
        <v>0</v>
      </c>
      <c r="CF21" s="3">
        <v>0</v>
      </c>
      <c r="CG21" s="3">
        <v>3.5050299525304562E-3</v>
      </c>
      <c r="CH21" s="3">
        <v>2.6812351351448332E-4</v>
      </c>
      <c r="CI21" s="3">
        <v>-5.5090551809829251E-5</v>
      </c>
      <c r="CJ21" s="3">
        <v>-3.7628233768248839E-4</v>
      </c>
      <c r="CK21" s="3">
        <v>1.996686507132203E-4</v>
      </c>
      <c r="CL21" s="3">
        <v>3.9778331645295777E-4</v>
      </c>
      <c r="CM21" s="3">
        <v>5.0157076447555362E-4</v>
      </c>
      <c r="CN21" s="3">
        <v>5.219775697909029E-4</v>
      </c>
      <c r="CO21" s="3">
        <v>9.9689474654736767E-4</v>
      </c>
      <c r="CP21" s="3">
        <v>5.874956063896755E-4</v>
      </c>
      <c r="CQ21" s="3">
        <v>5.9707513296588513E-4</v>
      </c>
      <c r="CR21" s="3">
        <v>2.1326699302398299E-4</v>
      </c>
      <c r="CS21" s="3">
        <v>2.1673809412306211E-4</v>
      </c>
      <c r="CU21" s="17" t="s">
        <v>196</v>
      </c>
      <c r="CV21" s="3">
        <v>0</v>
      </c>
      <c r="CW21" s="3">
        <v>0</v>
      </c>
      <c r="CX21" s="3">
        <v>0</v>
      </c>
      <c r="CY21" s="3">
        <v>0</v>
      </c>
      <c r="CZ21" s="3">
        <v>0</v>
      </c>
      <c r="DA21" s="3">
        <v>0</v>
      </c>
      <c r="DB21" s="3">
        <v>0</v>
      </c>
      <c r="DC21" s="3">
        <v>8.803515142789025E-3</v>
      </c>
      <c r="DD21" s="3">
        <v>2.3640861138921969E-3</v>
      </c>
      <c r="DE21" s="3">
        <v>-5.7921260955863699E-5</v>
      </c>
      <c r="DF21" s="3">
        <v>-8.8513753488723686E-4</v>
      </c>
      <c r="DG21" s="3">
        <v>-6.9772733292828825E-5</v>
      </c>
      <c r="DH21" s="3">
        <v>7.0832865821583539E-4</v>
      </c>
      <c r="DI21" s="3">
        <v>1.244711676375971E-3</v>
      </c>
      <c r="DJ21" s="3">
        <v>1.1289222219774029E-3</v>
      </c>
      <c r="DK21" s="3">
        <v>2.2663410443583081E-3</v>
      </c>
      <c r="DL21" s="3">
        <v>1.5468586292727441E-3</v>
      </c>
      <c r="DM21" s="3">
        <v>1.317385514334994E-3</v>
      </c>
      <c r="DN21" s="3">
        <v>4.154981560184244E-4</v>
      </c>
      <c r="DO21" s="3">
        <v>1.6059963352862291E-4</v>
      </c>
    </row>
    <row r="22" spans="1:230" x14ac:dyDescent="0.45">
      <c r="A22" s="16" t="s">
        <v>197</v>
      </c>
      <c r="B22" s="3" t="s">
        <v>89</v>
      </c>
      <c r="C22" s="16" t="s">
        <v>198</v>
      </c>
      <c r="H22" s="3" t="s">
        <v>199</v>
      </c>
      <c r="I22" s="3" t="s">
        <v>175</v>
      </c>
      <c r="K22" s="17" t="s">
        <v>200</v>
      </c>
      <c r="L22" s="3">
        <v>0</v>
      </c>
      <c r="M22" s="3">
        <v>0</v>
      </c>
      <c r="N22" s="3">
        <v>0</v>
      </c>
      <c r="O22" s="3">
        <v>0</v>
      </c>
      <c r="P22" s="3">
        <v>0</v>
      </c>
      <c r="Q22" s="3">
        <v>0</v>
      </c>
      <c r="R22" s="3">
        <v>0</v>
      </c>
      <c r="S22" s="3">
        <v>0</v>
      </c>
      <c r="T22" s="3">
        <v>0</v>
      </c>
      <c r="U22" s="3">
        <v>0</v>
      </c>
      <c r="V22" s="3">
        <v>0</v>
      </c>
      <c r="W22" s="3">
        <v>0</v>
      </c>
      <c r="X22" s="3">
        <v>0</v>
      </c>
      <c r="Y22" s="3">
        <v>0</v>
      </c>
      <c r="Z22" s="3">
        <v>0</v>
      </c>
      <c r="AA22" s="3">
        <v>0</v>
      </c>
      <c r="AB22" s="3">
        <v>0</v>
      </c>
      <c r="AC22" s="3">
        <v>0</v>
      </c>
      <c r="AD22" s="3">
        <v>0</v>
      </c>
      <c r="AE22" s="3">
        <v>0</v>
      </c>
      <c r="AG22" s="17" t="s">
        <v>201</v>
      </c>
      <c r="AH22" s="3">
        <v>0</v>
      </c>
      <c r="AI22" s="3">
        <v>0</v>
      </c>
      <c r="AJ22" s="3">
        <v>0</v>
      </c>
      <c r="AK22" s="3">
        <v>0</v>
      </c>
      <c r="AL22" s="3">
        <v>0</v>
      </c>
      <c r="AM22" s="3">
        <v>0</v>
      </c>
      <c r="AN22" s="3">
        <v>0</v>
      </c>
      <c r="AO22" s="3">
        <v>0</v>
      </c>
      <c r="AP22" s="3">
        <v>0</v>
      </c>
      <c r="AQ22" s="3">
        <v>0</v>
      </c>
      <c r="AR22" s="3">
        <v>0</v>
      </c>
      <c r="AS22" s="3">
        <v>0</v>
      </c>
      <c r="AT22" s="3">
        <v>0</v>
      </c>
      <c r="AU22" s="3">
        <v>0</v>
      </c>
      <c r="AV22" s="3">
        <v>0</v>
      </c>
      <c r="AW22" s="3">
        <v>0</v>
      </c>
      <c r="AX22" s="3">
        <v>0</v>
      </c>
      <c r="AY22" s="3">
        <v>0</v>
      </c>
      <c r="AZ22" s="3">
        <v>0</v>
      </c>
      <c r="BA22" s="3">
        <v>0</v>
      </c>
      <c r="BC22" s="17" t="s">
        <v>202</v>
      </c>
      <c r="BD22" s="3">
        <v>0</v>
      </c>
      <c r="BE22" s="3">
        <v>0</v>
      </c>
      <c r="BF22" s="3">
        <v>0</v>
      </c>
      <c r="BG22" s="3">
        <v>0</v>
      </c>
      <c r="BH22" s="3">
        <v>0</v>
      </c>
      <c r="BI22" s="3">
        <v>0</v>
      </c>
      <c r="BJ22" s="3">
        <v>0</v>
      </c>
      <c r="BK22" s="3">
        <v>0</v>
      </c>
      <c r="BL22" s="3">
        <v>0</v>
      </c>
      <c r="BM22" s="3">
        <v>0</v>
      </c>
      <c r="BN22" s="3">
        <v>0</v>
      </c>
      <c r="BO22" s="3">
        <v>0</v>
      </c>
      <c r="BP22" s="3">
        <v>0</v>
      </c>
      <c r="BQ22" s="3">
        <v>0</v>
      </c>
      <c r="BR22" s="3">
        <v>0</v>
      </c>
      <c r="BS22" s="3">
        <v>0</v>
      </c>
      <c r="BT22" s="3">
        <v>0</v>
      </c>
      <c r="BU22" s="3">
        <v>0</v>
      </c>
      <c r="BV22" s="3">
        <v>0</v>
      </c>
      <c r="BW22" s="3">
        <v>0</v>
      </c>
      <c r="BY22" s="17" t="s">
        <v>203</v>
      </c>
      <c r="BZ22" s="3">
        <v>0</v>
      </c>
      <c r="CA22" s="3">
        <v>0</v>
      </c>
      <c r="CB22" s="3">
        <v>0</v>
      </c>
      <c r="CC22" s="3">
        <v>0</v>
      </c>
      <c r="CD22" s="3">
        <v>0</v>
      </c>
      <c r="CE22" s="3">
        <v>0</v>
      </c>
      <c r="CF22" s="3">
        <v>0</v>
      </c>
      <c r="CG22" s="3">
        <v>0</v>
      </c>
      <c r="CH22" s="3">
        <v>0</v>
      </c>
      <c r="CI22" s="3">
        <v>0</v>
      </c>
      <c r="CJ22" s="3">
        <v>0</v>
      </c>
      <c r="CK22" s="3">
        <v>0</v>
      </c>
      <c r="CL22" s="3">
        <v>0</v>
      </c>
      <c r="CM22" s="3">
        <v>0</v>
      </c>
      <c r="CN22" s="3">
        <v>0</v>
      </c>
      <c r="CO22" s="3">
        <v>0</v>
      </c>
      <c r="CP22" s="3">
        <v>0</v>
      </c>
      <c r="CQ22" s="3">
        <v>0</v>
      </c>
      <c r="CR22" s="3">
        <v>0</v>
      </c>
      <c r="CS22" s="3">
        <v>0</v>
      </c>
      <c r="CU22" s="17" t="s">
        <v>204</v>
      </c>
      <c r="CV22" s="3">
        <v>0</v>
      </c>
      <c r="CW22" s="3">
        <v>0</v>
      </c>
      <c r="CX22" s="3">
        <v>0</v>
      </c>
      <c r="CY22" s="3">
        <v>0</v>
      </c>
      <c r="CZ22" s="3">
        <v>0</v>
      </c>
      <c r="DA22" s="3">
        <v>0</v>
      </c>
      <c r="DB22" s="3">
        <v>0</v>
      </c>
      <c r="DC22" s="3">
        <v>0</v>
      </c>
      <c r="DD22" s="3">
        <v>0</v>
      </c>
      <c r="DE22" s="3">
        <v>0</v>
      </c>
      <c r="DF22" s="3">
        <v>0</v>
      </c>
      <c r="DG22" s="3">
        <v>0</v>
      </c>
      <c r="DH22" s="3">
        <v>0</v>
      </c>
      <c r="DI22" s="3">
        <v>0</v>
      </c>
      <c r="DJ22" s="3">
        <v>0</v>
      </c>
      <c r="DK22" s="3">
        <v>0</v>
      </c>
      <c r="DL22" s="3">
        <v>0</v>
      </c>
      <c r="DM22" s="3">
        <v>0</v>
      </c>
      <c r="DN22" s="3">
        <v>0</v>
      </c>
      <c r="DO22" s="3">
        <v>0</v>
      </c>
    </row>
    <row r="23" spans="1:230" x14ac:dyDescent="0.45">
      <c r="A23" s="16" t="s">
        <v>205</v>
      </c>
      <c r="B23" s="3" t="s">
        <v>89</v>
      </c>
      <c r="C23" s="16" t="s">
        <v>206</v>
      </c>
      <c r="H23" s="3" t="s">
        <v>207</v>
      </c>
      <c r="I23" s="3" t="s">
        <v>175</v>
      </c>
      <c r="K23" s="17" t="s">
        <v>208</v>
      </c>
      <c r="L23" s="3">
        <v>0</v>
      </c>
      <c r="M23" s="3">
        <v>0</v>
      </c>
      <c r="N23" s="3">
        <v>0</v>
      </c>
      <c r="O23" s="3">
        <v>0</v>
      </c>
      <c r="P23" s="3">
        <v>0</v>
      </c>
      <c r="Q23" s="3">
        <v>0</v>
      </c>
      <c r="R23" s="3">
        <v>0</v>
      </c>
      <c r="S23" s="3">
        <v>0</v>
      </c>
      <c r="T23" s="3">
        <v>0</v>
      </c>
      <c r="U23" s="3">
        <v>0</v>
      </c>
      <c r="V23" s="3">
        <v>0</v>
      </c>
      <c r="W23" s="3">
        <v>0</v>
      </c>
      <c r="X23" s="3">
        <v>0</v>
      </c>
      <c r="Y23" s="3">
        <v>0</v>
      </c>
      <c r="Z23" s="3">
        <v>0</v>
      </c>
      <c r="AA23" s="3">
        <v>0</v>
      </c>
      <c r="AB23" s="3">
        <v>0</v>
      </c>
      <c r="AC23" s="3">
        <v>0</v>
      </c>
      <c r="AD23" s="3">
        <v>0</v>
      </c>
      <c r="AE23" s="3">
        <v>0</v>
      </c>
      <c r="AG23" s="17" t="s">
        <v>209</v>
      </c>
      <c r="AH23" s="3">
        <v>0</v>
      </c>
      <c r="AI23" s="3">
        <v>0</v>
      </c>
      <c r="AJ23" s="3">
        <v>0</v>
      </c>
      <c r="AK23" s="3">
        <v>0</v>
      </c>
      <c r="AL23" s="3">
        <v>0</v>
      </c>
      <c r="AM23" s="3">
        <v>0</v>
      </c>
      <c r="AN23" s="3">
        <v>0</v>
      </c>
      <c r="AO23" s="3">
        <v>4.244245692281052E-4</v>
      </c>
      <c r="AP23" s="3">
        <v>3.9250759367956108E-4</v>
      </c>
      <c r="AQ23" s="3">
        <v>2.0145175189467671E-4</v>
      </c>
      <c r="AR23" s="3">
        <v>-5.8306405375226224E-6</v>
      </c>
      <c r="AS23" s="3">
        <v>-3.7412118027153982E-5</v>
      </c>
      <c r="AT23" s="3">
        <v>-2.9531520970663079E-5</v>
      </c>
      <c r="AU23" s="3">
        <v>-3.1794783211864491E-6</v>
      </c>
      <c r="AV23" s="3">
        <v>-1.450802308626498E-5</v>
      </c>
      <c r="AW23" s="3">
        <v>3.1076991929732023E-5</v>
      </c>
      <c r="AX23" s="3">
        <v>-8.7200844997639533E-5</v>
      </c>
      <c r="AY23" s="3">
        <v>-1.7487868125288829E-5</v>
      </c>
      <c r="AZ23" s="3">
        <v>1.03608746250157E-5</v>
      </c>
      <c r="BA23" s="3">
        <v>4.1562181924785601E-6</v>
      </c>
      <c r="BC23" s="17" t="s">
        <v>210</v>
      </c>
      <c r="BD23" s="3">
        <v>0</v>
      </c>
      <c r="BE23" s="3">
        <v>0</v>
      </c>
      <c r="BF23" s="3">
        <v>0</v>
      </c>
      <c r="BG23" s="3">
        <v>0</v>
      </c>
      <c r="BH23" s="3">
        <v>0</v>
      </c>
      <c r="BI23" s="3">
        <v>0</v>
      </c>
      <c r="BJ23" s="3">
        <v>0</v>
      </c>
      <c r="BK23" s="3">
        <v>2.411325311160342E-4</v>
      </c>
      <c r="BL23" s="3">
        <v>4.7351949824389492E-4</v>
      </c>
      <c r="BM23" s="3">
        <v>5.6227310674586905E-4</v>
      </c>
      <c r="BN23" s="3">
        <v>4.7245533398790758E-4</v>
      </c>
      <c r="BO23" s="3">
        <v>3.4509917178467749E-4</v>
      </c>
      <c r="BP23" s="3">
        <v>2.7029402964003719E-4</v>
      </c>
      <c r="BQ23" s="3">
        <v>2.5524141880737378E-4</v>
      </c>
      <c r="BR23" s="3">
        <v>2.36365114598958E-4</v>
      </c>
      <c r="BS23" s="3">
        <v>2.3252665645448749E-4</v>
      </c>
      <c r="BT23" s="3">
        <v>1.598786291899307E-4</v>
      </c>
      <c r="BU23" s="3">
        <v>1.264005914418814E-4</v>
      </c>
      <c r="BV23" s="3">
        <v>1.184439627809916E-4</v>
      </c>
      <c r="BW23" s="3">
        <v>1.173944452058478E-4</v>
      </c>
      <c r="BY23" s="17" t="s">
        <v>211</v>
      </c>
      <c r="BZ23" s="3">
        <v>0</v>
      </c>
      <c r="CA23" s="3">
        <v>0</v>
      </c>
      <c r="CB23" s="3">
        <v>0</v>
      </c>
      <c r="CC23" s="3">
        <v>0</v>
      </c>
      <c r="CD23" s="3">
        <v>0</v>
      </c>
      <c r="CE23" s="3">
        <v>0</v>
      </c>
      <c r="CF23" s="3">
        <v>0</v>
      </c>
      <c r="CG23" s="3">
        <v>3.6180954348701482E-4</v>
      </c>
      <c r="CH23" s="3">
        <v>2.5214143382857522E-4</v>
      </c>
      <c r="CI23" s="3">
        <v>1.213880652285443E-4</v>
      </c>
      <c r="CJ23" s="3">
        <v>-3.2340373817299027E-5</v>
      </c>
      <c r="CK23" s="3">
        <v>-6.9384947915059836E-6</v>
      </c>
      <c r="CL23" s="3">
        <v>3.285210025157528E-6</v>
      </c>
      <c r="CM23" s="3">
        <v>2.457629115647103E-5</v>
      </c>
      <c r="CN23" s="3">
        <v>1.358853945782789E-5</v>
      </c>
      <c r="CO23" s="3">
        <v>6.0597602344871128E-5</v>
      </c>
      <c r="CP23" s="3">
        <v>-5.2573140502289361E-5</v>
      </c>
      <c r="CQ23" s="3">
        <v>3.1769990318337582E-5</v>
      </c>
      <c r="CR23" s="3">
        <v>2.9292488765367121E-5</v>
      </c>
      <c r="CS23" s="3">
        <v>2.5913377903916568E-5</v>
      </c>
      <c r="CU23" s="17" t="s">
        <v>212</v>
      </c>
      <c r="CV23" s="3">
        <v>0</v>
      </c>
      <c r="CW23" s="3">
        <v>0</v>
      </c>
      <c r="CX23" s="3">
        <v>0</v>
      </c>
      <c r="CY23" s="3">
        <v>0</v>
      </c>
      <c r="CZ23" s="3">
        <v>0</v>
      </c>
      <c r="DA23" s="3">
        <v>0</v>
      </c>
      <c r="DB23" s="3">
        <v>0</v>
      </c>
      <c r="DC23" s="3">
        <v>9.087499502233833E-4</v>
      </c>
      <c r="DD23" s="3">
        <v>8.0738690896212692E-4</v>
      </c>
      <c r="DE23" s="3">
        <v>4.224980639143193E-4</v>
      </c>
      <c r="DF23" s="3">
        <v>-1.66143246932717E-5</v>
      </c>
      <c r="DG23" s="3">
        <v>-6.9274168838831331E-5</v>
      </c>
      <c r="DH23" s="3">
        <v>-5.7428583129742281E-5</v>
      </c>
      <c r="DI23" s="3">
        <v>4.9897507161059549E-6</v>
      </c>
      <c r="DJ23" s="3">
        <v>-2.2572529045713921E-5</v>
      </c>
      <c r="DK23" s="3">
        <v>7.5102980836351212E-5</v>
      </c>
      <c r="DL23" s="3">
        <v>-1.8287544681958241E-4</v>
      </c>
      <c r="DM23" s="3">
        <v>-2.374808086084679E-5</v>
      </c>
      <c r="DN23" s="3">
        <v>2.296488715683917E-5</v>
      </c>
      <c r="DO23" s="3">
        <v>1.2158275343925519E-5</v>
      </c>
    </row>
    <row r="24" spans="1:230" x14ac:dyDescent="0.45">
      <c r="A24" s="16" t="s">
        <v>213</v>
      </c>
      <c r="B24" s="3" t="s">
        <v>89</v>
      </c>
      <c r="C24" s="16" t="s">
        <v>214</v>
      </c>
      <c r="H24" s="3" t="s">
        <v>215</v>
      </c>
      <c r="I24" s="3" t="s">
        <v>175</v>
      </c>
      <c r="K24" s="17" t="s">
        <v>216</v>
      </c>
      <c r="L24" s="3">
        <v>0</v>
      </c>
      <c r="M24" s="3">
        <v>0</v>
      </c>
      <c r="N24" s="3">
        <v>0</v>
      </c>
      <c r="O24" s="3">
        <v>0</v>
      </c>
      <c r="P24" s="3">
        <v>0</v>
      </c>
      <c r="Q24" s="3">
        <v>0</v>
      </c>
      <c r="R24" s="3">
        <v>0</v>
      </c>
      <c r="S24" s="3">
        <v>0</v>
      </c>
      <c r="T24" s="3">
        <v>0</v>
      </c>
      <c r="U24" s="3">
        <v>0</v>
      </c>
      <c r="V24" s="3">
        <v>0</v>
      </c>
      <c r="W24" s="3">
        <v>0</v>
      </c>
      <c r="X24" s="3">
        <v>0</v>
      </c>
      <c r="Y24" s="3">
        <v>0</v>
      </c>
      <c r="Z24" s="3">
        <v>0</v>
      </c>
      <c r="AA24" s="3">
        <v>0</v>
      </c>
      <c r="AB24" s="3">
        <v>0</v>
      </c>
      <c r="AC24" s="3">
        <v>0</v>
      </c>
      <c r="AD24" s="3">
        <v>0</v>
      </c>
      <c r="AE24" s="3">
        <v>0</v>
      </c>
      <c r="AG24" s="17" t="s">
        <v>217</v>
      </c>
      <c r="AH24" s="3">
        <v>0</v>
      </c>
      <c r="AI24" s="3">
        <v>0</v>
      </c>
      <c r="AJ24" s="3">
        <v>0</v>
      </c>
      <c r="AK24" s="3">
        <v>0</v>
      </c>
      <c r="AL24" s="3">
        <v>0</v>
      </c>
      <c r="AM24" s="3">
        <v>6.2064612921968935E-8</v>
      </c>
      <c r="AN24" s="3">
        <v>-2.0180796021486451E-7</v>
      </c>
      <c r="AO24" s="3">
        <v>6.2326650415663759E-4</v>
      </c>
      <c r="AP24" s="3">
        <v>-1.408643757918321E-3</v>
      </c>
      <c r="AQ24" s="3">
        <v>2.4366839229464349E-4</v>
      </c>
      <c r="AR24" s="3">
        <v>-5.6349855034454343E-4</v>
      </c>
      <c r="AS24" s="3">
        <v>7.3996572938205625E-4</v>
      </c>
      <c r="AT24" s="3">
        <v>1.330990210018498E-3</v>
      </c>
      <c r="AU24" s="3">
        <v>1.0135305599838921E-3</v>
      </c>
      <c r="AV24" s="3">
        <v>1.244287840819053E-3</v>
      </c>
      <c r="AW24" s="3">
        <v>1.8016988386091481E-3</v>
      </c>
      <c r="AX24" s="3">
        <v>1.2191239919887209E-3</v>
      </c>
      <c r="AY24" s="3">
        <v>9.0397714991513828E-4</v>
      </c>
      <c r="AZ24" s="3">
        <v>2.234842710511505E-4</v>
      </c>
      <c r="BA24" s="3">
        <v>3.3249516798176288E-5</v>
      </c>
      <c r="BC24" s="17" t="s">
        <v>218</v>
      </c>
      <c r="BD24" s="3">
        <v>0</v>
      </c>
      <c r="BE24" s="3">
        <v>0</v>
      </c>
      <c r="BF24" s="3">
        <v>0</v>
      </c>
      <c r="BG24" s="3">
        <v>0</v>
      </c>
      <c r="BH24" s="3">
        <v>0</v>
      </c>
      <c r="BI24" s="3">
        <v>1.972098176015286E-7</v>
      </c>
      <c r="BJ24" s="3">
        <v>-6.4340084733235048E-7</v>
      </c>
      <c r="BK24" s="3">
        <v>3.538222227519381E-4</v>
      </c>
      <c r="BL24" s="3">
        <v>-4.3256334423426329E-4</v>
      </c>
      <c r="BM24" s="3">
        <v>-3.8021791793490769E-4</v>
      </c>
      <c r="BN24" s="3">
        <v>-6.6334666693268029E-4</v>
      </c>
      <c r="BO24" s="3">
        <v>-1.323870733730713E-4</v>
      </c>
      <c r="BP24" s="3">
        <v>7.7533543558833801E-4</v>
      </c>
      <c r="BQ24" s="3">
        <v>1.3678029871968941E-3</v>
      </c>
      <c r="BR24" s="3">
        <v>1.913994067183604E-3</v>
      </c>
      <c r="BS24" s="3">
        <v>2.672888594488648E-3</v>
      </c>
      <c r="BT24" s="3">
        <v>3.0695033637910562E-3</v>
      </c>
      <c r="BU24" s="3">
        <v>3.2379579717291E-3</v>
      </c>
      <c r="BV24" s="3">
        <v>2.9178696466473008E-3</v>
      </c>
      <c r="BW24" s="3">
        <v>2.4985416104046049E-3</v>
      </c>
      <c r="BY24" s="17" t="s">
        <v>219</v>
      </c>
      <c r="BZ24" s="3">
        <v>0</v>
      </c>
      <c r="CA24" s="3">
        <v>0</v>
      </c>
      <c r="CB24" s="3">
        <v>0</v>
      </c>
      <c r="CC24" s="3">
        <v>0</v>
      </c>
      <c r="CD24" s="3">
        <v>0</v>
      </c>
      <c r="CE24" s="3">
        <v>3.2837738491527142E-7</v>
      </c>
      <c r="CF24" s="3">
        <v>-1.1358649031964439E-6</v>
      </c>
      <c r="CG24" s="3">
        <v>5.3081183620003669E-4</v>
      </c>
      <c r="CH24" s="3">
        <v>-1.321943698861783E-3</v>
      </c>
      <c r="CI24" s="3">
        <v>5.2149180481072242E-4</v>
      </c>
      <c r="CJ24" s="3">
        <v>-6.3363511074758494E-4</v>
      </c>
      <c r="CK24" s="3">
        <v>8.3132593237313307E-4</v>
      </c>
      <c r="CL24" s="3">
        <v>8.8082402715020341E-4</v>
      </c>
      <c r="CM24" s="3">
        <v>6.7021552844871691E-4</v>
      </c>
      <c r="CN24" s="3">
        <v>8.9911488159879485E-4</v>
      </c>
      <c r="CO24" s="3">
        <v>1.3177120386277041E-3</v>
      </c>
      <c r="CP24" s="3">
        <v>7.8927046332737734E-4</v>
      </c>
      <c r="CQ24" s="3">
        <v>6.6551143383964772E-4</v>
      </c>
      <c r="CR24" s="3">
        <v>1.2974469496993961E-4</v>
      </c>
      <c r="CS24" s="3">
        <v>1.8885194022871121E-4</v>
      </c>
      <c r="CU24" s="17" t="s">
        <v>220</v>
      </c>
      <c r="CV24" s="3">
        <v>0</v>
      </c>
      <c r="CW24" s="3">
        <v>0</v>
      </c>
      <c r="CX24" s="3">
        <v>0</v>
      </c>
      <c r="CY24" s="3">
        <v>0</v>
      </c>
      <c r="CZ24" s="3">
        <v>0</v>
      </c>
      <c r="DA24" s="3">
        <v>1.4101819964296869E-7</v>
      </c>
      <c r="DB24" s="3">
        <v>-4.5964989846797709E-7</v>
      </c>
      <c r="DC24" s="3">
        <v>1.334482704386492E-3</v>
      </c>
      <c r="DD24" s="3">
        <v>-3.0617266800795789E-3</v>
      </c>
      <c r="DE24" s="3">
        <v>6.6147354947897316E-4</v>
      </c>
      <c r="DF24" s="3">
        <v>-1.3076606626825449E-3</v>
      </c>
      <c r="DG24" s="3">
        <v>1.680622569063402E-3</v>
      </c>
      <c r="DH24" s="3">
        <v>2.734126312318506E-3</v>
      </c>
      <c r="DI24" s="3">
        <v>2.1303738875973841E-3</v>
      </c>
      <c r="DJ24" s="3">
        <v>2.5988104113071069E-3</v>
      </c>
      <c r="DK24" s="3">
        <v>3.7898888135794039E-3</v>
      </c>
      <c r="DL24" s="3">
        <v>2.5129948857774719E-3</v>
      </c>
      <c r="DM24" s="3">
        <v>1.9162424463377891E-3</v>
      </c>
      <c r="DN24" s="3">
        <v>4.7905085881421111E-4</v>
      </c>
      <c r="DO24" s="3">
        <v>1.247799996126104E-4</v>
      </c>
    </row>
    <row r="25" spans="1:230" x14ac:dyDescent="0.45">
      <c r="A25" s="16" t="s">
        <v>221</v>
      </c>
      <c r="B25" s="3" t="s">
        <v>89</v>
      </c>
      <c r="C25" s="16" t="s">
        <v>222</v>
      </c>
      <c r="H25" s="3" t="s">
        <v>223</v>
      </c>
      <c r="I25" s="3" t="s">
        <v>224</v>
      </c>
      <c r="K25" s="17" t="s">
        <v>225</v>
      </c>
      <c r="L25" s="20">
        <v>-45462.049128992738</v>
      </c>
      <c r="M25" s="20">
        <v>-41402.144612537937</v>
      </c>
      <c r="N25" s="20">
        <v>-47350.684921796237</v>
      </c>
      <c r="O25" s="20">
        <v>-45294.313137521342</v>
      </c>
      <c r="P25" s="20">
        <v>-50500.215685075658</v>
      </c>
      <c r="Q25" s="20">
        <v>-47953.304846969259</v>
      </c>
      <c r="R25" s="20">
        <v>-48307.864958115053</v>
      </c>
      <c r="S25" s="20">
        <v>-49182.425480488899</v>
      </c>
      <c r="T25" s="20">
        <v>-49790.001941270297</v>
      </c>
      <c r="U25" s="20">
        <v>-50021.607577268158</v>
      </c>
      <c r="V25" s="20">
        <v>-50816.737427676293</v>
      </c>
      <c r="W25" s="20">
        <v>-52231.83534094644</v>
      </c>
      <c r="X25" s="20">
        <v>-53583.385595317653</v>
      </c>
      <c r="Y25" s="20">
        <v>-55024.353027060482</v>
      </c>
      <c r="Z25" s="20">
        <v>-56488.613209466283</v>
      </c>
      <c r="AA25" s="20">
        <v>-57982.463724537258</v>
      </c>
      <c r="AB25" s="20">
        <v>-59503.736969212703</v>
      </c>
      <c r="AC25" s="20">
        <v>-61052.716628613933</v>
      </c>
      <c r="AD25" s="20">
        <v>-62631.455037420521</v>
      </c>
      <c r="AE25" s="20">
        <v>-64240.627701392797</v>
      </c>
      <c r="AG25" s="17" t="s">
        <v>226</v>
      </c>
      <c r="AH25" s="20">
        <v>-45462.049128992738</v>
      </c>
      <c r="AI25" s="20">
        <v>-41395.416191032848</v>
      </c>
      <c r="AJ25" s="20">
        <v>-47342.941092299327</v>
      </c>
      <c r="AK25" s="20">
        <v>-45286.666385631041</v>
      </c>
      <c r="AL25" s="20">
        <v>-50492.198337006601</v>
      </c>
      <c r="AM25" s="20">
        <v>-39589.266523156461</v>
      </c>
      <c r="AN25" s="20">
        <v>-37816.413761477757</v>
      </c>
      <c r="AO25" s="20">
        <v>-38710.301453501292</v>
      </c>
      <c r="AP25" s="20">
        <v>-38955.495619211419</v>
      </c>
      <c r="AQ25" s="20">
        <v>-39399.297910112029</v>
      </c>
      <c r="AR25" s="20">
        <v>-40087.2864735232</v>
      </c>
      <c r="AS25" s="20">
        <v>-41372.003731915633</v>
      </c>
      <c r="AT25" s="20">
        <v>-42531.023377294361</v>
      </c>
      <c r="AU25" s="20">
        <v>-43802.300915447187</v>
      </c>
      <c r="AV25" s="20">
        <v>-45102.346641564123</v>
      </c>
      <c r="AW25" s="20">
        <v>-46446.329284920233</v>
      </c>
      <c r="AX25" s="20">
        <v>-47794.582410543982</v>
      </c>
      <c r="AY25" s="20">
        <v>-49159.347734604242</v>
      </c>
      <c r="AZ25" s="20">
        <v>-50523.178296697763</v>
      </c>
      <c r="BA25" s="20">
        <v>-51907.14783950022</v>
      </c>
      <c r="BC25" s="17" t="s">
        <v>227</v>
      </c>
      <c r="BD25" s="20">
        <v>-45462.049128992738</v>
      </c>
      <c r="BE25" s="20">
        <v>-41378.902644497619</v>
      </c>
      <c r="BF25" s="20">
        <v>-47324.215933128027</v>
      </c>
      <c r="BG25" s="20">
        <v>-45268.152612181788</v>
      </c>
      <c r="BH25" s="20">
        <v>-50472.874098765373</v>
      </c>
      <c r="BI25" s="20">
        <v>-43178.575737208543</v>
      </c>
      <c r="BJ25" s="20">
        <v>-37099.575239775317</v>
      </c>
      <c r="BK25" s="20">
        <v>-31932.139750065471</v>
      </c>
      <c r="BL25" s="20">
        <v>-27546.07736272872</v>
      </c>
      <c r="BM25" s="20">
        <v>-23834.45795928872</v>
      </c>
      <c r="BN25" s="20">
        <v>-20616.069163752651</v>
      </c>
      <c r="BO25" s="20">
        <v>-17828.455137186229</v>
      </c>
      <c r="BP25" s="20">
        <v>-15182.726855251211</v>
      </c>
      <c r="BQ25" s="20">
        <v>-12781.598080365649</v>
      </c>
      <c r="BR25" s="20">
        <v>-10530.858499212311</v>
      </c>
      <c r="BS25" s="20">
        <v>-8442.2018296197421</v>
      </c>
      <c r="BT25" s="20">
        <v>-6498.7419818877352</v>
      </c>
      <c r="BU25" s="20">
        <v>-4650.6157357253396</v>
      </c>
      <c r="BV25" s="20">
        <v>-2970.0000868349889</v>
      </c>
      <c r="BW25" s="20">
        <v>-1291.318708472543</v>
      </c>
      <c r="BY25" s="17" t="s">
        <v>228</v>
      </c>
      <c r="BZ25" s="20">
        <v>-45462.049128992738</v>
      </c>
      <c r="CA25" s="20">
        <v>-41362.689140930852</v>
      </c>
      <c r="CB25" s="20">
        <v>-47305.555586085276</v>
      </c>
      <c r="CC25" s="20">
        <v>-45249.697429288157</v>
      </c>
      <c r="CD25" s="20">
        <v>-50453.528867261753</v>
      </c>
      <c r="CE25" s="20">
        <v>-40783.358807052369</v>
      </c>
      <c r="CF25" s="20">
        <v>-41045.452273327261</v>
      </c>
      <c r="CG25" s="20">
        <v>-41795.872157397367</v>
      </c>
      <c r="CH25" s="20">
        <v>-42232.716138863703</v>
      </c>
      <c r="CI25" s="20">
        <v>-42240.79819436172</v>
      </c>
      <c r="CJ25" s="20">
        <v>-42578.58160656289</v>
      </c>
      <c r="CK25" s="20">
        <v>-43706.469042517558</v>
      </c>
      <c r="CL25" s="20">
        <v>-44365.927063808027</v>
      </c>
      <c r="CM25" s="20">
        <v>-45187.829996137218</v>
      </c>
      <c r="CN25" s="20">
        <v>-46115.293176369967</v>
      </c>
      <c r="CO25" s="20">
        <v>-46999.215781882223</v>
      </c>
      <c r="CP25" s="20">
        <v>-47953.025319559572</v>
      </c>
      <c r="CQ25" s="20">
        <v>-48956.414728758027</v>
      </c>
      <c r="CR25" s="20">
        <v>-49944.789815948337</v>
      </c>
      <c r="CS25" s="20">
        <v>-51000.764869963947</v>
      </c>
      <c r="CU25" s="17" t="s">
        <v>229</v>
      </c>
      <c r="CV25" s="20">
        <v>-45462.049128992738</v>
      </c>
      <c r="CW25" s="20">
        <v>-41386.114543162621</v>
      </c>
      <c r="CX25" s="20">
        <v>-47332.346089450213</v>
      </c>
      <c r="CY25" s="20">
        <v>-45276.194877070717</v>
      </c>
      <c r="CZ25" s="20">
        <v>-50481.253574970076</v>
      </c>
      <c r="DA25" s="20">
        <v>-30042.983675672149</v>
      </c>
      <c r="DB25" s="20">
        <v>-26520.186274062169</v>
      </c>
      <c r="DC25" s="20">
        <v>-27148.102451925079</v>
      </c>
      <c r="DD25" s="20">
        <v>-27048.60218481228</v>
      </c>
      <c r="DE25" s="20">
        <v>-27618.53118400638</v>
      </c>
      <c r="DF25" s="20">
        <v>-28106.829161643829</v>
      </c>
      <c r="DG25" s="20">
        <v>-29067.0833575793</v>
      </c>
      <c r="DH25" s="20">
        <v>-29890.442469582438</v>
      </c>
      <c r="DI25" s="20">
        <v>-30899.18795065266</v>
      </c>
      <c r="DJ25" s="20">
        <v>-31887.356625599939</v>
      </c>
      <c r="DK25" s="20">
        <v>-32993.75595120003</v>
      </c>
      <c r="DL25" s="20">
        <v>-34046.528132810497</v>
      </c>
      <c r="DM25" s="20">
        <v>-35174.853384962364</v>
      </c>
      <c r="DN25" s="20">
        <v>-36241.926434346693</v>
      </c>
      <c r="DO25" s="20">
        <v>-37377.177982940477</v>
      </c>
    </row>
    <row r="26" spans="1:230" x14ac:dyDescent="0.45">
      <c r="A26" s="16" t="s">
        <v>230</v>
      </c>
      <c r="B26" s="3" t="s">
        <v>89</v>
      </c>
      <c r="C26" s="16" t="s">
        <v>231</v>
      </c>
      <c r="H26" s="3" t="s">
        <v>232</v>
      </c>
      <c r="I26" s="3" t="s">
        <v>233</v>
      </c>
      <c r="K26" s="17" t="s">
        <v>234</v>
      </c>
      <c r="L26" s="21">
        <v>-8.3116025229717228E-2</v>
      </c>
      <c r="M26" s="21">
        <v>-7.2950363125241696E-2</v>
      </c>
      <c r="N26" s="21">
        <v>-8.1477184641626899E-2</v>
      </c>
      <c r="O26" s="21">
        <v>-7.4659417756431548E-2</v>
      </c>
      <c r="P26" s="21">
        <v>-7.9854790683934473E-2</v>
      </c>
      <c r="Q26" s="21">
        <v>-7.2334242839758672E-2</v>
      </c>
      <c r="R26" s="21">
        <v>-6.9047097218265338E-2</v>
      </c>
      <c r="S26" s="21">
        <v>-6.6805460424216812E-2</v>
      </c>
      <c r="T26" s="21">
        <v>-6.4507375747590426E-2</v>
      </c>
      <c r="U26" s="21">
        <v>-6.1845808930849032E-2</v>
      </c>
      <c r="V26" s="21">
        <v>-5.9988099619419838E-2</v>
      </c>
      <c r="W26" s="21">
        <v>-5.8900599730276053E-2</v>
      </c>
      <c r="X26" s="21">
        <v>-5.7751225835204548E-2</v>
      </c>
      <c r="Y26" s="21">
        <v>-5.6709166082376902E-2</v>
      </c>
      <c r="Z26" s="21">
        <v>-5.5698978958168999E-2</v>
      </c>
      <c r="AA26" s="21">
        <v>-5.472576592903193E-2</v>
      </c>
      <c r="AB26" s="21">
        <v>-5.378600123290489E-2</v>
      </c>
      <c r="AC26" s="21">
        <v>-5.2878718866470151E-2</v>
      </c>
      <c r="AD26" s="21">
        <v>-5.2004454214856492E-2</v>
      </c>
      <c r="AE26" s="21">
        <v>-5.1162438487845831E-2</v>
      </c>
      <c r="AG26" s="17" t="s">
        <v>235</v>
      </c>
      <c r="AH26" s="21">
        <v>-8.3116025229717228E-2</v>
      </c>
      <c r="AI26" s="21">
        <v>-7.2938507681601053E-2</v>
      </c>
      <c r="AJ26" s="21">
        <v>-8.1463859693386001E-2</v>
      </c>
      <c r="AK26" s="21">
        <v>-7.4646813479993482E-2</v>
      </c>
      <c r="AL26" s="21">
        <v>-7.9842113042003462E-2</v>
      </c>
      <c r="AM26" s="21">
        <v>-5.9717669672039647E-2</v>
      </c>
      <c r="AN26" s="21">
        <v>-5.4051521417865352E-2</v>
      </c>
      <c r="AO26" s="21">
        <v>-5.2580967418682831E-2</v>
      </c>
      <c r="AP26" s="21">
        <v>-5.0470309205976532E-2</v>
      </c>
      <c r="AQ26" s="21">
        <v>-4.8712577795394847E-2</v>
      </c>
      <c r="AR26" s="21">
        <v>-4.7322206347238417E-2</v>
      </c>
      <c r="AS26" s="21">
        <v>-4.6654225645077513E-2</v>
      </c>
      <c r="AT26" s="21">
        <v>-4.5839185202196819E-2</v>
      </c>
      <c r="AU26" s="21">
        <v>-4.5143501390788543E-2</v>
      </c>
      <c r="AV26" s="21">
        <v>-4.4471876964604619E-2</v>
      </c>
      <c r="AW26" s="21">
        <v>-4.3837580906960182E-2</v>
      </c>
      <c r="AX26" s="21">
        <v>-4.3201983596253213E-2</v>
      </c>
      <c r="AY26" s="21">
        <v>-4.2577684860936542E-2</v>
      </c>
      <c r="AZ26" s="21">
        <v>-4.1950651009941158E-2</v>
      </c>
      <c r="BA26" s="21">
        <v>-4.1339824242725629E-2</v>
      </c>
      <c r="BC26" s="17" t="s">
        <v>236</v>
      </c>
      <c r="BD26" s="21">
        <v>-8.3116025229717228E-2</v>
      </c>
      <c r="BE26" s="21">
        <v>-7.2909410898632315E-2</v>
      </c>
      <c r="BF26" s="21">
        <v>-8.143163897147325E-2</v>
      </c>
      <c r="BG26" s="21">
        <v>-7.4616296899644885E-2</v>
      </c>
      <c r="BH26" s="21">
        <v>-7.9811556083405427E-2</v>
      </c>
      <c r="BI26" s="21">
        <v>-6.5131894304622739E-2</v>
      </c>
      <c r="BJ26" s="21">
        <v>-5.3026934238516787E-2</v>
      </c>
      <c r="BK26" s="21">
        <v>-4.3374056433630639E-2</v>
      </c>
      <c r="BL26" s="21">
        <v>-3.5688393121689477E-2</v>
      </c>
      <c r="BM26" s="21">
        <v>-2.9468491804137801E-2</v>
      </c>
      <c r="BN26" s="21">
        <v>-2.4336840052279499E-2</v>
      </c>
      <c r="BO26" s="21">
        <v>-2.010472526936791E-2</v>
      </c>
      <c r="BP26" s="21">
        <v>-1.6363674629183159E-2</v>
      </c>
      <c r="BQ26" s="21">
        <v>-1.31729630329534E-2</v>
      </c>
      <c r="BR26" s="21">
        <v>-1.0383651370304611E-2</v>
      </c>
      <c r="BS26" s="21">
        <v>-7.9680291518537446E-3</v>
      </c>
      <c r="BT26" s="21">
        <v>-5.8742755002261053E-3</v>
      </c>
      <c r="BU26" s="21">
        <v>-4.0279714912824427E-3</v>
      </c>
      <c r="BV26" s="21">
        <v>-2.466064910062341E-3</v>
      </c>
      <c r="BW26" s="21">
        <v>-1.0284303929520701E-3</v>
      </c>
      <c r="BY26" s="17" t="s">
        <v>237</v>
      </c>
      <c r="BZ26" s="21">
        <v>-8.3116025229717228E-2</v>
      </c>
      <c r="CA26" s="21">
        <v>-7.2880842789810968E-2</v>
      </c>
      <c r="CB26" s="21">
        <v>-8.1399529772968729E-2</v>
      </c>
      <c r="CC26" s="21">
        <v>-7.4585876895145786E-2</v>
      </c>
      <c r="CD26" s="21">
        <v>-7.9780965928660616E-2</v>
      </c>
      <c r="CE26" s="21">
        <v>-6.1518875272196898E-2</v>
      </c>
      <c r="CF26" s="21">
        <v>-5.8666830669112692E-2</v>
      </c>
      <c r="CG26" s="21">
        <v>-5.6772159079757509E-2</v>
      </c>
      <c r="CH26" s="21">
        <v>-5.4716239859248762E-2</v>
      </c>
      <c r="CI26" s="21">
        <v>-5.2225757242600798E-2</v>
      </c>
      <c r="CJ26" s="21">
        <v>-5.0263128338439822E-2</v>
      </c>
      <c r="CK26" s="21">
        <v>-4.9286746710945309E-2</v>
      </c>
      <c r="CL26" s="21">
        <v>-4.7816811961095759E-2</v>
      </c>
      <c r="CM26" s="21">
        <v>-4.6571454550186388E-2</v>
      </c>
      <c r="CN26" s="21">
        <v>-4.547066387974253E-2</v>
      </c>
      <c r="CO26" s="21">
        <v>-4.4359413458985031E-2</v>
      </c>
      <c r="CP26" s="21">
        <v>-4.33452016684907E-2</v>
      </c>
      <c r="CQ26" s="21">
        <v>-4.2401921390325628E-2</v>
      </c>
      <c r="CR26" s="21">
        <v>-4.1470400674904838E-2</v>
      </c>
      <c r="CS26" s="21">
        <v>-4.0617963878270852E-2</v>
      </c>
      <c r="CU26" s="17" t="s">
        <v>238</v>
      </c>
      <c r="CV26" s="21">
        <v>-8.3116025229717228E-2</v>
      </c>
      <c r="CW26" s="21">
        <v>-7.2922118226510083E-2</v>
      </c>
      <c r="CX26" s="21">
        <v>-8.1445628679307921E-2</v>
      </c>
      <c r="CY26" s="21">
        <v>-7.462955310715659E-2</v>
      </c>
      <c r="CZ26" s="21">
        <v>-7.9824806349949665E-2</v>
      </c>
      <c r="DA26" s="21">
        <v>-4.5317762430806083E-2</v>
      </c>
      <c r="DB26" s="21">
        <v>-3.7905667772718872E-2</v>
      </c>
      <c r="DC26" s="21">
        <v>-3.6875804034190052E-2</v>
      </c>
      <c r="DD26" s="21">
        <v>-3.5043869784156613E-2</v>
      </c>
      <c r="DE26" s="21">
        <v>-3.4147051350124531E-2</v>
      </c>
      <c r="DF26" s="21">
        <v>-3.3179526138103037E-2</v>
      </c>
      <c r="DG26" s="21">
        <v>-3.2778259293316347E-2</v>
      </c>
      <c r="DH26" s="21">
        <v>-3.2215390539374361E-2</v>
      </c>
      <c r="DI26" s="21">
        <v>-3.1845302759714263E-2</v>
      </c>
      <c r="DJ26" s="21">
        <v>-3.1441614598237057E-2</v>
      </c>
      <c r="DK26" s="21">
        <v>-3.1140597506912629E-2</v>
      </c>
      <c r="DL26" s="21">
        <v>-3.077498485641255E-2</v>
      </c>
      <c r="DM26" s="21">
        <v>-3.046549418312032E-2</v>
      </c>
      <c r="DN26" s="21">
        <v>-3.009257253862456E-2</v>
      </c>
      <c r="DO26" s="21">
        <v>-2.976788424749462E-2</v>
      </c>
    </row>
    <row r="27" spans="1:230" x14ac:dyDescent="0.45">
      <c r="A27" s="16" t="s">
        <v>239</v>
      </c>
      <c r="B27" s="3" t="s">
        <v>89</v>
      </c>
      <c r="C27" s="16" t="s">
        <v>240</v>
      </c>
      <c r="H27" s="3" t="s">
        <v>232</v>
      </c>
      <c r="I27" s="3" t="s">
        <v>233</v>
      </c>
      <c r="K27" s="17" t="s">
        <v>241</v>
      </c>
      <c r="L27" s="21">
        <v>0</v>
      </c>
      <c r="M27" s="21">
        <v>0</v>
      </c>
      <c r="N27" s="21">
        <v>0</v>
      </c>
      <c r="O27" s="21">
        <v>0</v>
      </c>
      <c r="P27" s="21">
        <v>0</v>
      </c>
      <c r="Q27" s="21">
        <v>0</v>
      </c>
      <c r="R27" s="21">
        <v>0</v>
      </c>
      <c r="S27" s="21">
        <v>0</v>
      </c>
      <c r="T27" s="21">
        <v>0</v>
      </c>
      <c r="U27" s="21">
        <v>0</v>
      </c>
      <c r="V27" s="21">
        <v>0</v>
      </c>
      <c r="W27" s="21">
        <v>0</v>
      </c>
      <c r="X27" s="21">
        <v>0</v>
      </c>
      <c r="Y27" s="21">
        <v>0</v>
      </c>
      <c r="Z27" s="21">
        <v>0</v>
      </c>
      <c r="AA27" s="21">
        <v>0</v>
      </c>
      <c r="AB27" s="21">
        <v>0</v>
      </c>
      <c r="AC27" s="21">
        <v>0</v>
      </c>
      <c r="AD27" s="21">
        <v>0</v>
      </c>
      <c r="AE27" s="21">
        <v>0</v>
      </c>
      <c r="AG27" s="17" t="s">
        <v>242</v>
      </c>
      <c r="AH27" s="21">
        <v>0</v>
      </c>
      <c r="AI27" s="21">
        <v>1.185544364064951E-5</v>
      </c>
      <c r="AJ27" s="21">
        <v>1.3324948240890651E-5</v>
      </c>
      <c r="AK27" s="21">
        <v>1.26042764380686E-5</v>
      </c>
      <c r="AL27" s="21">
        <v>1.267764193102298E-5</v>
      </c>
      <c r="AM27" s="21">
        <v>5.1295029418508293E-3</v>
      </c>
      <c r="AN27" s="21">
        <v>7.9779163914478878E-3</v>
      </c>
      <c r="AO27" s="21">
        <v>7.3019963275382941E-3</v>
      </c>
      <c r="AP27" s="21">
        <v>7.3123585041271061E-3</v>
      </c>
      <c r="AQ27" s="21">
        <v>6.6138851040412356E-3</v>
      </c>
      <c r="AR27" s="21">
        <v>6.3854596077624129E-3</v>
      </c>
      <c r="AS27" s="21">
        <v>6.1126710844911806E-3</v>
      </c>
      <c r="AT27" s="21">
        <v>5.9499099677594062E-3</v>
      </c>
      <c r="AU27" s="21">
        <v>5.7517636847117647E-3</v>
      </c>
      <c r="AV27" s="21">
        <v>5.5553957185162173E-3</v>
      </c>
      <c r="AW27" s="21">
        <v>5.350374675181401E-3</v>
      </c>
      <c r="AX27" s="21">
        <v>5.1773663106190566E-3</v>
      </c>
      <c r="AY27" s="21">
        <v>5.0211148601048174E-3</v>
      </c>
      <c r="AZ27" s="21">
        <v>4.8983114322635798E-3</v>
      </c>
      <c r="BA27" s="21">
        <v>4.7868072129761581E-3</v>
      </c>
      <c r="BC27" s="17" t="s">
        <v>243</v>
      </c>
      <c r="BD27" s="21">
        <v>0</v>
      </c>
      <c r="BE27" s="21">
        <v>4.0952226609380678E-5</v>
      </c>
      <c r="BF27" s="21">
        <v>4.554567015364838E-5</v>
      </c>
      <c r="BG27" s="21">
        <v>4.3120856786665833E-5</v>
      </c>
      <c r="BH27" s="21">
        <v>4.3234600529050918E-5</v>
      </c>
      <c r="BI27" s="21">
        <v>3.3379927574934288E-3</v>
      </c>
      <c r="BJ27" s="21">
        <v>7.9189203846130075E-3</v>
      </c>
      <c r="BK27" s="21">
        <v>1.202317121941078E-2</v>
      </c>
      <c r="BL27" s="21">
        <v>1.4571295071584479E-2</v>
      </c>
      <c r="BM27" s="21">
        <v>1.5552744812567069E-2</v>
      </c>
      <c r="BN27" s="21">
        <v>1.6920349433815152E-2</v>
      </c>
      <c r="BO27" s="21">
        <v>1.8212150739773891E-2</v>
      </c>
      <c r="BP27" s="21">
        <v>1.945318234506678E-2</v>
      </c>
      <c r="BQ27" s="21">
        <v>2.0302991084501731E-2</v>
      </c>
      <c r="BR27" s="21">
        <v>2.1144374545406391E-2</v>
      </c>
      <c r="BS27" s="21">
        <v>2.165402545855195E-2</v>
      </c>
      <c r="BT27" s="21">
        <v>2.220933418416824E-2</v>
      </c>
      <c r="BU27" s="21">
        <v>2.246527744067281E-2</v>
      </c>
      <c r="BV27" s="21">
        <v>2.286072682971594E-2</v>
      </c>
      <c r="BW27" s="21">
        <v>2.2916169638266509E-2</v>
      </c>
      <c r="BY27" s="17" t="s">
        <v>244</v>
      </c>
      <c r="BZ27" s="21">
        <v>0</v>
      </c>
      <c r="CA27" s="21">
        <v>6.9520335430725918E-5</v>
      </c>
      <c r="CB27" s="21">
        <v>7.7654868658170607E-5</v>
      </c>
      <c r="CC27" s="21">
        <v>7.354086128576366E-5</v>
      </c>
      <c r="CD27" s="21">
        <v>7.3824755273869762E-5</v>
      </c>
      <c r="CE27" s="21">
        <v>6.0830344208286109E-3</v>
      </c>
      <c r="CF27" s="21">
        <v>5.7578101181155854E-3</v>
      </c>
      <c r="CG27" s="21">
        <v>5.513490792257031E-3</v>
      </c>
      <c r="CH27" s="21">
        <v>5.3722127085014896E-3</v>
      </c>
      <c r="CI27" s="21">
        <v>5.2946397430103072E-3</v>
      </c>
      <c r="CJ27" s="21">
        <v>5.4933968839650351E-3</v>
      </c>
      <c r="CK27" s="21">
        <v>5.4696781867070972E-3</v>
      </c>
      <c r="CL27" s="21">
        <v>5.875009716390777E-3</v>
      </c>
      <c r="CM27" s="21">
        <v>6.1611508168680097E-3</v>
      </c>
      <c r="CN27" s="21">
        <v>6.3316529440720489E-3</v>
      </c>
      <c r="CO27" s="21">
        <v>6.5462916573730857E-3</v>
      </c>
      <c r="CP27" s="21">
        <v>6.6963280494583112E-3</v>
      </c>
      <c r="CQ27" s="21">
        <v>6.805980648153364E-3</v>
      </c>
      <c r="CR27" s="21">
        <v>6.9359084822257144E-3</v>
      </c>
      <c r="CS27" s="21">
        <v>7.0167189122470833E-3</v>
      </c>
      <c r="CU27" s="17" t="s">
        <v>245</v>
      </c>
      <c r="CV27" s="21">
        <v>0</v>
      </c>
      <c r="CW27" s="21">
        <v>2.8244898731611178E-5</v>
      </c>
      <c r="CX27" s="21">
        <v>3.1555962318978429E-5</v>
      </c>
      <c r="CY27" s="21">
        <v>2.986464927496437E-5</v>
      </c>
      <c r="CZ27" s="21">
        <v>2.9984333984812469E-5</v>
      </c>
      <c r="DA27" s="21">
        <v>9.9841664250412496E-3</v>
      </c>
      <c r="DB27" s="21">
        <v>1.6043412585306061E-2</v>
      </c>
      <c r="DC27" s="21">
        <v>1.499103559710087E-2</v>
      </c>
      <c r="DD27" s="21">
        <v>1.5103170584743661E-2</v>
      </c>
      <c r="DE27" s="21">
        <v>1.353381474972584E-2</v>
      </c>
      <c r="DF27" s="21">
        <v>1.334269914381459E-2</v>
      </c>
      <c r="DG27" s="21">
        <v>1.3042342607967499E-2</v>
      </c>
      <c r="DH27" s="21">
        <v>1.299019157641511E-2</v>
      </c>
      <c r="DI27" s="21">
        <v>1.273160264561974E-2</v>
      </c>
      <c r="DJ27" s="21">
        <v>1.2555826742249769E-2</v>
      </c>
      <c r="DK27" s="21">
        <v>1.2242597538401871E-2</v>
      </c>
      <c r="DL27" s="21">
        <v>1.20497325949829E-2</v>
      </c>
      <c r="DM27" s="21">
        <v>1.1779682000169061E-2</v>
      </c>
      <c r="DN27" s="21">
        <v>1.162396639408215E-2</v>
      </c>
      <c r="DO27" s="21">
        <v>1.1406154506748071E-2</v>
      </c>
    </row>
    <row r="28" spans="1:230" x14ac:dyDescent="0.45">
      <c r="A28" s="11"/>
      <c r="B28" s="3"/>
      <c r="C28" s="16" t="s">
        <v>246</v>
      </c>
      <c r="H28" s="11" t="s">
        <v>247</v>
      </c>
      <c r="I28" s="11"/>
    </row>
    <row r="29" spans="1:230" x14ac:dyDescent="0.45">
      <c r="A29" s="11"/>
      <c r="B29" s="3"/>
      <c r="C29" s="16" t="s">
        <v>248</v>
      </c>
      <c r="H29" s="11" t="s">
        <v>249</v>
      </c>
      <c r="I29" s="11"/>
    </row>
    <row r="30" spans="1:230" x14ac:dyDescent="0.45">
      <c r="A30" s="11"/>
      <c r="B30" s="3"/>
      <c r="C30" s="16" t="s">
        <v>250</v>
      </c>
      <c r="H30" s="11" t="s">
        <v>251</v>
      </c>
      <c r="I30" s="11"/>
    </row>
    <row r="31" spans="1:230" x14ac:dyDescent="0.45">
      <c r="A31" s="11"/>
      <c r="B31" s="3"/>
      <c r="C31" s="16" t="s">
        <v>252</v>
      </c>
      <c r="H31" s="11" t="s">
        <v>253</v>
      </c>
      <c r="I31" s="11"/>
    </row>
    <row r="32" spans="1:230" x14ac:dyDescent="0.45">
      <c r="A32" s="11"/>
      <c r="B32" s="3"/>
      <c r="C32" s="16" t="s">
        <v>254</v>
      </c>
      <c r="H32" s="11" t="s">
        <v>255</v>
      </c>
      <c r="I32" s="11"/>
    </row>
    <row r="33" spans="1:230" x14ac:dyDescent="0.45">
      <c r="A33" s="11"/>
      <c r="B33" s="3" t="s">
        <v>89</v>
      </c>
      <c r="C33" s="16" t="s">
        <v>256</v>
      </c>
      <c r="H33" s="11" t="s">
        <v>257</v>
      </c>
      <c r="I33" s="11" t="s">
        <v>258</v>
      </c>
    </row>
    <row r="34" spans="1:230" x14ac:dyDescent="0.45">
      <c r="A34" s="16" t="s">
        <v>259</v>
      </c>
      <c r="B34" s="3" t="s">
        <v>89</v>
      </c>
      <c r="C34" s="16" t="s">
        <v>260</v>
      </c>
      <c r="H34" s="3" t="s">
        <v>261</v>
      </c>
      <c r="I34" s="3" t="s">
        <v>262</v>
      </c>
      <c r="K34" s="17" t="s">
        <v>263</v>
      </c>
      <c r="L34" s="3">
        <v>546.97092411895414</v>
      </c>
      <c r="M34" s="3">
        <v>567.5385678541237</v>
      </c>
      <c r="N34" s="3">
        <v>581.15268869519412</v>
      </c>
      <c r="O34" s="3">
        <v>606.67916384359228</v>
      </c>
      <c r="P34" s="3">
        <v>632.400576753819</v>
      </c>
      <c r="Q34" s="3">
        <v>662.94057923851824</v>
      </c>
      <c r="R34" s="3">
        <v>699.63643519160053</v>
      </c>
      <c r="S34" s="3">
        <v>736.20367509151083</v>
      </c>
      <c r="T34" s="3">
        <v>771.84975150892149</v>
      </c>
      <c r="U34" s="3">
        <v>808.81159842533975</v>
      </c>
      <c r="V34" s="3">
        <v>847.1136400397902</v>
      </c>
      <c r="W34" s="3">
        <v>886.77934656237903</v>
      </c>
      <c r="X34" s="3">
        <v>927.83113813410637</v>
      </c>
      <c r="Y34" s="3">
        <v>970.29028688468065</v>
      </c>
      <c r="Z34" s="3">
        <v>1014.176817350464</v>
      </c>
      <c r="AA34" s="3">
        <v>1059.5094054915301</v>
      </c>
      <c r="AB34" s="3">
        <v>1106.3052765634829</v>
      </c>
      <c r="AC34" s="3">
        <v>1154.58010211603</v>
      </c>
      <c r="AD34" s="3">
        <v>1204.347896406307</v>
      </c>
      <c r="AE34" s="3">
        <v>1255.6209125304661</v>
      </c>
      <c r="AG34" s="17" t="s">
        <v>264</v>
      </c>
      <c r="AH34" s="3">
        <v>546.97092411895414</v>
      </c>
      <c r="AI34" s="3">
        <v>567.5385678541237</v>
      </c>
      <c r="AJ34" s="3">
        <v>581.15268869519412</v>
      </c>
      <c r="AK34" s="3">
        <v>606.67916384359228</v>
      </c>
      <c r="AL34" s="3">
        <v>632.400576753819</v>
      </c>
      <c r="AM34" s="3">
        <v>662.94057923851824</v>
      </c>
      <c r="AN34" s="3">
        <v>699.63643519160053</v>
      </c>
      <c r="AO34" s="3">
        <v>736.20367509151083</v>
      </c>
      <c r="AP34" s="3">
        <v>771.84975150892149</v>
      </c>
      <c r="AQ34" s="3">
        <v>808.81159842533975</v>
      </c>
      <c r="AR34" s="3">
        <v>847.1136400397902</v>
      </c>
      <c r="AS34" s="3">
        <v>886.77934656237903</v>
      </c>
      <c r="AT34" s="3">
        <v>927.83113813410637</v>
      </c>
      <c r="AU34" s="3">
        <v>970.29028688468065</v>
      </c>
      <c r="AV34" s="3">
        <v>1014.176817350464</v>
      </c>
      <c r="AW34" s="3">
        <v>1059.5094054915301</v>
      </c>
      <c r="AX34" s="3">
        <v>1106.3052765634829</v>
      </c>
      <c r="AY34" s="3">
        <v>1154.58010211603</v>
      </c>
      <c r="AZ34" s="3">
        <v>1204.347896406307</v>
      </c>
      <c r="BA34" s="3">
        <v>1255.6209125304661</v>
      </c>
      <c r="BC34" s="17" t="s">
        <v>265</v>
      </c>
      <c r="BD34" s="3">
        <v>546.97092411895414</v>
      </c>
      <c r="BE34" s="3">
        <v>567.5385678541237</v>
      </c>
      <c r="BF34" s="3">
        <v>581.15268869519412</v>
      </c>
      <c r="BG34" s="3">
        <v>606.67916384359228</v>
      </c>
      <c r="BH34" s="3">
        <v>632.400576753819</v>
      </c>
      <c r="BI34" s="3">
        <v>662.94057923851824</v>
      </c>
      <c r="BJ34" s="3">
        <v>699.63643519160053</v>
      </c>
      <c r="BK34" s="3">
        <v>736.20367509151083</v>
      </c>
      <c r="BL34" s="3">
        <v>771.84975150892149</v>
      </c>
      <c r="BM34" s="3">
        <v>808.81159842533975</v>
      </c>
      <c r="BN34" s="3">
        <v>847.1136400397902</v>
      </c>
      <c r="BO34" s="3">
        <v>886.77934656237903</v>
      </c>
      <c r="BP34" s="3">
        <v>927.83113813410637</v>
      </c>
      <c r="BQ34" s="3">
        <v>970.29028688468065</v>
      </c>
      <c r="BR34" s="3">
        <v>1014.176817350464</v>
      </c>
      <c r="BS34" s="3">
        <v>1059.5094054915301</v>
      </c>
      <c r="BT34" s="3">
        <v>1106.3052765634829</v>
      </c>
      <c r="BU34" s="3">
        <v>1154.58010211603</v>
      </c>
      <c r="BV34" s="3">
        <v>1204.347896406307</v>
      </c>
      <c r="BW34" s="3">
        <v>1255.6209125304661</v>
      </c>
      <c r="BY34" s="17" t="s">
        <v>266</v>
      </c>
      <c r="BZ34" s="3">
        <v>546.97092411895414</v>
      </c>
      <c r="CA34" s="3">
        <v>567.5385678541237</v>
      </c>
      <c r="CB34" s="3">
        <v>581.15268869519412</v>
      </c>
      <c r="CC34" s="3">
        <v>606.67916384359228</v>
      </c>
      <c r="CD34" s="3">
        <v>632.400576753819</v>
      </c>
      <c r="CE34" s="3">
        <v>662.94057923851824</v>
      </c>
      <c r="CF34" s="3">
        <v>699.63643519160053</v>
      </c>
      <c r="CG34" s="3">
        <v>736.20367509151083</v>
      </c>
      <c r="CH34" s="3">
        <v>771.84975150892149</v>
      </c>
      <c r="CI34" s="3">
        <v>808.81159842533975</v>
      </c>
      <c r="CJ34" s="3">
        <v>847.1136400397902</v>
      </c>
      <c r="CK34" s="3">
        <v>886.77934656237903</v>
      </c>
      <c r="CL34" s="3">
        <v>927.83113813410637</v>
      </c>
      <c r="CM34" s="3">
        <v>970.29028688468065</v>
      </c>
      <c r="CN34" s="3">
        <v>1014.176817350464</v>
      </c>
      <c r="CO34" s="3">
        <v>1059.5094054915301</v>
      </c>
      <c r="CP34" s="3">
        <v>1106.3052765634829</v>
      </c>
      <c r="CQ34" s="3">
        <v>1154.58010211603</v>
      </c>
      <c r="CR34" s="3">
        <v>1204.347896406307</v>
      </c>
      <c r="CS34" s="3">
        <v>1255.6209125304661</v>
      </c>
      <c r="CU34" s="17" t="s">
        <v>267</v>
      </c>
      <c r="CV34" s="3">
        <v>546.97092411895414</v>
      </c>
      <c r="CW34" s="3">
        <v>567.5385678541237</v>
      </c>
      <c r="CX34" s="3">
        <v>581.15268869519412</v>
      </c>
      <c r="CY34" s="3">
        <v>606.67916384359228</v>
      </c>
      <c r="CZ34" s="3">
        <v>632.400576753819</v>
      </c>
      <c r="DA34" s="3">
        <v>662.94057923851824</v>
      </c>
      <c r="DB34" s="3">
        <v>699.63643519160053</v>
      </c>
      <c r="DC34" s="3">
        <v>736.20367509151083</v>
      </c>
      <c r="DD34" s="3">
        <v>771.84975150892149</v>
      </c>
      <c r="DE34" s="3">
        <v>808.81159842533975</v>
      </c>
      <c r="DF34" s="3">
        <v>847.1136400397902</v>
      </c>
      <c r="DG34" s="3">
        <v>886.77934656237903</v>
      </c>
      <c r="DH34" s="3">
        <v>927.83113813410637</v>
      </c>
      <c r="DI34" s="3">
        <v>970.29028688468065</v>
      </c>
      <c r="DJ34" s="3">
        <v>1014.176817350464</v>
      </c>
      <c r="DK34" s="3">
        <v>1059.5094054915301</v>
      </c>
      <c r="DL34" s="3">
        <v>1106.3052765634829</v>
      </c>
      <c r="DM34" s="3">
        <v>1154.58010211603</v>
      </c>
      <c r="DN34" s="3">
        <v>1204.347896406307</v>
      </c>
      <c r="DO34" s="3">
        <v>1255.6209125304661</v>
      </c>
    </row>
    <row r="35" spans="1:230" x14ac:dyDescent="0.45">
      <c r="A35" s="16" t="s">
        <v>268</v>
      </c>
      <c r="B35" s="3" t="s">
        <v>89</v>
      </c>
      <c r="C35" s="16" t="s">
        <v>269</v>
      </c>
      <c r="H35" s="3" t="s">
        <v>270</v>
      </c>
      <c r="I35" s="3" t="s">
        <v>262</v>
      </c>
      <c r="K35" s="17" t="s">
        <v>271</v>
      </c>
      <c r="L35" s="19">
        <v>546.97092411895414</v>
      </c>
      <c r="M35" s="19">
        <v>567.5385678541237</v>
      </c>
      <c r="N35" s="19">
        <v>581.15268869519412</v>
      </c>
      <c r="O35" s="19">
        <v>606.67916384359228</v>
      </c>
      <c r="P35" s="19">
        <v>632.400576753819</v>
      </c>
      <c r="Q35" s="19">
        <v>662.94057923851824</v>
      </c>
      <c r="R35" s="19">
        <v>699.63643519160053</v>
      </c>
      <c r="S35" s="19">
        <v>736.20367509151083</v>
      </c>
      <c r="T35" s="19">
        <v>771.84975150892149</v>
      </c>
      <c r="U35" s="19">
        <v>808.81159842533975</v>
      </c>
      <c r="V35" s="19">
        <v>847.1136400397902</v>
      </c>
      <c r="W35" s="19">
        <v>886.77934656237903</v>
      </c>
      <c r="X35" s="19">
        <v>927.83113813410637</v>
      </c>
      <c r="Y35" s="19">
        <v>970.29028688468065</v>
      </c>
      <c r="Z35" s="19">
        <v>1014.176817350464</v>
      </c>
      <c r="AA35" s="19">
        <v>1059.5094054915301</v>
      </c>
      <c r="AB35" s="19">
        <v>1106.3052765634829</v>
      </c>
      <c r="AC35" s="19">
        <v>1154.58010211603</v>
      </c>
      <c r="AD35" s="19">
        <v>1204.347896406307</v>
      </c>
      <c r="AE35" s="19">
        <v>1255.6209125304661</v>
      </c>
      <c r="AG35" s="17" t="s">
        <v>272</v>
      </c>
      <c r="AH35" s="19">
        <v>546.97092411895414</v>
      </c>
      <c r="AI35" s="19">
        <v>567.5385678541237</v>
      </c>
      <c r="AJ35" s="19">
        <v>581.15268869519412</v>
      </c>
      <c r="AK35" s="19">
        <v>606.67916384359228</v>
      </c>
      <c r="AL35" s="19">
        <v>632.400576753819</v>
      </c>
      <c r="AM35" s="19">
        <v>662.94061848821525</v>
      </c>
      <c r="AN35" s="19">
        <v>699.6363428271984</v>
      </c>
      <c r="AO35" s="19">
        <v>736.63963779716005</v>
      </c>
      <c r="AP35" s="19">
        <v>771.26916016492589</v>
      </c>
      <c r="AQ35" s="19">
        <v>808.39113801092526</v>
      </c>
      <c r="AR35" s="19">
        <v>846.21774108863315</v>
      </c>
      <c r="AS35" s="19">
        <v>886.46766968294833</v>
      </c>
      <c r="AT35" s="19">
        <v>928.68491254622404</v>
      </c>
      <c r="AU35" s="19">
        <v>972.12438202185047</v>
      </c>
      <c r="AV35" s="19">
        <v>1017.303471727571</v>
      </c>
      <c r="AW35" s="19">
        <v>1064.6086923634989</v>
      </c>
      <c r="AX35" s="19">
        <v>1112.9276761363169</v>
      </c>
      <c r="AY35" s="19">
        <v>1162.497538435151</v>
      </c>
      <c r="AZ35" s="19">
        <v>1212.8664111201861</v>
      </c>
      <c r="BA35" s="19">
        <v>1264.5424154081829</v>
      </c>
      <c r="BC35" s="17" t="s">
        <v>273</v>
      </c>
      <c r="BD35" s="19">
        <v>546.97092411895414</v>
      </c>
      <c r="BE35" s="19">
        <v>567.5385678541237</v>
      </c>
      <c r="BF35" s="19">
        <v>581.15268869519412</v>
      </c>
      <c r="BG35" s="19">
        <v>606.67916384359228</v>
      </c>
      <c r="BH35" s="19">
        <v>632.400576753819</v>
      </c>
      <c r="BI35" s="19">
        <v>662.94070395412064</v>
      </c>
      <c r="BJ35" s="19">
        <v>699.63614027399501</v>
      </c>
      <c r="BK35" s="19">
        <v>736.45091157399338</v>
      </c>
      <c r="BL35" s="19">
        <v>771.7903972086101</v>
      </c>
      <c r="BM35" s="19">
        <v>808.45595326637306</v>
      </c>
      <c r="BN35" s="19">
        <v>846.20486640449644</v>
      </c>
      <c r="BO35" s="19">
        <v>885.71599343391131</v>
      </c>
      <c r="BP35" s="19">
        <v>927.40528605660325</v>
      </c>
      <c r="BQ35" s="19">
        <v>971.11345480425575</v>
      </c>
      <c r="BR35" s="19">
        <v>1016.895922801281</v>
      </c>
      <c r="BS35" s="19">
        <v>1065.0681014788199</v>
      </c>
      <c r="BT35" s="19">
        <v>1115.378716320361</v>
      </c>
      <c r="BU35" s="19">
        <v>1167.66102062202</v>
      </c>
      <c r="BV35" s="19">
        <v>1221.3997462374409</v>
      </c>
      <c r="BW35" s="19">
        <v>1276.4504332868539</v>
      </c>
      <c r="BY35" s="17" t="s">
        <v>274</v>
      </c>
      <c r="BZ35" s="19">
        <v>546.97092411895414</v>
      </c>
      <c r="CA35" s="19">
        <v>567.5385678541237</v>
      </c>
      <c r="CB35" s="19">
        <v>581.15268869519412</v>
      </c>
      <c r="CC35" s="19">
        <v>606.67916384359228</v>
      </c>
      <c r="CD35" s="19">
        <v>632.400576753819</v>
      </c>
      <c r="CE35" s="19">
        <v>662.94078690456593</v>
      </c>
      <c r="CF35" s="19">
        <v>699.63590134144738</v>
      </c>
      <c r="CG35" s="19">
        <v>736.57448835657601</v>
      </c>
      <c r="CH35" s="19">
        <v>771.26480909255554</v>
      </c>
      <c r="CI35" s="19">
        <v>808.6008529381827</v>
      </c>
      <c r="CJ35" s="19">
        <v>846.38055660887846</v>
      </c>
      <c r="CK35" s="19">
        <v>886.71555494239874</v>
      </c>
      <c r="CL35" s="19">
        <v>928.5454337664105</v>
      </c>
      <c r="CM35" s="19">
        <v>971.65959548228773</v>
      </c>
      <c r="CN35" s="19">
        <v>1016.481693802573</v>
      </c>
      <c r="CO35" s="19">
        <v>1063.256737550653</v>
      </c>
      <c r="CP35" s="19">
        <v>1111.057316011736</v>
      </c>
      <c r="CQ35" s="19">
        <v>1160.278923285267</v>
      </c>
      <c r="CR35" s="19">
        <v>1210.442903416415</v>
      </c>
      <c r="CS35" s="19">
        <v>1262.2039983495631</v>
      </c>
      <c r="CU35" s="17" t="s">
        <v>275</v>
      </c>
      <c r="CV35" s="19">
        <v>546.97092411895414</v>
      </c>
      <c r="CW35" s="19">
        <v>567.5385678541237</v>
      </c>
      <c r="CX35" s="19">
        <v>581.15268869519412</v>
      </c>
      <c r="CY35" s="19">
        <v>606.67916384359228</v>
      </c>
      <c r="CZ35" s="19">
        <v>632.400576753819</v>
      </c>
      <c r="DA35" s="19">
        <v>662.94066841850895</v>
      </c>
      <c r="DB35" s="19">
        <v>699.63622458737473</v>
      </c>
      <c r="DC35" s="19">
        <v>737.13710592090604</v>
      </c>
      <c r="DD35" s="19">
        <v>770.57146556688144</v>
      </c>
      <c r="DE35" s="19">
        <v>807.98181138666598</v>
      </c>
      <c r="DF35" s="19">
        <v>845.18799161668903</v>
      </c>
      <c r="DG35" s="19">
        <v>886.1839725514767</v>
      </c>
      <c r="DH35" s="19">
        <v>929.63114131362659</v>
      </c>
      <c r="DI35" s="19">
        <v>974.15312321425313</v>
      </c>
      <c r="DJ35" s="19">
        <v>1020.746010243519</v>
      </c>
      <c r="DK35" s="19">
        <v>1070.2407479665201</v>
      </c>
      <c r="DL35" s="19">
        <v>1120.2001050261149</v>
      </c>
      <c r="DM35" s="19">
        <v>1171.2278214146861</v>
      </c>
      <c r="DN35" s="19">
        <v>1222.2742878453</v>
      </c>
      <c r="DO35" s="19">
        <v>1274.4630042782171</v>
      </c>
    </row>
    <row r="36" spans="1:230" x14ac:dyDescent="0.45">
      <c r="A36" s="16" t="s">
        <v>276</v>
      </c>
      <c r="B36" s="3" t="s">
        <v>89</v>
      </c>
      <c r="C36" s="16" t="s">
        <v>277</v>
      </c>
      <c r="H36" s="3" t="s">
        <v>278</v>
      </c>
      <c r="I36" s="3" t="s">
        <v>279</v>
      </c>
      <c r="K36" s="17" t="s">
        <v>280</v>
      </c>
      <c r="L36" s="3">
        <v>111.743365</v>
      </c>
      <c r="M36" s="3">
        <v>113.493134</v>
      </c>
      <c r="N36" s="3">
        <v>116.538258</v>
      </c>
      <c r="O36" s="3">
        <v>118.365994</v>
      </c>
      <c r="P36" s="3">
        <v>120.101175</v>
      </c>
      <c r="Q36" s="3">
        <v>121.847617</v>
      </c>
      <c r="R36" s="3">
        <v>123.608457</v>
      </c>
      <c r="S36" s="3">
        <v>125.37304899999999</v>
      </c>
      <c r="T36" s="3">
        <v>127.139321</v>
      </c>
      <c r="U36" s="3">
        <v>128.912252</v>
      </c>
      <c r="V36" s="3">
        <v>130.695078</v>
      </c>
      <c r="W36" s="3">
        <v>132.48560499999999</v>
      </c>
      <c r="X36" s="3">
        <v>134.28783999999999</v>
      </c>
      <c r="Y36" s="3">
        <v>136.097218</v>
      </c>
      <c r="Z36" s="3">
        <v>137.913263</v>
      </c>
      <c r="AA36" s="3">
        <v>139.738696</v>
      </c>
      <c r="AB36" s="3">
        <v>141.56583000000001</v>
      </c>
      <c r="AC36" s="3">
        <v>143.39326399999999</v>
      </c>
      <c r="AD36" s="3">
        <v>145.21365399999999</v>
      </c>
      <c r="AE36" s="3">
        <v>147.01855599999999</v>
      </c>
      <c r="AG36" s="17" t="s">
        <v>281</v>
      </c>
      <c r="AH36" s="3">
        <v>111.743365</v>
      </c>
      <c r="AI36" s="3">
        <v>113.493134</v>
      </c>
      <c r="AJ36" s="3">
        <v>116.538258</v>
      </c>
      <c r="AK36" s="3">
        <v>118.365994</v>
      </c>
      <c r="AL36" s="3">
        <v>120.101175</v>
      </c>
      <c r="AM36" s="3">
        <v>121.847617</v>
      </c>
      <c r="AN36" s="3">
        <v>123.608457</v>
      </c>
      <c r="AO36" s="3">
        <v>125.37304899999999</v>
      </c>
      <c r="AP36" s="3">
        <v>127.139321</v>
      </c>
      <c r="AQ36" s="3">
        <v>128.912252</v>
      </c>
      <c r="AR36" s="3">
        <v>130.695078</v>
      </c>
      <c r="AS36" s="3">
        <v>132.48560499999999</v>
      </c>
      <c r="AT36" s="3">
        <v>134.28783999999999</v>
      </c>
      <c r="AU36" s="3">
        <v>136.097218</v>
      </c>
      <c r="AV36" s="3">
        <v>137.913263</v>
      </c>
      <c r="AW36" s="3">
        <v>139.738696</v>
      </c>
      <c r="AX36" s="3">
        <v>141.56583000000001</v>
      </c>
      <c r="AY36" s="3">
        <v>143.39326399999999</v>
      </c>
      <c r="AZ36" s="3">
        <v>145.21365399999999</v>
      </c>
      <c r="BA36" s="3">
        <v>147.01855599999999</v>
      </c>
      <c r="BC36" s="17" t="s">
        <v>282</v>
      </c>
      <c r="BD36" s="3">
        <v>111.743365</v>
      </c>
      <c r="BE36" s="3">
        <v>113.493134</v>
      </c>
      <c r="BF36" s="3">
        <v>116.538258</v>
      </c>
      <c r="BG36" s="3">
        <v>118.365994</v>
      </c>
      <c r="BH36" s="3">
        <v>120.101175</v>
      </c>
      <c r="BI36" s="3">
        <v>121.847617</v>
      </c>
      <c r="BJ36" s="3">
        <v>123.608457</v>
      </c>
      <c r="BK36" s="3">
        <v>125.37304899999999</v>
      </c>
      <c r="BL36" s="3">
        <v>127.139321</v>
      </c>
      <c r="BM36" s="3">
        <v>128.912252</v>
      </c>
      <c r="BN36" s="3">
        <v>130.695078</v>
      </c>
      <c r="BO36" s="3">
        <v>132.48560499999999</v>
      </c>
      <c r="BP36" s="3">
        <v>134.28783999999999</v>
      </c>
      <c r="BQ36" s="3">
        <v>136.097218</v>
      </c>
      <c r="BR36" s="3">
        <v>137.913263</v>
      </c>
      <c r="BS36" s="3">
        <v>139.738696</v>
      </c>
      <c r="BT36" s="3">
        <v>141.56583000000001</v>
      </c>
      <c r="BU36" s="3">
        <v>143.39326399999999</v>
      </c>
      <c r="BV36" s="3">
        <v>145.21365399999999</v>
      </c>
      <c r="BW36" s="3">
        <v>147.01855599999999</v>
      </c>
      <c r="BY36" s="17" t="s">
        <v>283</v>
      </c>
      <c r="BZ36" s="3">
        <v>111.743365</v>
      </c>
      <c r="CA36" s="3">
        <v>113.493134</v>
      </c>
      <c r="CB36" s="3">
        <v>116.538258</v>
      </c>
      <c r="CC36" s="3">
        <v>118.365994</v>
      </c>
      <c r="CD36" s="3">
        <v>120.101175</v>
      </c>
      <c r="CE36" s="3">
        <v>121.847617</v>
      </c>
      <c r="CF36" s="3">
        <v>123.608457</v>
      </c>
      <c r="CG36" s="3">
        <v>125.37304899999999</v>
      </c>
      <c r="CH36" s="3">
        <v>127.139321</v>
      </c>
      <c r="CI36" s="3">
        <v>128.912252</v>
      </c>
      <c r="CJ36" s="3">
        <v>130.695078</v>
      </c>
      <c r="CK36" s="3">
        <v>132.48560499999999</v>
      </c>
      <c r="CL36" s="3">
        <v>134.28783999999999</v>
      </c>
      <c r="CM36" s="3">
        <v>136.097218</v>
      </c>
      <c r="CN36" s="3">
        <v>137.913263</v>
      </c>
      <c r="CO36" s="3">
        <v>139.738696</v>
      </c>
      <c r="CP36" s="3">
        <v>141.56583000000001</v>
      </c>
      <c r="CQ36" s="3">
        <v>143.39326399999999</v>
      </c>
      <c r="CR36" s="3">
        <v>145.21365399999999</v>
      </c>
      <c r="CS36" s="3">
        <v>147.01855599999999</v>
      </c>
      <c r="CU36" s="17" t="s">
        <v>284</v>
      </c>
      <c r="CV36" s="3">
        <v>111.743365</v>
      </c>
      <c r="CW36" s="3">
        <v>113.493134</v>
      </c>
      <c r="CX36" s="3">
        <v>116.538258</v>
      </c>
      <c r="CY36" s="3">
        <v>118.365994</v>
      </c>
      <c r="CZ36" s="3">
        <v>120.101175</v>
      </c>
      <c r="DA36" s="3">
        <v>121.847617</v>
      </c>
      <c r="DB36" s="3">
        <v>123.608457</v>
      </c>
      <c r="DC36" s="3">
        <v>125.37304899999999</v>
      </c>
      <c r="DD36" s="3">
        <v>127.139321</v>
      </c>
      <c r="DE36" s="3">
        <v>128.912252</v>
      </c>
      <c r="DF36" s="3">
        <v>130.695078</v>
      </c>
      <c r="DG36" s="3">
        <v>132.48560499999999</v>
      </c>
      <c r="DH36" s="3">
        <v>134.28783999999999</v>
      </c>
      <c r="DI36" s="3">
        <v>136.097218</v>
      </c>
      <c r="DJ36" s="3">
        <v>137.913263</v>
      </c>
      <c r="DK36" s="3">
        <v>139.738696</v>
      </c>
      <c r="DL36" s="3">
        <v>141.56583000000001</v>
      </c>
      <c r="DM36" s="3">
        <v>143.39326399999999</v>
      </c>
      <c r="DN36" s="3">
        <v>145.21365399999999</v>
      </c>
      <c r="DO36" s="3">
        <v>147.01855599999999</v>
      </c>
    </row>
    <row r="37" spans="1:230" ht="15.4" x14ac:dyDescent="0.45">
      <c r="A37" s="5"/>
      <c r="B37" s="15" t="s">
        <v>285</v>
      </c>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row>
    <row r="38" spans="1:230" x14ac:dyDescent="0.45">
      <c r="A38" s="16" t="s">
        <v>286</v>
      </c>
      <c r="B38" s="3" t="s">
        <v>89</v>
      </c>
      <c r="C38" s="16" t="s">
        <v>287</v>
      </c>
      <c r="H38" s="3" t="s">
        <v>288</v>
      </c>
      <c r="I38" s="3" t="s">
        <v>289</v>
      </c>
      <c r="K38" s="17" t="s">
        <v>290</v>
      </c>
      <c r="L38" s="19">
        <v>400.90737196203099</v>
      </c>
      <c r="M38" s="19">
        <v>411.84937392728278</v>
      </c>
      <c r="N38" s="19">
        <v>455.59124511957918</v>
      </c>
      <c r="O38" s="19">
        <v>477.36702358274403</v>
      </c>
      <c r="P38" s="19">
        <v>487.86793242195552</v>
      </c>
      <c r="Q38" s="19">
        <v>498.99405062650891</v>
      </c>
      <c r="R38" s="19">
        <v>511.73279510283589</v>
      </c>
      <c r="S38" s="19">
        <v>524.32273215725093</v>
      </c>
      <c r="T38" s="19">
        <v>535.27504767227538</v>
      </c>
      <c r="U38" s="19">
        <v>543.04626669383117</v>
      </c>
      <c r="V38" s="19">
        <v>550.45421029158126</v>
      </c>
      <c r="W38" s="19">
        <v>560.8952017747755</v>
      </c>
      <c r="X38" s="19">
        <v>570.8122366465351</v>
      </c>
      <c r="Y38" s="19">
        <v>581.2828013793843</v>
      </c>
      <c r="Z38" s="19">
        <v>591.84817645878991</v>
      </c>
      <c r="AA38" s="19">
        <v>602.56642492217588</v>
      </c>
      <c r="AB38" s="19">
        <v>613.41224247905666</v>
      </c>
      <c r="AC38" s="19">
        <v>624.38499383423209</v>
      </c>
      <c r="AD38" s="19">
        <v>635.48581898463704</v>
      </c>
      <c r="AE38" s="19">
        <v>646.70672490742345</v>
      </c>
      <c r="AG38" s="17" t="s">
        <v>291</v>
      </c>
      <c r="AH38" s="19">
        <v>400.90737196203099</v>
      </c>
      <c r="AI38" s="19">
        <v>411.79560061694713</v>
      </c>
      <c r="AJ38" s="19">
        <v>455.53941406350992</v>
      </c>
      <c r="AK38" s="19">
        <v>477.31709211980808</v>
      </c>
      <c r="AL38" s="19">
        <v>487.8179842896306</v>
      </c>
      <c r="AM38" s="19">
        <v>465.63503896757481</v>
      </c>
      <c r="AN38" s="19">
        <v>467.13581487532463</v>
      </c>
      <c r="AO38" s="19">
        <v>480.7699538755503</v>
      </c>
      <c r="AP38" s="19">
        <v>489.47111041577108</v>
      </c>
      <c r="AQ38" s="19">
        <v>497.72232152895958</v>
      </c>
      <c r="AR38" s="19">
        <v>504.17230628465512</v>
      </c>
      <c r="AS38" s="19">
        <v>514.35412865688249</v>
      </c>
      <c r="AT38" s="19">
        <v>523.27749111482353</v>
      </c>
      <c r="AU38" s="19">
        <v>533.07070769233678</v>
      </c>
      <c r="AV38" s="19">
        <v>542.99866514615292</v>
      </c>
      <c r="AW38" s="19">
        <v>553.2201392707085</v>
      </c>
      <c r="AX38" s="19">
        <v>563.38161472505806</v>
      </c>
      <c r="AY38" s="19">
        <v>573.5878023652765</v>
      </c>
      <c r="AZ38" s="19">
        <v>583.68301509417574</v>
      </c>
      <c r="BA38" s="19">
        <v>593.83213132882952</v>
      </c>
      <c r="BC38" s="17" t="s">
        <v>292</v>
      </c>
      <c r="BD38" s="19">
        <v>400.90737196203099</v>
      </c>
      <c r="BE38" s="19">
        <v>411.66321731161719</v>
      </c>
      <c r="BF38" s="19">
        <v>455.41182046586499</v>
      </c>
      <c r="BG38" s="19">
        <v>477.19418270997289</v>
      </c>
      <c r="BH38" s="19">
        <v>487.69527857458928</v>
      </c>
      <c r="BI38" s="19">
        <v>477.38428246086261</v>
      </c>
      <c r="BJ38" s="19">
        <v>461.57626503353191</v>
      </c>
      <c r="BK38" s="19">
        <v>446.30518069148468</v>
      </c>
      <c r="BL38" s="19">
        <v>436.46543209312551</v>
      </c>
      <c r="BM38" s="19">
        <v>431.76533606723319</v>
      </c>
      <c r="BN38" s="19">
        <v>424.51219669120871</v>
      </c>
      <c r="BO38" s="19">
        <v>421.32575605307062</v>
      </c>
      <c r="BP38" s="19">
        <v>416.64517918081663</v>
      </c>
      <c r="BQ38" s="19">
        <v>414.31754625021568</v>
      </c>
      <c r="BR38" s="19">
        <v>411.19850309148768</v>
      </c>
      <c r="BS38" s="19">
        <v>409.90037638311071</v>
      </c>
      <c r="BT38" s="19">
        <v>407.62889364191261</v>
      </c>
      <c r="BU38" s="19">
        <v>407.22968907459938</v>
      </c>
      <c r="BV38" s="19">
        <v>405.20201110553018</v>
      </c>
      <c r="BW38" s="19">
        <v>405.6995104862749</v>
      </c>
      <c r="BY38" s="17" t="s">
        <v>293</v>
      </c>
      <c r="BZ38" s="19">
        <v>400.90737196203099</v>
      </c>
      <c r="CA38" s="19">
        <v>411.53354123828802</v>
      </c>
      <c r="CB38" s="19">
        <v>455.28667719301279</v>
      </c>
      <c r="CC38" s="19">
        <v>477.07347695302229</v>
      </c>
      <c r="CD38" s="19">
        <v>487.57443489942739</v>
      </c>
      <c r="CE38" s="19">
        <v>461.15429194009579</v>
      </c>
      <c r="CF38" s="19">
        <v>471.89426051866059</v>
      </c>
      <c r="CG38" s="19">
        <v>482.68862586436438</v>
      </c>
      <c r="CH38" s="19">
        <v>491.49111285579983</v>
      </c>
      <c r="CI38" s="19">
        <v>496.44294588534069</v>
      </c>
      <c r="CJ38" s="19">
        <v>499.67590889429681</v>
      </c>
      <c r="CK38" s="19">
        <v>507.33400003779701</v>
      </c>
      <c r="CL38" s="19">
        <v>510.64017211261029</v>
      </c>
      <c r="CM38" s="19">
        <v>515.27240179799344</v>
      </c>
      <c r="CN38" s="19">
        <v>520.58302349196936</v>
      </c>
      <c r="CO38" s="19">
        <v>525.39496387409338</v>
      </c>
      <c r="CP38" s="19">
        <v>530.7190416509759</v>
      </c>
      <c r="CQ38" s="19">
        <v>536.29485787172064</v>
      </c>
      <c r="CR38" s="19">
        <v>541.65018135187745</v>
      </c>
      <c r="CS38" s="19">
        <v>547.45832016529755</v>
      </c>
      <c r="CU38" s="17" t="s">
        <v>294</v>
      </c>
      <c r="CV38" s="19">
        <v>400.90737196203099</v>
      </c>
      <c r="CW38" s="19">
        <v>411.72110083897269</v>
      </c>
      <c r="CX38" s="19">
        <v>455.46760837735269</v>
      </c>
      <c r="CY38" s="19">
        <v>477.24792122531449</v>
      </c>
      <c r="CZ38" s="19">
        <v>487.74888661403412</v>
      </c>
      <c r="DA38" s="19">
        <v>433.34049041204139</v>
      </c>
      <c r="DB38" s="19">
        <v>422.45350127955612</v>
      </c>
      <c r="DC38" s="19">
        <v>435.11944427290553</v>
      </c>
      <c r="DD38" s="19">
        <v>440.44458362160611</v>
      </c>
      <c r="DE38" s="19">
        <v>451.74461793218939</v>
      </c>
      <c r="DF38" s="19">
        <v>454.43160872536203</v>
      </c>
      <c r="DG38" s="19">
        <v>462.16895184035099</v>
      </c>
      <c r="DH38" s="19">
        <v>466.94377128022421</v>
      </c>
      <c r="DI38" s="19">
        <v>473.55953492827382</v>
      </c>
      <c r="DJ38" s="19">
        <v>479.50642503214573</v>
      </c>
      <c r="DK38" s="19">
        <v>486.65607204619067</v>
      </c>
      <c r="DL38" s="19">
        <v>492.94304537712731</v>
      </c>
      <c r="DM38" s="19">
        <v>500.07424810412738</v>
      </c>
      <c r="DN38" s="19">
        <v>506.38203527067873</v>
      </c>
      <c r="DO38" s="19">
        <v>513.45264465397645</v>
      </c>
    </row>
    <row r="39" spans="1:230" x14ac:dyDescent="0.45">
      <c r="A39" s="16" t="s">
        <v>295</v>
      </c>
      <c r="B39" s="3" t="s">
        <v>89</v>
      </c>
      <c r="C39" s="16" t="s">
        <v>296</v>
      </c>
      <c r="H39" s="3" t="s">
        <v>297</v>
      </c>
      <c r="I39" s="3" t="s">
        <v>289</v>
      </c>
      <c r="K39" s="17" t="s">
        <v>298</v>
      </c>
      <c r="L39" s="3">
        <v>400.90737196203099</v>
      </c>
      <c r="M39" s="3">
        <v>411.84937392728278</v>
      </c>
      <c r="N39" s="3">
        <v>455.59124511957918</v>
      </c>
      <c r="O39" s="3">
        <v>477.36702358274403</v>
      </c>
      <c r="P39" s="3">
        <v>487.86793242195552</v>
      </c>
      <c r="Q39" s="3">
        <v>498.99405062650891</v>
      </c>
      <c r="R39" s="3">
        <v>511.73279510283589</v>
      </c>
      <c r="S39" s="3">
        <v>524.32273215725093</v>
      </c>
      <c r="T39" s="3">
        <v>535.27504767227538</v>
      </c>
      <c r="U39" s="3">
        <v>543.04626669383117</v>
      </c>
      <c r="V39" s="3">
        <v>550.45421029158126</v>
      </c>
      <c r="W39" s="3">
        <v>560.8952017747755</v>
      </c>
      <c r="X39" s="3">
        <v>570.8122366465351</v>
      </c>
      <c r="Y39" s="3">
        <v>581.2828013793843</v>
      </c>
      <c r="Z39" s="3">
        <v>591.84817645878991</v>
      </c>
      <c r="AA39" s="3">
        <v>602.56642492217588</v>
      </c>
      <c r="AB39" s="3">
        <v>613.41224247905666</v>
      </c>
      <c r="AC39" s="3">
        <v>624.38499383423209</v>
      </c>
      <c r="AD39" s="3">
        <v>635.48581898463704</v>
      </c>
      <c r="AE39" s="3">
        <v>646.70672490742345</v>
      </c>
      <c r="AG39" s="17" t="s">
        <v>299</v>
      </c>
      <c r="AH39" s="3">
        <v>400.90737196203099</v>
      </c>
      <c r="AI39" s="3">
        <v>411.79560061694713</v>
      </c>
      <c r="AJ39" s="3">
        <v>455.53941406350992</v>
      </c>
      <c r="AK39" s="3">
        <v>477.31709211980808</v>
      </c>
      <c r="AL39" s="3">
        <v>487.8179842896306</v>
      </c>
      <c r="AM39" s="3">
        <v>465.63503896757481</v>
      </c>
      <c r="AN39" s="3">
        <v>467.13581487532463</v>
      </c>
      <c r="AO39" s="3">
        <v>480.7699538755503</v>
      </c>
      <c r="AP39" s="3">
        <v>489.47111041577108</v>
      </c>
      <c r="AQ39" s="3">
        <v>497.72232152895958</v>
      </c>
      <c r="AR39" s="3">
        <v>504.17230628465512</v>
      </c>
      <c r="AS39" s="3">
        <v>514.35412865688249</v>
      </c>
      <c r="AT39" s="3">
        <v>523.27749111482353</v>
      </c>
      <c r="AU39" s="3">
        <v>533.07070769233678</v>
      </c>
      <c r="AV39" s="3">
        <v>542.99866514615292</v>
      </c>
      <c r="AW39" s="3">
        <v>553.2201392707085</v>
      </c>
      <c r="AX39" s="3">
        <v>563.38161472505806</v>
      </c>
      <c r="AY39" s="3">
        <v>573.5878023652765</v>
      </c>
      <c r="AZ39" s="3">
        <v>583.68301509417574</v>
      </c>
      <c r="BA39" s="3">
        <v>593.83213132882952</v>
      </c>
      <c r="BC39" s="17" t="s">
        <v>300</v>
      </c>
      <c r="BD39" s="3">
        <v>400.90737196203099</v>
      </c>
      <c r="BE39" s="3">
        <v>411.66321731161719</v>
      </c>
      <c r="BF39" s="3">
        <v>455.41182046586499</v>
      </c>
      <c r="BG39" s="3">
        <v>477.19418270997289</v>
      </c>
      <c r="BH39" s="3">
        <v>487.69527857458928</v>
      </c>
      <c r="BI39" s="3">
        <v>477.38428246086261</v>
      </c>
      <c r="BJ39" s="3">
        <v>461.57626503353191</v>
      </c>
      <c r="BK39" s="3">
        <v>446.30518069148468</v>
      </c>
      <c r="BL39" s="3">
        <v>436.46543209312551</v>
      </c>
      <c r="BM39" s="3">
        <v>431.76533606723319</v>
      </c>
      <c r="BN39" s="3">
        <v>424.51219669120871</v>
      </c>
      <c r="BO39" s="3">
        <v>421.32575605307062</v>
      </c>
      <c r="BP39" s="3">
        <v>416.64517918081663</v>
      </c>
      <c r="BQ39" s="3">
        <v>414.31754625021568</v>
      </c>
      <c r="BR39" s="3">
        <v>411.19850309148768</v>
      </c>
      <c r="BS39" s="3">
        <v>409.90037638311071</v>
      </c>
      <c r="BT39" s="3">
        <v>407.62889364191261</v>
      </c>
      <c r="BU39" s="3">
        <v>407.22968907459938</v>
      </c>
      <c r="BV39" s="3">
        <v>405.20201110553018</v>
      </c>
      <c r="BW39" s="3">
        <v>405.6995104862749</v>
      </c>
      <c r="BY39" s="17" t="s">
        <v>301</v>
      </c>
      <c r="BZ39" s="3">
        <v>400.90737196203099</v>
      </c>
      <c r="CA39" s="3">
        <v>411.53354123828802</v>
      </c>
      <c r="CB39" s="3">
        <v>455.28667719301279</v>
      </c>
      <c r="CC39" s="3">
        <v>477.07347695302229</v>
      </c>
      <c r="CD39" s="3">
        <v>487.57443489942739</v>
      </c>
      <c r="CE39" s="3">
        <v>461.15429194009579</v>
      </c>
      <c r="CF39" s="3">
        <v>471.89426051866059</v>
      </c>
      <c r="CG39" s="3">
        <v>482.68862586436438</v>
      </c>
      <c r="CH39" s="3">
        <v>491.49111285579983</v>
      </c>
      <c r="CI39" s="3">
        <v>496.44294588534069</v>
      </c>
      <c r="CJ39" s="3">
        <v>499.67590889429681</v>
      </c>
      <c r="CK39" s="3">
        <v>507.33400003779701</v>
      </c>
      <c r="CL39" s="3">
        <v>510.64017211261029</v>
      </c>
      <c r="CM39" s="3">
        <v>515.27240179799344</v>
      </c>
      <c r="CN39" s="3">
        <v>520.58302349196936</v>
      </c>
      <c r="CO39" s="3">
        <v>525.39496387409338</v>
      </c>
      <c r="CP39" s="3">
        <v>530.7190416509759</v>
      </c>
      <c r="CQ39" s="3">
        <v>536.29485787172064</v>
      </c>
      <c r="CR39" s="3">
        <v>541.65018135187745</v>
      </c>
      <c r="CS39" s="3">
        <v>547.45832016529755</v>
      </c>
      <c r="CU39" s="17" t="s">
        <v>302</v>
      </c>
      <c r="CV39" s="3">
        <v>400.90737196203099</v>
      </c>
      <c r="CW39" s="3">
        <v>411.72110083897269</v>
      </c>
      <c r="CX39" s="3">
        <v>455.46760837735269</v>
      </c>
      <c r="CY39" s="3">
        <v>477.24792122531449</v>
      </c>
      <c r="CZ39" s="3">
        <v>487.74888661403412</v>
      </c>
      <c r="DA39" s="3">
        <v>433.34049041204139</v>
      </c>
      <c r="DB39" s="3">
        <v>422.45350127955612</v>
      </c>
      <c r="DC39" s="3">
        <v>435.11944427290553</v>
      </c>
      <c r="DD39" s="3">
        <v>440.44458362160611</v>
      </c>
      <c r="DE39" s="3">
        <v>451.74461793218939</v>
      </c>
      <c r="DF39" s="3">
        <v>454.43160872536203</v>
      </c>
      <c r="DG39" s="3">
        <v>462.16895184035099</v>
      </c>
      <c r="DH39" s="3">
        <v>466.94377128022421</v>
      </c>
      <c r="DI39" s="3">
        <v>473.55953492827382</v>
      </c>
      <c r="DJ39" s="3">
        <v>479.50642503214573</v>
      </c>
      <c r="DK39" s="3">
        <v>486.65607204619067</v>
      </c>
      <c r="DL39" s="3">
        <v>492.94304537712731</v>
      </c>
      <c r="DM39" s="3">
        <v>500.07424810412738</v>
      </c>
      <c r="DN39" s="3">
        <v>506.38203527067873</v>
      </c>
      <c r="DO39" s="3">
        <v>513.45264465397645</v>
      </c>
    </row>
    <row r="40" spans="1:230" x14ac:dyDescent="0.45">
      <c r="A40" s="16" t="s">
        <v>303</v>
      </c>
      <c r="B40" s="3" t="s">
        <v>89</v>
      </c>
      <c r="C40" s="16" t="s">
        <v>303</v>
      </c>
      <c r="H40" s="3" t="s">
        <v>304</v>
      </c>
      <c r="I40" s="3" t="s">
        <v>289</v>
      </c>
      <c r="K40" s="17" t="s">
        <v>305</v>
      </c>
      <c r="L40" s="3">
        <v>213.93444849148079</v>
      </c>
      <c r="M40" s="3">
        <v>209.87756471248181</v>
      </c>
      <c r="N40" s="3">
        <v>245.88860523519591</v>
      </c>
      <c r="O40" s="3">
        <v>261.00384130480768</v>
      </c>
      <c r="P40" s="3">
        <v>267.93805191949622</v>
      </c>
      <c r="Q40" s="3">
        <v>274.95534102712242</v>
      </c>
      <c r="R40" s="3">
        <v>283.0688541193112</v>
      </c>
      <c r="S40" s="3">
        <v>291.12571358238648</v>
      </c>
      <c r="T40" s="3">
        <v>297.69351452517412</v>
      </c>
      <c r="U40" s="3">
        <v>301.04334179183411</v>
      </c>
      <c r="V40" s="3">
        <v>304.0127351743987</v>
      </c>
      <c r="W40" s="3">
        <v>309.97020840642028</v>
      </c>
      <c r="X40" s="3">
        <v>315.35419756446402</v>
      </c>
      <c r="Y40" s="3">
        <v>321.24816098719009</v>
      </c>
      <c r="Z40" s="3">
        <v>327.19436060334272</v>
      </c>
      <c r="AA40" s="3">
        <v>333.2479634747292</v>
      </c>
      <c r="AB40" s="3">
        <v>339.39350672951019</v>
      </c>
      <c r="AC40" s="3">
        <v>345.63253017239032</v>
      </c>
      <c r="AD40" s="3">
        <v>351.9756086942856</v>
      </c>
      <c r="AE40" s="3">
        <v>358.42551990715037</v>
      </c>
      <c r="AG40" s="17" t="s">
        <v>306</v>
      </c>
      <c r="AH40" s="3">
        <v>213.93444849148079</v>
      </c>
      <c r="AI40" s="3">
        <v>209.8237914021461</v>
      </c>
      <c r="AJ40" s="3">
        <v>245.83677417912659</v>
      </c>
      <c r="AK40" s="3">
        <v>260.95390984187179</v>
      </c>
      <c r="AL40" s="3">
        <v>267.8881037871713</v>
      </c>
      <c r="AM40" s="3">
        <v>251.64989384743481</v>
      </c>
      <c r="AN40" s="3">
        <v>248.90449966340299</v>
      </c>
      <c r="AO40" s="3">
        <v>258.34374498284041</v>
      </c>
      <c r="AP40" s="3">
        <v>263.07459650382287</v>
      </c>
      <c r="AQ40" s="3">
        <v>267.24652219676682</v>
      </c>
      <c r="AR40" s="3">
        <v>269.63617610068121</v>
      </c>
      <c r="AS40" s="3">
        <v>275.65279925427973</v>
      </c>
      <c r="AT40" s="3">
        <v>280.33360955129609</v>
      </c>
      <c r="AU40" s="3">
        <v>285.85986340029552</v>
      </c>
      <c r="AV40" s="3">
        <v>291.46782611654208</v>
      </c>
      <c r="AW40" s="3">
        <v>297.29310787574713</v>
      </c>
      <c r="AX40" s="3">
        <v>303.05721331339743</v>
      </c>
      <c r="AY40" s="3">
        <v>308.85337201491689</v>
      </c>
      <c r="AZ40" s="3">
        <v>314.55992329874078</v>
      </c>
      <c r="BA40" s="3">
        <v>320.3240860616113</v>
      </c>
      <c r="BC40" s="17" t="s">
        <v>307</v>
      </c>
      <c r="BD40" s="3">
        <v>213.93444849148079</v>
      </c>
      <c r="BE40" s="3">
        <v>209.69140809681619</v>
      </c>
      <c r="BF40" s="3">
        <v>245.70918058148169</v>
      </c>
      <c r="BG40" s="3">
        <v>260.8310004320366</v>
      </c>
      <c r="BH40" s="3">
        <v>267.76539807212998</v>
      </c>
      <c r="BI40" s="3">
        <v>259.74447452226627</v>
      </c>
      <c r="BJ40" s="3">
        <v>246.2952150064873</v>
      </c>
      <c r="BK40" s="3">
        <v>232.290809424998</v>
      </c>
      <c r="BL40" s="3">
        <v>223.0807089704733</v>
      </c>
      <c r="BM40" s="3">
        <v>217.9575208231914</v>
      </c>
      <c r="BN40" s="3">
        <v>209.97803983421639</v>
      </c>
      <c r="BO40" s="3">
        <v>205.79136608039551</v>
      </c>
      <c r="BP40" s="3">
        <v>199.8691779520264</v>
      </c>
      <c r="BQ40" s="3">
        <v>196.1134677850504</v>
      </c>
      <c r="BR40" s="3">
        <v>191.41076503171291</v>
      </c>
      <c r="BS40" s="3">
        <v>188.38491411884991</v>
      </c>
      <c r="BT40" s="3">
        <v>184.2808848862158</v>
      </c>
      <c r="BU40" s="3">
        <v>181.96750032451479</v>
      </c>
      <c r="BV40" s="3">
        <v>177.9805993706477</v>
      </c>
      <c r="BW40" s="3">
        <v>176.49648818031511</v>
      </c>
      <c r="BY40" s="17" t="s">
        <v>308</v>
      </c>
      <c r="BZ40" s="3">
        <v>213.93444849148079</v>
      </c>
      <c r="CA40" s="3">
        <v>209.561732023487</v>
      </c>
      <c r="CB40" s="3">
        <v>245.58403730862949</v>
      </c>
      <c r="CC40" s="3">
        <v>260.71029467508589</v>
      </c>
      <c r="CD40" s="3">
        <v>267.64455439696809</v>
      </c>
      <c r="CE40" s="3">
        <v>248.09231118745871</v>
      </c>
      <c r="CF40" s="3">
        <v>254.97758602314161</v>
      </c>
      <c r="CG40" s="3">
        <v>261.95900406032592</v>
      </c>
      <c r="CH40" s="3">
        <v>267.14788474611692</v>
      </c>
      <c r="CI40" s="3">
        <v>268.35689390860551</v>
      </c>
      <c r="CJ40" s="3">
        <v>267.87094332707369</v>
      </c>
      <c r="CK40" s="3">
        <v>271.69964506733697</v>
      </c>
      <c r="CL40" s="3">
        <v>271.12376613960907</v>
      </c>
      <c r="CM40" s="3">
        <v>271.84414833723253</v>
      </c>
      <c r="CN40" s="3">
        <v>273.07179468713451</v>
      </c>
      <c r="CO40" s="3">
        <v>273.74162667995648</v>
      </c>
      <c r="CP40" s="3">
        <v>274.92486671006998</v>
      </c>
      <c r="CQ40" s="3">
        <v>276.34205512867982</v>
      </c>
      <c r="CR40" s="3">
        <v>277.55625592313493</v>
      </c>
      <c r="CS40" s="3">
        <v>279.21749839544839</v>
      </c>
      <c r="CU40" s="17" t="s">
        <v>309</v>
      </c>
      <c r="CV40" s="3">
        <v>213.93444849148079</v>
      </c>
      <c r="CW40" s="3">
        <v>209.7492916241716</v>
      </c>
      <c r="CX40" s="3">
        <v>245.7649684929695</v>
      </c>
      <c r="CY40" s="3">
        <v>260.88473894737831</v>
      </c>
      <c r="CZ40" s="3">
        <v>267.81900611157482</v>
      </c>
      <c r="DA40" s="3">
        <v>229.07410697697799</v>
      </c>
      <c r="DB40" s="3">
        <v>214.3063321981486</v>
      </c>
      <c r="DC40" s="3">
        <v>223.1075957153914</v>
      </c>
      <c r="DD40" s="3">
        <v>224.85274658517241</v>
      </c>
      <c r="DE40" s="3">
        <v>232.39859114680451</v>
      </c>
      <c r="DF40" s="3">
        <v>231.3908814385922</v>
      </c>
      <c r="DG40" s="3">
        <v>235.27296757571011</v>
      </c>
      <c r="DH40" s="3">
        <v>236.10304968397509</v>
      </c>
      <c r="DI40" s="3">
        <v>238.76284901554601</v>
      </c>
      <c r="DJ40" s="3">
        <v>240.69459390268091</v>
      </c>
      <c r="DK40" s="3">
        <v>243.72928509152041</v>
      </c>
      <c r="DL40" s="3">
        <v>245.93054314632349</v>
      </c>
      <c r="DM40" s="3">
        <v>248.9773680169483</v>
      </c>
      <c r="DN40" s="3">
        <v>251.25893945665271</v>
      </c>
      <c r="DO40" s="3">
        <v>254.31882884675659</v>
      </c>
    </row>
    <row r="41" spans="1:230" x14ac:dyDescent="0.45">
      <c r="A41" s="16" t="s">
        <v>310</v>
      </c>
      <c r="B41" s="3" t="s">
        <v>89</v>
      </c>
      <c r="C41" s="16" t="s">
        <v>310</v>
      </c>
      <c r="H41" s="3" t="s">
        <v>311</v>
      </c>
      <c r="I41" s="3" t="s">
        <v>289</v>
      </c>
      <c r="K41" s="17" t="s">
        <v>312</v>
      </c>
      <c r="L41" s="3">
        <v>52.200349760476598</v>
      </c>
      <c r="M41" s="3">
        <v>56.903431130804272</v>
      </c>
      <c r="N41" s="3">
        <v>57.172489836600967</v>
      </c>
      <c r="O41" s="3">
        <v>59.297410469545518</v>
      </c>
      <c r="P41" s="3">
        <v>60.728339319648057</v>
      </c>
      <c r="Q41" s="3">
        <v>62.65060369650476</v>
      </c>
      <c r="R41" s="3">
        <v>65.025356016785594</v>
      </c>
      <c r="S41" s="3">
        <v>67.322235203337726</v>
      </c>
      <c r="T41" s="3">
        <v>69.493489432076274</v>
      </c>
      <c r="U41" s="3">
        <v>71.696799209875167</v>
      </c>
      <c r="V41" s="3">
        <v>73.908572071631909</v>
      </c>
      <c r="W41" s="3">
        <v>76.159415111254333</v>
      </c>
      <c r="X41" s="3">
        <v>78.449084631481227</v>
      </c>
      <c r="Y41" s="3">
        <v>80.77731163432513</v>
      </c>
      <c r="Z41" s="3">
        <v>83.14380129317837</v>
      </c>
      <c r="AA41" s="3">
        <v>85.548232343815883</v>
      </c>
      <c r="AB41" s="3">
        <v>87.990256391046373</v>
      </c>
      <c r="AC41" s="3">
        <v>90.469497127898009</v>
      </c>
      <c r="AD41" s="3">
        <v>92.985549464345723</v>
      </c>
      <c r="AE41" s="3">
        <v>95.537978562708261</v>
      </c>
      <c r="AG41" s="17" t="s">
        <v>313</v>
      </c>
      <c r="AH41" s="3">
        <v>52.200349760476598</v>
      </c>
      <c r="AI41" s="3">
        <v>56.903431130804272</v>
      </c>
      <c r="AJ41" s="3">
        <v>57.172489836600967</v>
      </c>
      <c r="AK41" s="3">
        <v>59.297410469545518</v>
      </c>
      <c r="AL41" s="3">
        <v>60.728339319648057</v>
      </c>
      <c r="AM41" s="3">
        <v>52.597038816675223</v>
      </c>
      <c r="AN41" s="3">
        <v>54.592731153631583</v>
      </c>
      <c r="AO41" s="3">
        <v>56.547284540222662</v>
      </c>
      <c r="AP41" s="3">
        <v>58.313816260556337</v>
      </c>
      <c r="AQ41" s="3">
        <v>60.173425535711658</v>
      </c>
      <c r="AR41" s="3">
        <v>62.010979635398591</v>
      </c>
      <c r="AS41" s="3">
        <v>63.9383660895002</v>
      </c>
      <c r="AT41" s="3">
        <v>65.92798117979838</v>
      </c>
      <c r="AU41" s="3">
        <v>67.939039716751623</v>
      </c>
      <c r="AV41" s="3">
        <v>69.996877960144616</v>
      </c>
      <c r="AW41" s="3">
        <v>72.118899631662359</v>
      </c>
      <c r="AX41" s="3">
        <v>74.248123501805452</v>
      </c>
      <c r="AY41" s="3">
        <v>76.39594818155949</v>
      </c>
      <c r="AZ41" s="3">
        <v>78.540372172077525</v>
      </c>
      <c r="BA41" s="3">
        <v>80.705696132527848</v>
      </c>
      <c r="BC41" s="17" t="s">
        <v>314</v>
      </c>
      <c r="BD41" s="3">
        <v>52.200349760476598</v>
      </c>
      <c r="BE41" s="3">
        <v>56.903431130804272</v>
      </c>
      <c r="BF41" s="3">
        <v>57.172489836600967</v>
      </c>
      <c r="BG41" s="3">
        <v>59.297410469545518</v>
      </c>
      <c r="BH41" s="3">
        <v>60.728339319648057</v>
      </c>
      <c r="BI41" s="3">
        <v>56.251700762865561</v>
      </c>
      <c r="BJ41" s="3">
        <v>51.642467960964723</v>
      </c>
      <c r="BK41" s="3">
        <v>48.137239269584811</v>
      </c>
      <c r="BL41" s="3">
        <v>45.297225782942142</v>
      </c>
      <c r="BM41" s="3">
        <v>43.504862973278811</v>
      </c>
      <c r="BN41" s="3">
        <v>42.009117767969833</v>
      </c>
      <c r="BO41" s="3">
        <v>40.777736379508767</v>
      </c>
      <c r="BP41" s="3">
        <v>39.770513354353049</v>
      </c>
      <c r="BQ41" s="3">
        <v>38.940249880753342</v>
      </c>
      <c r="BR41" s="3">
        <v>38.25689478861451</v>
      </c>
      <c r="BS41" s="3">
        <v>37.703923326162567</v>
      </c>
      <c r="BT41" s="3">
        <v>37.254101236148657</v>
      </c>
      <c r="BU41" s="3">
        <v>36.88767407342818</v>
      </c>
      <c r="BV41" s="3">
        <v>36.580878782904811</v>
      </c>
      <c r="BW41" s="3">
        <v>36.32230887685634</v>
      </c>
      <c r="BY41" s="17" t="s">
        <v>315</v>
      </c>
      <c r="BZ41" s="3">
        <v>52.200349760476598</v>
      </c>
      <c r="CA41" s="3">
        <v>56.903431130804272</v>
      </c>
      <c r="CB41" s="3">
        <v>57.172489836600967</v>
      </c>
      <c r="CC41" s="3">
        <v>59.297410469545518</v>
      </c>
      <c r="CD41" s="3">
        <v>60.728339319648057</v>
      </c>
      <c r="CE41" s="3">
        <v>51.673872730313349</v>
      </c>
      <c r="CF41" s="3">
        <v>53.278094779458648</v>
      </c>
      <c r="CG41" s="3">
        <v>54.851316139487167</v>
      </c>
      <c r="CH41" s="3">
        <v>56.260570535716752</v>
      </c>
      <c r="CI41" s="3">
        <v>57.781806623147787</v>
      </c>
      <c r="CJ41" s="3">
        <v>59.278405605896587</v>
      </c>
      <c r="CK41" s="3">
        <v>60.869311856339053</v>
      </c>
      <c r="CL41" s="3">
        <v>62.501639956252397</v>
      </c>
      <c r="CM41" s="3">
        <v>64.160115071881023</v>
      </c>
      <c r="CN41" s="3">
        <v>65.983555523895632</v>
      </c>
      <c r="CO41" s="3">
        <v>67.85523936235171</v>
      </c>
      <c r="CP41" s="3">
        <v>69.731372194431955</v>
      </c>
      <c r="CQ41" s="3">
        <v>71.629844611458054</v>
      </c>
      <c r="CR41" s="3">
        <v>73.527688098048074</v>
      </c>
      <c r="CS41" s="3">
        <v>75.453934925890309</v>
      </c>
      <c r="CU41" s="17" t="s">
        <v>316</v>
      </c>
      <c r="CV41" s="3">
        <v>52.200349760476598</v>
      </c>
      <c r="CW41" s="3">
        <v>56.903431130804272</v>
      </c>
      <c r="CX41" s="3">
        <v>57.172489836600967</v>
      </c>
      <c r="CY41" s="3">
        <v>59.297410469545518</v>
      </c>
      <c r="CZ41" s="3">
        <v>60.728339319648057</v>
      </c>
      <c r="DA41" s="3">
        <v>42.878276622009572</v>
      </c>
      <c r="DB41" s="3">
        <v>44.508586186064093</v>
      </c>
      <c r="DC41" s="3">
        <v>46.128201560296901</v>
      </c>
      <c r="DD41" s="3">
        <v>47.515568258204347</v>
      </c>
      <c r="DE41" s="3">
        <v>49.047307128119193</v>
      </c>
      <c r="DF41" s="3">
        <v>50.524496108613263</v>
      </c>
      <c r="DG41" s="3">
        <v>52.135401827190641</v>
      </c>
      <c r="DH41" s="3">
        <v>53.817129449829032</v>
      </c>
      <c r="DI41" s="3">
        <v>55.508896268443813</v>
      </c>
      <c r="DJ41" s="3">
        <v>57.251576501355693</v>
      </c>
      <c r="DK41" s="3">
        <v>59.076971419806974</v>
      </c>
      <c r="DL41" s="3">
        <v>60.88401176534304</v>
      </c>
      <c r="DM41" s="3">
        <v>62.697554090207383</v>
      </c>
      <c r="DN41" s="3">
        <v>64.476657257872503</v>
      </c>
      <c r="DO41" s="3">
        <v>66.266137932518788</v>
      </c>
    </row>
    <row r="42" spans="1:230" x14ac:dyDescent="0.45">
      <c r="A42" s="16" t="s">
        <v>317</v>
      </c>
      <c r="B42" s="3" t="s">
        <v>89</v>
      </c>
      <c r="C42" s="16" t="s">
        <v>317</v>
      </c>
      <c r="H42" s="3" t="s">
        <v>318</v>
      </c>
      <c r="I42" s="3" t="s">
        <v>289</v>
      </c>
      <c r="K42" s="17" t="s">
        <v>319</v>
      </c>
      <c r="L42" s="3">
        <v>41.563309511187597</v>
      </c>
      <c r="M42" s="3">
        <v>43.504635405049413</v>
      </c>
      <c r="N42" s="3">
        <v>42.311632239454021</v>
      </c>
      <c r="O42" s="3">
        <v>43.723750272059149</v>
      </c>
      <c r="P42" s="3">
        <v>44.392797141781777</v>
      </c>
      <c r="Q42" s="3">
        <v>45.106533733717669</v>
      </c>
      <c r="R42" s="3">
        <v>45.875107426751491</v>
      </c>
      <c r="S42" s="3">
        <v>46.630480592703186</v>
      </c>
      <c r="T42" s="3">
        <v>47.365943831430123</v>
      </c>
      <c r="U42" s="3">
        <v>48.104507852704899</v>
      </c>
      <c r="V42" s="3">
        <v>48.846978461086323</v>
      </c>
      <c r="W42" s="3">
        <v>49.592640698153268</v>
      </c>
      <c r="X42" s="3">
        <v>50.342517293952042</v>
      </c>
      <c r="Y42" s="3">
        <v>51.095221943662132</v>
      </c>
      <c r="Z42" s="3">
        <v>51.850511848556543</v>
      </c>
      <c r="AA42" s="3">
        <v>52.609044306621797</v>
      </c>
      <c r="AB42" s="3">
        <v>53.368536156550498</v>
      </c>
      <c r="AC42" s="3">
        <v>54.12847056591616</v>
      </c>
      <c r="AD42" s="3">
        <v>54.886642500592757</v>
      </c>
      <c r="AE42" s="3">
        <v>55.640522781806283</v>
      </c>
      <c r="AG42" s="17" t="s">
        <v>320</v>
      </c>
      <c r="AH42" s="3">
        <v>41.563309511187597</v>
      </c>
      <c r="AI42" s="3">
        <v>43.504635405049413</v>
      </c>
      <c r="AJ42" s="3">
        <v>42.311632239454021</v>
      </c>
      <c r="AK42" s="3">
        <v>43.723750272059149</v>
      </c>
      <c r="AL42" s="3">
        <v>44.392797141781777</v>
      </c>
      <c r="AM42" s="3">
        <v>45.10653413430056</v>
      </c>
      <c r="AN42" s="3">
        <v>45.875106518302417</v>
      </c>
      <c r="AO42" s="3">
        <v>46.634621573663757</v>
      </c>
      <c r="AP42" s="3">
        <v>47.360597767796932</v>
      </c>
      <c r="AQ42" s="3">
        <v>48.100755957064052</v>
      </c>
      <c r="AR42" s="3">
        <v>48.839225964111009</v>
      </c>
      <c r="AS42" s="3">
        <v>49.590025754154937</v>
      </c>
      <c r="AT42" s="3">
        <v>50.349463227091178</v>
      </c>
      <c r="AU42" s="3">
        <v>51.109697761082771</v>
      </c>
      <c r="AV42" s="3">
        <v>51.874458355753823</v>
      </c>
      <c r="AW42" s="3">
        <v>52.646946966290038</v>
      </c>
      <c r="AX42" s="3">
        <v>53.416334707905683</v>
      </c>
      <c r="AY42" s="3">
        <v>54.183986200772416</v>
      </c>
      <c r="AZ42" s="3">
        <v>54.944701297944462</v>
      </c>
      <c r="BA42" s="3">
        <v>55.699645478931792</v>
      </c>
      <c r="BC42" s="17" t="s">
        <v>321</v>
      </c>
      <c r="BD42" s="3">
        <v>41.563309511187597</v>
      </c>
      <c r="BE42" s="3">
        <v>43.504635405049413</v>
      </c>
      <c r="BF42" s="3">
        <v>42.311632239454021</v>
      </c>
      <c r="BG42" s="3">
        <v>43.723750272059149</v>
      </c>
      <c r="BH42" s="3">
        <v>44.392797141781777</v>
      </c>
      <c r="BI42" s="3">
        <v>45.106535006566602</v>
      </c>
      <c r="BJ42" s="3">
        <v>45.875104526092251</v>
      </c>
      <c r="BK42" s="3">
        <v>46.632829218078363</v>
      </c>
      <c r="BL42" s="3">
        <v>47.365397456115218</v>
      </c>
      <c r="BM42" s="3">
        <v>48.10133443134589</v>
      </c>
      <c r="BN42" s="3">
        <v>48.839114504558168</v>
      </c>
      <c r="BO42" s="3">
        <v>49.58371603421859</v>
      </c>
      <c r="BP42" s="3">
        <v>50.339050717799189</v>
      </c>
      <c r="BQ42" s="3">
        <v>51.101721770205081</v>
      </c>
      <c r="BR42" s="3">
        <v>51.871340557447958</v>
      </c>
      <c r="BS42" s="3">
        <v>52.650354141089139</v>
      </c>
      <c r="BT42" s="3">
        <v>53.433964317598608</v>
      </c>
      <c r="BU42" s="3">
        <v>54.22001870862875</v>
      </c>
      <c r="BV42" s="3">
        <v>55.00251462656481</v>
      </c>
      <c r="BW42" s="3">
        <v>55.778009773344913</v>
      </c>
      <c r="BY42" s="17" t="s">
        <v>322</v>
      </c>
      <c r="BZ42" s="3">
        <v>41.563309511187597</v>
      </c>
      <c r="CA42" s="3">
        <v>43.504635405049413</v>
      </c>
      <c r="CB42" s="3">
        <v>42.311632239454021</v>
      </c>
      <c r="CC42" s="3">
        <v>43.723750272059149</v>
      </c>
      <c r="CD42" s="3">
        <v>44.392797141781777</v>
      </c>
      <c r="CE42" s="3">
        <v>45.106535853159727</v>
      </c>
      <c r="CF42" s="3">
        <v>45.875102176072737</v>
      </c>
      <c r="CG42" s="3">
        <v>46.634002885727938</v>
      </c>
      <c r="CH42" s="3">
        <v>47.360557690371337</v>
      </c>
      <c r="CI42" s="3">
        <v>48.102627514170408</v>
      </c>
      <c r="CJ42" s="3">
        <v>48.840635376862238</v>
      </c>
      <c r="CK42" s="3">
        <v>49.592105555173333</v>
      </c>
      <c r="CL42" s="3">
        <v>50.348328860111032</v>
      </c>
      <c r="CM42" s="3">
        <v>51.106031574673047</v>
      </c>
      <c r="CN42" s="3">
        <v>51.868170567227033</v>
      </c>
      <c r="CO42" s="3">
        <v>52.636913034776043</v>
      </c>
      <c r="CP42" s="3">
        <v>53.402859544524418</v>
      </c>
      <c r="CQ42" s="3">
        <v>54.168462163555141</v>
      </c>
      <c r="CR42" s="3">
        <v>54.928219005281548</v>
      </c>
      <c r="CS42" s="3">
        <v>55.684183188200223</v>
      </c>
      <c r="CU42" s="17" t="s">
        <v>323</v>
      </c>
      <c r="CV42" s="3">
        <v>41.563309511187597</v>
      </c>
      <c r="CW42" s="3">
        <v>43.504635405049413</v>
      </c>
      <c r="CX42" s="3">
        <v>42.311632239454021</v>
      </c>
      <c r="CY42" s="3">
        <v>43.723750272059149</v>
      </c>
      <c r="CZ42" s="3">
        <v>44.392797141781777</v>
      </c>
      <c r="DA42" s="3">
        <v>45.106534643889738</v>
      </c>
      <c r="DB42" s="3">
        <v>45.875105355355778</v>
      </c>
      <c r="DC42" s="3">
        <v>46.639344218393759</v>
      </c>
      <c r="DD42" s="3">
        <v>47.354168894634412</v>
      </c>
      <c r="DE42" s="3">
        <v>48.097101817848717</v>
      </c>
      <c r="DF42" s="3">
        <v>48.830306593692242</v>
      </c>
      <c r="DG42" s="3">
        <v>49.587644878502687</v>
      </c>
      <c r="DH42" s="3">
        <v>50.357154989782209</v>
      </c>
      <c r="DI42" s="3">
        <v>51.125682830077103</v>
      </c>
      <c r="DJ42" s="3">
        <v>51.900751914396842</v>
      </c>
      <c r="DK42" s="3">
        <v>52.688630737854403</v>
      </c>
      <c r="DL42" s="3">
        <v>53.468547263511198</v>
      </c>
      <c r="DM42" s="3">
        <v>54.244830028944108</v>
      </c>
      <c r="DN42" s="3">
        <v>55.008420230740647</v>
      </c>
      <c r="DO42" s="3">
        <v>55.764974218942513</v>
      </c>
    </row>
    <row r="43" spans="1:230" x14ac:dyDescent="0.45">
      <c r="A43" s="16" t="s">
        <v>324</v>
      </c>
      <c r="B43" s="3" t="s">
        <v>89</v>
      </c>
      <c r="C43" s="16" t="s">
        <v>324</v>
      </c>
      <c r="H43" s="3" t="s">
        <v>325</v>
      </c>
      <c r="I43" s="3" t="s">
        <v>289</v>
      </c>
      <c r="K43" s="17" t="s">
        <v>326</v>
      </c>
      <c r="L43" s="3">
        <v>37.25460473538601</v>
      </c>
      <c r="M43" s="3">
        <v>37.932545730435344</v>
      </c>
      <c r="N43" s="3">
        <v>38.625116663571887</v>
      </c>
      <c r="O43" s="3">
        <v>40.625780228349868</v>
      </c>
      <c r="P43" s="3">
        <v>41.026522242831703</v>
      </c>
      <c r="Q43" s="3">
        <v>41.426451866836913</v>
      </c>
      <c r="R43" s="3">
        <v>41.826613554210731</v>
      </c>
      <c r="S43" s="3">
        <v>42.223390128848877</v>
      </c>
      <c r="T43" s="3">
        <v>42.616106488490608</v>
      </c>
      <c r="U43" s="3">
        <v>43.006452849822523</v>
      </c>
      <c r="V43" s="3">
        <v>43.395509166557247</v>
      </c>
      <c r="W43" s="3">
        <v>43.782540727456023</v>
      </c>
      <c r="X43" s="3">
        <v>44.168866290400359</v>
      </c>
      <c r="Y43" s="3">
        <v>44.552973726261108</v>
      </c>
      <c r="Z43" s="3">
        <v>44.934711640026457</v>
      </c>
      <c r="AA43" s="3">
        <v>45.314968371042099</v>
      </c>
      <c r="AB43" s="3">
        <v>45.691256441757908</v>
      </c>
      <c r="AC43" s="3">
        <v>46.063154573444884</v>
      </c>
      <c r="AD43" s="3">
        <v>46.428349664346527</v>
      </c>
      <c r="AE43" s="3">
        <v>46.78422253146676</v>
      </c>
      <c r="AG43" s="17" t="s">
        <v>327</v>
      </c>
      <c r="AH43" s="3">
        <v>37.25460473538601</v>
      </c>
      <c r="AI43" s="3">
        <v>37.932545730435344</v>
      </c>
      <c r="AJ43" s="3">
        <v>38.625116663571887</v>
      </c>
      <c r="AK43" s="3">
        <v>40.625780228349868</v>
      </c>
      <c r="AL43" s="3">
        <v>41.026522242831703</v>
      </c>
      <c r="AM43" s="3">
        <v>41.426451866836913</v>
      </c>
      <c r="AN43" s="3">
        <v>41.826613554210731</v>
      </c>
      <c r="AO43" s="3">
        <v>42.223390128848877</v>
      </c>
      <c r="AP43" s="3">
        <v>42.616106488490608</v>
      </c>
      <c r="AQ43" s="3">
        <v>43.006452849822523</v>
      </c>
      <c r="AR43" s="3">
        <v>43.395509166557247</v>
      </c>
      <c r="AS43" s="3">
        <v>43.782540727456023</v>
      </c>
      <c r="AT43" s="3">
        <v>44.168866290400359</v>
      </c>
      <c r="AU43" s="3">
        <v>44.552973726261108</v>
      </c>
      <c r="AV43" s="3">
        <v>44.934711640026457</v>
      </c>
      <c r="AW43" s="3">
        <v>45.314968371042099</v>
      </c>
      <c r="AX43" s="3">
        <v>45.691256441757908</v>
      </c>
      <c r="AY43" s="3">
        <v>46.063154573444884</v>
      </c>
      <c r="AZ43" s="3">
        <v>46.428349664346527</v>
      </c>
      <c r="BA43" s="3">
        <v>46.78422253146676</v>
      </c>
      <c r="BC43" s="17" t="s">
        <v>328</v>
      </c>
      <c r="BD43" s="3">
        <v>37.25460473538601</v>
      </c>
      <c r="BE43" s="3">
        <v>37.932545730435344</v>
      </c>
      <c r="BF43" s="3">
        <v>38.625116663571887</v>
      </c>
      <c r="BG43" s="3">
        <v>40.625780228349868</v>
      </c>
      <c r="BH43" s="3">
        <v>41.026522242831703</v>
      </c>
      <c r="BI43" s="3">
        <v>41.426451866836913</v>
      </c>
      <c r="BJ43" s="3">
        <v>41.826613554210731</v>
      </c>
      <c r="BK43" s="3">
        <v>42.223390128848877</v>
      </c>
      <c r="BL43" s="3">
        <v>42.616106488490608</v>
      </c>
      <c r="BM43" s="3">
        <v>43.006452849822523</v>
      </c>
      <c r="BN43" s="3">
        <v>43.395509166557247</v>
      </c>
      <c r="BO43" s="3">
        <v>43.782540727456023</v>
      </c>
      <c r="BP43" s="3">
        <v>44.168866290400359</v>
      </c>
      <c r="BQ43" s="3">
        <v>44.552973726261108</v>
      </c>
      <c r="BR43" s="3">
        <v>44.934711640026457</v>
      </c>
      <c r="BS43" s="3">
        <v>45.314968371042099</v>
      </c>
      <c r="BT43" s="3">
        <v>45.691256441757908</v>
      </c>
      <c r="BU43" s="3">
        <v>46.063154573444884</v>
      </c>
      <c r="BV43" s="3">
        <v>46.428349664346527</v>
      </c>
      <c r="BW43" s="3">
        <v>46.78422253146676</v>
      </c>
      <c r="BY43" s="17" t="s">
        <v>329</v>
      </c>
      <c r="BZ43" s="3">
        <v>37.25460473538601</v>
      </c>
      <c r="CA43" s="3">
        <v>37.932545730435344</v>
      </c>
      <c r="CB43" s="3">
        <v>38.625116663571887</v>
      </c>
      <c r="CC43" s="3">
        <v>40.625780228349868</v>
      </c>
      <c r="CD43" s="3">
        <v>41.026522242831703</v>
      </c>
      <c r="CE43" s="3">
        <v>41.426451866836913</v>
      </c>
      <c r="CF43" s="3">
        <v>41.826613554210731</v>
      </c>
      <c r="CG43" s="3">
        <v>42.223390128848877</v>
      </c>
      <c r="CH43" s="3">
        <v>42.616106488490608</v>
      </c>
      <c r="CI43" s="3">
        <v>43.006452849822523</v>
      </c>
      <c r="CJ43" s="3">
        <v>43.395509166557247</v>
      </c>
      <c r="CK43" s="3">
        <v>43.782540727456023</v>
      </c>
      <c r="CL43" s="3">
        <v>44.168866290400359</v>
      </c>
      <c r="CM43" s="3">
        <v>44.552973726261108</v>
      </c>
      <c r="CN43" s="3">
        <v>44.934711640026457</v>
      </c>
      <c r="CO43" s="3">
        <v>45.314968371042099</v>
      </c>
      <c r="CP43" s="3">
        <v>45.691256441757908</v>
      </c>
      <c r="CQ43" s="3">
        <v>46.063154573444884</v>
      </c>
      <c r="CR43" s="3">
        <v>46.428349664346527</v>
      </c>
      <c r="CS43" s="3">
        <v>46.78422253146676</v>
      </c>
      <c r="CU43" s="17" t="s">
        <v>330</v>
      </c>
      <c r="CV43" s="3">
        <v>37.25460473538601</v>
      </c>
      <c r="CW43" s="3">
        <v>37.932545730435344</v>
      </c>
      <c r="CX43" s="3">
        <v>38.625116663571887</v>
      </c>
      <c r="CY43" s="3">
        <v>40.625780228349868</v>
      </c>
      <c r="CZ43" s="3">
        <v>41.026522242831703</v>
      </c>
      <c r="DA43" s="3">
        <v>41.426451866836913</v>
      </c>
      <c r="DB43" s="3">
        <v>41.826613554210731</v>
      </c>
      <c r="DC43" s="3">
        <v>42.223390128848877</v>
      </c>
      <c r="DD43" s="3">
        <v>42.616106488490608</v>
      </c>
      <c r="DE43" s="3">
        <v>43.006452849822523</v>
      </c>
      <c r="DF43" s="3">
        <v>43.395509166557247</v>
      </c>
      <c r="DG43" s="3">
        <v>43.782540727456023</v>
      </c>
      <c r="DH43" s="3">
        <v>44.168866290400359</v>
      </c>
      <c r="DI43" s="3">
        <v>44.552973726261108</v>
      </c>
      <c r="DJ43" s="3">
        <v>44.934711640026457</v>
      </c>
      <c r="DK43" s="3">
        <v>45.314968371042099</v>
      </c>
      <c r="DL43" s="3">
        <v>45.691256441757908</v>
      </c>
      <c r="DM43" s="3">
        <v>46.063154573444884</v>
      </c>
      <c r="DN43" s="3">
        <v>46.428349664346527</v>
      </c>
      <c r="DO43" s="3">
        <v>46.78422253146676</v>
      </c>
    </row>
    <row r="44" spans="1:230" x14ac:dyDescent="0.45">
      <c r="A44" s="16" t="s">
        <v>331</v>
      </c>
      <c r="B44" s="3" t="s">
        <v>89</v>
      </c>
      <c r="C44" s="16" t="s">
        <v>331</v>
      </c>
      <c r="H44" s="3" t="s">
        <v>332</v>
      </c>
      <c r="I44" s="3" t="s">
        <v>289</v>
      </c>
      <c r="K44" s="17" t="s">
        <v>333</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c r="AG44" s="17" t="s">
        <v>334</v>
      </c>
      <c r="AH44" s="3">
        <v>0</v>
      </c>
      <c r="AI44" s="3">
        <v>0</v>
      </c>
      <c r="AJ44" s="3">
        <v>0</v>
      </c>
      <c r="AK44" s="3">
        <v>0</v>
      </c>
      <c r="AL44" s="3">
        <v>0</v>
      </c>
      <c r="AM44" s="3">
        <v>0</v>
      </c>
      <c r="AN44" s="3">
        <v>0</v>
      </c>
      <c r="AO44" s="3">
        <v>0</v>
      </c>
      <c r="AP44" s="3">
        <v>0</v>
      </c>
      <c r="AQ44" s="3">
        <v>0</v>
      </c>
      <c r="AR44" s="3">
        <v>0</v>
      </c>
      <c r="AS44" s="3">
        <v>0</v>
      </c>
      <c r="AT44" s="3">
        <v>0</v>
      </c>
      <c r="AU44" s="3">
        <v>0</v>
      </c>
      <c r="AV44" s="3">
        <v>0</v>
      </c>
      <c r="AW44" s="3">
        <v>0</v>
      </c>
      <c r="AX44" s="3">
        <v>0</v>
      </c>
      <c r="AY44" s="3">
        <v>0</v>
      </c>
      <c r="AZ44" s="3">
        <v>0</v>
      </c>
      <c r="BA44" s="3">
        <v>0</v>
      </c>
      <c r="BC44" s="17" t="s">
        <v>335</v>
      </c>
      <c r="BD44" s="3">
        <v>0</v>
      </c>
      <c r="BE44" s="3">
        <v>0</v>
      </c>
      <c r="BF44" s="3">
        <v>0</v>
      </c>
      <c r="BG44" s="3">
        <v>0</v>
      </c>
      <c r="BH44" s="3">
        <v>0</v>
      </c>
      <c r="BI44" s="3">
        <v>0</v>
      </c>
      <c r="BJ44" s="3">
        <v>0</v>
      </c>
      <c r="BK44" s="3">
        <v>0</v>
      </c>
      <c r="BL44" s="3">
        <v>0</v>
      </c>
      <c r="BM44" s="3">
        <v>0</v>
      </c>
      <c r="BN44" s="3">
        <v>0</v>
      </c>
      <c r="BO44" s="3">
        <v>0</v>
      </c>
      <c r="BP44" s="3">
        <v>0</v>
      </c>
      <c r="BQ44" s="3">
        <v>0</v>
      </c>
      <c r="BR44" s="3">
        <v>0</v>
      </c>
      <c r="BS44" s="3">
        <v>0</v>
      </c>
      <c r="BT44" s="3">
        <v>0</v>
      </c>
      <c r="BU44" s="3">
        <v>0</v>
      </c>
      <c r="BV44" s="3">
        <v>0</v>
      </c>
      <c r="BW44" s="3">
        <v>0</v>
      </c>
      <c r="BY44" s="17" t="s">
        <v>336</v>
      </c>
      <c r="BZ44" s="3">
        <v>0</v>
      </c>
      <c r="CA44" s="3">
        <v>0</v>
      </c>
      <c r="CB44" s="3">
        <v>0</v>
      </c>
      <c r="CC44" s="3">
        <v>0</v>
      </c>
      <c r="CD44" s="3">
        <v>0</v>
      </c>
      <c r="CE44" s="3">
        <v>0</v>
      </c>
      <c r="CF44" s="3">
        <v>0</v>
      </c>
      <c r="CG44" s="3">
        <v>0</v>
      </c>
      <c r="CH44" s="3">
        <v>0</v>
      </c>
      <c r="CI44" s="3">
        <v>0</v>
      </c>
      <c r="CJ44" s="3">
        <v>0</v>
      </c>
      <c r="CK44" s="3">
        <v>0</v>
      </c>
      <c r="CL44" s="3">
        <v>0</v>
      </c>
      <c r="CM44" s="3">
        <v>0</v>
      </c>
      <c r="CN44" s="3">
        <v>0</v>
      </c>
      <c r="CO44" s="3">
        <v>0</v>
      </c>
      <c r="CP44" s="3">
        <v>0</v>
      </c>
      <c r="CQ44" s="3">
        <v>0</v>
      </c>
      <c r="CR44" s="3">
        <v>0</v>
      </c>
      <c r="CS44" s="3">
        <v>0</v>
      </c>
      <c r="CU44" s="17" t="s">
        <v>337</v>
      </c>
      <c r="CV44" s="3">
        <v>0</v>
      </c>
      <c r="CW44" s="3">
        <v>0</v>
      </c>
      <c r="CX44" s="3">
        <v>0</v>
      </c>
      <c r="CY44" s="3">
        <v>0</v>
      </c>
      <c r="CZ44" s="3">
        <v>0</v>
      </c>
      <c r="DA44" s="3">
        <v>0</v>
      </c>
      <c r="DB44" s="3">
        <v>0</v>
      </c>
      <c r="DC44" s="3">
        <v>0</v>
      </c>
      <c r="DD44" s="3">
        <v>0</v>
      </c>
      <c r="DE44" s="3">
        <v>0</v>
      </c>
      <c r="DF44" s="3">
        <v>0</v>
      </c>
      <c r="DG44" s="3">
        <v>0</v>
      </c>
      <c r="DH44" s="3">
        <v>0</v>
      </c>
      <c r="DI44" s="3">
        <v>0</v>
      </c>
      <c r="DJ44" s="3">
        <v>0</v>
      </c>
      <c r="DK44" s="3">
        <v>0</v>
      </c>
      <c r="DL44" s="3">
        <v>0</v>
      </c>
      <c r="DM44" s="3">
        <v>0</v>
      </c>
      <c r="DN44" s="3">
        <v>0</v>
      </c>
      <c r="DO44" s="3">
        <v>0</v>
      </c>
    </row>
    <row r="45" spans="1:230" x14ac:dyDescent="0.45">
      <c r="A45" s="16" t="s">
        <v>338</v>
      </c>
      <c r="B45" s="3" t="s">
        <v>89</v>
      </c>
      <c r="C45" s="16" t="s">
        <v>338</v>
      </c>
      <c r="H45" s="3" t="s">
        <v>339</v>
      </c>
      <c r="I45" s="3" t="s">
        <v>289</v>
      </c>
      <c r="K45" s="17" t="s">
        <v>340</v>
      </c>
      <c r="L45" s="3">
        <v>307.77446985523869</v>
      </c>
      <c r="M45" s="3">
        <v>315.59427039929972</v>
      </c>
      <c r="N45" s="3">
        <v>359.08262509608431</v>
      </c>
      <c r="O45" s="3">
        <v>376.82073845952931</v>
      </c>
      <c r="P45" s="3">
        <v>385.88595684058038</v>
      </c>
      <c r="Q45" s="3">
        <v>395.42014003058779</v>
      </c>
      <c r="R45" s="3">
        <v>406.39695754639303</v>
      </c>
      <c r="S45" s="3">
        <v>417.26173009761033</v>
      </c>
      <c r="T45" s="3">
        <v>426.56104176142361</v>
      </c>
      <c r="U45" s="3">
        <v>432.67656327614202</v>
      </c>
      <c r="V45" s="3">
        <v>438.43320651920459</v>
      </c>
      <c r="W45" s="3">
        <v>447.17767628779728</v>
      </c>
      <c r="X45" s="3">
        <v>455.39320407156822</v>
      </c>
      <c r="Y45" s="3">
        <v>464.14698734632623</v>
      </c>
      <c r="Z45" s="3">
        <v>472.98631661983609</v>
      </c>
      <c r="AA45" s="3">
        <v>481.96751660847002</v>
      </c>
      <c r="AB45" s="3">
        <v>491.0698497560532</v>
      </c>
      <c r="AC45" s="3">
        <v>500.29366702349148</v>
      </c>
      <c r="AD45" s="3">
        <v>509.64452098300671</v>
      </c>
      <c r="AE45" s="3">
        <v>519.1195529171174</v>
      </c>
      <c r="AG45" s="17" t="s">
        <v>341</v>
      </c>
      <c r="AH45" s="3">
        <v>307.77446985523869</v>
      </c>
      <c r="AI45" s="3">
        <v>315.54084608814782</v>
      </c>
      <c r="AJ45" s="3">
        <v>359.03113021659829</v>
      </c>
      <c r="AK45" s="3">
        <v>376.77110583088398</v>
      </c>
      <c r="AL45" s="3">
        <v>385.83630126043931</v>
      </c>
      <c r="AM45" s="3">
        <v>364.73219839882893</v>
      </c>
      <c r="AN45" s="3">
        <v>364.68844841159392</v>
      </c>
      <c r="AO45" s="3">
        <v>376.62669944254043</v>
      </c>
      <c r="AP45" s="3">
        <v>383.79762518246412</v>
      </c>
      <c r="AQ45" s="3">
        <v>390.46271851284951</v>
      </c>
      <c r="AR45" s="3">
        <v>395.36013611465103</v>
      </c>
      <c r="AS45" s="3">
        <v>403.91581097757148</v>
      </c>
      <c r="AT45" s="3">
        <v>411.20726568620307</v>
      </c>
      <c r="AU45" s="3">
        <v>419.35527013856068</v>
      </c>
      <c r="AV45" s="3">
        <v>427.624515337096</v>
      </c>
      <c r="AW45" s="3">
        <v>436.1645149813084</v>
      </c>
      <c r="AX45" s="3">
        <v>444.65085390030208</v>
      </c>
      <c r="AY45" s="3">
        <v>453.18358236873178</v>
      </c>
      <c r="AZ45" s="3">
        <v>461.62090807743522</v>
      </c>
      <c r="BA45" s="3">
        <v>470.12181233000302</v>
      </c>
      <c r="BC45" s="17" t="s">
        <v>342</v>
      </c>
      <c r="BD45" s="3">
        <v>307.77446985523869</v>
      </c>
      <c r="BE45" s="3">
        <v>315.4093355280462</v>
      </c>
      <c r="BF45" s="3">
        <v>358.9043773523</v>
      </c>
      <c r="BG45" s="3">
        <v>376.64894471875931</v>
      </c>
      <c r="BH45" s="3">
        <v>385.71432509780129</v>
      </c>
      <c r="BI45" s="3">
        <v>375.51383922207151</v>
      </c>
      <c r="BJ45" s="3">
        <v>359.84984815085289</v>
      </c>
      <c r="BK45" s="3">
        <v>344.44682281834008</v>
      </c>
      <c r="BL45" s="3">
        <v>334.28639881285272</v>
      </c>
      <c r="BM45" s="3">
        <v>328.97054883819669</v>
      </c>
      <c r="BN45" s="3">
        <v>321.06822767865378</v>
      </c>
      <c r="BO45" s="3">
        <v>317.12040994653051</v>
      </c>
      <c r="BP45" s="3">
        <v>311.63655527817588</v>
      </c>
      <c r="BQ45" s="3">
        <v>308.4334415126736</v>
      </c>
      <c r="BR45" s="3">
        <v>304.41136386216988</v>
      </c>
      <c r="BS45" s="3">
        <v>302.15261523376699</v>
      </c>
      <c r="BT45" s="3">
        <v>298.9087651811447</v>
      </c>
      <c r="BU45" s="3">
        <v>297.49854463556488</v>
      </c>
      <c r="BV45" s="3">
        <v>294.47598396273622</v>
      </c>
      <c r="BW45" s="3">
        <v>293.95380028439178</v>
      </c>
      <c r="BY45" s="17" t="s">
        <v>343</v>
      </c>
      <c r="BZ45" s="3">
        <v>307.77446985523869</v>
      </c>
      <c r="CA45" s="3">
        <v>315.28050434626141</v>
      </c>
      <c r="CB45" s="3">
        <v>358.7800490162922</v>
      </c>
      <c r="CC45" s="3">
        <v>376.52896535159391</v>
      </c>
      <c r="CD45" s="3">
        <v>385.59419376823809</v>
      </c>
      <c r="CE45" s="3">
        <v>360.51028143993739</v>
      </c>
      <c r="CF45" s="3">
        <v>369.68333437649147</v>
      </c>
      <c r="CG45" s="3">
        <v>378.93131289650682</v>
      </c>
      <c r="CH45" s="3">
        <v>386.28397904209379</v>
      </c>
      <c r="CI45" s="3">
        <v>389.76148483473082</v>
      </c>
      <c r="CJ45" s="3">
        <v>391.55544892485102</v>
      </c>
      <c r="CK45" s="3">
        <v>397.69079994361698</v>
      </c>
      <c r="CL45" s="3">
        <v>399.51337906565402</v>
      </c>
      <c r="CM45" s="3">
        <v>402.64170755285141</v>
      </c>
      <c r="CN45" s="3">
        <v>406.40208274721402</v>
      </c>
      <c r="CO45" s="3">
        <v>409.65506530183671</v>
      </c>
      <c r="CP45" s="3">
        <v>413.42009300704541</v>
      </c>
      <c r="CQ45" s="3">
        <v>417.43398104326889</v>
      </c>
      <c r="CR45" s="3">
        <v>421.24264908065209</v>
      </c>
      <c r="CS45" s="3">
        <v>425.50559195024113</v>
      </c>
      <c r="CU45" s="17" t="s">
        <v>344</v>
      </c>
      <c r="CV45" s="3">
        <v>307.77446985523869</v>
      </c>
      <c r="CW45" s="3">
        <v>315.46683519192948</v>
      </c>
      <c r="CX45" s="3">
        <v>358.95979547141837</v>
      </c>
      <c r="CY45" s="3">
        <v>376.70235394289517</v>
      </c>
      <c r="CZ45" s="3">
        <v>385.76761259658213</v>
      </c>
      <c r="DA45" s="3">
        <v>334.99640126992563</v>
      </c>
      <c r="DB45" s="3">
        <v>322.79265622383912</v>
      </c>
      <c r="DC45" s="3">
        <v>333.84361671096201</v>
      </c>
      <c r="DD45" s="3">
        <v>337.74362857801219</v>
      </c>
      <c r="DE45" s="3">
        <v>347.49167515447868</v>
      </c>
      <c r="DF45" s="3">
        <v>348.75586722443171</v>
      </c>
      <c r="DG45" s="3">
        <v>354.96031344875092</v>
      </c>
      <c r="DH45" s="3">
        <v>358.21131733798569</v>
      </c>
      <c r="DI45" s="3">
        <v>363.28265804135742</v>
      </c>
      <c r="DJ45" s="3">
        <v>367.67830332715567</v>
      </c>
      <c r="DK45" s="3">
        <v>373.23420958596353</v>
      </c>
      <c r="DL45" s="3">
        <v>377.95353276962629</v>
      </c>
      <c r="DM45" s="3">
        <v>383.51371113659951</v>
      </c>
      <c r="DN45" s="3">
        <v>388.28678237768469</v>
      </c>
      <c r="DO45" s="3">
        <v>393.82742856963239</v>
      </c>
    </row>
    <row r="46" spans="1:230" x14ac:dyDescent="0.45">
      <c r="A46" s="16" t="s">
        <v>345</v>
      </c>
      <c r="B46" s="3" t="s">
        <v>89</v>
      </c>
      <c r="C46" s="16" t="s">
        <v>346</v>
      </c>
      <c r="H46" s="3" t="s">
        <v>347</v>
      </c>
      <c r="I46" s="3" t="s">
        <v>348</v>
      </c>
      <c r="K46" s="17" t="s">
        <v>349</v>
      </c>
      <c r="L46" s="19">
        <v>211.05353640000001</v>
      </c>
      <c r="M46" s="19">
        <v>207.04102830294221</v>
      </c>
      <c r="N46" s="19">
        <v>242.71474311576381</v>
      </c>
      <c r="O46" s="19">
        <v>257.68997748983497</v>
      </c>
      <c r="P46" s="19">
        <v>264.57773753673689</v>
      </c>
      <c r="Q46" s="19">
        <v>271.55231492051871</v>
      </c>
      <c r="R46" s="19">
        <v>279.61463350408837</v>
      </c>
      <c r="S46" s="19">
        <v>287.62218124538617</v>
      </c>
      <c r="T46" s="19">
        <v>294.15935922164368</v>
      </c>
      <c r="U46" s="19">
        <v>297.48408684570808</v>
      </c>
      <c r="V46" s="19">
        <v>300.43720378961552</v>
      </c>
      <c r="W46" s="19">
        <v>306.34351053084748</v>
      </c>
      <c r="X46" s="19">
        <v>311.68393210140539</v>
      </c>
      <c r="Y46" s="19">
        <v>317.52871593879098</v>
      </c>
      <c r="Z46" s="19">
        <v>323.42567658890391</v>
      </c>
      <c r="AA46" s="19">
        <v>329.42969215015819</v>
      </c>
      <c r="AB46" s="19">
        <v>335.52508070341258</v>
      </c>
      <c r="AC46" s="19">
        <v>341.7133561710508</v>
      </c>
      <c r="AD46" s="19">
        <v>348.00495779395749</v>
      </c>
      <c r="AE46" s="19">
        <v>354.40262232420667</v>
      </c>
      <c r="AG46" s="17" t="s">
        <v>350</v>
      </c>
      <c r="AH46" s="19">
        <v>211.05353640000001</v>
      </c>
      <c r="AI46" s="19">
        <v>206.98760399179039</v>
      </c>
      <c r="AJ46" s="19">
        <v>242.66324823627789</v>
      </c>
      <c r="AK46" s="19">
        <v>257.64034486118982</v>
      </c>
      <c r="AL46" s="19">
        <v>264.52808195659583</v>
      </c>
      <c r="AM46" s="19">
        <v>248.50895853227971</v>
      </c>
      <c r="AN46" s="19">
        <v>245.8389413846545</v>
      </c>
      <c r="AO46" s="19">
        <v>255.18012253591391</v>
      </c>
      <c r="AP46" s="19">
        <v>259.89699142201619</v>
      </c>
      <c r="AQ46" s="19">
        <v>264.03258022036431</v>
      </c>
      <c r="AR46" s="19">
        <v>266.41116283973389</v>
      </c>
      <c r="AS46" s="19">
        <v>272.37444608891138</v>
      </c>
      <c r="AT46" s="19">
        <v>277.01861466642379</v>
      </c>
      <c r="AU46" s="19">
        <v>282.49852349518648</v>
      </c>
      <c r="AV46" s="19">
        <v>288.05975792980138</v>
      </c>
      <c r="AW46" s="19">
        <v>293.83681659393051</v>
      </c>
      <c r="AX46" s="19">
        <v>299.55370548296128</v>
      </c>
      <c r="AY46" s="19">
        <v>305.30261819864143</v>
      </c>
      <c r="AZ46" s="19">
        <v>310.9631779607115</v>
      </c>
      <c r="BA46" s="19">
        <v>316.68102204919029</v>
      </c>
      <c r="BC46" s="17" t="s">
        <v>351</v>
      </c>
      <c r="BD46" s="19">
        <v>211.05353640000001</v>
      </c>
      <c r="BE46" s="19">
        <v>206.85609343168881</v>
      </c>
      <c r="BF46" s="19">
        <v>242.53649537197961</v>
      </c>
      <c r="BG46" s="19">
        <v>257.51818374906497</v>
      </c>
      <c r="BH46" s="19">
        <v>264.40610579395792</v>
      </c>
      <c r="BI46" s="19">
        <v>256.511647265009</v>
      </c>
      <c r="BJ46" s="19">
        <v>243.24367863414051</v>
      </c>
      <c r="BK46" s="19">
        <v>229.39518523804171</v>
      </c>
      <c r="BL46" s="19">
        <v>220.28322414594101</v>
      </c>
      <c r="BM46" s="19">
        <v>215.21492403928411</v>
      </c>
      <c r="BN46" s="19">
        <v>207.32838465195391</v>
      </c>
      <c r="BO46" s="19">
        <v>203.19027482156659</v>
      </c>
      <c r="BP46" s="19">
        <v>197.33803146051781</v>
      </c>
      <c r="BQ46" s="19">
        <v>193.627236833236</v>
      </c>
      <c r="BR46" s="19">
        <v>188.9813407358086</v>
      </c>
      <c r="BS46" s="19">
        <v>185.9934460035681</v>
      </c>
      <c r="BT46" s="19">
        <v>181.9407095740375</v>
      </c>
      <c r="BU46" s="19">
        <v>179.6578176908038</v>
      </c>
      <c r="BV46" s="19">
        <v>175.72158349541999</v>
      </c>
      <c r="BW46" s="19">
        <v>174.25869525754109</v>
      </c>
      <c r="BY46" s="17" t="s">
        <v>352</v>
      </c>
      <c r="BZ46" s="19">
        <v>211.05353640000001</v>
      </c>
      <c r="CA46" s="19">
        <v>206.7272622499039</v>
      </c>
      <c r="CB46" s="19">
        <v>242.41216703597181</v>
      </c>
      <c r="CC46" s="19">
        <v>257.39820438189957</v>
      </c>
      <c r="CD46" s="19">
        <v>264.28597446439471</v>
      </c>
      <c r="CE46" s="19">
        <v>244.9890036472554</v>
      </c>
      <c r="CF46" s="19">
        <v>251.83345797676989</v>
      </c>
      <c r="CG46" s="19">
        <v>258.77434742832821</v>
      </c>
      <c r="CH46" s="19">
        <v>263.94460502233051</v>
      </c>
      <c r="CI46" s="19">
        <v>265.14983333921731</v>
      </c>
      <c r="CJ46" s="19">
        <v>264.68423589173591</v>
      </c>
      <c r="CK46" s="19">
        <v>268.48302628516291</v>
      </c>
      <c r="CL46" s="19">
        <v>267.93010833306431</v>
      </c>
      <c r="CM46" s="19">
        <v>268.65853005369621</v>
      </c>
      <c r="CN46" s="19">
        <v>269.88922021715217</v>
      </c>
      <c r="CO46" s="19">
        <v>270.56974833537078</v>
      </c>
      <c r="CP46" s="19">
        <v>271.75789572051087</v>
      </c>
      <c r="CQ46" s="19">
        <v>273.17764569827648</v>
      </c>
      <c r="CR46" s="19">
        <v>274.39707925412188</v>
      </c>
      <c r="CS46" s="19">
        <v>276.05871740837449</v>
      </c>
      <c r="CU46" s="17" t="s">
        <v>353</v>
      </c>
      <c r="CV46" s="19">
        <v>211.05353640000001</v>
      </c>
      <c r="CW46" s="19">
        <v>206.913593095572</v>
      </c>
      <c r="CX46" s="19">
        <v>242.59191349109801</v>
      </c>
      <c r="CY46" s="19">
        <v>257.57159297320089</v>
      </c>
      <c r="CZ46" s="19">
        <v>264.45939329273858</v>
      </c>
      <c r="DA46" s="19">
        <v>226.16316752596961</v>
      </c>
      <c r="DB46" s="19">
        <v>211.61098715110819</v>
      </c>
      <c r="DC46" s="19">
        <v>220.31939479863331</v>
      </c>
      <c r="DD46" s="19">
        <v>222.05405130772681</v>
      </c>
      <c r="DE46" s="19">
        <v>229.52180441626049</v>
      </c>
      <c r="DF46" s="19">
        <v>228.54136312776311</v>
      </c>
      <c r="DG46" s="19">
        <v>232.39383558900909</v>
      </c>
      <c r="DH46" s="19">
        <v>233.2313114959745</v>
      </c>
      <c r="DI46" s="19">
        <v>235.87704785807699</v>
      </c>
      <c r="DJ46" s="19">
        <v>237.80395800274749</v>
      </c>
      <c r="DK46" s="19">
        <v>240.82192639814451</v>
      </c>
      <c r="DL46" s="19">
        <v>243.01640633613141</v>
      </c>
      <c r="DM46" s="19">
        <v>246.0466416484756</v>
      </c>
      <c r="DN46" s="19">
        <v>248.32062498733939</v>
      </c>
      <c r="DO46" s="19">
        <v>251.36393501958679</v>
      </c>
    </row>
    <row r="47" spans="1:230" x14ac:dyDescent="0.45">
      <c r="A47" s="16" t="s">
        <v>354</v>
      </c>
      <c r="B47" s="3" t="s">
        <v>89</v>
      </c>
      <c r="C47" s="16" t="s">
        <v>355</v>
      </c>
      <c r="H47" s="3" t="s">
        <v>356</v>
      </c>
      <c r="I47" s="3" t="s">
        <v>348</v>
      </c>
      <c r="K47" s="17" t="s">
        <v>357</v>
      </c>
      <c r="L47" s="3">
        <v>6.8776323018183989</v>
      </c>
      <c r="M47" s="3">
        <v>6.3884535525679071</v>
      </c>
      <c r="N47" s="3">
        <v>7.6683959071623642</v>
      </c>
      <c r="O47" s="3">
        <v>8.3013353171760915</v>
      </c>
      <c r="P47" s="3">
        <v>8.1618392611556754</v>
      </c>
      <c r="Q47" s="3">
        <v>8.265490158012117</v>
      </c>
      <c r="R47" s="3">
        <v>8.4895929365007632</v>
      </c>
      <c r="S47" s="3">
        <v>8.7070652337597227</v>
      </c>
      <c r="T47" s="3">
        <v>8.9145285893361468</v>
      </c>
      <c r="U47" s="3">
        <v>9.1223517648759884</v>
      </c>
      <c r="V47" s="3">
        <v>9.2949816515757302</v>
      </c>
      <c r="W47" s="3">
        <v>9.4680462343794254</v>
      </c>
      <c r="X47" s="3">
        <v>9.6414961964530335</v>
      </c>
      <c r="Y47" s="3">
        <v>9.8152826560127195</v>
      </c>
      <c r="Z47" s="3">
        <v>9.98935712489099</v>
      </c>
      <c r="AA47" s="3">
        <v>10.16367146266019</v>
      </c>
      <c r="AB47" s="3">
        <v>10.33817782654142</v>
      </c>
      <c r="AC47" s="3">
        <v>10.512828617312341</v>
      </c>
      <c r="AD47" s="3">
        <v>10.687576421412761</v>
      </c>
      <c r="AE47" s="3">
        <v>10.86237394943233</v>
      </c>
      <c r="AG47" s="17" t="s">
        <v>358</v>
      </c>
      <c r="AH47" s="3">
        <v>6.8776323018183989</v>
      </c>
      <c r="AI47" s="3">
        <v>6.3884535525679071</v>
      </c>
      <c r="AJ47" s="3">
        <v>7.6683959071623642</v>
      </c>
      <c r="AK47" s="3">
        <v>8.3013353171760915</v>
      </c>
      <c r="AL47" s="3">
        <v>8.1618392611556754</v>
      </c>
      <c r="AM47" s="3">
        <v>7.1901084328968832</v>
      </c>
      <c r="AN47" s="3">
        <v>7.3794619203378504</v>
      </c>
      <c r="AO47" s="3">
        <v>7.5644773951403907</v>
      </c>
      <c r="AP47" s="3">
        <v>7.7327847240887113</v>
      </c>
      <c r="AQ47" s="3">
        <v>7.907066597505449</v>
      </c>
      <c r="AR47" s="3">
        <v>8.0546110376777431</v>
      </c>
      <c r="AS47" s="3">
        <v>8.2073569193494968</v>
      </c>
      <c r="AT47" s="3">
        <v>8.3627912189804832</v>
      </c>
      <c r="AU47" s="3">
        <v>8.5174622463187362</v>
      </c>
      <c r="AV47" s="3">
        <v>8.6734295955600036</v>
      </c>
      <c r="AW47" s="3">
        <v>8.8320097459222691</v>
      </c>
      <c r="AX47" s="3">
        <v>8.9886253251363986</v>
      </c>
      <c r="AY47" s="3">
        <v>9.1442250011133606</v>
      </c>
      <c r="AZ47" s="3">
        <v>9.297162410507374</v>
      </c>
      <c r="BA47" s="3">
        <v>9.449358194989788</v>
      </c>
      <c r="BC47" s="17" t="s">
        <v>359</v>
      </c>
      <c r="BD47" s="3">
        <v>6.8776323018183989</v>
      </c>
      <c r="BE47" s="3">
        <v>6.3884535525679071</v>
      </c>
      <c r="BF47" s="3">
        <v>7.6683959071623642</v>
      </c>
      <c r="BG47" s="3">
        <v>8.3013353171760915</v>
      </c>
      <c r="BH47" s="3">
        <v>8.1618392611556754</v>
      </c>
      <c r="BI47" s="3">
        <v>7.5531847914641501</v>
      </c>
      <c r="BJ47" s="3">
        <v>7.00331443484892</v>
      </c>
      <c r="BK47" s="3">
        <v>6.5803045287056463</v>
      </c>
      <c r="BL47" s="3">
        <v>6.2358246809809854</v>
      </c>
      <c r="BM47" s="3">
        <v>6.024286237518182</v>
      </c>
      <c r="BN47" s="3">
        <v>5.8332888801126934</v>
      </c>
      <c r="BO47" s="3">
        <v>5.6712068168634922</v>
      </c>
      <c r="BP47" s="3">
        <v>5.5335101453545228</v>
      </c>
      <c r="BQ47" s="3">
        <v>5.415232396971664</v>
      </c>
      <c r="BR47" s="3">
        <v>5.3130957669881838</v>
      </c>
      <c r="BS47" s="3">
        <v>5.2251372833974559</v>
      </c>
      <c r="BT47" s="3">
        <v>5.1485302390955976</v>
      </c>
      <c r="BU47" s="3">
        <v>5.0811935118110636</v>
      </c>
      <c r="BV47" s="3">
        <v>5.020769749901044</v>
      </c>
      <c r="BW47" s="3">
        <v>4.9660449253566679</v>
      </c>
      <c r="BY47" s="17" t="s">
        <v>360</v>
      </c>
      <c r="BZ47" s="3">
        <v>6.8776323018183989</v>
      </c>
      <c r="CA47" s="3">
        <v>6.3884535525679071</v>
      </c>
      <c r="CB47" s="3">
        <v>7.6683959071623642</v>
      </c>
      <c r="CC47" s="3">
        <v>8.3013353171760915</v>
      </c>
      <c r="CD47" s="3">
        <v>8.1618392611556754</v>
      </c>
      <c r="CE47" s="3">
        <v>7.4590029376282532</v>
      </c>
      <c r="CF47" s="3">
        <v>7.4194644753699146</v>
      </c>
      <c r="CG47" s="3">
        <v>7.3887454837276598</v>
      </c>
      <c r="CH47" s="3">
        <v>7.3542232393801461</v>
      </c>
      <c r="CI47" s="3">
        <v>7.3384666696911154</v>
      </c>
      <c r="CJ47" s="3">
        <v>7.3070766022356857</v>
      </c>
      <c r="CK47" s="3">
        <v>7.2856701796594168</v>
      </c>
      <c r="CL47" s="3">
        <v>7.2718568417941913</v>
      </c>
      <c r="CM47" s="3">
        <v>7.262338212729726</v>
      </c>
      <c r="CN47" s="3">
        <v>7.3282602864840261</v>
      </c>
      <c r="CO47" s="3">
        <v>7.3943279061642553</v>
      </c>
      <c r="CP47" s="3">
        <v>7.4580919652486628</v>
      </c>
      <c r="CQ47" s="3">
        <v>7.5208214859838307</v>
      </c>
      <c r="CR47" s="3">
        <v>7.5806783614506141</v>
      </c>
      <c r="CS47" s="3">
        <v>7.6396171859078681</v>
      </c>
      <c r="CU47" s="17" t="s">
        <v>361</v>
      </c>
      <c r="CV47" s="3">
        <v>6.8776323018183989</v>
      </c>
      <c r="CW47" s="3">
        <v>6.3884535525679071</v>
      </c>
      <c r="CX47" s="3">
        <v>7.6683959071623642</v>
      </c>
      <c r="CY47" s="3">
        <v>8.3013353171760915</v>
      </c>
      <c r="CZ47" s="3">
        <v>8.1618392611556754</v>
      </c>
      <c r="DA47" s="3">
        <v>6.1196161498005006</v>
      </c>
      <c r="DB47" s="3">
        <v>6.2765339184266313</v>
      </c>
      <c r="DC47" s="3">
        <v>6.431323768334182</v>
      </c>
      <c r="DD47" s="3">
        <v>6.5641979191311597</v>
      </c>
      <c r="DE47" s="3">
        <v>6.7082679086307104</v>
      </c>
      <c r="DF47" s="3">
        <v>6.8311043589740912</v>
      </c>
      <c r="DG47" s="3">
        <v>6.9636401224803226</v>
      </c>
      <c r="DH47" s="3">
        <v>7.1000605872247951</v>
      </c>
      <c r="DI47" s="3">
        <v>7.2350548681112956</v>
      </c>
      <c r="DJ47" s="3">
        <v>7.3720765041531466</v>
      </c>
      <c r="DK47" s="3">
        <v>7.5136370761807596</v>
      </c>
      <c r="DL47" s="3">
        <v>7.6513617522290378</v>
      </c>
      <c r="DM47" s="3">
        <v>7.7873833272291026</v>
      </c>
      <c r="DN47" s="3">
        <v>7.9185421973044843</v>
      </c>
      <c r="DO47" s="3">
        <v>8.0485005832301368</v>
      </c>
    </row>
    <row r="48" spans="1:230" x14ac:dyDescent="0.45">
      <c r="A48" s="16" t="s">
        <v>362</v>
      </c>
      <c r="B48" s="3" t="s">
        <v>89</v>
      </c>
      <c r="C48" s="16" t="s">
        <v>363</v>
      </c>
      <c r="H48" s="3" t="s">
        <v>364</v>
      </c>
      <c r="I48" s="3" t="s">
        <v>348</v>
      </c>
      <c r="K48" s="17" t="s">
        <v>365</v>
      </c>
      <c r="L48" s="3">
        <v>97.183238390957328</v>
      </c>
      <c r="M48" s="3">
        <v>89.360534912256412</v>
      </c>
      <c r="N48" s="3">
        <v>106.8527874943606</v>
      </c>
      <c r="O48" s="3">
        <v>115.6328115265618</v>
      </c>
      <c r="P48" s="3">
        <v>116.99607731441731</v>
      </c>
      <c r="Q48" s="3">
        <v>117.53792446307079</v>
      </c>
      <c r="R48" s="3">
        <v>118.2622078761131</v>
      </c>
      <c r="S48" s="3">
        <v>118.8837678869908</v>
      </c>
      <c r="T48" s="3">
        <v>118.0429365075662</v>
      </c>
      <c r="U48" s="3">
        <v>118.9316772521488</v>
      </c>
      <c r="V48" s="3">
        <v>119.423684616833</v>
      </c>
      <c r="W48" s="3">
        <v>122.8168501668198</v>
      </c>
      <c r="X48" s="3">
        <v>125.55995911171691</v>
      </c>
      <c r="Y48" s="3">
        <v>128.77698624240659</v>
      </c>
      <c r="Z48" s="3">
        <v>131.9984005666642</v>
      </c>
      <c r="AA48" s="3">
        <v>135.28430029435609</v>
      </c>
      <c r="AB48" s="3">
        <v>138.62039341540861</v>
      </c>
      <c r="AC48" s="3">
        <v>142.00998431812411</v>
      </c>
      <c r="AD48" s="3">
        <v>145.4656623442261</v>
      </c>
      <c r="AE48" s="3">
        <v>148.9919470586058</v>
      </c>
      <c r="AG48" s="17" t="s">
        <v>366</v>
      </c>
      <c r="AH48" s="3">
        <v>97.183238390957328</v>
      </c>
      <c r="AI48" s="3">
        <v>89.311400695638412</v>
      </c>
      <c r="AJ48" s="3">
        <v>106.80546013527901</v>
      </c>
      <c r="AK48" s="3">
        <v>115.5872342911032</v>
      </c>
      <c r="AL48" s="3">
        <v>116.9503754079857</v>
      </c>
      <c r="AM48" s="3">
        <v>110.9308956203725</v>
      </c>
      <c r="AN48" s="3">
        <v>101.4109290607944</v>
      </c>
      <c r="AO48" s="3">
        <v>108.3152796969114</v>
      </c>
      <c r="AP48" s="3">
        <v>106.55854940430579</v>
      </c>
      <c r="AQ48" s="3">
        <v>108.5569695418872</v>
      </c>
      <c r="AR48" s="3">
        <v>108.81970603262739</v>
      </c>
      <c r="AS48" s="3">
        <v>112.5412748890504</v>
      </c>
      <c r="AT48" s="3">
        <v>114.829297513763</v>
      </c>
      <c r="AU48" s="3">
        <v>117.94234159562259</v>
      </c>
      <c r="AV48" s="3">
        <v>121.0726378547804</v>
      </c>
      <c r="AW48" s="3">
        <v>124.3306656075866</v>
      </c>
      <c r="AX48" s="3">
        <v>127.5347674925857</v>
      </c>
      <c r="AY48" s="3">
        <v>130.75955621585669</v>
      </c>
      <c r="AZ48" s="3">
        <v>133.91970424564451</v>
      </c>
      <c r="BA48" s="3">
        <v>137.12246312151049</v>
      </c>
      <c r="BC48" s="17" t="s">
        <v>367</v>
      </c>
      <c r="BD48" s="3">
        <v>97.183238390957328</v>
      </c>
      <c r="BE48" s="3">
        <v>89.188429527324772</v>
      </c>
      <c r="BF48" s="3">
        <v>106.68700268014609</v>
      </c>
      <c r="BG48" s="3">
        <v>115.4731486117785</v>
      </c>
      <c r="BH48" s="3">
        <v>116.83627865606979</v>
      </c>
      <c r="BI48" s="3">
        <v>113.2709980637282</v>
      </c>
      <c r="BJ48" s="3">
        <v>104.48698769756609</v>
      </c>
      <c r="BK48" s="3">
        <v>97.621485031219976</v>
      </c>
      <c r="BL48" s="3">
        <v>94.397567387545109</v>
      </c>
      <c r="BM48" s="3">
        <v>93.179464209628307</v>
      </c>
      <c r="BN48" s="3">
        <v>88.642069865840639</v>
      </c>
      <c r="BO48" s="3">
        <v>87.402918252342857</v>
      </c>
      <c r="BP48" s="3">
        <v>84.058770901501958</v>
      </c>
      <c r="BQ48" s="3">
        <v>82.543823511860211</v>
      </c>
      <c r="BR48" s="3">
        <v>79.829967771890693</v>
      </c>
      <c r="BS48" s="3">
        <v>78.536557519824242</v>
      </c>
      <c r="BT48" s="3">
        <v>75.987629811643473</v>
      </c>
      <c r="BU48" s="3">
        <v>75.052385187652519</v>
      </c>
      <c r="BV48" s="3">
        <v>72.349753380903039</v>
      </c>
      <c r="BW48" s="3">
        <v>72.026434285750611</v>
      </c>
      <c r="BY48" s="17" t="s">
        <v>368</v>
      </c>
      <c r="BZ48" s="3">
        <v>97.183238390957328</v>
      </c>
      <c r="CA48" s="3">
        <v>89.069456267344819</v>
      </c>
      <c r="CB48" s="3">
        <v>106.57225061103451</v>
      </c>
      <c r="CC48" s="3">
        <v>115.36248239666661</v>
      </c>
      <c r="CD48" s="3">
        <v>116.725215769532</v>
      </c>
      <c r="CE48" s="3">
        <v>110.23680389595511</v>
      </c>
      <c r="CF48" s="3">
        <v>110.5504533890045</v>
      </c>
      <c r="CG48" s="3">
        <v>110.8374077793359</v>
      </c>
      <c r="CH48" s="3">
        <v>109.44011709163991</v>
      </c>
      <c r="CI48" s="3">
        <v>108.92281719878859</v>
      </c>
      <c r="CJ48" s="3">
        <v>106.7779128310405</v>
      </c>
      <c r="CK48" s="3">
        <v>108.7384819033623</v>
      </c>
      <c r="CL48" s="3">
        <v>106.28682419283891</v>
      </c>
      <c r="CM48" s="3">
        <v>105.07961663152609</v>
      </c>
      <c r="CN48" s="3">
        <v>104.23637213206371</v>
      </c>
      <c r="CO48" s="3">
        <v>102.7658802972926</v>
      </c>
      <c r="CP48" s="3">
        <v>101.8016063056323</v>
      </c>
      <c r="CQ48" s="3">
        <v>101.03819828630191</v>
      </c>
      <c r="CR48" s="3">
        <v>100.0812029418947</v>
      </c>
      <c r="CS48" s="3">
        <v>99.526028554078138</v>
      </c>
      <c r="CU48" s="17" t="s">
        <v>369</v>
      </c>
      <c r="CV48" s="3">
        <v>97.183238390957328</v>
      </c>
      <c r="CW48" s="3">
        <v>89.242533062306904</v>
      </c>
      <c r="CX48" s="3">
        <v>106.73912170261779</v>
      </c>
      <c r="CY48" s="3">
        <v>115.5233455609503</v>
      </c>
      <c r="CZ48" s="3">
        <v>116.88643050629661</v>
      </c>
      <c r="DA48" s="3">
        <v>105.18375511247039</v>
      </c>
      <c r="DB48" s="3">
        <v>84.269829524811371</v>
      </c>
      <c r="DC48" s="3">
        <v>90.971160081251369</v>
      </c>
      <c r="DD48" s="3">
        <v>91.127304183194525</v>
      </c>
      <c r="DE48" s="3">
        <v>96.76767396285301</v>
      </c>
      <c r="DF48" s="3">
        <v>94.043248778700359</v>
      </c>
      <c r="DG48" s="3">
        <v>95.929438975126416</v>
      </c>
      <c r="DH48" s="3">
        <v>94.682159734164642</v>
      </c>
      <c r="DI48" s="3">
        <v>95.242677766995968</v>
      </c>
      <c r="DJ48" s="3">
        <v>95.01011586039624</v>
      </c>
      <c r="DK48" s="3">
        <v>95.744671373068599</v>
      </c>
      <c r="DL48" s="3">
        <v>95.704429822093758</v>
      </c>
      <c r="DM48" s="3">
        <v>96.507525726184667</v>
      </c>
      <c r="DN48" s="3">
        <v>96.628266731442068</v>
      </c>
      <c r="DO48" s="3">
        <v>97.517913729217469</v>
      </c>
    </row>
    <row r="49" spans="1:119" x14ac:dyDescent="0.45">
      <c r="A49" s="16" t="s">
        <v>370</v>
      </c>
      <c r="B49" s="3" t="s">
        <v>89</v>
      </c>
      <c r="C49" s="16" t="s">
        <v>371</v>
      </c>
      <c r="H49" s="3" t="s">
        <v>372</v>
      </c>
      <c r="I49" s="3" t="s">
        <v>348</v>
      </c>
      <c r="K49" s="17" t="s">
        <v>373</v>
      </c>
      <c r="L49" s="3">
        <v>24.157616247348031</v>
      </c>
      <c r="M49" s="3">
        <v>22.524421302691881</v>
      </c>
      <c r="N49" s="3">
        <v>23.282076476035002</v>
      </c>
      <c r="O49" s="3">
        <v>26.516385658266781</v>
      </c>
      <c r="P49" s="3">
        <v>29.92627242830304</v>
      </c>
      <c r="Q49" s="3">
        <v>33.584352732663611</v>
      </c>
      <c r="R49" s="3">
        <v>37.519048210287998</v>
      </c>
      <c r="S49" s="3">
        <v>41.668952963034059</v>
      </c>
      <c r="T49" s="3">
        <v>46.044410273701303</v>
      </c>
      <c r="U49" s="3">
        <v>45.468525737531827</v>
      </c>
      <c r="V49" s="3">
        <v>44.933621077727743</v>
      </c>
      <c r="W49" s="3">
        <v>44.431862155079351</v>
      </c>
      <c r="X49" s="3">
        <v>43.996325844073191</v>
      </c>
      <c r="Y49" s="3">
        <v>43.574224453675363</v>
      </c>
      <c r="Z49" s="3">
        <v>43.183846182309637</v>
      </c>
      <c r="AA49" s="3">
        <v>42.820917069078376</v>
      </c>
      <c r="AB49" s="3">
        <v>42.484997439817079</v>
      </c>
      <c r="AC49" s="3">
        <v>42.175251840980579</v>
      </c>
      <c r="AD49" s="3">
        <v>41.890490751043288</v>
      </c>
      <c r="AE49" s="3">
        <v>41.62989838665758</v>
      </c>
      <c r="AG49" s="17" t="s">
        <v>374</v>
      </c>
      <c r="AH49" s="3">
        <v>24.157616247348031</v>
      </c>
      <c r="AI49" s="3">
        <v>22.520131208158041</v>
      </c>
      <c r="AJ49" s="3">
        <v>23.277908955630689</v>
      </c>
      <c r="AK49" s="3">
        <v>26.51233026508017</v>
      </c>
      <c r="AL49" s="3">
        <v>29.92231875459354</v>
      </c>
      <c r="AM49" s="3">
        <v>31.830044495716731</v>
      </c>
      <c r="AN49" s="3">
        <v>35.694353367906608</v>
      </c>
      <c r="AO49" s="3">
        <v>35.254525741996133</v>
      </c>
      <c r="AP49" s="3">
        <v>39.187671390304658</v>
      </c>
      <c r="AQ49" s="3">
        <v>38.671974548400136</v>
      </c>
      <c r="AR49" s="3">
        <v>38.195212022912287</v>
      </c>
      <c r="AS49" s="3">
        <v>37.740590795448917</v>
      </c>
      <c r="AT49" s="3">
        <v>37.34149487726399</v>
      </c>
      <c r="AU49" s="3">
        <v>36.956959052626353</v>
      </c>
      <c r="AV49" s="3">
        <v>36.602783316539359</v>
      </c>
      <c r="AW49" s="3">
        <v>36.278544461485119</v>
      </c>
      <c r="AX49" s="3">
        <v>35.974279426098541</v>
      </c>
      <c r="AY49" s="3">
        <v>35.690474955568213</v>
      </c>
      <c r="AZ49" s="3">
        <v>35.423143218226912</v>
      </c>
      <c r="BA49" s="3">
        <v>35.175346117904347</v>
      </c>
      <c r="BC49" s="17" t="s">
        <v>375</v>
      </c>
      <c r="BD49" s="3">
        <v>24.157616247348031</v>
      </c>
      <c r="BE49" s="3">
        <v>22.5115918163701</v>
      </c>
      <c r="BF49" s="3">
        <v>23.269613546465269</v>
      </c>
      <c r="BG49" s="3">
        <v>26.504254832280051</v>
      </c>
      <c r="BH49" s="3">
        <v>29.914439343871429</v>
      </c>
      <c r="BI49" s="3">
        <v>32.437800500964222</v>
      </c>
      <c r="BJ49" s="3">
        <v>35.198341548693747</v>
      </c>
      <c r="BK49" s="3">
        <v>33.89068996022786</v>
      </c>
      <c r="BL49" s="3">
        <v>32.720643432946183</v>
      </c>
      <c r="BM49" s="3">
        <v>31.74411222247193</v>
      </c>
      <c r="BN49" s="3">
        <v>30.841404734903868</v>
      </c>
      <c r="BO49" s="3">
        <v>30.00110746260518</v>
      </c>
      <c r="BP49" s="3">
        <v>29.216742219691859</v>
      </c>
      <c r="BQ49" s="3">
        <v>28.478752556094118</v>
      </c>
      <c r="BR49" s="3">
        <v>27.782081682211611</v>
      </c>
      <c r="BS49" s="3">
        <v>27.123185891449911</v>
      </c>
      <c r="BT49" s="3">
        <v>26.4973888068481</v>
      </c>
      <c r="BU49" s="3">
        <v>25.900777486522571</v>
      </c>
      <c r="BV49" s="3">
        <v>25.329180673601851</v>
      </c>
      <c r="BW49" s="3">
        <v>24.78015312605072</v>
      </c>
      <c r="BY49" s="17" t="s">
        <v>376</v>
      </c>
      <c r="BZ49" s="3">
        <v>24.157616247348031</v>
      </c>
      <c r="CA49" s="3">
        <v>22.501733894565181</v>
      </c>
      <c r="CB49" s="3">
        <v>23.260037279569062</v>
      </c>
      <c r="CC49" s="3">
        <v>26.49494168022667</v>
      </c>
      <c r="CD49" s="3">
        <v>29.90537090084608</v>
      </c>
      <c r="CE49" s="3">
        <v>31.49046022780221</v>
      </c>
      <c r="CF49" s="3">
        <v>35.342117978455441</v>
      </c>
      <c r="CG49" s="3">
        <v>39.415259600371748</v>
      </c>
      <c r="CH49" s="3">
        <v>43.706305703258252</v>
      </c>
      <c r="CI49" s="3">
        <v>43.018357131815591</v>
      </c>
      <c r="CJ49" s="3">
        <v>42.356125437770316</v>
      </c>
      <c r="CK49" s="3">
        <v>41.737061048720868</v>
      </c>
      <c r="CL49" s="3">
        <v>41.150696643348162</v>
      </c>
      <c r="CM49" s="3">
        <v>40.594250402376751</v>
      </c>
      <c r="CN49" s="3">
        <v>40.070279468339621</v>
      </c>
      <c r="CO49" s="3">
        <v>39.579727643742267</v>
      </c>
      <c r="CP49" s="3">
        <v>39.114166884545483</v>
      </c>
      <c r="CQ49" s="3">
        <v>38.67598119025876</v>
      </c>
      <c r="CR49" s="3">
        <v>38.260676672540008</v>
      </c>
      <c r="CS49" s="3">
        <v>37.872596129427087</v>
      </c>
      <c r="CU49" s="17" t="s">
        <v>377</v>
      </c>
      <c r="CV49" s="3">
        <v>24.157616247348031</v>
      </c>
      <c r="CW49" s="3">
        <v>22.514987945271191</v>
      </c>
      <c r="CX49" s="3">
        <v>23.27291264311204</v>
      </c>
      <c r="CY49" s="3">
        <v>26.507467107244249</v>
      </c>
      <c r="CZ49" s="3">
        <v>29.917574992425418</v>
      </c>
      <c r="DA49" s="3">
        <v>30.27728367189254</v>
      </c>
      <c r="DB49" s="3">
        <v>34.079383466431757</v>
      </c>
      <c r="DC49" s="3">
        <v>33.582674861811782</v>
      </c>
      <c r="DD49" s="3">
        <v>33.077534532059147</v>
      </c>
      <c r="DE49" s="3">
        <v>32.611472296922408</v>
      </c>
      <c r="DF49" s="3">
        <v>32.174619048771063</v>
      </c>
      <c r="DG49" s="3">
        <v>31.77385562053761</v>
      </c>
      <c r="DH49" s="3">
        <v>31.410910663634731</v>
      </c>
      <c r="DI49" s="3">
        <v>31.065738159419251</v>
      </c>
      <c r="DJ49" s="3">
        <v>30.748132506216709</v>
      </c>
      <c r="DK49" s="3">
        <v>30.460376100071262</v>
      </c>
      <c r="DL49" s="3">
        <v>30.18654218073635</v>
      </c>
      <c r="DM49" s="3">
        <v>29.92844096334786</v>
      </c>
      <c r="DN49" s="3">
        <v>29.68016137157953</v>
      </c>
      <c r="DO49" s="3">
        <v>29.447447895736971</v>
      </c>
    </row>
    <row r="50" spans="1:119" x14ac:dyDescent="0.45">
      <c r="A50" s="16" t="s">
        <v>378</v>
      </c>
      <c r="B50" s="3" t="s">
        <v>89</v>
      </c>
      <c r="C50" s="16" t="s">
        <v>379</v>
      </c>
      <c r="H50" s="3" t="s">
        <v>380</v>
      </c>
      <c r="I50" s="3" t="s">
        <v>348</v>
      </c>
      <c r="K50" s="17" t="s">
        <v>381</v>
      </c>
      <c r="L50" s="3">
        <v>20.216040279574429</v>
      </c>
      <c r="M50" s="3">
        <v>22.061299232180989</v>
      </c>
      <c r="N50" s="3">
        <v>27.94338853822439</v>
      </c>
      <c r="O50" s="3">
        <v>28.640523658827739</v>
      </c>
      <c r="P50" s="3">
        <v>29.316232246109429</v>
      </c>
      <c r="Q50" s="3">
        <v>30.120601674307469</v>
      </c>
      <c r="R50" s="3">
        <v>31.082532906964449</v>
      </c>
      <c r="S50" s="3">
        <v>31.997191810708699</v>
      </c>
      <c r="T50" s="3">
        <v>32.844690309219637</v>
      </c>
      <c r="U50" s="3">
        <v>33.696390303462159</v>
      </c>
      <c r="V50" s="3">
        <v>34.555454920937983</v>
      </c>
      <c r="W50" s="3">
        <v>35.421577368499563</v>
      </c>
      <c r="X50" s="3">
        <v>36.294448127957011</v>
      </c>
      <c r="Y50" s="3">
        <v>37.173754976216713</v>
      </c>
      <c r="Z50" s="3">
        <v>38.05918296948149</v>
      </c>
      <c r="AA50" s="3">
        <v>38.950414392133773</v>
      </c>
      <c r="AB50" s="3">
        <v>39.847128670963208</v>
      </c>
      <c r="AC50" s="3">
        <v>40.749002255430923</v>
      </c>
      <c r="AD50" s="3">
        <v>41.655708464681943</v>
      </c>
      <c r="AE50" s="3">
        <v>42.566917302030667</v>
      </c>
      <c r="AG50" s="17" t="s">
        <v>382</v>
      </c>
      <c r="AH50" s="3">
        <v>20.216040279574429</v>
      </c>
      <c r="AI50" s="3">
        <v>22.061299232180989</v>
      </c>
      <c r="AJ50" s="3">
        <v>27.94338853822439</v>
      </c>
      <c r="AK50" s="3">
        <v>28.640523658827739</v>
      </c>
      <c r="AL50" s="3">
        <v>29.316232246109429</v>
      </c>
      <c r="AM50" s="3">
        <v>27.634429659855108</v>
      </c>
      <c r="AN50" s="3">
        <v>28.51695874181803</v>
      </c>
      <c r="AO50" s="3">
        <v>29.368056017259981</v>
      </c>
      <c r="AP50" s="3">
        <v>30.118403615133481</v>
      </c>
      <c r="AQ50" s="3">
        <v>30.904257222547631</v>
      </c>
      <c r="AR50" s="3">
        <v>31.680659929283379</v>
      </c>
      <c r="AS50" s="3">
        <v>32.490137775758278</v>
      </c>
      <c r="AT50" s="3">
        <v>33.319133326038383</v>
      </c>
      <c r="AU50" s="3">
        <v>34.148460969721093</v>
      </c>
      <c r="AV50" s="3">
        <v>34.989588846384308</v>
      </c>
      <c r="AW50" s="3">
        <v>35.850048973458051</v>
      </c>
      <c r="AX50" s="3">
        <v>36.703846911975482</v>
      </c>
      <c r="AY50" s="3">
        <v>37.556155475496283</v>
      </c>
      <c r="AZ50" s="3">
        <v>38.397270432703984</v>
      </c>
      <c r="BA50" s="3">
        <v>39.238030361334737</v>
      </c>
      <c r="BC50" s="17" t="s">
        <v>383</v>
      </c>
      <c r="BD50" s="3">
        <v>20.216040279574429</v>
      </c>
      <c r="BE50" s="3">
        <v>22.061299232180989</v>
      </c>
      <c r="BF50" s="3">
        <v>27.94338853822439</v>
      </c>
      <c r="BG50" s="3">
        <v>28.640523658827739</v>
      </c>
      <c r="BH50" s="3">
        <v>29.316232246109429</v>
      </c>
      <c r="BI50" s="3">
        <v>28.362794366796031</v>
      </c>
      <c r="BJ50" s="3">
        <v>27.24680536245986</v>
      </c>
      <c r="BK50" s="3">
        <v>26.319714273086021</v>
      </c>
      <c r="BL50" s="3">
        <v>25.49462680623817</v>
      </c>
      <c r="BM50" s="3">
        <v>25.115609345865099</v>
      </c>
      <c r="BN50" s="3">
        <v>24.787019271083441</v>
      </c>
      <c r="BO50" s="3">
        <v>24.513254106425261</v>
      </c>
      <c r="BP50" s="3">
        <v>24.292968400828119</v>
      </c>
      <c r="BQ50" s="3">
        <v>24.115314963209681</v>
      </c>
      <c r="BR50" s="3">
        <v>23.974814848659069</v>
      </c>
      <c r="BS50" s="3">
        <v>23.870773445850709</v>
      </c>
      <c r="BT50" s="3">
        <v>23.794417073032431</v>
      </c>
      <c r="BU50" s="3">
        <v>23.739616412632301</v>
      </c>
      <c r="BV50" s="3">
        <v>23.696779488356459</v>
      </c>
      <c r="BW50" s="3">
        <v>23.66251922180539</v>
      </c>
      <c r="BY50" s="17" t="s">
        <v>384</v>
      </c>
      <c r="BZ50" s="3">
        <v>20.216040279574429</v>
      </c>
      <c r="CA50" s="3">
        <v>22.061299232180989</v>
      </c>
      <c r="CB50" s="3">
        <v>27.94338853822439</v>
      </c>
      <c r="CC50" s="3">
        <v>28.640523658827739</v>
      </c>
      <c r="CD50" s="3">
        <v>29.316232246109429</v>
      </c>
      <c r="CE50" s="3">
        <v>27.09158479860638</v>
      </c>
      <c r="CF50" s="3">
        <v>27.956760486919961</v>
      </c>
      <c r="CG50" s="3">
        <v>28.78940297254578</v>
      </c>
      <c r="CH50" s="3">
        <v>29.526626519205109</v>
      </c>
      <c r="CI50" s="3">
        <v>30.302459362276711</v>
      </c>
      <c r="CJ50" s="3">
        <v>31.062342189333101</v>
      </c>
      <c r="CK50" s="3">
        <v>31.857886679066841</v>
      </c>
      <c r="CL50" s="3">
        <v>32.661345449747607</v>
      </c>
      <c r="CM50" s="3">
        <v>33.4669617853272</v>
      </c>
      <c r="CN50" s="3">
        <v>34.283757762435378</v>
      </c>
      <c r="CO50" s="3">
        <v>35.116042091206033</v>
      </c>
      <c r="CP50" s="3">
        <v>35.942530954964212</v>
      </c>
      <c r="CQ50" s="3">
        <v>36.771587310219537</v>
      </c>
      <c r="CR50" s="3">
        <v>37.592891600556349</v>
      </c>
      <c r="CS50" s="3">
        <v>38.41983520225871</v>
      </c>
      <c r="CU50" s="17" t="s">
        <v>385</v>
      </c>
      <c r="CV50" s="3">
        <v>20.216040279574429</v>
      </c>
      <c r="CW50" s="3">
        <v>22.061299232180989</v>
      </c>
      <c r="CX50" s="3">
        <v>27.94338853822439</v>
      </c>
      <c r="CY50" s="3">
        <v>28.640523658827739</v>
      </c>
      <c r="CZ50" s="3">
        <v>29.316232246109429</v>
      </c>
      <c r="DA50" s="3">
        <v>24.73749246441794</v>
      </c>
      <c r="DB50" s="3">
        <v>25.527501055740888</v>
      </c>
      <c r="DC50" s="3">
        <v>26.301566050008091</v>
      </c>
      <c r="DD50" s="3">
        <v>26.944634996047501</v>
      </c>
      <c r="DE50" s="3">
        <v>27.655116092670159</v>
      </c>
      <c r="DF50" s="3">
        <v>28.336323418344769</v>
      </c>
      <c r="DG50" s="3">
        <v>29.07786793447319</v>
      </c>
      <c r="DH50" s="3">
        <v>29.846546377104211</v>
      </c>
      <c r="DI50" s="3">
        <v>30.611250909816501</v>
      </c>
      <c r="DJ50" s="3">
        <v>31.39232819979955</v>
      </c>
      <c r="DK50" s="3">
        <v>32.2050008895677</v>
      </c>
      <c r="DL50" s="3">
        <v>32.999112078568452</v>
      </c>
      <c r="DM50" s="3">
        <v>33.787109324205503</v>
      </c>
      <c r="DN50" s="3">
        <v>34.549421341056423</v>
      </c>
      <c r="DO50" s="3">
        <v>35.307979953091923</v>
      </c>
    </row>
    <row r="51" spans="1:119" x14ac:dyDescent="0.45">
      <c r="A51" s="16" t="s">
        <v>386</v>
      </c>
      <c r="B51" s="3" t="s">
        <v>89</v>
      </c>
      <c r="C51" s="16" t="s">
        <v>387</v>
      </c>
      <c r="H51" s="3" t="s">
        <v>388</v>
      </c>
      <c r="I51" s="3" t="s">
        <v>348</v>
      </c>
      <c r="K51" s="17" t="s">
        <v>389</v>
      </c>
      <c r="L51" s="3">
        <v>45.639913533447533</v>
      </c>
      <c r="M51" s="3">
        <v>47.880259449283237</v>
      </c>
      <c r="N51" s="3">
        <v>57.896682603112403</v>
      </c>
      <c r="O51" s="3">
        <v>59.050124845860623</v>
      </c>
      <c r="P51" s="3">
        <v>60.16299609342645</v>
      </c>
      <c r="Q51" s="3">
        <v>61.480539294125442</v>
      </c>
      <c r="R51" s="3">
        <v>63.046354914055293</v>
      </c>
      <c r="S51" s="3">
        <v>64.526567499055901</v>
      </c>
      <c r="T51" s="3">
        <v>65.890977375877981</v>
      </c>
      <c r="U51" s="3">
        <v>67.255192947932599</v>
      </c>
      <c r="V51" s="3">
        <v>68.624343268093853</v>
      </c>
      <c r="W51" s="3">
        <v>69.997981177573877</v>
      </c>
      <c r="X51" s="3">
        <v>71.375662703693393</v>
      </c>
      <c r="Y51" s="3">
        <v>72.756946859261404</v>
      </c>
      <c r="Z51" s="3">
        <v>74.141395396269132</v>
      </c>
      <c r="AA51" s="3">
        <v>75.528572515966459</v>
      </c>
      <c r="AB51" s="3">
        <v>76.918044537310934</v>
      </c>
      <c r="AC51" s="3">
        <v>78.30937952569623</v>
      </c>
      <c r="AD51" s="3">
        <v>79.702146883773651</v>
      </c>
      <c r="AE51" s="3">
        <v>81.095916906087538</v>
      </c>
      <c r="AG51" s="17" t="s">
        <v>390</v>
      </c>
      <c r="AH51" s="3">
        <v>45.639913533447533</v>
      </c>
      <c r="AI51" s="3">
        <v>47.880259449283237</v>
      </c>
      <c r="AJ51" s="3">
        <v>57.896682603112403</v>
      </c>
      <c r="AK51" s="3">
        <v>59.050124845860623</v>
      </c>
      <c r="AL51" s="3">
        <v>60.16299609342645</v>
      </c>
      <c r="AM51" s="3">
        <v>53.529741050106011</v>
      </c>
      <c r="AN51" s="3">
        <v>54.892880311356357</v>
      </c>
      <c r="AO51" s="3">
        <v>56.199294146846768</v>
      </c>
      <c r="AP51" s="3">
        <v>57.344338674177443</v>
      </c>
      <c r="AQ51" s="3">
        <v>58.537530623942487</v>
      </c>
      <c r="AR51" s="3">
        <v>59.710311259735121</v>
      </c>
      <c r="AS51" s="3">
        <v>60.927001700131129</v>
      </c>
      <c r="AT51" s="3">
        <v>62.166756470122273</v>
      </c>
      <c r="AU51" s="3">
        <v>63.40077532407544</v>
      </c>
      <c r="AV51" s="3">
        <v>64.646216337260839</v>
      </c>
      <c r="AW51" s="3">
        <v>65.914100960269067</v>
      </c>
      <c r="AX51" s="3">
        <v>67.16607718623716</v>
      </c>
      <c r="AY51" s="3">
        <v>68.410008109915495</v>
      </c>
      <c r="AZ51" s="3">
        <v>69.631987907590698</v>
      </c>
      <c r="BA51" s="3">
        <v>70.84806757419274</v>
      </c>
      <c r="BC51" s="17" t="s">
        <v>391</v>
      </c>
      <c r="BD51" s="3">
        <v>45.639913533447533</v>
      </c>
      <c r="BE51" s="3">
        <v>47.880259449283237</v>
      </c>
      <c r="BF51" s="3">
        <v>57.896682603112403</v>
      </c>
      <c r="BG51" s="3">
        <v>59.050124845860623</v>
      </c>
      <c r="BH51" s="3">
        <v>60.16299609342645</v>
      </c>
      <c r="BI51" s="3">
        <v>56.207624788996071</v>
      </c>
      <c r="BJ51" s="3">
        <v>51.997877803059247</v>
      </c>
      <c r="BK51" s="3">
        <v>48.70300723029132</v>
      </c>
      <c r="BL51" s="3">
        <v>45.985040416581832</v>
      </c>
      <c r="BM51" s="3">
        <v>44.301957996310939</v>
      </c>
      <c r="BN51" s="3">
        <v>42.867216073067183</v>
      </c>
      <c r="BO51" s="3">
        <v>41.647369939895341</v>
      </c>
      <c r="BP51" s="3">
        <v>40.610923780871943</v>
      </c>
      <c r="BQ51" s="3">
        <v>39.720828162354167</v>
      </c>
      <c r="BR51" s="3">
        <v>38.952859552291542</v>
      </c>
      <c r="BS51" s="3">
        <v>38.292942330253261</v>
      </c>
      <c r="BT51" s="3">
        <v>37.719214459729102</v>
      </c>
      <c r="BU51" s="3">
        <v>37.215623419726981</v>
      </c>
      <c r="BV51" s="3">
        <v>36.763495284375658</v>
      </c>
      <c r="BW51" s="3">
        <v>36.353494108880952</v>
      </c>
      <c r="BY51" s="17" t="s">
        <v>392</v>
      </c>
      <c r="BZ51" s="3">
        <v>45.639913533447533</v>
      </c>
      <c r="CA51" s="3">
        <v>47.880259449283237</v>
      </c>
      <c r="CB51" s="3">
        <v>57.896682603112403</v>
      </c>
      <c r="CC51" s="3">
        <v>59.050124845860623</v>
      </c>
      <c r="CD51" s="3">
        <v>60.16299609342645</v>
      </c>
      <c r="CE51" s="3">
        <v>51.921414180528963</v>
      </c>
      <c r="CF51" s="3">
        <v>53.243533593870239</v>
      </c>
      <c r="CG51" s="3">
        <v>54.507930303093339</v>
      </c>
      <c r="CH51" s="3">
        <v>55.62070765433652</v>
      </c>
      <c r="CI51" s="3">
        <v>56.785886515862892</v>
      </c>
      <c r="CJ51" s="3">
        <v>57.921128348026407</v>
      </c>
      <c r="CK51" s="3">
        <v>59.10380174679166</v>
      </c>
      <c r="CL51" s="3">
        <v>60.292184430535848</v>
      </c>
      <c r="CM51" s="3">
        <v>61.477796418225708</v>
      </c>
      <c r="CN51" s="3">
        <v>62.673995897995283</v>
      </c>
      <c r="CO51" s="3">
        <v>63.88700203936272</v>
      </c>
      <c r="CP51" s="3">
        <v>65.085743311150651</v>
      </c>
      <c r="CQ51" s="3">
        <v>66.282592504402515</v>
      </c>
      <c r="CR51" s="3">
        <v>67.462800779511355</v>
      </c>
      <c r="CS51" s="3">
        <v>68.645853688147682</v>
      </c>
      <c r="CU51" s="17" t="s">
        <v>393</v>
      </c>
      <c r="CV51" s="3">
        <v>45.639913533447533</v>
      </c>
      <c r="CW51" s="3">
        <v>47.880259449283237</v>
      </c>
      <c r="CX51" s="3">
        <v>57.896682603112403</v>
      </c>
      <c r="CY51" s="3">
        <v>59.050124845860623</v>
      </c>
      <c r="CZ51" s="3">
        <v>60.16299609342645</v>
      </c>
      <c r="DA51" s="3">
        <v>45.402766281559643</v>
      </c>
      <c r="DB51" s="3">
        <v>46.558769390012408</v>
      </c>
      <c r="DC51" s="3">
        <v>47.684052098540157</v>
      </c>
      <c r="DD51" s="3">
        <v>48.612053779215991</v>
      </c>
      <c r="DE51" s="3">
        <v>49.632906036414241</v>
      </c>
      <c r="DF51" s="3">
        <v>50.606123190559259</v>
      </c>
      <c r="DG51" s="3">
        <v>51.660808276646307</v>
      </c>
      <c r="DH51" s="3">
        <v>52.748490645981093</v>
      </c>
      <c r="DI51" s="3">
        <v>53.824665451728968</v>
      </c>
      <c r="DJ51" s="3">
        <v>54.918270417625507</v>
      </c>
      <c r="DK51" s="3">
        <v>56.050467260548018</v>
      </c>
      <c r="DL51" s="3">
        <v>57.150769146481409</v>
      </c>
      <c r="DM51" s="3">
        <v>58.237009525075592</v>
      </c>
      <c r="DN51" s="3">
        <v>59.282409806478142</v>
      </c>
      <c r="DO51" s="3">
        <v>60.317772162637382</v>
      </c>
    </row>
    <row r="52" spans="1:119" x14ac:dyDescent="0.45">
      <c r="A52" s="16" t="s">
        <v>394</v>
      </c>
      <c r="B52" s="3" t="s">
        <v>89</v>
      </c>
      <c r="C52" s="16" t="s">
        <v>395</v>
      </c>
      <c r="H52" s="3" t="s">
        <v>396</v>
      </c>
      <c r="I52" s="3" t="s">
        <v>348</v>
      </c>
      <c r="K52" s="17" t="s">
        <v>397</v>
      </c>
      <c r="L52" s="3">
        <v>15.067830731042999</v>
      </c>
      <c r="M52" s="3">
        <v>16.83451331941939</v>
      </c>
      <c r="N52" s="3">
        <v>16.910541769179169</v>
      </c>
      <c r="O52" s="3">
        <v>17.326548071732319</v>
      </c>
      <c r="P52" s="3">
        <v>17.73239781951456</v>
      </c>
      <c r="Q52" s="3">
        <v>18.210159351044449</v>
      </c>
      <c r="R52" s="3">
        <v>18.775964395066829</v>
      </c>
      <c r="S52" s="3">
        <v>19.317910307040549</v>
      </c>
      <c r="T52" s="3">
        <v>19.82504313614799</v>
      </c>
      <c r="U52" s="3">
        <v>20.336484973531579</v>
      </c>
      <c r="V52" s="3">
        <v>20.854034973128179</v>
      </c>
      <c r="W52" s="3">
        <v>21.377589257176911</v>
      </c>
      <c r="X52" s="3">
        <v>21.907041277154239</v>
      </c>
      <c r="Y52" s="3">
        <v>22.44228174302523</v>
      </c>
      <c r="Z52" s="3">
        <v>22.983198534757971</v>
      </c>
      <c r="AA52" s="3">
        <v>23.52967659602556</v>
      </c>
      <c r="AB52" s="3">
        <v>24.08159781002988</v>
      </c>
      <c r="AC52" s="3">
        <v>24.63884085738821</v>
      </c>
      <c r="AD52" s="3">
        <v>25.201281056026961</v>
      </c>
      <c r="AE52" s="3">
        <v>25.768790183028401</v>
      </c>
      <c r="AG52" s="17" t="s">
        <v>398</v>
      </c>
      <c r="AH52" s="3">
        <v>15.067830731042999</v>
      </c>
      <c r="AI52" s="3">
        <v>16.83451331941939</v>
      </c>
      <c r="AJ52" s="3">
        <v>16.910541769179169</v>
      </c>
      <c r="AK52" s="3">
        <v>17.326548071732319</v>
      </c>
      <c r="AL52" s="3">
        <v>17.73239781951456</v>
      </c>
      <c r="AM52" s="3">
        <v>15.27788928698293</v>
      </c>
      <c r="AN52" s="3">
        <v>15.751468010573991</v>
      </c>
      <c r="AO52" s="3">
        <v>16.211006777634161</v>
      </c>
      <c r="AP52" s="3">
        <v>16.621787083524769</v>
      </c>
      <c r="AQ52" s="3">
        <v>17.051981303425041</v>
      </c>
      <c r="AR52" s="3">
        <v>17.479123790657869</v>
      </c>
      <c r="AS52" s="3">
        <v>17.924626901780421</v>
      </c>
      <c r="AT52" s="3">
        <v>18.381776380922069</v>
      </c>
      <c r="AU52" s="3">
        <v>18.840975877280691</v>
      </c>
      <c r="AV52" s="3">
        <v>19.308064345370841</v>
      </c>
      <c r="AW52" s="3">
        <v>19.786927099817522</v>
      </c>
      <c r="AX52" s="3">
        <v>20.26446438801986</v>
      </c>
      <c r="AY52" s="3">
        <v>20.743325456114679</v>
      </c>
      <c r="AZ52" s="3">
        <v>21.218598770743299</v>
      </c>
      <c r="BA52" s="3">
        <v>21.695818114336362</v>
      </c>
      <c r="BC52" s="17" t="s">
        <v>399</v>
      </c>
      <c r="BD52" s="3">
        <v>15.067830731042999</v>
      </c>
      <c r="BE52" s="3">
        <v>16.83451331941939</v>
      </c>
      <c r="BF52" s="3">
        <v>16.910541769179169</v>
      </c>
      <c r="BG52" s="3">
        <v>17.326548071732319</v>
      </c>
      <c r="BH52" s="3">
        <v>17.73239781951456</v>
      </c>
      <c r="BI52" s="3">
        <v>16.453408325415051</v>
      </c>
      <c r="BJ52" s="3">
        <v>15.15248076127896</v>
      </c>
      <c r="BK52" s="3">
        <v>14.178812531682169</v>
      </c>
      <c r="BL52" s="3">
        <v>13.39995994859828</v>
      </c>
      <c r="BM52" s="3">
        <v>12.842031556035201</v>
      </c>
      <c r="BN52" s="3">
        <v>12.384833447193961</v>
      </c>
      <c r="BO52" s="3">
        <v>12.009867346886301</v>
      </c>
      <c r="BP52" s="3">
        <v>11.702268628559111</v>
      </c>
      <c r="BQ52" s="3">
        <v>11.44717487609859</v>
      </c>
      <c r="BR52" s="3">
        <v>11.234929639779329</v>
      </c>
      <c r="BS52" s="3">
        <v>11.059808750428081</v>
      </c>
      <c r="BT52" s="3">
        <v>10.914001075469409</v>
      </c>
      <c r="BU52" s="3">
        <v>10.791825835275301</v>
      </c>
      <c r="BV52" s="3">
        <v>10.686907411693721</v>
      </c>
      <c r="BW52" s="3">
        <v>10.59598693458334</v>
      </c>
      <c r="BY52" s="17" t="s">
        <v>400</v>
      </c>
      <c r="BZ52" s="3">
        <v>15.067830731042999</v>
      </c>
      <c r="CA52" s="3">
        <v>16.83451331941939</v>
      </c>
      <c r="CB52" s="3">
        <v>16.910541769179169</v>
      </c>
      <c r="CC52" s="3">
        <v>17.326548071732319</v>
      </c>
      <c r="CD52" s="3">
        <v>17.73239781951456</v>
      </c>
      <c r="CE52" s="3">
        <v>14.723643600752039</v>
      </c>
      <c r="CF52" s="3">
        <v>15.179807381039369</v>
      </c>
      <c r="CG52" s="3">
        <v>15.621594474280229</v>
      </c>
      <c r="CH52" s="3">
        <v>16.018054059048239</v>
      </c>
      <c r="CI52" s="3">
        <v>16.435084012687959</v>
      </c>
      <c r="CJ52" s="3">
        <v>16.845877164556139</v>
      </c>
      <c r="CK52" s="3">
        <v>17.27594810626691</v>
      </c>
      <c r="CL52" s="3">
        <v>17.711678983897041</v>
      </c>
      <c r="CM52" s="3">
        <v>18.150271804108741</v>
      </c>
      <c r="CN52" s="3">
        <v>18.596251293641739</v>
      </c>
      <c r="CO52" s="3">
        <v>19.051827495249849</v>
      </c>
      <c r="CP52" s="3">
        <v>19.50646645409994</v>
      </c>
      <c r="CQ52" s="3">
        <v>19.964365520402922</v>
      </c>
      <c r="CR52" s="3">
        <v>20.420401500855949</v>
      </c>
      <c r="CS52" s="3">
        <v>20.881300930876481</v>
      </c>
      <c r="CU52" s="17" t="s">
        <v>401</v>
      </c>
      <c r="CV52" s="3">
        <v>15.067830731042999</v>
      </c>
      <c r="CW52" s="3">
        <v>16.83451331941939</v>
      </c>
      <c r="CX52" s="3">
        <v>16.910541769179169</v>
      </c>
      <c r="CY52" s="3">
        <v>17.326548071732319</v>
      </c>
      <c r="CZ52" s="3">
        <v>17.73239781951456</v>
      </c>
      <c r="DA52" s="3">
        <v>12.584393364424679</v>
      </c>
      <c r="DB52" s="3">
        <v>12.973464096825531</v>
      </c>
      <c r="DC52" s="3">
        <v>13.35656193928051</v>
      </c>
      <c r="DD52" s="3">
        <v>13.680819717795851</v>
      </c>
      <c r="DE52" s="3">
        <v>14.037369165285529</v>
      </c>
      <c r="DF52" s="3">
        <v>14.38179758643864</v>
      </c>
      <c r="DG52" s="3">
        <v>14.75545348353252</v>
      </c>
      <c r="DH52" s="3">
        <v>15.143140878044781</v>
      </c>
      <c r="DI52" s="3">
        <v>15.530545376518891</v>
      </c>
      <c r="DJ52" s="3">
        <v>15.927132231481099</v>
      </c>
      <c r="DK52" s="3">
        <v>16.34004767819161</v>
      </c>
      <c r="DL52" s="3">
        <v>16.7460542277732</v>
      </c>
      <c r="DM52" s="3">
        <v>17.150945350711631</v>
      </c>
      <c r="DN52" s="3">
        <v>17.545593063470012</v>
      </c>
      <c r="DO52" s="3">
        <v>17.940225857102359</v>
      </c>
    </row>
    <row r="53" spans="1:119" x14ac:dyDescent="0.45">
      <c r="A53" s="16" t="s">
        <v>402</v>
      </c>
      <c r="B53" s="3" t="s">
        <v>89</v>
      </c>
      <c r="C53" s="16" t="s">
        <v>403</v>
      </c>
      <c r="H53" s="3" t="s">
        <v>404</v>
      </c>
      <c r="I53" s="3" t="s">
        <v>348</v>
      </c>
      <c r="K53" s="17" t="s">
        <v>405</v>
      </c>
      <c r="L53" s="3">
        <v>1.959213329321419E-2</v>
      </c>
      <c r="M53" s="3">
        <v>2.073037228167628E-2</v>
      </c>
      <c r="N53" s="3">
        <v>2.2488806839847299E-2</v>
      </c>
      <c r="O53" s="3">
        <v>2.310179615548184E-2</v>
      </c>
      <c r="P53" s="3">
        <v>2.3701629897207411E-2</v>
      </c>
      <c r="Q53" s="3">
        <v>2.440804306330217E-2</v>
      </c>
      <c r="R53" s="3">
        <v>2.5245422590031971E-2</v>
      </c>
      <c r="S53" s="3">
        <v>2.6050380005370279E-2</v>
      </c>
      <c r="T53" s="3">
        <v>2.680644191552883E-2</v>
      </c>
      <c r="U53" s="3">
        <v>2.757092680923473E-2</v>
      </c>
      <c r="V53" s="3">
        <v>2.8346495139779781E-2</v>
      </c>
      <c r="W53" s="3">
        <v>2.9133010086130971E-2</v>
      </c>
      <c r="X53" s="3">
        <v>2.9930329130806111E-2</v>
      </c>
      <c r="Y53" s="3">
        <v>3.0738303970173419E-2</v>
      </c>
      <c r="Z53" s="3">
        <v>3.1556780396642982E-2</v>
      </c>
      <c r="AA53" s="3">
        <v>3.2385598152304698E-2</v>
      </c>
      <c r="AB53" s="3">
        <v>3.3224590753603039E-2</v>
      </c>
      <c r="AC53" s="3">
        <v>3.407358528667024E-2</v>
      </c>
      <c r="AD53" s="3">
        <v>3.4932402172963978E-2</v>
      </c>
      <c r="AE53" s="3">
        <v>3.5800854904876833E-2</v>
      </c>
      <c r="AG53" s="17" t="s">
        <v>406</v>
      </c>
      <c r="AH53" s="3">
        <v>1.959213329321419E-2</v>
      </c>
      <c r="AI53" s="3">
        <v>2.073037228167628E-2</v>
      </c>
      <c r="AJ53" s="3">
        <v>2.2488806839847299E-2</v>
      </c>
      <c r="AK53" s="3">
        <v>2.310179615548184E-2</v>
      </c>
      <c r="AL53" s="3">
        <v>2.3701629897207411E-2</v>
      </c>
      <c r="AM53" s="3">
        <v>2.1902238671116181E-2</v>
      </c>
      <c r="AN53" s="3">
        <v>2.265282050415858E-2</v>
      </c>
      <c r="AO53" s="3">
        <v>2.338370564165251E-2</v>
      </c>
      <c r="AP53" s="3">
        <v>2.403990599937152E-2</v>
      </c>
      <c r="AQ53" s="3">
        <v>2.4728563883824901E-2</v>
      </c>
      <c r="AR53" s="3">
        <v>2.5414264410187581E-2</v>
      </c>
      <c r="AS53" s="3">
        <v>2.6130937794429029E-2</v>
      </c>
      <c r="AT53" s="3">
        <v>2.6868059832772628E-2</v>
      </c>
      <c r="AU53" s="3">
        <v>2.7610404908545601E-2</v>
      </c>
      <c r="AV53" s="3">
        <v>2.836729049820063E-2</v>
      </c>
      <c r="AW53" s="3">
        <v>2.9144987484756579E-2</v>
      </c>
      <c r="AX53" s="3">
        <v>2.992253518741857E-2</v>
      </c>
      <c r="AY53" s="3">
        <v>3.070414250403292E-2</v>
      </c>
      <c r="AZ53" s="3">
        <v>3.1481858876296398E-2</v>
      </c>
      <c r="BA53" s="3">
        <v>3.2264555909819269E-2</v>
      </c>
      <c r="BC53" s="17" t="s">
        <v>407</v>
      </c>
      <c r="BD53" s="3">
        <v>1.959213329321419E-2</v>
      </c>
      <c r="BE53" s="3">
        <v>2.073037228167628E-2</v>
      </c>
      <c r="BF53" s="3">
        <v>2.2488806839847299E-2</v>
      </c>
      <c r="BG53" s="3">
        <v>2.310179615548184E-2</v>
      </c>
      <c r="BH53" s="3">
        <v>2.3701629897207411E-2</v>
      </c>
      <c r="BI53" s="3">
        <v>2.292922836142346E-2</v>
      </c>
      <c r="BJ53" s="3">
        <v>2.2015000783456341E-2</v>
      </c>
      <c r="BK53" s="3">
        <v>2.12638414619651E-2</v>
      </c>
      <c r="BL53" s="3">
        <v>2.0603906025670891E-2</v>
      </c>
      <c r="BM53" s="3">
        <v>2.0156744708978051E-2</v>
      </c>
      <c r="BN53" s="3">
        <v>1.9781232230629841E-2</v>
      </c>
      <c r="BO53" s="3">
        <v>1.947381071619074E-2</v>
      </c>
      <c r="BP53" s="3">
        <v>1.9228210072884951E-2</v>
      </c>
      <c r="BQ53" s="3">
        <v>1.9032051383865559E-2</v>
      </c>
      <c r="BR53" s="3">
        <v>1.887813972804591E-2</v>
      </c>
      <c r="BS53" s="3">
        <v>1.876370596680833E-2</v>
      </c>
      <c r="BT53" s="3">
        <v>1.868017986068167E-2</v>
      </c>
      <c r="BU53" s="3">
        <v>1.8621433527662431E-2</v>
      </c>
      <c r="BV53" s="3">
        <v>1.857890829496817E-2</v>
      </c>
      <c r="BW53" s="3">
        <v>1.8549085895664681E-2</v>
      </c>
      <c r="BY53" s="17" t="s">
        <v>408</v>
      </c>
      <c r="BZ53" s="3">
        <v>1.959213329321419E-2</v>
      </c>
      <c r="CA53" s="3">
        <v>2.073037228167628E-2</v>
      </c>
      <c r="CB53" s="3">
        <v>2.2488806839847299E-2</v>
      </c>
      <c r="CC53" s="3">
        <v>2.310179615548184E-2</v>
      </c>
      <c r="CD53" s="3">
        <v>2.3701629897207411E-2</v>
      </c>
      <c r="CE53" s="3">
        <v>2.1375344079358729E-2</v>
      </c>
      <c r="CF53" s="3">
        <v>2.2107672378871498E-2</v>
      </c>
      <c r="CG53" s="3">
        <v>2.2819430776229329E-2</v>
      </c>
      <c r="CH53" s="3">
        <v>2.3460937262440161E-2</v>
      </c>
      <c r="CI53" s="3">
        <v>2.4137117378432792E-2</v>
      </c>
      <c r="CJ53" s="3">
        <v>2.4805145761309259E-2</v>
      </c>
      <c r="CK53" s="3">
        <v>2.5505955948748611E-2</v>
      </c>
      <c r="CL53" s="3">
        <v>2.621776767941426E-2</v>
      </c>
      <c r="CM53" s="3">
        <v>2.6936080687549831E-2</v>
      </c>
      <c r="CN53" s="3">
        <v>2.7668215403689338E-2</v>
      </c>
      <c r="CO53" s="3">
        <v>2.8417800355658041E-2</v>
      </c>
      <c r="CP53" s="3">
        <v>2.9167758173189499E-2</v>
      </c>
      <c r="CQ53" s="3">
        <v>2.9924883421585668E-2</v>
      </c>
      <c r="CR53" s="3">
        <v>3.0680799745754279E-2</v>
      </c>
      <c r="CS53" s="3">
        <v>3.1446465492079342E-2</v>
      </c>
      <c r="CU53" s="17" t="s">
        <v>409</v>
      </c>
      <c r="CV53" s="3">
        <v>1.959213329321419E-2</v>
      </c>
      <c r="CW53" s="3">
        <v>2.073037228167628E-2</v>
      </c>
      <c r="CX53" s="3">
        <v>2.2488806839847299E-2</v>
      </c>
      <c r="CY53" s="3">
        <v>2.310179615548184E-2</v>
      </c>
      <c r="CZ53" s="3">
        <v>2.3701629897207411E-2</v>
      </c>
      <c r="DA53" s="3">
        <v>1.9165280680398411E-2</v>
      </c>
      <c r="DB53" s="3">
        <v>1.9821153744822038E-2</v>
      </c>
      <c r="DC53" s="3">
        <v>2.0469150798826611E-2</v>
      </c>
      <c r="DD53" s="3">
        <v>2.1020466722491232E-2</v>
      </c>
      <c r="DE53" s="3">
        <v>2.162752943680955E-2</v>
      </c>
      <c r="DF53" s="3">
        <v>2.2215857655625101E-2</v>
      </c>
      <c r="DG53" s="3">
        <v>2.2855112196832981E-2</v>
      </c>
      <c r="DH53" s="3">
        <v>2.3519882315744711E-2</v>
      </c>
      <c r="DI53" s="3">
        <v>2.4186001429273841E-2</v>
      </c>
      <c r="DJ53" s="3">
        <v>2.4869530004194531E-2</v>
      </c>
      <c r="DK53" s="3">
        <v>2.558272613194975E-2</v>
      </c>
      <c r="DL53" s="3">
        <v>2.6286017582726161E-2</v>
      </c>
      <c r="DM53" s="3">
        <v>2.6989208405379609E-2</v>
      </c>
      <c r="DN53" s="3">
        <v>2.7676574213734349E-2</v>
      </c>
      <c r="DO53" s="3">
        <v>2.8365567008175101E-2</v>
      </c>
    </row>
    <row r="54" spans="1:119" x14ac:dyDescent="0.45">
      <c r="A54" s="16" t="s">
        <v>410</v>
      </c>
      <c r="B54" s="3" t="s">
        <v>89</v>
      </c>
      <c r="C54" s="16" t="s">
        <v>411</v>
      </c>
      <c r="H54" s="3" t="s">
        <v>412</v>
      </c>
      <c r="I54" s="3" t="s">
        <v>348</v>
      </c>
      <c r="K54" s="17" t="s">
        <v>413</v>
      </c>
      <c r="L54" s="19">
        <v>81.319958038839701</v>
      </c>
      <c r="M54" s="19">
        <v>77.206533928821415</v>
      </c>
      <c r="N54" s="19">
        <v>88.112668037049389</v>
      </c>
      <c r="O54" s="19">
        <v>98.828714682558655</v>
      </c>
      <c r="P54" s="19">
        <v>102.3253499061277</v>
      </c>
      <c r="Q54" s="19">
        <v>105.0046936976205</v>
      </c>
      <c r="R54" s="19">
        <v>107.8396746145152</v>
      </c>
      <c r="S54" s="19">
        <v>110.846926263396</v>
      </c>
      <c r="T54" s="19">
        <v>112.7165806866704</v>
      </c>
      <c r="U54" s="19">
        <v>111.3348607790458</v>
      </c>
      <c r="V54" s="19">
        <v>109.56151808367601</v>
      </c>
      <c r="W54" s="19">
        <v>110.6866845664146</v>
      </c>
      <c r="X54" s="19">
        <v>111.192322554483</v>
      </c>
      <c r="Y54" s="19">
        <v>112.1497455258402</v>
      </c>
      <c r="Z54" s="19">
        <v>113.1078636934526</v>
      </c>
      <c r="AA54" s="19">
        <v>114.1226815014539</v>
      </c>
      <c r="AB54" s="19">
        <v>115.1796752789207</v>
      </c>
      <c r="AC54" s="19">
        <v>116.281550495627</v>
      </c>
      <c r="AD54" s="19">
        <v>117.4399728094749</v>
      </c>
      <c r="AE54" s="19">
        <v>118.6589420043022</v>
      </c>
      <c r="AG54" s="17" t="s">
        <v>414</v>
      </c>
      <c r="AH54" s="19">
        <v>81.319958038839701</v>
      </c>
      <c r="AI54" s="19">
        <v>77.153109617669571</v>
      </c>
      <c r="AJ54" s="19">
        <v>88.061173157563474</v>
      </c>
      <c r="AK54" s="19">
        <v>98.779082053913385</v>
      </c>
      <c r="AL54" s="19">
        <v>102.27569432598651</v>
      </c>
      <c r="AM54" s="19">
        <v>104.953833174054</v>
      </c>
      <c r="AN54" s="19">
        <v>97.764484897511693</v>
      </c>
      <c r="AO54" s="19">
        <v>102.72479733532739</v>
      </c>
      <c r="AP54" s="19">
        <v>103.54499998950089</v>
      </c>
      <c r="AQ54" s="19">
        <v>103.5932125027018</v>
      </c>
      <c r="AR54" s="19">
        <v>101.9416840589933</v>
      </c>
      <c r="AS54" s="19">
        <v>103.69468147707219</v>
      </c>
      <c r="AT54" s="19">
        <v>104.01511714163679</v>
      </c>
      <c r="AU54" s="19">
        <v>105.1535107362925</v>
      </c>
      <c r="AV54" s="19">
        <v>106.2972191597455</v>
      </c>
      <c r="AW54" s="19">
        <v>107.5418819839249</v>
      </c>
      <c r="AX54" s="19">
        <v>108.7423919952376</v>
      </c>
      <c r="AY54" s="19">
        <v>109.964580561639</v>
      </c>
      <c r="AZ54" s="19">
        <v>111.137334802502</v>
      </c>
      <c r="BA54" s="19">
        <v>112.3510283744688</v>
      </c>
      <c r="BC54" s="17" t="s">
        <v>415</v>
      </c>
      <c r="BD54" s="19">
        <v>81.319958038839701</v>
      </c>
      <c r="BE54" s="19">
        <v>77.021599057567983</v>
      </c>
      <c r="BF54" s="19">
        <v>87.934420293265134</v>
      </c>
      <c r="BG54" s="19">
        <v>98.656920941788599</v>
      </c>
      <c r="BH54" s="19">
        <v>102.1537181633486</v>
      </c>
      <c r="BI54" s="19">
        <v>104.8290859959549</v>
      </c>
      <c r="BJ54" s="19">
        <v>102.3286897943353</v>
      </c>
      <c r="BK54" s="19">
        <v>96.669777967384832</v>
      </c>
      <c r="BL54" s="19">
        <v>94.241401665997174</v>
      </c>
      <c r="BM54" s="19">
        <v>93.289369838555274</v>
      </c>
      <c r="BN54" s="19">
        <v>88.84094958750353</v>
      </c>
      <c r="BO54" s="19">
        <v>87.546299847907207</v>
      </c>
      <c r="BP54" s="19">
        <v>84.031242220904943</v>
      </c>
      <c r="BQ54" s="19">
        <v>82.259394321025042</v>
      </c>
      <c r="BR54" s="19">
        <v>79.22156429738655</v>
      </c>
      <c r="BS54" s="19">
        <v>77.545950719298702</v>
      </c>
      <c r="BT54" s="19">
        <v>74.573167551754224</v>
      </c>
      <c r="BU54" s="19">
        <v>73.183689896508753</v>
      </c>
      <c r="BV54" s="19">
        <v>70.011079486949697</v>
      </c>
      <c r="BW54" s="19">
        <v>69.208218074718943</v>
      </c>
      <c r="BY54" s="17" t="s">
        <v>416</v>
      </c>
      <c r="BZ54" s="19">
        <v>81.319958038839701</v>
      </c>
      <c r="CA54" s="19">
        <v>76.892767875783122</v>
      </c>
      <c r="CB54" s="19">
        <v>87.810091957257356</v>
      </c>
      <c r="CC54" s="19">
        <v>98.536941574623299</v>
      </c>
      <c r="CD54" s="19">
        <v>102.03358683378541</v>
      </c>
      <c r="CE54" s="19">
        <v>104.70593565546331</v>
      </c>
      <c r="CF54" s="19">
        <v>107.5380287115628</v>
      </c>
      <c r="CG54" s="19">
        <v>110.5953658861139</v>
      </c>
      <c r="CH54" s="19">
        <v>112.3232840691918</v>
      </c>
      <c r="CI54" s="19">
        <v>109.86598516013819</v>
      </c>
      <c r="CJ54" s="19">
        <v>105.8142503171125</v>
      </c>
      <c r="CK54" s="19">
        <v>105.835203844253</v>
      </c>
      <c r="CL54" s="19">
        <v>101.444212184893</v>
      </c>
      <c r="CM54" s="19">
        <v>98.306384502469939</v>
      </c>
      <c r="CN54" s="19">
        <v>95.459468498731425</v>
      </c>
      <c r="CO54" s="19">
        <v>91.975388848047743</v>
      </c>
      <c r="CP54" s="19">
        <v>89.015499364509139</v>
      </c>
      <c r="CQ54" s="19">
        <v>86.262123302211776</v>
      </c>
      <c r="CR54" s="19">
        <v>83.335227028885726</v>
      </c>
      <c r="CS54" s="19">
        <v>80.810527908489519</v>
      </c>
      <c r="CU54" s="17" t="s">
        <v>417</v>
      </c>
      <c r="CV54" s="19">
        <v>81.319958038839701</v>
      </c>
      <c r="CW54" s="19">
        <v>77.079098721451217</v>
      </c>
      <c r="CX54" s="19">
        <v>87.989838412383577</v>
      </c>
      <c r="CY54" s="19">
        <v>98.710330165924631</v>
      </c>
      <c r="CZ54" s="19">
        <v>102.2070056621294</v>
      </c>
      <c r="DA54" s="19">
        <v>104.88355195342869</v>
      </c>
      <c r="DB54" s="19">
        <v>86.5106231629657</v>
      </c>
      <c r="DC54" s="19">
        <v>91.459313279315396</v>
      </c>
      <c r="DD54" s="19">
        <v>90.038122403500353</v>
      </c>
      <c r="DE54" s="19">
        <v>94.021006601700037</v>
      </c>
      <c r="DF54" s="19">
        <v>89.698138843717373</v>
      </c>
      <c r="DG54" s="19">
        <v>89.910324505014387</v>
      </c>
      <c r="DH54" s="19">
        <v>86.965524854248969</v>
      </c>
      <c r="DI54" s="19">
        <v>85.834218371170778</v>
      </c>
      <c r="DJ54" s="19">
        <v>83.891911566000616</v>
      </c>
      <c r="DK54" s="19">
        <v>82.874714693692979</v>
      </c>
      <c r="DL54" s="19">
        <v>81.107663783308581</v>
      </c>
      <c r="DM54" s="19">
        <v>80.190448339998071</v>
      </c>
      <c r="DN54" s="19">
        <v>78.625522631811123</v>
      </c>
      <c r="DO54" s="19">
        <v>77.833003215246421</v>
      </c>
    </row>
    <row r="55" spans="1:119" x14ac:dyDescent="0.45">
      <c r="A55" s="16" t="s">
        <v>418</v>
      </c>
      <c r="B55" s="3" t="s">
        <v>89</v>
      </c>
      <c r="C55" s="16" t="s">
        <v>419</v>
      </c>
      <c r="H55" s="3" t="s">
        <v>420</v>
      </c>
      <c r="I55" s="3" t="s">
        <v>348</v>
      </c>
      <c r="K55" s="17" t="s">
        <v>421</v>
      </c>
      <c r="L55" s="19">
        <v>53.786387704781262</v>
      </c>
      <c r="M55" s="19">
        <v>55.01046727292897</v>
      </c>
      <c r="N55" s="19">
        <v>66.84371445761704</v>
      </c>
      <c r="O55" s="19">
        <v>68.31895251760649</v>
      </c>
      <c r="P55" s="19">
        <v>69.741918532420513</v>
      </c>
      <c r="Q55" s="19">
        <v>71.442653866281546</v>
      </c>
      <c r="R55" s="19">
        <v>73.482303792417795</v>
      </c>
      <c r="S55" s="19">
        <v>75.410905267916959</v>
      </c>
      <c r="T55" s="19">
        <v>77.186170190858618</v>
      </c>
      <c r="U55" s="19">
        <v>78.964375908342774</v>
      </c>
      <c r="V55" s="19">
        <v>80.752426697670757</v>
      </c>
      <c r="W55" s="19">
        <v>82.549656679269816</v>
      </c>
      <c r="X55" s="19">
        <v>84.355399551077326</v>
      </c>
      <c r="Y55" s="19">
        <v>86.168988512918503</v>
      </c>
      <c r="Z55" s="19">
        <v>87.989756119358702</v>
      </c>
      <c r="AA55" s="19">
        <v>89.817034063242403</v>
      </c>
      <c r="AB55" s="19">
        <v>91.650152892133761</v>
      </c>
      <c r="AC55" s="19">
        <v>93.488441659863014</v>
      </c>
      <c r="AD55" s="19">
        <v>95.331227515351671</v>
      </c>
      <c r="AE55" s="19">
        <v>97.177835230849979</v>
      </c>
      <c r="AG55" s="17" t="s">
        <v>422</v>
      </c>
      <c r="AH55" s="19">
        <v>53.786387704781262</v>
      </c>
      <c r="AI55" s="19">
        <v>55.01046727292897</v>
      </c>
      <c r="AJ55" s="19">
        <v>66.84371445761704</v>
      </c>
      <c r="AK55" s="19">
        <v>68.31895251760649</v>
      </c>
      <c r="AL55" s="19">
        <v>69.741918532420513</v>
      </c>
      <c r="AM55" s="19">
        <v>64.694642578571617</v>
      </c>
      <c r="AN55" s="19">
        <v>66.544652102721315</v>
      </c>
      <c r="AO55" s="19">
        <v>68.31978110478336</v>
      </c>
      <c r="AP55" s="19">
        <v>69.871516224479535</v>
      </c>
      <c r="AQ55" s="19">
        <v>71.494236371767684</v>
      </c>
      <c r="AR55" s="19">
        <v>73.091168031872812</v>
      </c>
      <c r="AS55" s="19">
        <v>74.753444379228526</v>
      </c>
      <c r="AT55" s="19">
        <v>76.451748718198644</v>
      </c>
      <c r="AU55" s="19">
        <v>78.1450816802368</v>
      </c>
      <c r="AV55" s="19">
        <v>79.85787378485459</v>
      </c>
      <c r="AW55" s="19">
        <v>81.605992119486785</v>
      </c>
      <c r="AX55" s="19">
        <v>83.334355648555388</v>
      </c>
      <c r="AY55" s="19">
        <v>85.054058361209314</v>
      </c>
      <c r="AZ55" s="19">
        <v>86.744811744829903</v>
      </c>
      <c r="BA55" s="19">
        <v>88.429595183257561</v>
      </c>
      <c r="BC55" s="17" t="s">
        <v>423</v>
      </c>
      <c r="BD55" s="19">
        <v>53.786387704781262</v>
      </c>
      <c r="BE55" s="19">
        <v>55.01046727292897</v>
      </c>
      <c r="BF55" s="19">
        <v>66.84371445761704</v>
      </c>
      <c r="BG55" s="19">
        <v>68.31895251760649</v>
      </c>
      <c r="BH55" s="19">
        <v>69.741918532420513</v>
      </c>
      <c r="BI55" s="19">
        <v>66.649444898396638</v>
      </c>
      <c r="BJ55" s="19">
        <v>63.367938475862744</v>
      </c>
      <c r="BK55" s="19">
        <v>60.783467252811789</v>
      </c>
      <c r="BL55" s="19">
        <v>58.585042920114397</v>
      </c>
      <c r="BM55" s="19">
        <v>57.481796836137349</v>
      </c>
      <c r="BN55" s="19">
        <v>56.536251416805499</v>
      </c>
      <c r="BO55" s="19">
        <v>55.745014532420029</v>
      </c>
      <c r="BP55" s="19">
        <v>55.096204503987927</v>
      </c>
      <c r="BQ55" s="19">
        <v>54.560368448368628</v>
      </c>
      <c r="BR55" s="19">
        <v>54.121147691454233</v>
      </c>
      <c r="BS55" s="19">
        <v>53.773418150830857</v>
      </c>
      <c r="BT55" s="19">
        <v>53.4959290862557</v>
      </c>
      <c r="BU55" s="19">
        <v>53.273654729603962</v>
      </c>
      <c r="BV55" s="19">
        <v>53.08483928504679</v>
      </c>
      <c r="BW55" s="19">
        <v>52.921092962595168</v>
      </c>
      <c r="BY55" s="17" t="s">
        <v>424</v>
      </c>
      <c r="BZ55" s="19">
        <v>53.786387704781262</v>
      </c>
      <c r="CA55" s="19">
        <v>55.01046727292897</v>
      </c>
      <c r="CB55" s="19">
        <v>66.84371445761704</v>
      </c>
      <c r="CC55" s="19">
        <v>68.31895251760649</v>
      </c>
      <c r="CD55" s="19">
        <v>69.741918532420513</v>
      </c>
      <c r="CE55" s="19">
        <v>63.291916490855037</v>
      </c>
      <c r="CF55" s="19">
        <v>65.102209524932903</v>
      </c>
      <c r="CG55" s="19">
        <v>66.835535805829394</v>
      </c>
      <c r="CH55" s="19">
        <v>68.357490280169003</v>
      </c>
      <c r="CI55" s="19">
        <v>69.957044108207427</v>
      </c>
      <c r="CJ55" s="19">
        <v>71.517018644462681</v>
      </c>
      <c r="CK55" s="19">
        <v>73.14786025096366</v>
      </c>
      <c r="CL55" s="19">
        <v>74.790068869888998</v>
      </c>
      <c r="CM55" s="19">
        <v>76.431403575494087</v>
      </c>
      <c r="CN55" s="19">
        <v>78.09103824216956</v>
      </c>
      <c r="CO55" s="19">
        <v>79.778007067485504</v>
      </c>
      <c r="CP55" s="19">
        <v>81.447309474204218</v>
      </c>
      <c r="CQ55" s="19">
        <v>83.116711984648006</v>
      </c>
      <c r="CR55" s="19">
        <v>84.764608215041349</v>
      </c>
      <c r="CS55" s="19">
        <v>86.419233421316434</v>
      </c>
      <c r="CU55" s="17" t="s">
        <v>425</v>
      </c>
      <c r="CV55" s="19">
        <v>53.786387704781262</v>
      </c>
      <c r="CW55" s="19">
        <v>55.01046727292897</v>
      </c>
      <c r="CX55" s="19">
        <v>66.84371445761704</v>
      </c>
      <c r="CY55" s="19">
        <v>68.31895251760649</v>
      </c>
      <c r="CZ55" s="19">
        <v>69.741918532420513</v>
      </c>
      <c r="DA55" s="19">
        <v>57.408391206415352</v>
      </c>
      <c r="DB55" s="19">
        <v>59.051612318841492</v>
      </c>
      <c r="DC55" s="19">
        <v>60.654469439597513</v>
      </c>
      <c r="DD55" s="19">
        <v>61.971627858965867</v>
      </c>
      <c r="DE55" s="19">
        <v>63.428087485062143</v>
      </c>
      <c r="DF55" s="19">
        <v>64.817343649391844</v>
      </c>
      <c r="DG55" s="19">
        <v>66.329976736232581</v>
      </c>
      <c r="DH55" s="19">
        <v>67.894900467627068</v>
      </c>
      <c r="DI55" s="19">
        <v>69.446148599231591</v>
      </c>
      <c r="DJ55" s="19">
        <v>71.026714285673719</v>
      </c>
      <c r="DK55" s="19">
        <v>72.668415984370242</v>
      </c>
      <c r="DL55" s="19">
        <v>74.26579448608986</v>
      </c>
      <c r="DM55" s="19">
        <v>75.84523757765875</v>
      </c>
      <c r="DN55" s="19">
        <v>77.366100403502486</v>
      </c>
      <c r="DO55" s="19">
        <v>78.874461226378571</v>
      </c>
    </row>
    <row r="56" spans="1:119" x14ac:dyDescent="0.45">
      <c r="A56" s="16" t="s">
        <v>426</v>
      </c>
      <c r="B56" s="3" t="s">
        <v>89</v>
      </c>
      <c r="C56" s="16" t="s">
        <v>427</v>
      </c>
      <c r="H56" s="3" t="s">
        <v>428</v>
      </c>
      <c r="I56" s="3" t="s">
        <v>348</v>
      </c>
      <c r="K56" s="17" t="s">
        <v>429</v>
      </c>
      <c r="L56" s="19">
        <v>15.7288008210566</v>
      </c>
      <c r="M56" s="19">
        <v>17.986599585092328</v>
      </c>
      <c r="N56" s="19">
        <v>21.33214789030157</v>
      </c>
      <c r="O56" s="19">
        <v>21.648664301162739</v>
      </c>
      <c r="P56" s="19">
        <v>21.952178518069982</v>
      </c>
      <c r="Q56" s="19">
        <v>22.31205235046091</v>
      </c>
      <c r="R56" s="19">
        <v>22.739655064643941</v>
      </c>
      <c r="S56" s="19">
        <v>23.141784854545481</v>
      </c>
      <c r="T56" s="19">
        <v>23.51049936796375</v>
      </c>
      <c r="U56" s="19">
        <v>23.877937725979621</v>
      </c>
      <c r="V56" s="19">
        <v>24.24552586694308</v>
      </c>
      <c r="W56" s="19">
        <v>24.61320208827409</v>
      </c>
      <c r="X56" s="19">
        <v>24.980879192229111</v>
      </c>
      <c r="Y56" s="19">
        <v>25.348471130627271</v>
      </c>
      <c r="Z56" s="19">
        <v>25.71589288274841</v>
      </c>
      <c r="AA56" s="19">
        <v>26.083060326189809</v>
      </c>
      <c r="AB56" s="19">
        <v>26.449890101104259</v>
      </c>
      <c r="AC56" s="19">
        <v>26.81629946820517</v>
      </c>
      <c r="AD56" s="19">
        <v>27.182206160886921</v>
      </c>
      <c r="AE56" s="19">
        <v>27.547528231774191</v>
      </c>
      <c r="AG56" s="17" t="s">
        <v>430</v>
      </c>
      <c r="AH56" s="19">
        <v>15.7288008210566</v>
      </c>
      <c r="AI56" s="19">
        <v>17.986599585092328</v>
      </c>
      <c r="AJ56" s="19">
        <v>21.33214789030157</v>
      </c>
      <c r="AK56" s="19">
        <v>21.648664301162739</v>
      </c>
      <c r="AL56" s="19">
        <v>21.952178518069982</v>
      </c>
      <c r="AM56" s="19">
        <v>17.694780992855009</v>
      </c>
      <c r="AN56" s="19">
        <v>18.04241050296449</v>
      </c>
      <c r="AO56" s="19">
        <v>18.374325722229369</v>
      </c>
      <c r="AP56" s="19">
        <v>18.664170575273779</v>
      </c>
      <c r="AQ56" s="19">
        <v>18.965459775447862</v>
      </c>
      <c r="AR56" s="19">
        <v>19.26078319925087</v>
      </c>
      <c r="AS56" s="19">
        <v>19.566431204222781</v>
      </c>
      <c r="AT56" s="19">
        <v>19.877105089555311</v>
      </c>
      <c r="AU56" s="19">
        <v>20.185585351585988</v>
      </c>
      <c r="AV56" s="19">
        <v>20.49619709828643</v>
      </c>
      <c r="AW56" s="19">
        <v>20.81168761693451</v>
      </c>
      <c r="AX56" s="19">
        <v>21.12253713029288</v>
      </c>
      <c r="AY56" s="19">
        <v>21.430754438863119</v>
      </c>
      <c r="AZ56" s="19">
        <v>21.732958183756171</v>
      </c>
      <c r="BA56" s="19">
        <v>22.0331645592636</v>
      </c>
      <c r="BC56" s="17" t="s">
        <v>431</v>
      </c>
      <c r="BD56" s="19">
        <v>15.7288008210566</v>
      </c>
      <c r="BE56" s="19">
        <v>17.986599585092328</v>
      </c>
      <c r="BF56" s="19">
        <v>21.33214789030157</v>
      </c>
      <c r="BG56" s="19">
        <v>21.648664301162739</v>
      </c>
      <c r="BH56" s="19">
        <v>21.952178518069982</v>
      </c>
      <c r="BI56" s="19">
        <v>19.647664105704301</v>
      </c>
      <c r="BJ56" s="19">
        <v>17.487528398872971</v>
      </c>
      <c r="BK56" s="19">
        <v>15.931500609115099</v>
      </c>
      <c r="BL56" s="19">
        <v>14.726649419689149</v>
      </c>
      <c r="BM56" s="19">
        <v>13.775112447985149</v>
      </c>
      <c r="BN56" s="19">
        <v>13.00085060306481</v>
      </c>
      <c r="BO56" s="19">
        <v>12.360851775984701</v>
      </c>
      <c r="BP56" s="19">
        <v>11.82499277584435</v>
      </c>
      <c r="BQ56" s="19">
        <v>11.369348453730771</v>
      </c>
      <c r="BR56" s="19">
        <v>10.977673586396129</v>
      </c>
      <c r="BS56" s="19">
        <v>10.63902753715681</v>
      </c>
      <c r="BT56" s="19">
        <v>10.34279684113069</v>
      </c>
      <c r="BU56" s="19">
        <v>10.081129692031199</v>
      </c>
      <c r="BV56" s="19">
        <v>9.8466787199202592</v>
      </c>
      <c r="BW56" s="19">
        <v>9.6348782579296302</v>
      </c>
      <c r="BY56" s="17" t="s">
        <v>432</v>
      </c>
      <c r="BZ56" s="19">
        <v>15.7288008210566</v>
      </c>
      <c r="CA56" s="19">
        <v>17.986599585092328</v>
      </c>
      <c r="CB56" s="19">
        <v>21.33214789030157</v>
      </c>
      <c r="CC56" s="19">
        <v>21.648664301162739</v>
      </c>
      <c r="CD56" s="19">
        <v>21.952178518069982</v>
      </c>
      <c r="CE56" s="19">
        <v>16.893115599751528</v>
      </c>
      <c r="CF56" s="19">
        <v>17.226237711222741</v>
      </c>
      <c r="CG56" s="19">
        <v>17.543684771849229</v>
      </c>
      <c r="CH56" s="19">
        <v>17.822160854156611</v>
      </c>
      <c r="CI56" s="19">
        <v>18.113025676729499</v>
      </c>
      <c r="CJ56" s="19">
        <v>18.395674256930231</v>
      </c>
      <c r="CK56" s="19">
        <v>18.689426639022859</v>
      </c>
      <c r="CL56" s="19">
        <v>18.983886500561621</v>
      </c>
      <c r="CM56" s="19">
        <v>19.276983301391621</v>
      </c>
      <c r="CN56" s="19">
        <v>19.572039486314139</v>
      </c>
      <c r="CO56" s="19">
        <v>19.870588026187789</v>
      </c>
      <c r="CP56" s="19">
        <v>20.165028531927621</v>
      </c>
      <c r="CQ56" s="19">
        <v>20.45843570444536</v>
      </c>
      <c r="CR56" s="19">
        <v>20.747254171922101</v>
      </c>
      <c r="CS56" s="19">
        <v>21.036267572330178</v>
      </c>
      <c r="CU56" s="17" t="s">
        <v>433</v>
      </c>
      <c r="CV56" s="19">
        <v>15.7288008210566</v>
      </c>
      <c r="CW56" s="19">
        <v>17.986599585092328</v>
      </c>
      <c r="CX56" s="19">
        <v>21.33214789030157</v>
      </c>
      <c r="CY56" s="19">
        <v>21.648664301162739</v>
      </c>
      <c r="CZ56" s="19">
        <v>21.952178518069982</v>
      </c>
      <c r="DA56" s="19">
        <v>13.94552764891502</v>
      </c>
      <c r="DB56" s="19">
        <v>14.22393774869442</v>
      </c>
      <c r="DC56" s="19">
        <v>14.494146080982061</v>
      </c>
      <c r="DD56" s="19">
        <v>14.716716437493931</v>
      </c>
      <c r="DE56" s="19">
        <v>14.96083933318436</v>
      </c>
      <c r="DF56" s="19">
        <v>15.19314916198506</v>
      </c>
      <c r="DG56" s="19">
        <v>15.444187550261899</v>
      </c>
      <c r="DH56" s="19">
        <v>15.70243022336544</v>
      </c>
      <c r="DI56" s="19">
        <v>15.95742175158969</v>
      </c>
      <c r="DJ56" s="19">
        <v>16.215966970112579</v>
      </c>
      <c r="DK56" s="19">
        <v>16.482981633307421</v>
      </c>
      <c r="DL56" s="19">
        <v>16.74206544909557</v>
      </c>
      <c r="DM56" s="19">
        <v>16.997432942376971</v>
      </c>
      <c r="DN56" s="19">
        <v>17.24295364930558</v>
      </c>
      <c r="DO56" s="19">
        <v>17.485810963705951</v>
      </c>
    </row>
    <row r="57" spans="1:119" x14ac:dyDescent="0.45">
      <c r="A57" s="16" t="s">
        <v>434</v>
      </c>
      <c r="B57" s="3" t="s">
        <v>89</v>
      </c>
      <c r="C57" s="16" t="s">
        <v>435</v>
      </c>
      <c r="H57" s="3" t="s">
        <v>436</v>
      </c>
      <c r="I57" s="3" t="s">
        <v>348</v>
      </c>
      <c r="K57" s="17" t="s">
        <v>437</v>
      </c>
      <c r="L57" s="19">
        <v>59.912066886467628</v>
      </c>
      <c r="M57" s="19">
        <v>56.571576835468967</v>
      </c>
      <c r="N57" s="19">
        <v>66.121494063808683</v>
      </c>
      <c r="O57" s="19">
        <v>68.579020881669251</v>
      </c>
      <c r="P57" s="19">
        <v>70.23392787869173</v>
      </c>
      <c r="Q57" s="19">
        <v>72.457077385502814</v>
      </c>
      <c r="R57" s="19">
        <v>75.203541146259695</v>
      </c>
      <c r="S57" s="19">
        <v>77.859942571717056</v>
      </c>
      <c r="T57" s="19">
        <v>80.371055416493761</v>
      </c>
      <c r="U57" s="19">
        <v>82.919241350145285</v>
      </c>
      <c r="V57" s="19">
        <v>85.477215063851162</v>
      </c>
      <c r="W57" s="19">
        <v>88.080374469857688</v>
      </c>
      <c r="X57" s="19">
        <v>90.728437725847712</v>
      </c>
      <c r="Y57" s="19">
        <v>93.421093728546211</v>
      </c>
      <c r="Z57" s="19">
        <v>96.158001503196871</v>
      </c>
      <c r="AA57" s="19">
        <v>98.938789499240826</v>
      </c>
      <c r="AB57" s="19">
        <v>101.7630547884404</v>
      </c>
      <c r="AC57" s="19">
        <v>104.6303621618468</v>
      </c>
      <c r="AD57" s="19">
        <v>107.5402431221501</v>
      </c>
      <c r="AE57" s="19">
        <v>110.4921947680906</v>
      </c>
      <c r="AG57" s="17" t="s">
        <v>438</v>
      </c>
      <c r="AH57" s="19">
        <v>59.912066886467628</v>
      </c>
      <c r="AI57" s="19">
        <v>56.571576835468967</v>
      </c>
      <c r="AJ57" s="19">
        <v>66.121494063808683</v>
      </c>
      <c r="AK57" s="19">
        <v>68.579020881669251</v>
      </c>
      <c r="AL57" s="19">
        <v>70.23392787869173</v>
      </c>
      <c r="AM57" s="19">
        <v>60.829864150227593</v>
      </c>
      <c r="AN57" s="19">
        <v>63.137935031666998</v>
      </c>
      <c r="AO57" s="19">
        <v>65.398427630786628</v>
      </c>
      <c r="AP57" s="19">
        <v>67.441468208403663</v>
      </c>
      <c r="AQ57" s="19">
        <v>69.59215543576785</v>
      </c>
      <c r="AR57" s="19">
        <v>71.717335270363648</v>
      </c>
      <c r="AS57" s="19">
        <v>73.94640859475048</v>
      </c>
      <c r="AT57" s="19">
        <v>76.247450979967638</v>
      </c>
      <c r="AU57" s="19">
        <v>78.573293277428647</v>
      </c>
      <c r="AV57" s="19">
        <v>80.953237540546596</v>
      </c>
      <c r="AW57" s="19">
        <v>83.40741163297362</v>
      </c>
      <c r="AX57" s="19">
        <v>85.869915258275881</v>
      </c>
      <c r="AY57" s="19">
        <v>88.353931211024218</v>
      </c>
      <c r="AZ57" s="19">
        <v>90.834014176880174</v>
      </c>
      <c r="BA57" s="19">
        <v>93.338268509800287</v>
      </c>
      <c r="BC57" s="17" t="s">
        <v>439</v>
      </c>
      <c r="BD57" s="19">
        <v>59.912066886467628</v>
      </c>
      <c r="BE57" s="19">
        <v>56.571576835468967</v>
      </c>
      <c r="BF57" s="19">
        <v>66.121494063808683</v>
      </c>
      <c r="BG57" s="19">
        <v>68.579020881669251</v>
      </c>
      <c r="BH57" s="19">
        <v>70.23392787869173</v>
      </c>
      <c r="BI57" s="19">
        <v>65.056577187754783</v>
      </c>
      <c r="BJ57" s="19">
        <v>59.725877751354012</v>
      </c>
      <c r="BK57" s="19">
        <v>55.671988218612469</v>
      </c>
      <c r="BL57" s="19">
        <v>52.387437634321451</v>
      </c>
      <c r="BM57" s="19">
        <v>50.314522719857223</v>
      </c>
      <c r="BN57" s="19">
        <v>48.584653896644042</v>
      </c>
      <c r="BO57" s="19">
        <v>47.16052880781001</v>
      </c>
      <c r="BP57" s="19">
        <v>45.995648784758608</v>
      </c>
      <c r="BQ57" s="19">
        <v>45.03542715547642</v>
      </c>
      <c r="BR57" s="19">
        <v>44.245108948285022</v>
      </c>
      <c r="BS57" s="19">
        <v>43.60558285144247</v>
      </c>
      <c r="BT57" s="19">
        <v>43.085351727354123</v>
      </c>
      <c r="BU57" s="19">
        <v>42.661569038618921</v>
      </c>
      <c r="BV57" s="19">
        <v>42.306752184584369</v>
      </c>
      <c r="BW57" s="19">
        <v>42.007709261025731</v>
      </c>
      <c r="BY57" s="17" t="s">
        <v>440</v>
      </c>
      <c r="BZ57" s="19">
        <v>59.912066886467628</v>
      </c>
      <c r="CA57" s="19">
        <v>56.571576835468967</v>
      </c>
      <c r="CB57" s="19">
        <v>66.121494063808683</v>
      </c>
      <c r="CC57" s="19">
        <v>68.579020881669251</v>
      </c>
      <c r="CD57" s="19">
        <v>70.23392787869173</v>
      </c>
      <c r="CE57" s="19">
        <v>59.762198196309171</v>
      </c>
      <c r="CF57" s="19">
        <v>61.617523353613848</v>
      </c>
      <c r="CG57" s="19">
        <v>63.436995395420723</v>
      </c>
      <c r="CH57" s="19">
        <v>65.066835314252401</v>
      </c>
      <c r="CI57" s="19">
        <v>66.826185015694463</v>
      </c>
      <c r="CJ57" s="19">
        <v>68.557041255059701</v>
      </c>
      <c r="CK57" s="19">
        <v>70.396966339577602</v>
      </c>
      <c r="CL57" s="19">
        <v>72.284796886700519</v>
      </c>
      <c r="CM57" s="19">
        <v>74.202867147877242</v>
      </c>
      <c r="CN57" s="19">
        <v>76.31172417628683</v>
      </c>
      <c r="CO57" s="19">
        <v>78.47637595492202</v>
      </c>
      <c r="CP57" s="19">
        <v>80.646173112153633</v>
      </c>
      <c r="CQ57" s="19">
        <v>82.841806589223822</v>
      </c>
      <c r="CR57" s="19">
        <v>85.03671269163857</v>
      </c>
      <c r="CS57" s="19">
        <v>87.264468008166048</v>
      </c>
      <c r="CU57" s="17" t="s">
        <v>441</v>
      </c>
      <c r="CV57" s="19">
        <v>59.912066886467628</v>
      </c>
      <c r="CW57" s="19">
        <v>56.571576835468967</v>
      </c>
      <c r="CX57" s="19">
        <v>66.121494063808683</v>
      </c>
      <c r="CY57" s="19">
        <v>68.579020881669251</v>
      </c>
      <c r="CZ57" s="19">
        <v>70.23392787869173</v>
      </c>
      <c r="DA57" s="19">
        <v>49.58985906038879</v>
      </c>
      <c r="DB57" s="19">
        <v>51.475355117494047</v>
      </c>
      <c r="DC57" s="19">
        <v>53.348483061703853</v>
      </c>
      <c r="DD57" s="19">
        <v>54.953009279508812</v>
      </c>
      <c r="DE57" s="19">
        <v>56.724505726206147</v>
      </c>
      <c r="DF57" s="19">
        <v>58.432913785467093</v>
      </c>
      <c r="DG57" s="19">
        <v>60.295968782943874</v>
      </c>
      <c r="DH57" s="19">
        <v>62.240931182430607</v>
      </c>
      <c r="DI57" s="19">
        <v>64.197504177136409</v>
      </c>
      <c r="DJ57" s="19">
        <v>66.212959879781579</v>
      </c>
      <c r="DK57" s="19">
        <v>68.324077300230428</v>
      </c>
      <c r="DL57" s="19">
        <v>70.413967172473392</v>
      </c>
      <c r="DM57" s="19">
        <v>72.511376755486111</v>
      </c>
      <c r="DN57" s="19">
        <v>74.568956543875231</v>
      </c>
      <c r="DO57" s="19">
        <v>76.638538193093112</v>
      </c>
    </row>
    <row r="58" spans="1:119" x14ac:dyDescent="0.45">
      <c r="A58" s="16" t="s">
        <v>442</v>
      </c>
      <c r="B58" s="3" t="s">
        <v>89</v>
      </c>
      <c r="C58" s="16" t="s">
        <v>443</v>
      </c>
      <c r="H58" s="3" t="s">
        <v>444</v>
      </c>
      <c r="I58" s="3" t="s">
        <v>348</v>
      </c>
      <c r="K58" s="17" t="s">
        <v>445</v>
      </c>
      <c r="L58" s="3">
        <v>0.30632294885482808</v>
      </c>
      <c r="M58" s="3">
        <v>0.26585068063052297</v>
      </c>
      <c r="N58" s="3">
        <v>0.30471866698712557</v>
      </c>
      <c r="O58" s="3">
        <v>0.31462510683787209</v>
      </c>
      <c r="P58" s="3">
        <v>0.32436270142706619</v>
      </c>
      <c r="Q58" s="3">
        <v>0.33583762065287082</v>
      </c>
      <c r="R58" s="3">
        <v>0.34945888625178972</v>
      </c>
      <c r="S58" s="3">
        <v>0.36262228781074229</v>
      </c>
      <c r="T58" s="3">
        <v>0.37505355965716802</v>
      </c>
      <c r="U58" s="3">
        <v>0.38767108219462382</v>
      </c>
      <c r="V58" s="3">
        <v>0.40051807747446277</v>
      </c>
      <c r="W58" s="3">
        <v>0.41359272703132111</v>
      </c>
      <c r="X58" s="3">
        <v>0.42689307776826879</v>
      </c>
      <c r="Y58" s="3">
        <v>0.44041704085886912</v>
      </c>
      <c r="Z58" s="3">
        <v>0.45416239014730242</v>
      </c>
      <c r="AA58" s="3">
        <v>0.46812676003127329</v>
      </c>
      <c r="AB58" s="3">
        <v>0.48230764281352578</v>
      </c>
      <c r="AC58" s="3">
        <v>0.49670238550880369</v>
      </c>
      <c r="AD58" s="3">
        <v>0.51130818609396089</v>
      </c>
      <c r="AE58" s="3">
        <v>0.52612208918973469</v>
      </c>
      <c r="AG58" s="17" t="s">
        <v>446</v>
      </c>
      <c r="AH58" s="3">
        <v>0.30632294885482808</v>
      </c>
      <c r="AI58" s="3">
        <v>0.26585068063052297</v>
      </c>
      <c r="AJ58" s="3">
        <v>0.30471866698712557</v>
      </c>
      <c r="AK58" s="3">
        <v>0.31462510683787209</v>
      </c>
      <c r="AL58" s="3">
        <v>0.32436270142706619</v>
      </c>
      <c r="AM58" s="3">
        <v>0.33583763657144461</v>
      </c>
      <c r="AN58" s="3">
        <v>0.34945884979004421</v>
      </c>
      <c r="AO58" s="3">
        <v>0.36279074278710549</v>
      </c>
      <c r="AP58" s="3">
        <v>0.37483642435838033</v>
      </c>
      <c r="AQ58" s="3">
        <v>0.38751613467909229</v>
      </c>
      <c r="AR58" s="3">
        <v>0.4001922792532302</v>
      </c>
      <c r="AS58" s="3">
        <v>0.41348043363738529</v>
      </c>
      <c r="AT58" s="3">
        <v>0.42719273706548588</v>
      </c>
      <c r="AU58" s="3">
        <v>0.44105244964258761</v>
      </c>
      <c r="AV58" s="3">
        <v>0.45523034636825588</v>
      </c>
      <c r="AW58" s="3">
        <v>0.46984324061069732</v>
      </c>
      <c r="AX58" s="3">
        <v>0.48450545059957001</v>
      </c>
      <c r="AY58" s="3">
        <v>0.49929362590573839</v>
      </c>
      <c r="AZ58" s="3">
        <v>0.51405905274328056</v>
      </c>
      <c r="BA58" s="3">
        <v>0.52896542240006039</v>
      </c>
      <c r="BC58" s="17" t="s">
        <v>447</v>
      </c>
      <c r="BD58" s="3">
        <v>0.30632294885482808</v>
      </c>
      <c r="BE58" s="3">
        <v>0.26585068063052297</v>
      </c>
      <c r="BF58" s="3">
        <v>0.30471866698712557</v>
      </c>
      <c r="BG58" s="3">
        <v>0.31462510683787209</v>
      </c>
      <c r="BH58" s="3">
        <v>0.32436270142706619</v>
      </c>
      <c r="BI58" s="3">
        <v>0.32887507719837528</v>
      </c>
      <c r="BJ58" s="3">
        <v>0.3336442137153996</v>
      </c>
      <c r="BK58" s="3">
        <v>0.33845119011750707</v>
      </c>
      <c r="BL58" s="3">
        <v>0.34269250581881511</v>
      </c>
      <c r="BM58" s="3">
        <v>0.3541221967490954</v>
      </c>
      <c r="BN58" s="3">
        <v>0.36567914793599099</v>
      </c>
      <c r="BO58" s="3">
        <v>0.37757985744462519</v>
      </c>
      <c r="BP58" s="3">
        <v>0.38994317502192871</v>
      </c>
      <c r="BQ58" s="3">
        <v>0.40269845463515241</v>
      </c>
      <c r="BR58" s="3">
        <v>0.41584621228664381</v>
      </c>
      <c r="BS58" s="3">
        <v>0.42946674483926067</v>
      </c>
      <c r="BT58" s="3">
        <v>0.44346436754274832</v>
      </c>
      <c r="BU58" s="3">
        <v>0.45777433404095891</v>
      </c>
      <c r="BV58" s="3">
        <v>0.47223381891893268</v>
      </c>
      <c r="BW58" s="3">
        <v>0.48679670127167468</v>
      </c>
      <c r="BY58" s="17" t="s">
        <v>448</v>
      </c>
      <c r="BZ58" s="3">
        <v>0.30632294885482808</v>
      </c>
      <c r="CA58" s="3">
        <v>0.26585068063052297</v>
      </c>
      <c r="CB58" s="3">
        <v>0.30471866698712557</v>
      </c>
      <c r="CC58" s="3">
        <v>0.31462510683787209</v>
      </c>
      <c r="CD58" s="3">
        <v>0.32436270142706619</v>
      </c>
      <c r="CE58" s="3">
        <v>0.33583770487637993</v>
      </c>
      <c r="CF58" s="3">
        <v>0.34945867543755438</v>
      </c>
      <c r="CG58" s="3">
        <v>0.36276556911496699</v>
      </c>
      <c r="CH58" s="3">
        <v>0.37483450456068812</v>
      </c>
      <c r="CI58" s="3">
        <v>0.38759337844774872</v>
      </c>
      <c r="CJ58" s="3">
        <v>0.40025141817077209</v>
      </c>
      <c r="CK58" s="3">
        <v>0.41356921134570901</v>
      </c>
      <c r="CL58" s="3">
        <v>0.42714389102008771</v>
      </c>
      <c r="CM58" s="3">
        <v>0.44089152646325569</v>
      </c>
      <c r="CN58" s="3">
        <v>0.45494981365027809</v>
      </c>
      <c r="CO58" s="3">
        <v>0.46938843872772013</v>
      </c>
      <c r="CP58" s="3">
        <v>0.4838852377163031</v>
      </c>
      <c r="CQ58" s="3">
        <v>0.49856811774756588</v>
      </c>
      <c r="CR58" s="3">
        <v>0.51327714663419843</v>
      </c>
      <c r="CS58" s="3">
        <v>0.52822049807237093</v>
      </c>
      <c r="CU58" s="17" t="s">
        <v>449</v>
      </c>
      <c r="CV58" s="3">
        <v>0.30632294885482808</v>
      </c>
      <c r="CW58" s="3">
        <v>0.26585068063052297</v>
      </c>
      <c r="CX58" s="3">
        <v>0.30471866698712557</v>
      </c>
      <c r="CY58" s="3">
        <v>0.31462510683787209</v>
      </c>
      <c r="CZ58" s="3">
        <v>0.32436270142706619</v>
      </c>
      <c r="DA58" s="3">
        <v>0.33583765682176792</v>
      </c>
      <c r="DB58" s="3">
        <v>0.34945880311254618</v>
      </c>
      <c r="DC58" s="3">
        <v>0.36298293703448581</v>
      </c>
      <c r="DD58" s="3">
        <v>0.37457532825786638</v>
      </c>
      <c r="DE58" s="3">
        <v>0.3873652701077962</v>
      </c>
      <c r="DF58" s="3">
        <v>0.39981768720175009</v>
      </c>
      <c r="DG58" s="3">
        <v>0.41337801455637502</v>
      </c>
      <c r="DH58" s="3">
        <v>0.42752476830245251</v>
      </c>
      <c r="DI58" s="3">
        <v>0.44175495894854361</v>
      </c>
      <c r="DJ58" s="3">
        <v>0.45640530117901451</v>
      </c>
      <c r="DK58" s="3">
        <v>0.47173678654344903</v>
      </c>
      <c r="DL58" s="3">
        <v>0.48691544516393492</v>
      </c>
      <c r="DM58" s="3">
        <v>0.50214603295568461</v>
      </c>
      <c r="DN58" s="3">
        <v>0.51709175884493874</v>
      </c>
      <c r="DO58" s="3">
        <v>0.53212142116278993</v>
      </c>
    </row>
    <row r="59" spans="1:119" x14ac:dyDescent="0.45">
      <c r="A59" s="16" t="s">
        <v>450</v>
      </c>
      <c r="B59" s="3" t="s">
        <v>89</v>
      </c>
      <c r="C59" s="16" t="s">
        <v>451</v>
      </c>
      <c r="H59" s="3" t="s">
        <v>452</v>
      </c>
      <c r="I59" s="3" t="s">
        <v>92</v>
      </c>
      <c r="K59" s="17" t="s">
        <v>453</v>
      </c>
      <c r="L59" s="22">
        <v>0</v>
      </c>
      <c r="M59" s="22">
        <v>0</v>
      </c>
      <c r="N59" s="22">
        <v>0</v>
      </c>
      <c r="O59" s="22">
        <v>0</v>
      </c>
      <c r="P59" s="22">
        <v>0</v>
      </c>
      <c r="Q59" s="22">
        <v>0</v>
      </c>
      <c r="R59" s="22">
        <v>0</v>
      </c>
      <c r="S59" s="22">
        <v>0</v>
      </c>
      <c r="T59" s="22">
        <v>0</v>
      </c>
      <c r="U59" s="22">
        <v>0</v>
      </c>
      <c r="V59" s="22">
        <v>0</v>
      </c>
      <c r="W59" s="22">
        <v>0</v>
      </c>
      <c r="X59" s="22">
        <v>0</v>
      </c>
      <c r="Y59" s="22">
        <v>0</v>
      </c>
      <c r="Z59" s="22">
        <v>0</v>
      </c>
      <c r="AA59" s="22">
        <v>0</v>
      </c>
      <c r="AB59" s="22">
        <v>0</v>
      </c>
      <c r="AC59" s="22">
        <v>0</v>
      </c>
      <c r="AD59" s="22">
        <v>0</v>
      </c>
      <c r="AE59" s="22">
        <v>0</v>
      </c>
      <c r="AG59" s="17" t="s">
        <v>454</v>
      </c>
      <c r="AH59" s="22">
        <v>0</v>
      </c>
      <c r="AI59" s="22">
        <v>-2.5803731554918658E-4</v>
      </c>
      <c r="AJ59" s="22">
        <v>-2.1216214072894421E-4</v>
      </c>
      <c r="AK59" s="22">
        <v>-1.9260597221781861E-4</v>
      </c>
      <c r="AL59" s="22">
        <v>-1.876786029066935E-4</v>
      </c>
      <c r="AM59" s="22">
        <v>-8.4857889703439215E-2</v>
      </c>
      <c r="AN59" s="22">
        <v>-0.12079372133053989</v>
      </c>
      <c r="AO59" s="22">
        <v>-0.1127940083376056</v>
      </c>
      <c r="AP59" s="22">
        <v>-0.1164755318011536</v>
      </c>
      <c r="AQ59" s="22">
        <v>-0.1124480538775631</v>
      </c>
      <c r="AR59" s="22">
        <v>-0.1132550846589184</v>
      </c>
      <c r="AS59" s="22">
        <v>-0.1108855362500509</v>
      </c>
      <c r="AT59" s="22">
        <v>-0.1112194562012371</v>
      </c>
      <c r="AU59" s="22">
        <v>-0.1103213368908567</v>
      </c>
      <c r="AV59" s="22">
        <v>-0.1093479003649267</v>
      </c>
      <c r="AW59" s="22">
        <v>-0.10804392076475</v>
      </c>
      <c r="AX59" s="22">
        <v>-0.1072091992200376</v>
      </c>
      <c r="AY59" s="22">
        <v>-0.1065534528131917</v>
      </c>
      <c r="AZ59" s="22">
        <v>-0.1064403796660198</v>
      </c>
      <c r="BA59" s="22">
        <v>-0.10643713646257601</v>
      </c>
      <c r="BC59" s="17" t="s">
        <v>455</v>
      </c>
      <c r="BD59" s="22">
        <v>0</v>
      </c>
      <c r="BE59" s="22">
        <v>-8.9322813342496143E-4</v>
      </c>
      <c r="BF59" s="22">
        <v>-7.343919100095686E-4</v>
      </c>
      <c r="BG59" s="22">
        <v>-6.6666830601425087E-4</v>
      </c>
      <c r="BH59" s="22">
        <v>-6.4870062151489716E-4</v>
      </c>
      <c r="BI59" s="22">
        <v>-5.5387734992838999E-2</v>
      </c>
      <c r="BJ59" s="22">
        <v>-0.13007529117540331</v>
      </c>
      <c r="BK59" s="22">
        <v>-0.20244264804343409</v>
      </c>
      <c r="BL59" s="22">
        <v>-0.25114324178289482</v>
      </c>
      <c r="BM59" s="22">
        <v>-0.27654979356624682</v>
      </c>
      <c r="BN59" s="22">
        <v>-0.30991108279273621</v>
      </c>
      <c r="BO59" s="22">
        <v>-0.33672407661102999</v>
      </c>
      <c r="BP59" s="22">
        <v>-0.36686491943924021</v>
      </c>
      <c r="BQ59" s="22">
        <v>-0.39020558735682698</v>
      </c>
      <c r="BR59" s="22">
        <v>-0.41568850460807172</v>
      </c>
      <c r="BS59" s="22">
        <v>-0.43540776549434412</v>
      </c>
      <c r="BT59" s="22">
        <v>-0.45774334010260193</v>
      </c>
      <c r="BU59" s="22">
        <v>-0.47424408661137368</v>
      </c>
      <c r="BV59" s="22">
        <v>-0.49506011463359922</v>
      </c>
      <c r="BW59" s="22">
        <v>-0.50830303084459216</v>
      </c>
      <c r="BY59" s="17" t="s">
        <v>456</v>
      </c>
      <c r="BZ59" s="22">
        <v>0</v>
      </c>
      <c r="CA59" s="22">
        <v>-1.515477659718711E-3</v>
      </c>
      <c r="CB59" s="22">
        <v>-1.2466324703139799E-3</v>
      </c>
      <c r="CC59" s="22">
        <v>-1.1322640902743371E-3</v>
      </c>
      <c r="CD59" s="22">
        <v>-1.1027498952050909E-3</v>
      </c>
      <c r="CE59" s="22">
        <v>-9.7820235047667015E-2</v>
      </c>
      <c r="CF59" s="22">
        <v>-9.9355227511411237E-2</v>
      </c>
      <c r="CG59" s="22">
        <v>-0.1002976672110221</v>
      </c>
      <c r="CH59" s="22">
        <v>-0.10271559701266191</v>
      </c>
      <c r="CI59" s="22">
        <v>-0.1086923803196946</v>
      </c>
      <c r="CJ59" s="22">
        <v>-0.1190031309268744</v>
      </c>
      <c r="CK59" s="22">
        <v>-0.123588334481374</v>
      </c>
      <c r="CL59" s="22">
        <v>-0.14037882374413199</v>
      </c>
      <c r="CM59" s="22">
        <v>-0.15390792527412039</v>
      </c>
      <c r="CN59" s="22">
        <v>-0.16552939437705849</v>
      </c>
      <c r="CO59" s="22">
        <v>-0.1786722484868131</v>
      </c>
      <c r="CP59" s="22">
        <v>-0.1900519175771207</v>
      </c>
      <c r="CQ59" s="22">
        <v>-0.2005649156963811</v>
      </c>
      <c r="CR59" s="22">
        <v>-0.2115138790161043</v>
      </c>
      <c r="CS59" s="22">
        <v>-0.22105904409523061</v>
      </c>
      <c r="CU59" s="17" t="s">
        <v>457</v>
      </c>
      <c r="CV59" s="22">
        <v>0</v>
      </c>
      <c r="CW59" s="22">
        <v>-6.1550702493473608E-4</v>
      </c>
      <c r="CX59" s="22">
        <v>-5.0606577535838859E-4</v>
      </c>
      <c r="CY59" s="22">
        <v>-4.594067560842463E-4</v>
      </c>
      <c r="CZ59" s="22">
        <v>-4.4729479169380859E-4</v>
      </c>
      <c r="DA59" s="22">
        <v>-0.16714697279540441</v>
      </c>
      <c r="DB59" s="22">
        <v>-0.24320489060521899</v>
      </c>
      <c r="DC59" s="22">
        <v>-0.2339972047890605</v>
      </c>
      <c r="DD59" s="22">
        <v>-0.24512328319149901</v>
      </c>
      <c r="DE59" s="22">
        <v>-0.2284568668867879</v>
      </c>
      <c r="DF59" s="22">
        <v>-0.23930405340943811</v>
      </c>
      <c r="DG59" s="22">
        <v>-0.2413946187849538</v>
      </c>
      <c r="DH59" s="22">
        <v>-0.25170569453643382</v>
      </c>
      <c r="DI59" s="22">
        <v>-0.25714735071852141</v>
      </c>
      <c r="DJ59" s="22">
        <v>-0.26473383155347752</v>
      </c>
      <c r="DK59" s="22">
        <v>-0.26897322209688718</v>
      </c>
      <c r="DL59" s="22">
        <v>-0.27571314243734379</v>
      </c>
      <c r="DM59" s="22">
        <v>-0.27996188265666588</v>
      </c>
      <c r="DN59" s="22">
        <v>-0.28644515135223458</v>
      </c>
      <c r="DO59" s="22">
        <v>-0.29073906572384312</v>
      </c>
    </row>
    <row r="60" spans="1:119" x14ac:dyDescent="0.45">
      <c r="A60" s="16" t="s">
        <v>458</v>
      </c>
      <c r="B60" s="3" t="s">
        <v>89</v>
      </c>
      <c r="C60" s="16" t="s">
        <v>458</v>
      </c>
      <c r="H60" s="3" t="s">
        <v>459</v>
      </c>
      <c r="I60" s="3" t="s">
        <v>289</v>
      </c>
      <c r="K60" s="17" t="s">
        <v>460</v>
      </c>
      <c r="L60" s="19">
        <v>52.945361865309529</v>
      </c>
      <c r="M60" s="19">
        <v>55.452822043386817</v>
      </c>
      <c r="N60" s="19">
        <v>55.869028028896437</v>
      </c>
      <c r="O60" s="19">
        <v>58.86187412005188</v>
      </c>
      <c r="P60" s="19">
        <v>59.474785121455092</v>
      </c>
      <c r="Q60" s="19">
        <v>60.100867511738421</v>
      </c>
      <c r="R60" s="19">
        <v>60.752293235529457</v>
      </c>
      <c r="S60" s="19">
        <v>61.391303457693738</v>
      </c>
      <c r="T60" s="19">
        <v>62.004614526110103</v>
      </c>
      <c r="U60" s="19">
        <v>62.625506539369773</v>
      </c>
      <c r="V60" s="19">
        <v>63.237919127951074</v>
      </c>
      <c r="W60" s="19">
        <v>63.868233221312657</v>
      </c>
      <c r="X60" s="19">
        <v>64.492996959989071</v>
      </c>
      <c r="Y60" s="19">
        <v>65.118131812233372</v>
      </c>
      <c r="Z60" s="19">
        <v>65.740070904151253</v>
      </c>
      <c r="AA60" s="19">
        <v>66.359928829796701</v>
      </c>
      <c r="AB60" s="19">
        <v>66.974729427923975</v>
      </c>
      <c r="AC60" s="19">
        <v>67.58388738920587</v>
      </c>
      <c r="AD60" s="19">
        <v>68.184428082368754</v>
      </c>
      <c r="AE60" s="19">
        <v>68.77291505481368</v>
      </c>
      <c r="AG60" s="17" t="s">
        <v>461</v>
      </c>
      <c r="AH60" s="19">
        <v>52.945361865309529</v>
      </c>
      <c r="AI60" s="19">
        <v>55.452473044202932</v>
      </c>
      <c r="AJ60" s="19">
        <v>55.868691852313091</v>
      </c>
      <c r="AK60" s="19">
        <v>58.861550384892411</v>
      </c>
      <c r="AL60" s="19">
        <v>59.474460561114157</v>
      </c>
      <c r="AM60" s="19">
        <v>59.923152656552901</v>
      </c>
      <c r="AN60" s="19">
        <v>60.49992753827668</v>
      </c>
      <c r="AO60" s="19">
        <v>61.181795125916217</v>
      </c>
      <c r="AP60" s="19">
        <v>61.782396194948802</v>
      </c>
      <c r="AQ60" s="19">
        <v>62.410172799899811</v>
      </c>
      <c r="AR60" s="19">
        <v>63.017507581065097</v>
      </c>
      <c r="AS60" s="19">
        <v>63.650858651236923</v>
      </c>
      <c r="AT60" s="19">
        <v>64.27512628018593</v>
      </c>
      <c r="AU60" s="19">
        <v>64.901328487540198</v>
      </c>
      <c r="AV60" s="19">
        <v>65.525302215112916</v>
      </c>
      <c r="AW60" s="19">
        <v>66.149655679109316</v>
      </c>
      <c r="AX60" s="19">
        <v>66.766384348208206</v>
      </c>
      <c r="AY60" s="19">
        <v>67.376262619845036</v>
      </c>
      <c r="AZ60" s="19">
        <v>67.974297477319226</v>
      </c>
      <c r="BA60" s="19">
        <v>68.55944022704</v>
      </c>
      <c r="BC60" s="17" t="s">
        <v>462</v>
      </c>
      <c r="BD60" s="19">
        <v>52.945361865309529</v>
      </c>
      <c r="BE60" s="19">
        <v>55.451600298974597</v>
      </c>
      <c r="BF60" s="19">
        <v>55.867851118966527</v>
      </c>
      <c r="BG60" s="19">
        <v>58.860740710521789</v>
      </c>
      <c r="BH60" s="19">
        <v>59.473650931201007</v>
      </c>
      <c r="BI60" s="19">
        <v>59.985454932627732</v>
      </c>
      <c r="BJ60" s="19">
        <v>60.489531075230047</v>
      </c>
      <c r="BK60" s="19">
        <v>61.015450901480683</v>
      </c>
      <c r="BL60" s="19">
        <v>61.56160047331413</v>
      </c>
      <c r="BM60" s="19">
        <v>62.131310314343978</v>
      </c>
      <c r="BN60" s="19">
        <v>62.675411746356161</v>
      </c>
      <c r="BO60" s="19">
        <v>63.245096134765063</v>
      </c>
      <c r="BP60" s="19">
        <v>63.804301974634562</v>
      </c>
      <c r="BQ60" s="19">
        <v>64.377407171317742</v>
      </c>
      <c r="BR60" s="19">
        <v>64.94229267887259</v>
      </c>
      <c r="BS60" s="19">
        <v>65.518632303821022</v>
      </c>
      <c r="BT60" s="19">
        <v>66.083323534815548</v>
      </c>
      <c r="BU60" s="19">
        <v>66.655165077259724</v>
      </c>
      <c r="BV60" s="19">
        <v>67.205464203191369</v>
      </c>
      <c r="BW60" s="19">
        <v>67.759586102033651</v>
      </c>
      <c r="BY60" s="17" t="s">
        <v>463</v>
      </c>
      <c r="BZ60" s="19">
        <v>52.945361865309529</v>
      </c>
      <c r="CA60" s="19">
        <v>55.450755407430293</v>
      </c>
      <c r="CB60" s="19">
        <v>55.867036182122142</v>
      </c>
      <c r="CC60" s="19">
        <v>58.859954822177919</v>
      </c>
      <c r="CD60" s="19">
        <v>59.47286237388245</v>
      </c>
      <c r="CE60" s="19">
        <v>59.898983160931088</v>
      </c>
      <c r="CF60" s="19">
        <v>60.54376800898185</v>
      </c>
      <c r="CG60" s="19">
        <v>61.178565455648119</v>
      </c>
      <c r="CH60" s="19">
        <v>61.780739651686027</v>
      </c>
      <c r="CI60" s="19">
        <v>62.390229808430711</v>
      </c>
      <c r="CJ60" s="19">
        <v>62.979015958626768</v>
      </c>
      <c r="CK60" s="19">
        <v>63.598906962574887</v>
      </c>
      <c r="CL60" s="19">
        <v>64.186915613239094</v>
      </c>
      <c r="CM60" s="19">
        <v>64.7801645821216</v>
      </c>
      <c r="CN60" s="19">
        <v>65.37402794567798</v>
      </c>
      <c r="CO60" s="19">
        <v>65.962420695778505</v>
      </c>
      <c r="CP60" s="19">
        <v>66.547298137353366</v>
      </c>
      <c r="CQ60" s="19">
        <v>67.127227595164257</v>
      </c>
      <c r="CR60" s="19">
        <v>67.694897130287615</v>
      </c>
      <c r="CS60" s="19">
        <v>68.253087895658993</v>
      </c>
      <c r="CU60" s="17" t="s">
        <v>464</v>
      </c>
      <c r="CV60" s="19">
        <v>52.945361865309529</v>
      </c>
      <c r="CW60" s="19">
        <v>55.451984162446827</v>
      </c>
      <c r="CX60" s="19">
        <v>55.868220911335847</v>
      </c>
      <c r="CY60" s="19">
        <v>58.861096850858758</v>
      </c>
      <c r="CZ60" s="19">
        <v>59.474006701644029</v>
      </c>
      <c r="DA60" s="19">
        <v>59.775014494437947</v>
      </c>
      <c r="DB60" s="19">
        <v>60.269243422514343</v>
      </c>
      <c r="DC60" s="19">
        <v>60.949979734852199</v>
      </c>
      <c r="DD60" s="19">
        <v>61.556161753906657</v>
      </c>
      <c r="DE60" s="19">
        <v>62.209402934614459</v>
      </c>
      <c r="DF60" s="19">
        <v>62.791814825734683</v>
      </c>
      <c r="DG60" s="19">
        <v>63.413604629150647</v>
      </c>
      <c r="DH60" s="19">
        <v>64.015823997480837</v>
      </c>
      <c r="DI60" s="19">
        <v>64.626150287542416</v>
      </c>
      <c r="DJ60" s="19">
        <v>65.229394275099082</v>
      </c>
      <c r="DK60" s="19">
        <v>65.841151551804728</v>
      </c>
      <c r="DL60" s="19">
        <v>66.43806725450797</v>
      </c>
      <c r="DM60" s="19">
        <v>67.033126952758963</v>
      </c>
      <c r="DN60" s="19">
        <v>67.609501053725353</v>
      </c>
      <c r="DO60" s="19">
        <v>68.177589421858571</v>
      </c>
    </row>
    <row r="61" spans="1:119" x14ac:dyDescent="0.45">
      <c r="A61" s="16" t="s">
        <v>465</v>
      </c>
      <c r="B61" s="3" t="s">
        <v>89</v>
      </c>
      <c r="C61" s="16" t="s">
        <v>466</v>
      </c>
      <c r="H61" s="3" t="s">
        <v>467</v>
      </c>
      <c r="I61" s="3" t="s">
        <v>289</v>
      </c>
      <c r="K61" s="17" t="s">
        <v>468</v>
      </c>
      <c r="L61" s="19">
        <v>28.488389483660821</v>
      </c>
      <c r="M61" s="19">
        <v>28.577240697470049</v>
      </c>
      <c r="N61" s="19">
        <v>28.033799343567779</v>
      </c>
      <c r="O61" s="19">
        <v>28.61010090649793</v>
      </c>
      <c r="P61" s="19">
        <v>29.117379106718442</v>
      </c>
      <c r="Q61" s="19">
        <v>29.659397361962501</v>
      </c>
      <c r="R61" s="19">
        <v>30.24629650557873</v>
      </c>
      <c r="S61" s="19">
        <v>30.8260187097009</v>
      </c>
      <c r="T61" s="19">
        <v>31.386978089798379</v>
      </c>
      <c r="U61" s="19">
        <v>31.935982347776591</v>
      </c>
      <c r="V61" s="19">
        <v>32.487202878011693</v>
      </c>
      <c r="W61" s="19">
        <v>33.057128795785758</v>
      </c>
      <c r="X61" s="19">
        <v>33.629029706123291</v>
      </c>
      <c r="Y61" s="19">
        <v>34.207332448054927</v>
      </c>
      <c r="Z61" s="19">
        <v>34.789658878620642</v>
      </c>
      <c r="AA61" s="19">
        <v>35.376703559414402</v>
      </c>
      <c r="AB61" s="19">
        <v>35.966952733992883</v>
      </c>
      <c r="AC61" s="19">
        <v>36.560088426385178</v>
      </c>
      <c r="AD61" s="19">
        <v>37.154762009675643</v>
      </c>
      <c r="AE61" s="19">
        <v>37.749371507166593</v>
      </c>
      <c r="AG61" s="17" t="s">
        <v>469</v>
      </c>
      <c r="AH61" s="19">
        <v>28.488389483660821</v>
      </c>
      <c r="AI61" s="19">
        <v>28.577240697470049</v>
      </c>
      <c r="AJ61" s="19">
        <v>28.033799343567779</v>
      </c>
      <c r="AK61" s="19">
        <v>28.610125807366639</v>
      </c>
      <c r="AL61" s="19">
        <v>29.11741111487563</v>
      </c>
      <c r="AM61" s="19">
        <v>29.382722881001261</v>
      </c>
      <c r="AN61" s="19">
        <v>29.910449612185051</v>
      </c>
      <c r="AO61" s="19">
        <v>30.493516316852599</v>
      </c>
      <c r="AP61" s="19">
        <v>31.03364871047031</v>
      </c>
      <c r="AQ61" s="19">
        <v>31.58197015677769</v>
      </c>
      <c r="AR61" s="19">
        <v>32.122045678162223</v>
      </c>
      <c r="AS61" s="19">
        <v>32.689878396664412</v>
      </c>
      <c r="AT61" s="19">
        <v>33.258834189031759</v>
      </c>
      <c r="AU61" s="19">
        <v>33.834431776910733</v>
      </c>
      <c r="AV61" s="19">
        <v>34.415443656020528</v>
      </c>
      <c r="AW61" s="19">
        <v>35.004686410136777</v>
      </c>
      <c r="AX61" s="19">
        <v>35.593628022757329</v>
      </c>
      <c r="AY61" s="19">
        <v>36.183641431951123</v>
      </c>
      <c r="AZ61" s="19">
        <v>36.770675911594537</v>
      </c>
      <c r="BA61" s="19">
        <v>37.356319288521917</v>
      </c>
      <c r="BC61" s="17" t="s">
        <v>470</v>
      </c>
      <c r="BD61" s="19">
        <v>28.488389483660821</v>
      </c>
      <c r="BE61" s="19">
        <v>28.577240697470049</v>
      </c>
      <c r="BF61" s="19">
        <v>28.033799343567779</v>
      </c>
      <c r="BG61" s="19">
        <v>28.610187184026891</v>
      </c>
      <c r="BH61" s="19">
        <v>29.11749119238543</v>
      </c>
      <c r="BI61" s="19">
        <v>29.48221770598299</v>
      </c>
      <c r="BJ61" s="19">
        <v>29.850391271983359</v>
      </c>
      <c r="BK61" s="19">
        <v>30.229269910208309</v>
      </c>
      <c r="BL61" s="19">
        <v>30.629981892740439</v>
      </c>
      <c r="BM61" s="19">
        <v>31.071218758365479</v>
      </c>
      <c r="BN61" s="19">
        <v>31.506091532255109</v>
      </c>
      <c r="BO61" s="19">
        <v>31.969287866615829</v>
      </c>
      <c r="BP61" s="19">
        <v>32.435439439192884</v>
      </c>
      <c r="BQ61" s="19">
        <v>32.920877407280607</v>
      </c>
      <c r="BR61" s="19">
        <v>33.409697328225363</v>
      </c>
      <c r="BS61" s="19">
        <v>33.915902660370662</v>
      </c>
      <c r="BT61" s="19">
        <v>34.422758678787567</v>
      </c>
      <c r="BU61" s="19">
        <v>34.942725552514347</v>
      </c>
      <c r="BV61" s="19">
        <v>35.454953513675953</v>
      </c>
      <c r="BW61" s="19">
        <v>35.97752598532027</v>
      </c>
      <c r="BY61" s="17" t="s">
        <v>471</v>
      </c>
      <c r="BZ61" s="19">
        <v>28.488389483660821</v>
      </c>
      <c r="CA61" s="19">
        <v>28.577240697470049</v>
      </c>
      <c r="CB61" s="19">
        <v>28.033799343567779</v>
      </c>
      <c r="CC61" s="19">
        <v>28.610246682585451</v>
      </c>
      <c r="CD61" s="19">
        <v>29.11756740410533</v>
      </c>
      <c r="CE61" s="19">
        <v>29.35160845934724</v>
      </c>
      <c r="CF61" s="19">
        <v>29.92002909348151</v>
      </c>
      <c r="CG61" s="19">
        <v>30.484743562641171</v>
      </c>
      <c r="CH61" s="19">
        <v>31.02166789194057</v>
      </c>
      <c r="CI61" s="19">
        <v>31.551092140749859</v>
      </c>
      <c r="CJ61" s="19">
        <v>32.071324240151817</v>
      </c>
      <c r="CK61" s="19">
        <v>32.623399162059627</v>
      </c>
      <c r="CL61" s="19">
        <v>33.159076284604119</v>
      </c>
      <c r="CM61" s="19">
        <v>33.704056256423712</v>
      </c>
      <c r="CN61" s="19">
        <v>34.258394417435923</v>
      </c>
      <c r="CO61" s="19">
        <v>34.816277478655607</v>
      </c>
      <c r="CP61" s="19">
        <v>35.376787147169537</v>
      </c>
      <c r="CQ61" s="19">
        <v>35.940197323492612</v>
      </c>
      <c r="CR61" s="19">
        <v>36.50073335176139</v>
      </c>
      <c r="CS61" s="19">
        <v>37.063026082400789</v>
      </c>
      <c r="CU61" s="17" t="s">
        <v>472</v>
      </c>
      <c r="CV61" s="19">
        <v>28.488389483660821</v>
      </c>
      <c r="CW61" s="19">
        <v>28.577240697470049</v>
      </c>
      <c r="CX61" s="19">
        <v>28.033799343567779</v>
      </c>
      <c r="CY61" s="19">
        <v>28.610160334895539</v>
      </c>
      <c r="CZ61" s="19">
        <v>29.117455962606421</v>
      </c>
      <c r="DA61" s="19">
        <v>29.11497065683572</v>
      </c>
      <c r="DB61" s="19">
        <v>29.578035523775259</v>
      </c>
      <c r="DC61" s="19">
        <v>30.15517752926219</v>
      </c>
      <c r="DD61" s="19">
        <v>30.668226625008419</v>
      </c>
      <c r="DE61" s="19">
        <v>31.229244619719811</v>
      </c>
      <c r="DF61" s="19">
        <v>31.743930436388389</v>
      </c>
      <c r="DG61" s="19">
        <v>32.29985370137404</v>
      </c>
      <c r="DH61" s="19">
        <v>32.850650749919097</v>
      </c>
      <c r="DI61" s="19">
        <v>33.411734758238232</v>
      </c>
      <c r="DJ61" s="19">
        <v>33.97549719480174</v>
      </c>
      <c r="DK61" s="19">
        <v>34.555004763783018</v>
      </c>
      <c r="DL61" s="19">
        <v>35.127310244126519</v>
      </c>
      <c r="DM61" s="19">
        <v>35.703412339544947</v>
      </c>
      <c r="DN61" s="19">
        <v>36.269484985275753</v>
      </c>
      <c r="DO61" s="19">
        <v>36.8368025239999</v>
      </c>
    </row>
    <row r="62" spans="1:119" x14ac:dyDescent="0.45">
      <c r="A62" s="16" t="s">
        <v>473</v>
      </c>
      <c r="B62" s="3" t="s">
        <v>89</v>
      </c>
      <c r="C62" s="16" t="s">
        <v>473</v>
      </c>
      <c r="H62" s="3" t="s">
        <v>474</v>
      </c>
      <c r="I62" s="3" t="s">
        <v>289</v>
      </c>
      <c r="K62" s="17" t="s">
        <v>475</v>
      </c>
      <c r="L62" s="3">
        <v>11.699150757821901</v>
      </c>
      <c r="M62" s="3">
        <v>12.2250407871263</v>
      </c>
      <c r="N62" s="3">
        <v>12.605792651030701</v>
      </c>
      <c r="O62" s="3">
        <v>13.074310096664981</v>
      </c>
      <c r="P62" s="3">
        <v>13.389811353201519</v>
      </c>
      <c r="Q62" s="3">
        <v>13.813645722220119</v>
      </c>
      <c r="R62" s="3">
        <v>14.337247815334671</v>
      </c>
      <c r="S62" s="3">
        <v>14.84367989224604</v>
      </c>
      <c r="T62" s="3">
        <v>15.32241329494332</v>
      </c>
      <c r="U62" s="3">
        <v>15.808214530542839</v>
      </c>
      <c r="V62" s="3">
        <v>16.29588176641391</v>
      </c>
      <c r="W62" s="3">
        <v>16.792163469879821</v>
      </c>
      <c r="X62" s="3">
        <v>17.297005908854509</v>
      </c>
      <c r="Y62" s="3">
        <v>17.81034977276985</v>
      </c>
      <c r="Z62" s="3">
        <v>18.33213005618186</v>
      </c>
      <c r="AA62" s="3">
        <v>18.862275924494782</v>
      </c>
      <c r="AB62" s="3">
        <v>19.40071056108658</v>
      </c>
      <c r="AC62" s="3">
        <v>19.947350995149549</v>
      </c>
      <c r="AD62" s="3">
        <v>20.50210790958598</v>
      </c>
      <c r="AE62" s="3">
        <v>21.06488542832572</v>
      </c>
      <c r="AG62" s="17" t="s">
        <v>476</v>
      </c>
      <c r="AH62" s="3">
        <v>11.699150757821901</v>
      </c>
      <c r="AI62" s="3">
        <v>12.2250407871263</v>
      </c>
      <c r="AJ62" s="3">
        <v>12.605792651030701</v>
      </c>
      <c r="AK62" s="3">
        <v>13.074310096664981</v>
      </c>
      <c r="AL62" s="3">
        <v>13.389811353201519</v>
      </c>
      <c r="AM62" s="3">
        <v>11.59696503119164</v>
      </c>
      <c r="AN62" s="3">
        <v>12.03698931326895</v>
      </c>
      <c r="AO62" s="3">
        <v>12.46794299024112</v>
      </c>
      <c r="AP62" s="3">
        <v>12.85744032788792</v>
      </c>
      <c r="AQ62" s="3">
        <v>13.267460059432549</v>
      </c>
      <c r="AR62" s="3">
        <v>13.672616910776741</v>
      </c>
      <c r="AS62" s="3">
        <v>14.09758063140967</v>
      </c>
      <c r="AT62" s="3">
        <v>14.53626495940275</v>
      </c>
      <c r="AU62" s="3">
        <v>14.979677289325251</v>
      </c>
      <c r="AV62" s="3">
        <v>15.43340393792341</v>
      </c>
      <c r="AW62" s="3">
        <v>15.90128220015402</v>
      </c>
      <c r="AX62" s="3">
        <v>16.370748453790331</v>
      </c>
      <c r="AY62" s="3">
        <v>16.84431594474842</v>
      </c>
      <c r="AZ62" s="3">
        <v>17.317133627826831</v>
      </c>
      <c r="BA62" s="3">
        <v>17.794559483264589</v>
      </c>
      <c r="BC62" s="17" t="s">
        <v>477</v>
      </c>
      <c r="BD62" s="3">
        <v>11.699150757821901</v>
      </c>
      <c r="BE62" s="3">
        <v>12.2250407871263</v>
      </c>
      <c r="BF62" s="3">
        <v>12.605792651030701</v>
      </c>
      <c r="BG62" s="3">
        <v>13.074310096664981</v>
      </c>
      <c r="BH62" s="3">
        <v>13.389811353201519</v>
      </c>
      <c r="BI62" s="3">
        <v>12.402770600180419</v>
      </c>
      <c r="BJ62" s="3">
        <v>11.386494535465561</v>
      </c>
      <c r="BK62" s="3">
        <v>10.613637061455551</v>
      </c>
      <c r="BL62" s="3">
        <v>9.9874509142181864</v>
      </c>
      <c r="BM62" s="3">
        <v>9.592258156326956</v>
      </c>
      <c r="BN62" s="3">
        <v>9.2624657339436354</v>
      </c>
      <c r="BO62" s="3">
        <v>8.9909621051592019</v>
      </c>
      <c r="BP62" s="3">
        <v>8.7688824888132189</v>
      </c>
      <c r="BQ62" s="3">
        <v>8.5858201589438252</v>
      </c>
      <c r="BR62" s="3">
        <v>8.4351492222197546</v>
      </c>
      <c r="BS62" s="3">
        <v>8.3132261851519544</v>
      </c>
      <c r="BT62" s="3">
        <v>8.2140462471647435</v>
      </c>
      <c r="BU62" s="3">
        <v>8.1332538092604061</v>
      </c>
      <c r="BV62" s="3">
        <v>8.0656094259266844</v>
      </c>
      <c r="BW62" s="3">
        <v>8.0085981145292084</v>
      </c>
      <c r="BY62" s="17" t="s">
        <v>478</v>
      </c>
      <c r="BZ62" s="3">
        <v>11.699150757821901</v>
      </c>
      <c r="CA62" s="3">
        <v>12.2250407871263</v>
      </c>
      <c r="CB62" s="3">
        <v>12.605792651030701</v>
      </c>
      <c r="CC62" s="3">
        <v>13.074310096664981</v>
      </c>
      <c r="CD62" s="3">
        <v>13.389811353201519</v>
      </c>
      <c r="CE62" s="3">
        <v>11.39341887988005</v>
      </c>
      <c r="CF62" s="3">
        <v>11.747129039705751</v>
      </c>
      <c r="CG62" s="3">
        <v>12.094003949568361</v>
      </c>
      <c r="CH62" s="3">
        <v>12.40472627007942</v>
      </c>
      <c r="CI62" s="3">
        <v>12.740139101429371</v>
      </c>
      <c r="CJ62" s="3">
        <v>13.07011977066721</v>
      </c>
      <c r="CK62" s="3">
        <v>13.420893969545419</v>
      </c>
      <c r="CL62" s="3">
        <v>13.7808011491132</v>
      </c>
      <c r="CM62" s="3">
        <v>14.14647340659681</v>
      </c>
      <c r="CN62" s="3">
        <v>14.548518381641481</v>
      </c>
      <c r="CO62" s="3">
        <v>14.961200397822591</v>
      </c>
      <c r="CP62" s="3">
        <v>15.37486335940755</v>
      </c>
      <c r="CQ62" s="3">
        <v>15.79345190979479</v>
      </c>
      <c r="CR62" s="3">
        <v>16.211901789176249</v>
      </c>
      <c r="CS62" s="3">
        <v>16.636614236996561</v>
      </c>
      <c r="CU62" s="17" t="s">
        <v>479</v>
      </c>
      <c r="CV62" s="3">
        <v>11.699150757821901</v>
      </c>
      <c r="CW62" s="3">
        <v>12.2250407871263</v>
      </c>
      <c r="CX62" s="3">
        <v>12.605792651030701</v>
      </c>
      <c r="CY62" s="3">
        <v>13.074310096664981</v>
      </c>
      <c r="CZ62" s="3">
        <v>13.389811353201519</v>
      </c>
      <c r="DA62" s="3">
        <v>9.4541039908421194</v>
      </c>
      <c r="DB62" s="3">
        <v>9.8135661094274607</v>
      </c>
      <c r="DC62" s="3">
        <v>10.170670297829099</v>
      </c>
      <c r="DD62" s="3">
        <v>10.47656666467878</v>
      </c>
      <c r="DE62" s="3">
        <v>10.814295223376419</v>
      </c>
      <c r="DF62" s="3">
        <v>11.139996238807351</v>
      </c>
      <c r="DG62" s="3">
        <v>11.49518006107542</v>
      </c>
      <c r="DH62" s="3">
        <v>11.8659791948385</v>
      </c>
      <c r="DI62" s="3">
        <v>12.23899184113573</v>
      </c>
      <c r="DJ62" s="3">
        <v>12.623230235089199</v>
      </c>
      <c r="DK62" s="3">
        <v>13.025706144639519</v>
      </c>
      <c r="DL62" s="3">
        <v>13.4241351088665</v>
      </c>
      <c r="DM62" s="3">
        <v>13.823997675223939</v>
      </c>
      <c r="DN62" s="3">
        <v>14.21626685399287</v>
      </c>
      <c r="DO62" s="3">
        <v>14.610824138485601</v>
      </c>
    </row>
    <row r="63" spans="1:119" x14ac:dyDescent="0.45">
      <c r="A63" s="11"/>
      <c r="B63" s="3" t="s">
        <v>89</v>
      </c>
      <c r="C63" s="16" t="s">
        <v>480</v>
      </c>
      <c r="H63" s="11" t="s">
        <v>481</v>
      </c>
      <c r="I63" s="11" t="s">
        <v>482</v>
      </c>
    </row>
    <row r="64" spans="1:119" x14ac:dyDescent="0.45">
      <c r="A64" s="16" t="s">
        <v>483</v>
      </c>
      <c r="B64" s="3" t="s">
        <v>89</v>
      </c>
      <c r="C64" s="16" t="s">
        <v>483</v>
      </c>
      <c r="H64" s="3" t="s">
        <v>484</v>
      </c>
      <c r="I64" s="3" t="s">
        <v>289</v>
      </c>
      <c r="K64" s="17" t="s">
        <v>485</v>
      </c>
      <c r="L64" s="3">
        <v>1.776082236756628</v>
      </c>
      <c r="M64" s="3">
        <v>1.6982952262880051</v>
      </c>
      <c r="N64" s="3">
        <v>1.9748123586723001</v>
      </c>
      <c r="O64" s="3">
        <v>2.0408339944810052</v>
      </c>
      <c r="P64" s="3">
        <v>2.0532579228865981</v>
      </c>
      <c r="Q64" s="3">
        <v>2.0615141157811978</v>
      </c>
      <c r="R64" s="3">
        <v>2.072879477457227</v>
      </c>
      <c r="S64" s="3">
        <v>2.0826326290374322</v>
      </c>
      <c r="T64" s="3">
        <v>2.080960887846683</v>
      </c>
      <c r="U64" s="3">
        <v>2.0896358427159729</v>
      </c>
      <c r="V64" s="3">
        <v>2.0913234100107161</v>
      </c>
      <c r="W64" s="3">
        <v>2.1133117981678371</v>
      </c>
      <c r="X64" s="3">
        <v>2.1304968465282932</v>
      </c>
      <c r="Y64" s="3">
        <v>2.150802262249226</v>
      </c>
      <c r="Z64" s="3">
        <v>2.1709092968456778</v>
      </c>
      <c r="AA64" s="3">
        <v>2.1908358071026708</v>
      </c>
      <c r="AB64" s="3">
        <v>2.2108783115179822</v>
      </c>
      <c r="AC64" s="3">
        <v>2.231055213393089</v>
      </c>
      <c r="AD64" s="3">
        <v>2.2514505912350842</v>
      </c>
      <c r="AE64" s="3">
        <v>2.2720917849300122</v>
      </c>
      <c r="AG64" s="17" t="s">
        <v>486</v>
      </c>
      <c r="AH64" s="3">
        <v>1.776082236756628</v>
      </c>
      <c r="AI64" s="3">
        <v>1.6979462271041039</v>
      </c>
      <c r="AJ64" s="3">
        <v>1.974476182088958</v>
      </c>
      <c r="AK64" s="3">
        <v>2.040510259321533</v>
      </c>
      <c r="AL64" s="3">
        <v>2.0529333625456712</v>
      </c>
      <c r="AM64" s="3">
        <v>1.913000679644778</v>
      </c>
      <c r="AN64" s="3">
        <v>1.8508167552785171</v>
      </c>
      <c r="AO64" s="3">
        <v>1.902724197598699</v>
      </c>
      <c r="AP64" s="3">
        <v>1.893399798758217</v>
      </c>
      <c r="AQ64" s="3">
        <v>1.909301885877843</v>
      </c>
      <c r="AR64" s="3">
        <v>1.908620097217443</v>
      </c>
      <c r="AS64" s="3">
        <v>1.932494174385198</v>
      </c>
      <c r="AT64" s="3">
        <v>1.9461880875679101</v>
      </c>
      <c r="AU64" s="3">
        <v>1.9654557344575381</v>
      </c>
      <c r="AV64" s="3">
        <v>1.984704795948566</v>
      </c>
      <c r="AW64" s="3">
        <v>2.0043822383165022</v>
      </c>
      <c r="AX64" s="3">
        <v>2.0233504456461571</v>
      </c>
      <c r="AY64" s="3">
        <v>2.0421898537839001</v>
      </c>
      <c r="AZ64" s="3">
        <v>2.0602113682218031</v>
      </c>
      <c r="BA64" s="3">
        <v>2.078276981483727</v>
      </c>
      <c r="BC64" s="17" t="s">
        <v>487</v>
      </c>
      <c r="BD64" s="3">
        <v>1.776082236756628</v>
      </c>
      <c r="BE64" s="3">
        <v>1.697073481875778</v>
      </c>
      <c r="BF64" s="3">
        <v>1.9736354487424019</v>
      </c>
      <c r="BG64" s="3">
        <v>2.0397005849509151</v>
      </c>
      <c r="BH64" s="3">
        <v>2.052123732632519</v>
      </c>
      <c r="BI64" s="3">
        <v>1.9646872653213789</v>
      </c>
      <c r="BJ64" s="3">
        <v>1.8489904452885011</v>
      </c>
      <c r="BK64" s="3">
        <v>1.761542317927723</v>
      </c>
      <c r="BL64" s="3">
        <v>1.708450587410633</v>
      </c>
      <c r="BM64" s="3">
        <v>1.678619163609617</v>
      </c>
      <c r="BN64" s="3">
        <v>1.624666964986772</v>
      </c>
      <c r="BO64" s="3">
        <v>1.5965609919928789</v>
      </c>
      <c r="BP64" s="3">
        <v>1.555548493159475</v>
      </c>
      <c r="BQ64" s="3">
        <v>1.5289783468182929</v>
      </c>
      <c r="BR64" s="3">
        <v>1.495140030561938</v>
      </c>
      <c r="BS64" s="3">
        <v>1.4719553772444769</v>
      </c>
      <c r="BT64" s="3">
        <v>1.440698456323571</v>
      </c>
      <c r="BU64" s="3">
        <v>1.421491918369876</v>
      </c>
      <c r="BV64" s="3">
        <v>1.390285079363919</v>
      </c>
      <c r="BW64" s="3">
        <v>1.376294340721848</v>
      </c>
      <c r="BY64" s="17" t="s">
        <v>488</v>
      </c>
      <c r="BZ64" s="3">
        <v>1.776082236756628</v>
      </c>
      <c r="CA64" s="3">
        <v>1.696228590331476</v>
      </c>
      <c r="CB64" s="3">
        <v>1.9728205118980049</v>
      </c>
      <c r="CC64" s="3">
        <v>2.0389146966070388</v>
      </c>
      <c r="CD64" s="3">
        <v>2.0513351753139548</v>
      </c>
      <c r="CE64" s="3">
        <v>1.8915119038546</v>
      </c>
      <c r="CF64" s="3">
        <v>1.898477503205972</v>
      </c>
      <c r="CG64" s="3">
        <v>1.9046741824011679</v>
      </c>
      <c r="CH64" s="3">
        <v>1.8977234912937311</v>
      </c>
      <c r="CI64" s="3">
        <v>1.8955428839590951</v>
      </c>
      <c r="CJ64" s="3">
        <v>1.877492746968803</v>
      </c>
      <c r="CK64" s="3">
        <v>1.888614035665217</v>
      </c>
      <c r="CL64" s="3">
        <v>1.868387972834608</v>
      </c>
      <c r="CM64" s="3">
        <v>1.8567454380609321</v>
      </c>
      <c r="CN64" s="3">
        <v>1.847614228960196</v>
      </c>
      <c r="CO64" s="3">
        <v>1.8335519892002909</v>
      </c>
      <c r="CP64" s="3">
        <v>1.822767669104892</v>
      </c>
      <c r="CQ64" s="3">
        <v>1.8131835628055319</v>
      </c>
      <c r="CR64" s="3">
        <v>1.8019190847267399</v>
      </c>
      <c r="CS64" s="3">
        <v>1.7933043977117959</v>
      </c>
      <c r="CU64" s="17" t="s">
        <v>489</v>
      </c>
      <c r="CV64" s="3">
        <v>1.776082236756628</v>
      </c>
      <c r="CW64" s="3">
        <v>1.6974573453480111</v>
      </c>
      <c r="CX64" s="3">
        <v>1.974005241111715</v>
      </c>
      <c r="CY64" s="3">
        <v>2.0400567252878901</v>
      </c>
      <c r="CZ64" s="3">
        <v>2.0524795030755318</v>
      </c>
      <c r="DA64" s="3">
        <v>1.793091423791962</v>
      </c>
      <c r="DB64" s="3">
        <v>1.649423524487359</v>
      </c>
      <c r="DC64" s="3">
        <v>1.6992366812138919</v>
      </c>
      <c r="DD64" s="3">
        <v>1.701157221602583</v>
      </c>
      <c r="DE64" s="3">
        <v>1.7423380973888991</v>
      </c>
      <c r="DF64" s="3">
        <v>1.7199156672846461</v>
      </c>
      <c r="DG64" s="3">
        <v>1.7304878750526691</v>
      </c>
      <c r="DH64" s="3">
        <v>1.718954716258021</v>
      </c>
      <c r="DI64" s="3">
        <v>1.7199407059279099</v>
      </c>
      <c r="DJ64" s="3">
        <v>1.715251383411222</v>
      </c>
      <c r="DK64" s="3">
        <v>1.717057380038806</v>
      </c>
      <c r="DL64" s="3">
        <v>1.712988924903238</v>
      </c>
      <c r="DM64" s="3">
        <v>1.714601055148234</v>
      </c>
      <c r="DN64" s="3">
        <v>1.7109496256220009</v>
      </c>
      <c r="DO64" s="3">
        <v>1.712486931525572</v>
      </c>
    </row>
    <row r="65" spans="1:119" x14ac:dyDescent="0.45">
      <c r="A65" s="16" t="s">
        <v>490</v>
      </c>
      <c r="B65" s="3" t="s">
        <v>89</v>
      </c>
      <c r="C65" s="16" t="s">
        <v>490</v>
      </c>
      <c r="H65" s="3" t="s">
        <v>491</v>
      </c>
      <c r="I65" s="3" t="s">
        <v>289</v>
      </c>
      <c r="K65" s="17" t="s">
        <v>492</v>
      </c>
      <c r="L65" s="3">
        <v>0.1657182072</v>
      </c>
      <c r="M65" s="3">
        <v>0.16588942488057401</v>
      </c>
      <c r="N65" s="3">
        <v>0.16606321159047099</v>
      </c>
      <c r="O65" s="3">
        <v>0.1722352559721331</v>
      </c>
      <c r="P65" s="3">
        <v>0.17639153185035039</v>
      </c>
      <c r="Q65" s="3">
        <v>0.18197494087904759</v>
      </c>
      <c r="R65" s="3">
        <v>0.1888726463693077</v>
      </c>
      <c r="S65" s="3">
        <v>0.19554416155859319</v>
      </c>
      <c r="T65" s="3">
        <v>0.20185078650066249</v>
      </c>
      <c r="U65" s="3">
        <v>0.20825051998919319</v>
      </c>
      <c r="V65" s="3">
        <v>0.2146748353510341</v>
      </c>
      <c r="W65" s="3">
        <v>0.2212126339498712</v>
      </c>
      <c r="X65" s="3">
        <v>0.22786320794264969</v>
      </c>
      <c r="Y65" s="3">
        <v>0.23462577599782641</v>
      </c>
      <c r="Z65" s="3">
        <v>0.24149948176204911</v>
      </c>
      <c r="AA65" s="3">
        <v>0.24848339209126299</v>
      </c>
      <c r="AB65" s="3">
        <v>0.25557649503681013</v>
      </c>
      <c r="AC65" s="3">
        <v>0.26277769757747571</v>
      </c>
      <c r="AD65" s="3">
        <v>0.27008582308878992</v>
      </c>
      <c r="AE65" s="3">
        <v>0.27749960854124189</v>
      </c>
      <c r="AG65" s="17" t="s">
        <v>493</v>
      </c>
      <c r="AH65" s="3">
        <v>0.1657182072</v>
      </c>
      <c r="AI65" s="3">
        <v>0.16588942488057401</v>
      </c>
      <c r="AJ65" s="3">
        <v>0.16606321159047099</v>
      </c>
      <c r="AK65" s="3">
        <v>0.1722352559721331</v>
      </c>
      <c r="AL65" s="3">
        <v>0.17639153185035039</v>
      </c>
      <c r="AM65" s="3">
        <v>0.1527733567491773</v>
      </c>
      <c r="AN65" s="3">
        <v>0.15857004462771179</v>
      </c>
      <c r="AO65" s="3">
        <v>0.16424724031273441</v>
      </c>
      <c r="AP65" s="3">
        <v>0.16937830827380199</v>
      </c>
      <c r="AQ65" s="3">
        <v>0.17477972929671551</v>
      </c>
      <c r="AR65" s="3">
        <v>0.18011708885788499</v>
      </c>
      <c r="AS65" s="3">
        <v>0.1857153754719337</v>
      </c>
      <c r="AT65" s="3">
        <v>0.19149441138007889</v>
      </c>
      <c r="AU65" s="3">
        <v>0.19733573192248241</v>
      </c>
      <c r="AV65" s="3">
        <v>0.20331292879825599</v>
      </c>
      <c r="AW65" s="3">
        <v>0.2094765528566789</v>
      </c>
      <c r="AX65" s="3">
        <v>0.21566109642092821</v>
      </c>
      <c r="AY65" s="3">
        <v>0.22189966789599611</v>
      </c>
      <c r="AZ65" s="3">
        <v>0.22812836172925119</v>
      </c>
      <c r="BA65" s="3">
        <v>0.23441776161429839</v>
      </c>
      <c r="BC65" s="17" t="s">
        <v>494</v>
      </c>
      <c r="BD65" s="3">
        <v>0.1657182072</v>
      </c>
      <c r="BE65" s="3">
        <v>0.16588942488057401</v>
      </c>
      <c r="BF65" s="3">
        <v>0.16606321159047099</v>
      </c>
      <c r="BG65" s="3">
        <v>0.1722352559721331</v>
      </c>
      <c r="BH65" s="3">
        <v>0.17639153185035039</v>
      </c>
      <c r="BI65" s="3">
        <v>0.16338868768537379</v>
      </c>
      <c r="BJ65" s="3">
        <v>0.15000071028156681</v>
      </c>
      <c r="BK65" s="3">
        <v>0.1398194231710487</v>
      </c>
      <c r="BL65" s="3">
        <v>0.13157032011641481</v>
      </c>
      <c r="BM65" s="3">
        <v>0.12636422317435961</v>
      </c>
      <c r="BN65" s="3">
        <v>0.1220196817135179</v>
      </c>
      <c r="BO65" s="3">
        <v>0.1184430113840465</v>
      </c>
      <c r="BP65" s="3">
        <v>0.1155174314272655</v>
      </c>
      <c r="BQ65" s="3">
        <v>0.1131058481765399</v>
      </c>
      <c r="BR65" s="3">
        <v>0.11112097500446701</v>
      </c>
      <c r="BS65" s="3">
        <v>0.1095148141177347</v>
      </c>
      <c r="BT65" s="3">
        <v>0.1082082608938759</v>
      </c>
      <c r="BU65" s="3">
        <v>0.1071439365723489</v>
      </c>
      <c r="BV65" s="3">
        <v>0.106252818984314</v>
      </c>
      <c r="BW65" s="3">
        <v>0.1055017768460098</v>
      </c>
      <c r="BY65" s="17" t="s">
        <v>495</v>
      </c>
      <c r="BZ65" s="3">
        <v>0.1657182072</v>
      </c>
      <c r="CA65" s="3">
        <v>0.16588942488057401</v>
      </c>
      <c r="CB65" s="3">
        <v>0.16606321159047099</v>
      </c>
      <c r="CC65" s="3">
        <v>0.1722352559721331</v>
      </c>
      <c r="CD65" s="3">
        <v>0.17639153185035039</v>
      </c>
      <c r="CE65" s="3">
        <v>0.15009192857330461</v>
      </c>
      <c r="CF65" s="3">
        <v>0.15475155187022049</v>
      </c>
      <c r="CG65" s="3">
        <v>0.15932113056682309</v>
      </c>
      <c r="CH65" s="3">
        <v>0.16341445082722669</v>
      </c>
      <c r="CI65" s="3">
        <v>0.1678330331032149</v>
      </c>
      <c r="CJ65" s="3">
        <v>0.17218005444597251</v>
      </c>
      <c r="CK65" s="3">
        <v>0.17680100067453261</v>
      </c>
      <c r="CL65" s="3">
        <v>0.181542260805335</v>
      </c>
      <c r="CM65" s="3">
        <v>0.18635946755689151</v>
      </c>
      <c r="CN65" s="3">
        <v>0.19165583261762159</v>
      </c>
      <c r="CO65" s="3">
        <v>0.19709232541659391</v>
      </c>
      <c r="CP65" s="3">
        <v>0.202541740762261</v>
      </c>
      <c r="CQ65" s="3">
        <v>0.2080560436654284</v>
      </c>
      <c r="CR65" s="3">
        <v>0.2135685197772775</v>
      </c>
      <c r="CS65" s="3">
        <v>0.2191634962329409</v>
      </c>
      <c r="CU65" s="17" t="s">
        <v>496</v>
      </c>
      <c r="CV65" s="3">
        <v>0.1657182072</v>
      </c>
      <c r="CW65" s="3">
        <v>0.16588942488057401</v>
      </c>
      <c r="CX65" s="3">
        <v>0.16606321159047099</v>
      </c>
      <c r="CY65" s="3">
        <v>0.1722352559721331</v>
      </c>
      <c r="CZ65" s="3">
        <v>0.17639153185035039</v>
      </c>
      <c r="DA65" s="3">
        <v>0.12454424048464451</v>
      </c>
      <c r="DB65" s="3">
        <v>0.12927963757627561</v>
      </c>
      <c r="DC65" s="3">
        <v>0.13398397232459761</v>
      </c>
      <c r="DD65" s="3">
        <v>0.13801371757736919</v>
      </c>
      <c r="DE65" s="3">
        <v>0.142462806234921</v>
      </c>
      <c r="DF65" s="3">
        <v>0.14675344928594061</v>
      </c>
      <c r="DG65" s="3">
        <v>0.15143248596880959</v>
      </c>
      <c r="DH65" s="3">
        <v>0.1563172319512551</v>
      </c>
      <c r="DI65" s="3">
        <v>0.161231137781914</v>
      </c>
      <c r="DJ65" s="3">
        <v>0.16629292671361301</v>
      </c>
      <c r="DK65" s="3">
        <v>0.17159496871747351</v>
      </c>
      <c r="DL65" s="3">
        <v>0.17684369802961139</v>
      </c>
      <c r="DM65" s="3">
        <v>0.18211131299063449</v>
      </c>
      <c r="DN65" s="3">
        <v>0.18727889597709579</v>
      </c>
      <c r="DO65" s="3">
        <v>0.19247662146990099</v>
      </c>
    </row>
    <row r="66" spans="1:119" x14ac:dyDescent="0.45">
      <c r="A66" s="16" t="s">
        <v>497</v>
      </c>
      <c r="B66" s="3" t="s">
        <v>89</v>
      </c>
      <c r="C66" s="16" t="s">
        <v>497</v>
      </c>
      <c r="H66" s="3" t="s">
        <v>498</v>
      </c>
      <c r="I66" s="3" t="s">
        <v>289</v>
      </c>
      <c r="K66" s="17" t="s">
        <v>499</v>
      </c>
      <c r="L66" s="3">
        <v>15.788350712964199</v>
      </c>
      <c r="M66" s="3">
        <v>17.709445005999601</v>
      </c>
      <c r="N66" s="3">
        <v>17.1665620578909</v>
      </c>
      <c r="O66" s="3">
        <v>18.11891436396014</v>
      </c>
      <c r="P66" s="3">
        <v>18.345227748335471</v>
      </c>
      <c r="Q66" s="3">
        <v>18.58846491134409</v>
      </c>
      <c r="R66" s="3">
        <v>18.85264482257509</v>
      </c>
      <c r="S66" s="3">
        <v>19.109699181439041</v>
      </c>
      <c r="T66" s="3">
        <v>19.356934132089329</v>
      </c>
      <c r="U66" s="3">
        <v>19.603798131246641</v>
      </c>
      <c r="V66" s="3">
        <v>19.850610765373439</v>
      </c>
      <c r="W66" s="3">
        <v>20.097071716522439</v>
      </c>
      <c r="X66" s="3">
        <v>20.343586187224531</v>
      </c>
      <c r="Y66" s="3">
        <v>20.589584017234351</v>
      </c>
      <c r="Z66" s="3">
        <v>20.834960904043829</v>
      </c>
      <c r="AA66" s="3">
        <v>21.07997435907804</v>
      </c>
      <c r="AB66" s="3">
        <v>21.323704079482908</v>
      </c>
      <c r="AC66" s="3">
        <v>21.565943917073419</v>
      </c>
      <c r="AD66" s="3">
        <v>21.805819401292371</v>
      </c>
      <c r="AE66" s="3">
        <v>22.042337668980391</v>
      </c>
      <c r="AG66" s="17" t="s">
        <v>500</v>
      </c>
      <c r="AH66" s="3">
        <v>15.788350712964199</v>
      </c>
      <c r="AI66" s="3">
        <v>17.709445005999601</v>
      </c>
      <c r="AJ66" s="3">
        <v>17.1665620578909</v>
      </c>
      <c r="AK66" s="3">
        <v>18.11891436396014</v>
      </c>
      <c r="AL66" s="3">
        <v>18.345227748335471</v>
      </c>
      <c r="AM66" s="3">
        <v>18.58846507642486</v>
      </c>
      <c r="AN66" s="3">
        <v>18.8526444492426</v>
      </c>
      <c r="AO66" s="3">
        <v>19.111396202346121</v>
      </c>
      <c r="AP66" s="3">
        <v>19.354749368243361</v>
      </c>
      <c r="AQ66" s="3">
        <v>19.602269139307289</v>
      </c>
      <c r="AR66" s="3">
        <v>19.847460277773902</v>
      </c>
      <c r="AS66" s="3">
        <v>20.096012028707289</v>
      </c>
      <c r="AT66" s="3">
        <v>20.34639306294434</v>
      </c>
      <c r="AU66" s="3">
        <v>20.595417264408201</v>
      </c>
      <c r="AV66" s="3">
        <v>20.844583268866391</v>
      </c>
      <c r="AW66" s="3">
        <v>21.09516161641141</v>
      </c>
      <c r="AX66" s="3">
        <v>21.34280226425485</v>
      </c>
      <c r="AY66" s="3">
        <v>21.58806253700325</v>
      </c>
      <c r="AZ66" s="3">
        <v>21.828885480615661</v>
      </c>
      <c r="BA66" s="3">
        <v>22.065759491579939</v>
      </c>
      <c r="BC66" s="17" t="s">
        <v>501</v>
      </c>
      <c r="BD66" s="3">
        <v>15.788350712964199</v>
      </c>
      <c r="BE66" s="3">
        <v>17.709445005999601</v>
      </c>
      <c r="BF66" s="3">
        <v>17.1665620578909</v>
      </c>
      <c r="BG66" s="3">
        <v>18.11891436396014</v>
      </c>
      <c r="BH66" s="3">
        <v>18.345227748335471</v>
      </c>
      <c r="BI66" s="3">
        <v>18.588465435886899</v>
      </c>
      <c r="BJ66" s="3">
        <v>18.852643630532139</v>
      </c>
      <c r="BK66" s="3">
        <v>19.110661674723239</v>
      </c>
      <c r="BL66" s="3">
        <v>19.356710846113661</v>
      </c>
      <c r="BM66" s="3">
        <v>19.602504882142039</v>
      </c>
      <c r="BN66" s="3">
        <v>19.847414982439989</v>
      </c>
      <c r="BO66" s="3">
        <v>20.09345505871563</v>
      </c>
      <c r="BP66" s="3">
        <v>20.342185331754219</v>
      </c>
      <c r="BQ66" s="3">
        <v>20.592203219570941</v>
      </c>
      <c r="BR66" s="3">
        <v>20.84333045180648</v>
      </c>
      <c r="BS66" s="3">
        <v>21.096526840934079</v>
      </c>
      <c r="BT66" s="3">
        <v>21.34984627571183</v>
      </c>
      <c r="BU66" s="3">
        <v>21.60241866115561</v>
      </c>
      <c r="BV66" s="3">
        <v>21.851854038090629</v>
      </c>
      <c r="BW66" s="3">
        <v>22.096803992103759</v>
      </c>
      <c r="BY66" s="17" t="s">
        <v>502</v>
      </c>
      <c r="BZ66" s="3">
        <v>15.788350712964199</v>
      </c>
      <c r="CA66" s="3">
        <v>17.709445005999601</v>
      </c>
      <c r="CB66" s="3">
        <v>17.1665620578909</v>
      </c>
      <c r="CC66" s="3">
        <v>18.11891436396014</v>
      </c>
      <c r="CD66" s="3">
        <v>18.345227748335471</v>
      </c>
      <c r="CE66" s="3">
        <v>18.588465784769099</v>
      </c>
      <c r="CF66" s="3">
        <v>18.852642664777811</v>
      </c>
      <c r="CG66" s="3">
        <v>19.11114265702146</v>
      </c>
      <c r="CH66" s="3">
        <v>19.354732989891641</v>
      </c>
      <c r="CI66" s="3">
        <v>19.60303184595044</v>
      </c>
      <c r="CJ66" s="3">
        <v>19.848033039996121</v>
      </c>
      <c r="CK66" s="3">
        <v>20.096854853562629</v>
      </c>
      <c r="CL66" s="3">
        <v>20.345934661305549</v>
      </c>
      <c r="CM66" s="3">
        <v>20.593939919751811</v>
      </c>
      <c r="CN66" s="3">
        <v>20.842056662600459</v>
      </c>
      <c r="CO66" s="3">
        <v>21.09114110963689</v>
      </c>
      <c r="CP66" s="3">
        <v>21.33741818559994</v>
      </c>
      <c r="CQ66" s="3">
        <v>21.581877427531399</v>
      </c>
      <c r="CR66" s="3">
        <v>21.822337259031091</v>
      </c>
      <c r="CS66" s="3">
        <v>22.059634009352219</v>
      </c>
      <c r="CU66" s="17" t="s">
        <v>503</v>
      </c>
      <c r="CV66" s="3">
        <v>15.788350712964199</v>
      </c>
      <c r="CW66" s="3">
        <v>17.709445005999601</v>
      </c>
      <c r="CX66" s="3">
        <v>17.1665620578909</v>
      </c>
      <c r="CY66" s="3">
        <v>18.11891436396014</v>
      </c>
      <c r="CZ66" s="3">
        <v>18.345227748335471</v>
      </c>
      <c r="DA66" s="3">
        <v>18.588465286427262</v>
      </c>
      <c r="DB66" s="3">
        <v>18.852643971322859</v>
      </c>
      <c r="DC66" s="3">
        <v>19.11333159565504</v>
      </c>
      <c r="DD66" s="3">
        <v>19.352122095053289</v>
      </c>
      <c r="DE66" s="3">
        <v>19.600779985572679</v>
      </c>
      <c r="DF66" s="3">
        <v>19.84383559194821</v>
      </c>
      <c r="DG66" s="3">
        <v>20.095047195456679</v>
      </c>
      <c r="DH66" s="3">
        <v>20.349501330977962</v>
      </c>
      <c r="DI66" s="3">
        <v>20.601858687080622</v>
      </c>
      <c r="DJ66" s="3">
        <v>20.85514874347454</v>
      </c>
      <c r="DK66" s="3">
        <v>21.111863931523711</v>
      </c>
      <c r="DL66" s="3">
        <v>21.36366408968885</v>
      </c>
      <c r="DM66" s="3">
        <v>21.612304023458201</v>
      </c>
      <c r="DN66" s="3">
        <v>21.854200265373748</v>
      </c>
      <c r="DO66" s="3">
        <v>22.091639876501059</v>
      </c>
    </row>
    <row r="67" spans="1:119" x14ac:dyDescent="0.45">
      <c r="A67" s="16" t="s">
        <v>504</v>
      </c>
      <c r="B67" s="3" t="s">
        <v>89</v>
      </c>
      <c r="C67" s="16" t="s">
        <v>504</v>
      </c>
      <c r="H67" s="3" t="s">
        <v>505</v>
      </c>
      <c r="I67" s="3" t="s">
        <v>289</v>
      </c>
      <c r="K67" s="17" t="s">
        <v>506</v>
      </c>
      <c r="L67" s="3">
        <v>0</v>
      </c>
      <c r="M67" s="3">
        <v>0</v>
      </c>
      <c r="N67" s="3">
        <v>0</v>
      </c>
      <c r="O67" s="3">
        <v>0</v>
      </c>
      <c r="P67" s="3">
        <v>0</v>
      </c>
      <c r="Q67" s="3">
        <v>0</v>
      </c>
      <c r="R67" s="3">
        <v>0</v>
      </c>
      <c r="S67" s="3">
        <v>0</v>
      </c>
      <c r="T67" s="3">
        <v>0</v>
      </c>
      <c r="U67" s="3">
        <v>0</v>
      </c>
      <c r="V67" s="3">
        <v>0</v>
      </c>
      <c r="W67" s="3">
        <v>0</v>
      </c>
      <c r="X67" s="3">
        <v>0</v>
      </c>
      <c r="Y67" s="3">
        <v>0</v>
      </c>
      <c r="Z67" s="3">
        <v>0</v>
      </c>
      <c r="AA67" s="3">
        <v>0</v>
      </c>
      <c r="AB67" s="3">
        <v>0</v>
      </c>
      <c r="AC67" s="3">
        <v>0</v>
      </c>
      <c r="AD67" s="3">
        <v>0</v>
      </c>
      <c r="AE67" s="3">
        <v>0</v>
      </c>
      <c r="AG67" s="17" t="s">
        <v>507</v>
      </c>
      <c r="AH67" s="3">
        <v>0</v>
      </c>
      <c r="AI67" s="3">
        <v>0</v>
      </c>
      <c r="AJ67" s="3">
        <v>0</v>
      </c>
      <c r="AK67" s="3">
        <v>0</v>
      </c>
      <c r="AL67" s="3">
        <v>0</v>
      </c>
      <c r="AM67" s="3">
        <v>0</v>
      </c>
      <c r="AN67" s="3">
        <v>0</v>
      </c>
      <c r="AO67" s="3">
        <v>0</v>
      </c>
      <c r="AP67" s="3">
        <v>0</v>
      </c>
      <c r="AQ67" s="3">
        <v>0</v>
      </c>
      <c r="AR67" s="3">
        <v>0</v>
      </c>
      <c r="AS67" s="3">
        <v>0</v>
      </c>
      <c r="AT67" s="3">
        <v>0</v>
      </c>
      <c r="AU67" s="3">
        <v>0</v>
      </c>
      <c r="AV67" s="3">
        <v>0</v>
      </c>
      <c r="AW67" s="3">
        <v>0</v>
      </c>
      <c r="AX67" s="3">
        <v>0</v>
      </c>
      <c r="AY67" s="3">
        <v>0</v>
      </c>
      <c r="AZ67" s="3">
        <v>0</v>
      </c>
      <c r="BA67" s="3">
        <v>0</v>
      </c>
      <c r="BC67" s="17" t="s">
        <v>508</v>
      </c>
      <c r="BD67" s="3">
        <v>0</v>
      </c>
      <c r="BE67" s="3">
        <v>0</v>
      </c>
      <c r="BF67" s="3">
        <v>0</v>
      </c>
      <c r="BG67" s="3">
        <v>0</v>
      </c>
      <c r="BH67" s="3">
        <v>0</v>
      </c>
      <c r="BI67" s="3">
        <v>0</v>
      </c>
      <c r="BJ67" s="3">
        <v>0</v>
      </c>
      <c r="BK67" s="3">
        <v>0</v>
      </c>
      <c r="BL67" s="3">
        <v>0</v>
      </c>
      <c r="BM67" s="3">
        <v>0</v>
      </c>
      <c r="BN67" s="3">
        <v>0</v>
      </c>
      <c r="BO67" s="3">
        <v>0</v>
      </c>
      <c r="BP67" s="3">
        <v>0</v>
      </c>
      <c r="BQ67" s="3">
        <v>0</v>
      </c>
      <c r="BR67" s="3">
        <v>0</v>
      </c>
      <c r="BS67" s="3">
        <v>0</v>
      </c>
      <c r="BT67" s="3">
        <v>0</v>
      </c>
      <c r="BU67" s="3">
        <v>0</v>
      </c>
      <c r="BV67" s="3">
        <v>0</v>
      </c>
      <c r="BW67" s="3">
        <v>0</v>
      </c>
      <c r="BY67" s="17" t="s">
        <v>509</v>
      </c>
      <c r="BZ67" s="3">
        <v>0</v>
      </c>
      <c r="CA67" s="3">
        <v>0</v>
      </c>
      <c r="CB67" s="3">
        <v>0</v>
      </c>
      <c r="CC67" s="3">
        <v>0</v>
      </c>
      <c r="CD67" s="3">
        <v>0</v>
      </c>
      <c r="CE67" s="3">
        <v>0</v>
      </c>
      <c r="CF67" s="3">
        <v>0</v>
      </c>
      <c r="CG67" s="3">
        <v>0</v>
      </c>
      <c r="CH67" s="3">
        <v>0</v>
      </c>
      <c r="CI67" s="3">
        <v>0</v>
      </c>
      <c r="CJ67" s="3">
        <v>0</v>
      </c>
      <c r="CK67" s="3">
        <v>0</v>
      </c>
      <c r="CL67" s="3">
        <v>0</v>
      </c>
      <c r="CM67" s="3">
        <v>0</v>
      </c>
      <c r="CN67" s="3">
        <v>0</v>
      </c>
      <c r="CO67" s="3">
        <v>0</v>
      </c>
      <c r="CP67" s="3">
        <v>0</v>
      </c>
      <c r="CQ67" s="3">
        <v>0</v>
      </c>
      <c r="CR67" s="3">
        <v>0</v>
      </c>
      <c r="CS67" s="3">
        <v>0</v>
      </c>
      <c r="CU67" s="17" t="s">
        <v>510</v>
      </c>
      <c r="CV67" s="3">
        <v>0</v>
      </c>
      <c r="CW67" s="3">
        <v>0</v>
      </c>
      <c r="CX67" s="3">
        <v>0</v>
      </c>
      <c r="CY67" s="3">
        <v>0</v>
      </c>
      <c r="CZ67" s="3">
        <v>0</v>
      </c>
      <c r="DA67" s="3">
        <v>0</v>
      </c>
      <c r="DB67" s="3">
        <v>0</v>
      </c>
      <c r="DC67" s="3">
        <v>0</v>
      </c>
      <c r="DD67" s="3">
        <v>0</v>
      </c>
      <c r="DE67" s="3">
        <v>0</v>
      </c>
      <c r="DF67" s="3">
        <v>0</v>
      </c>
      <c r="DG67" s="3">
        <v>0</v>
      </c>
      <c r="DH67" s="3">
        <v>0</v>
      </c>
      <c r="DI67" s="3">
        <v>0</v>
      </c>
      <c r="DJ67" s="3">
        <v>0</v>
      </c>
      <c r="DK67" s="3">
        <v>0</v>
      </c>
      <c r="DL67" s="3">
        <v>0</v>
      </c>
      <c r="DM67" s="3">
        <v>0</v>
      </c>
      <c r="DN67" s="3">
        <v>0</v>
      </c>
      <c r="DO67" s="3">
        <v>0</v>
      </c>
    </row>
    <row r="68" spans="1:119" x14ac:dyDescent="0.45">
      <c r="A68" s="16" t="s">
        <v>511</v>
      </c>
      <c r="B68" s="3" t="s">
        <v>89</v>
      </c>
      <c r="C68" s="16" t="s">
        <v>511</v>
      </c>
      <c r="H68" s="3" t="s">
        <v>512</v>
      </c>
      <c r="I68" s="3" t="s">
        <v>289</v>
      </c>
      <c r="K68" s="17" t="s">
        <v>513</v>
      </c>
      <c r="L68" s="3">
        <v>35.126042972388703</v>
      </c>
      <c r="M68" s="3">
        <v>35.772328129626999</v>
      </c>
      <c r="N68" s="3">
        <v>36.432770191485901</v>
      </c>
      <c r="O68" s="3">
        <v>38.399049935531778</v>
      </c>
      <c r="P68" s="3">
        <v>38.767149296784822</v>
      </c>
      <c r="Q68" s="3">
        <v>39.134224422849933</v>
      </c>
      <c r="R68" s="3">
        <v>39.501260753554128</v>
      </c>
      <c r="S68" s="3">
        <v>39.864841387972611</v>
      </c>
      <c r="T68" s="3">
        <v>40.224330202820049</v>
      </c>
      <c r="U68" s="3">
        <v>40.581323748606167</v>
      </c>
      <c r="V68" s="3">
        <v>40.936841102612952</v>
      </c>
      <c r="W68" s="3">
        <v>41.290188827671088</v>
      </c>
      <c r="X68" s="3">
        <v>41.642610300989162</v>
      </c>
      <c r="Y68" s="3">
        <v>41.992679271344713</v>
      </c>
      <c r="Z68" s="3">
        <v>42.340253298355393</v>
      </c>
      <c r="AA68" s="3">
        <v>42.686169533243309</v>
      </c>
      <c r="AB68" s="3">
        <v>43.028085108199583</v>
      </c>
      <c r="AC68" s="3">
        <v>43.365605100452967</v>
      </c>
      <c r="AD68" s="3">
        <v>43.696554565387572</v>
      </c>
      <c r="AE68" s="3">
        <v>44.018473170619309</v>
      </c>
      <c r="AG68" s="17" t="s">
        <v>514</v>
      </c>
      <c r="AH68" s="3">
        <v>35.126042972388703</v>
      </c>
      <c r="AI68" s="3">
        <v>35.772328129626999</v>
      </c>
      <c r="AJ68" s="3">
        <v>36.432770191485901</v>
      </c>
      <c r="AK68" s="3">
        <v>38.399049935531778</v>
      </c>
      <c r="AL68" s="3">
        <v>38.767149296784822</v>
      </c>
      <c r="AM68" s="3">
        <v>39.134224422849933</v>
      </c>
      <c r="AN68" s="3">
        <v>39.501260753554128</v>
      </c>
      <c r="AO68" s="3">
        <v>39.864841387972611</v>
      </c>
      <c r="AP68" s="3">
        <v>40.224330202820049</v>
      </c>
      <c r="AQ68" s="3">
        <v>40.581323748606167</v>
      </c>
      <c r="AR68" s="3">
        <v>40.936841102612952</v>
      </c>
      <c r="AS68" s="3">
        <v>41.290188827671088</v>
      </c>
      <c r="AT68" s="3">
        <v>41.642610300989162</v>
      </c>
      <c r="AU68" s="3">
        <v>41.992679271344713</v>
      </c>
      <c r="AV68" s="3">
        <v>42.340253298355393</v>
      </c>
      <c r="AW68" s="3">
        <v>42.686169533243309</v>
      </c>
      <c r="AX68" s="3">
        <v>43.028085108199583</v>
      </c>
      <c r="AY68" s="3">
        <v>43.365605100452967</v>
      </c>
      <c r="AZ68" s="3">
        <v>43.696554565387572</v>
      </c>
      <c r="BA68" s="3">
        <v>44.018473170619309</v>
      </c>
      <c r="BC68" s="17" t="s">
        <v>515</v>
      </c>
      <c r="BD68" s="3">
        <v>35.126042972388703</v>
      </c>
      <c r="BE68" s="3">
        <v>35.772328129626999</v>
      </c>
      <c r="BF68" s="3">
        <v>36.432770191485901</v>
      </c>
      <c r="BG68" s="3">
        <v>38.399049935531778</v>
      </c>
      <c r="BH68" s="3">
        <v>38.767149296784822</v>
      </c>
      <c r="BI68" s="3">
        <v>39.134224422849933</v>
      </c>
      <c r="BJ68" s="3">
        <v>39.501260753554128</v>
      </c>
      <c r="BK68" s="3">
        <v>39.864841387972611</v>
      </c>
      <c r="BL68" s="3">
        <v>40.224330202820049</v>
      </c>
      <c r="BM68" s="3">
        <v>40.581323748606167</v>
      </c>
      <c r="BN68" s="3">
        <v>40.936841102612952</v>
      </c>
      <c r="BO68" s="3">
        <v>41.290188827671088</v>
      </c>
      <c r="BP68" s="3">
        <v>41.642610300989162</v>
      </c>
      <c r="BQ68" s="3">
        <v>41.992679271344713</v>
      </c>
      <c r="BR68" s="3">
        <v>42.340253298355393</v>
      </c>
      <c r="BS68" s="3">
        <v>42.686169533243309</v>
      </c>
      <c r="BT68" s="3">
        <v>43.028085108199583</v>
      </c>
      <c r="BU68" s="3">
        <v>43.365605100452967</v>
      </c>
      <c r="BV68" s="3">
        <v>43.696554565387572</v>
      </c>
      <c r="BW68" s="3">
        <v>44.018473170619309</v>
      </c>
      <c r="BY68" s="17" t="s">
        <v>516</v>
      </c>
      <c r="BZ68" s="3">
        <v>35.126042972388703</v>
      </c>
      <c r="CA68" s="3">
        <v>35.772328129626999</v>
      </c>
      <c r="CB68" s="3">
        <v>36.432770191485901</v>
      </c>
      <c r="CC68" s="3">
        <v>38.399049935531778</v>
      </c>
      <c r="CD68" s="3">
        <v>38.767149296784822</v>
      </c>
      <c r="CE68" s="3">
        <v>39.134224422849933</v>
      </c>
      <c r="CF68" s="3">
        <v>39.501260753554128</v>
      </c>
      <c r="CG68" s="3">
        <v>39.864841387972611</v>
      </c>
      <c r="CH68" s="3">
        <v>40.224330202820049</v>
      </c>
      <c r="CI68" s="3">
        <v>40.581323748606167</v>
      </c>
      <c r="CJ68" s="3">
        <v>40.936841102612952</v>
      </c>
      <c r="CK68" s="3">
        <v>41.290188827671088</v>
      </c>
      <c r="CL68" s="3">
        <v>41.642610300989162</v>
      </c>
      <c r="CM68" s="3">
        <v>41.992679271344713</v>
      </c>
      <c r="CN68" s="3">
        <v>42.340253298355393</v>
      </c>
      <c r="CO68" s="3">
        <v>42.686169533243309</v>
      </c>
      <c r="CP68" s="3">
        <v>43.028085108199583</v>
      </c>
      <c r="CQ68" s="3">
        <v>43.365605100452967</v>
      </c>
      <c r="CR68" s="3">
        <v>43.696554565387572</v>
      </c>
      <c r="CS68" s="3">
        <v>44.018473170619309</v>
      </c>
      <c r="CU68" s="17" t="s">
        <v>517</v>
      </c>
      <c r="CV68" s="3">
        <v>35.126042972388703</v>
      </c>
      <c r="CW68" s="3">
        <v>35.772328129626999</v>
      </c>
      <c r="CX68" s="3">
        <v>36.432770191485901</v>
      </c>
      <c r="CY68" s="3">
        <v>38.399049935531778</v>
      </c>
      <c r="CZ68" s="3">
        <v>38.767149296784822</v>
      </c>
      <c r="DA68" s="3">
        <v>39.134224422849933</v>
      </c>
      <c r="DB68" s="3">
        <v>39.501260753554128</v>
      </c>
      <c r="DC68" s="3">
        <v>39.864841387972611</v>
      </c>
      <c r="DD68" s="3">
        <v>40.224330202820049</v>
      </c>
      <c r="DE68" s="3">
        <v>40.581323748606167</v>
      </c>
      <c r="DF68" s="3">
        <v>40.936841102612952</v>
      </c>
      <c r="DG68" s="3">
        <v>41.290188827671088</v>
      </c>
      <c r="DH68" s="3">
        <v>41.642610300989162</v>
      </c>
      <c r="DI68" s="3">
        <v>41.992679271344713</v>
      </c>
      <c r="DJ68" s="3">
        <v>42.340253298355393</v>
      </c>
      <c r="DK68" s="3">
        <v>42.686169533243309</v>
      </c>
      <c r="DL68" s="3">
        <v>43.028085108199583</v>
      </c>
      <c r="DM68" s="3">
        <v>43.365605100452967</v>
      </c>
      <c r="DN68" s="3">
        <v>43.696554565387572</v>
      </c>
      <c r="DO68" s="3">
        <v>44.018473170619309</v>
      </c>
    </row>
    <row r="69" spans="1:119" x14ac:dyDescent="0.45">
      <c r="A69" s="16" t="s">
        <v>518</v>
      </c>
      <c r="B69" s="3" t="s">
        <v>89</v>
      </c>
      <c r="C69" s="16" t="s">
        <v>518</v>
      </c>
      <c r="H69" s="3" t="s">
        <v>519</v>
      </c>
      <c r="I69" s="3" t="s">
        <v>289</v>
      </c>
      <c r="K69" s="17" t="s">
        <v>520</v>
      </c>
      <c r="L69" s="3">
        <v>8.9167735999999997E-2</v>
      </c>
      <c r="M69" s="3">
        <v>0.106864256591645</v>
      </c>
      <c r="N69" s="3">
        <v>0.12882020925686399</v>
      </c>
      <c r="O69" s="3">
        <v>0.13084057010682881</v>
      </c>
      <c r="P69" s="3">
        <v>0.1327586215978554</v>
      </c>
      <c r="Q69" s="3">
        <v>0.13468912088414961</v>
      </c>
      <c r="R69" s="3">
        <v>0.13663553557371749</v>
      </c>
      <c r="S69" s="3">
        <v>0.13858609768605831</v>
      </c>
      <c r="T69" s="3">
        <v>0.1405385168533719</v>
      </c>
      <c r="U69" s="3">
        <v>0.14249829681179529</v>
      </c>
      <c r="V69" s="3">
        <v>0.14446901460293121</v>
      </c>
      <c r="W69" s="3">
        <v>0.14644824500141601</v>
      </c>
      <c r="X69" s="3">
        <v>0.14844041730443799</v>
      </c>
      <c r="Y69" s="3">
        <v>0.1504404854072646</v>
      </c>
      <c r="Z69" s="3">
        <v>0.15244792314431979</v>
      </c>
      <c r="AA69" s="3">
        <v>0.15446573828142601</v>
      </c>
      <c r="AB69" s="3">
        <v>0.15648543368669221</v>
      </c>
      <c r="AC69" s="3">
        <v>0.15850546070891791</v>
      </c>
      <c r="AD69" s="3">
        <v>0.16051770136493579</v>
      </c>
      <c r="AE69" s="3">
        <v>0.16251282174272741</v>
      </c>
      <c r="AG69" s="17" t="s">
        <v>521</v>
      </c>
      <c r="AH69" s="3">
        <v>8.9167735999999997E-2</v>
      </c>
      <c r="AI69" s="3">
        <v>0.106864256591645</v>
      </c>
      <c r="AJ69" s="3">
        <v>0.12882020925686399</v>
      </c>
      <c r="AK69" s="3">
        <v>0.13084057010682881</v>
      </c>
      <c r="AL69" s="3">
        <v>0.1327586215978554</v>
      </c>
      <c r="AM69" s="3">
        <v>0.13468912088414961</v>
      </c>
      <c r="AN69" s="3">
        <v>0.13663553557371749</v>
      </c>
      <c r="AO69" s="3">
        <v>0.13858609768605831</v>
      </c>
      <c r="AP69" s="3">
        <v>0.1405385168533719</v>
      </c>
      <c r="AQ69" s="3">
        <v>0.14249829681179529</v>
      </c>
      <c r="AR69" s="3">
        <v>0.14446901460293121</v>
      </c>
      <c r="AS69" s="3">
        <v>0.14644824500141601</v>
      </c>
      <c r="AT69" s="3">
        <v>0.14844041730443799</v>
      </c>
      <c r="AU69" s="3">
        <v>0.1504404854072646</v>
      </c>
      <c r="AV69" s="3">
        <v>0.15244792314431979</v>
      </c>
      <c r="AW69" s="3">
        <v>0.15446573828142601</v>
      </c>
      <c r="AX69" s="3">
        <v>0.15648543368669221</v>
      </c>
      <c r="AY69" s="3">
        <v>0.15850546070891791</v>
      </c>
      <c r="AZ69" s="3">
        <v>0.16051770136493579</v>
      </c>
      <c r="BA69" s="3">
        <v>0.16251282174272741</v>
      </c>
      <c r="BC69" s="17" t="s">
        <v>522</v>
      </c>
      <c r="BD69" s="3">
        <v>8.9167735999999997E-2</v>
      </c>
      <c r="BE69" s="3">
        <v>0.106864256591645</v>
      </c>
      <c r="BF69" s="3">
        <v>0.12882020925686399</v>
      </c>
      <c r="BG69" s="3">
        <v>0.13084057010682881</v>
      </c>
      <c r="BH69" s="3">
        <v>0.1327586215978554</v>
      </c>
      <c r="BI69" s="3">
        <v>0.13468912088414961</v>
      </c>
      <c r="BJ69" s="3">
        <v>0.13663553557371749</v>
      </c>
      <c r="BK69" s="3">
        <v>0.13858609768605831</v>
      </c>
      <c r="BL69" s="3">
        <v>0.1405385168533719</v>
      </c>
      <c r="BM69" s="3">
        <v>0.14249829681179529</v>
      </c>
      <c r="BN69" s="3">
        <v>0.14446901460293121</v>
      </c>
      <c r="BO69" s="3">
        <v>0.14644824500141601</v>
      </c>
      <c r="BP69" s="3">
        <v>0.14844041730443799</v>
      </c>
      <c r="BQ69" s="3">
        <v>0.1504404854072646</v>
      </c>
      <c r="BR69" s="3">
        <v>0.15244792314431979</v>
      </c>
      <c r="BS69" s="3">
        <v>0.15446573828142601</v>
      </c>
      <c r="BT69" s="3">
        <v>0.15648543368669221</v>
      </c>
      <c r="BU69" s="3">
        <v>0.15850546070891791</v>
      </c>
      <c r="BV69" s="3">
        <v>0.16051770136493579</v>
      </c>
      <c r="BW69" s="3">
        <v>0.16251282174272741</v>
      </c>
      <c r="BY69" s="17" t="s">
        <v>523</v>
      </c>
      <c r="BZ69" s="3">
        <v>8.9167735999999997E-2</v>
      </c>
      <c r="CA69" s="3">
        <v>0.106864256591645</v>
      </c>
      <c r="CB69" s="3">
        <v>0.12882020925686399</v>
      </c>
      <c r="CC69" s="3">
        <v>0.13084057010682881</v>
      </c>
      <c r="CD69" s="3">
        <v>0.1327586215978554</v>
      </c>
      <c r="CE69" s="3">
        <v>0.13468912088414961</v>
      </c>
      <c r="CF69" s="3">
        <v>0.13663553557371749</v>
      </c>
      <c r="CG69" s="3">
        <v>0.13858609768605831</v>
      </c>
      <c r="CH69" s="3">
        <v>0.1405385168533719</v>
      </c>
      <c r="CI69" s="3">
        <v>0.14249829681179529</v>
      </c>
      <c r="CJ69" s="3">
        <v>0.14446901460293121</v>
      </c>
      <c r="CK69" s="3">
        <v>0.14644824500141601</v>
      </c>
      <c r="CL69" s="3">
        <v>0.14844041730443799</v>
      </c>
      <c r="CM69" s="3">
        <v>0.1504404854072646</v>
      </c>
      <c r="CN69" s="3">
        <v>0.15244792314431979</v>
      </c>
      <c r="CO69" s="3">
        <v>0.15446573828142601</v>
      </c>
      <c r="CP69" s="3">
        <v>0.15648543368669221</v>
      </c>
      <c r="CQ69" s="3">
        <v>0.15850546070891791</v>
      </c>
      <c r="CR69" s="3">
        <v>0.16051770136493579</v>
      </c>
      <c r="CS69" s="3">
        <v>0.16251282174272741</v>
      </c>
      <c r="CU69" s="17" t="s">
        <v>524</v>
      </c>
      <c r="CV69" s="3">
        <v>8.9167735999999997E-2</v>
      </c>
      <c r="CW69" s="3">
        <v>0.106864256591645</v>
      </c>
      <c r="CX69" s="3">
        <v>0.12882020925686399</v>
      </c>
      <c r="CY69" s="3">
        <v>0.13084057010682881</v>
      </c>
      <c r="CZ69" s="3">
        <v>0.1327586215978554</v>
      </c>
      <c r="DA69" s="3">
        <v>0.13468912088414961</v>
      </c>
      <c r="DB69" s="3">
        <v>0.13663553557371749</v>
      </c>
      <c r="DC69" s="3">
        <v>0.13858609768605831</v>
      </c>
      <c r="DD69" s="3">
        <v>0.1405385168533719</v>
      </c>
      <c r="DE69" s="3">
        <v>0.14249829681179529</v>
      </c>
      <c r="DF69" s="3">
        <v>0.14446901460293121</v>
      </c>
      <c r="DG69" s="3">
        <v>0.14644824500141601</v>
      </c>
      <c r="DH69" s="3">
        <v>0.14844041730443799</v>
      </c>
      <c r="DI69" s="3">
        <v>0.1504404854072646</v>
      </c>
      <c r="DJ69" s="3">
        <v>0.15244792314431979</v>
      </c>
      <c r="DK69" s="3">
        <v>0.15446573828142601</v>
      </c>
      <c r="DL69" s="3">
        <v>0.15648543368669221</v>
      </c>
      <c r="DM69" s="3">
        <v>0.15850546070891791</v>
      </c>
      <c r="DN69" s="3">
        <v>0.16051770136493579</v>
      </c>
      <c r="DO69" s="3">
        <v>0.16251282174272741</v>
      </c>
    </row>
    <row r="70" spans="1:119" x14ac:dyDescent="0.45">
      <c r="A70" s="11"/>
      <c r="B70" s="3" t="s">
        <v>89</v>
      </c>
      <c r="C70" s="16" t="s">
        <v>525</v>
      </c>
      <c r="H70" s="11" t="s">
        <v>526</v>
      </c>
      <c r="I70" s="11" t="s">
        <v>482</v>
      </c>
    </row>
    <row r="71" spans="1:119" x14ac:dyDescent="0.45">
      <c r="A71" s="11"/>
      <c r="B71" s="3" t="s">
        <v>89</v>
      </c>
      <c r="C71" s="16" t="s">
        <v>527</v>
      </c>
      <c r="H71" s="11" t="s">
        <v>528</v>
      </c>
      <c r="I71" s="11" t="s">
        <v>529</v>
      </c>
    </row>
    <row r="72" spans="1:119" x14ac:dyDescent="0.45">
      <c r="A72" s="16" t="s">
        <v>530</v>
      </c>
      <c r="B72" s="3" t="s">
        <v>89</v>
      </c>
      <c r="C72" s="16" t="s">
        <v>531</v>
      </c>
      <c r="H72" s="3" t="s">
        <v>532</v>
      </c>
      <c r="I72" s="3" t="s">
        <v>92</v>
      </c>
      <c r="K72" s="17" t="s">
        <v>533</v>
      </c>
      <c r="L72" s="3">
        <v>0</v>
      </c>
      <c r="M72" s="3">
        <v>0</v>
      </c>
      <c r="N72" s="3">
        <v>0</v>
      </c>
      <c r="O72" s="3">
        <v>0</v>
      </c>
      <c r="P72" s="3">
        <v>0</v>
      </c>
      <c r="Q72" s="3">
        <v>0</v>
      </c>
      <c r="R72" s="3">
        <v>0</v>
      </c>
      <c r="S72" s="3">
        <v>0</v>
      </c>
      <c r="T72" s="3">
        <v>0</v>
      </c>
      <c r="U72" s="3">
        <v>0</v>
      </c>
      <c r="V72" s="3">
        <v>0</v>
      </c>
      <c r="W72" s="3">
        <v>0</v>
      </c>
      <c r="X72" s="3">
        <v>0</v>
      </c>
      <c r="Y72" s="3">
        <v>0</v>
      </c>
      <c r="Z72" s="3">
        <v>0</v>
      </c>
      <c r="AA72" s="3">
        <v>0</v>
      </c>
      <c r="AB72" s="3">
        <v>0</v>
      </c>
      <c r="AC72" s="3">
        <v>0</v>
      </c>
      <c r="AD72" s="3">
        <v>0</v>
      </c>
      <c r="AE72" s="3">
        <v>0</v>
      </c>
      <c r="AG72" s="17" t="s">
        <v>534</v>
      </c>
      <c r="AH72" s="3">
        <v>0</v>
      </c>
      <c r="AI72" s="3">
        <v>-1.305654779147902E-4</v>
      </c>
      <c r="AJ72" s="3">
        <v>-1.1376657612383049E-4</v>
      </c>
      <c r="AK72" s="3">
        <v>-1.045976376021773E-4</v>
      </c>
      <c r="AL72" s="3">
        <v>-1.023804374206128E-4</v>
      </c>
      <c r="AM72" s="3">
        <v>-6.6852523826787968E-2</v>
      </c>
      <c r="AN72" s="3">
        <v>-8.7148958703241242E-2</v>
      </c>
      <c r="AO72" s="3">
        <v>-8.3064829370469884E-2</v>
      </c>
      <c r="AP72" s="3">
        <v>-8.55708433555602E-2</v>
      </c>
      <c r="AQ72" s="3">
        <v>-8.3462400802076009E-2</v>
      </c>
      <c r="AR72" s="3">
        <v>-8.407948043927238E-2</v>
      </c>
      <c r="AS72" s="3">
        <v>-8.2976415149618843E-2</v>
      </c>
      <c r="AT72" s="3">
        <v>-8.3275624592376363E-2</v>
      </c>
      <c r="AU72" s="3">
        <v>-8.2940856967796406E-2</v>
      </c>
      <c r="AV72" s="3">
        <v>-8.2537233796881271E-2</v>
      </c>
      <c r="AW72" s="3">
        <v>-8.1893520134051045E-2</v>
      </c>
      <c r="AX72" s="3">
        <v>-8.1561182332787863E-2</v>
      </c>
      <c r="AY72" s="3">
        <v>-8.135556102496877E-2</v>
      </c>
      <c r="AZ72" s="3">
        <v>-8.1516852686391195E-2</v>
      </c>
      <c r="BA72" s="3">
        <v>-8.1759770761875017E-2</v>
      </c>
      <c r="BC72" s="17" t="s">
        <v>535</v>
      </c>
      <c r="BD72" s="3">
        <v>0</v>
      </c>
      <c r="BE72" s="3">
        <v>-4.5200169637382709E-4</v>
      </c>
      <c r="BF72" s="3">
        <v>-3.9382814230137791E-4</v>
      </c>
      <c r="BG72" s="3">
        <v>-3.6207124546194791E-4</v>
      </c>
      <c r="BH72" s="3">
        <v>-3.5389464216073469E-4</v>
      </c>
      <c r="BI72" s="3">
        <v>-4.3306664956254022E-2</v>
      </c>
      <c r="BJ72" s="3">
        <v>-9.8013124328341528E-2</v>
      </c>
      <c r="BK72" s="3">
        <v>-0.14879681288044519</v>
      </c>
      <c r="BL72" s="3">
        <v>-0.18459596801464681</v>
      </c>
      <c r="BM72" s="3">
        <v>-0.20491979680497099</v>
      </c>
      <c r="BN72" s="3">
        <v>-0.22879653065721811</v>
      </c>
      <c r="BO72" s="3">
        <v>-0.248833374363128</v>
      </c>
      <c r="BP72" s="3">
        <v>-0.27008365898291631</v>
      </c>
      <c r="BQ72" s="3">
        <v>-0.28723584240400701</v>
      </c>
      <c r="BR72" s="3">
        <v>-0.30522975410380571</v>
      </c>
      <c r="BS72" s="3">
        <v>-0.31974242269464143</v>
      </c>
      <c r="BT72" s="3">
        <v>-0.33547316891734519</v>
      </c>
      <c r="BU72" s="3">
        <v>-0.34779071711208548</v>
      </c>
      <c r="BV72" s="3">
        <v>-0.36237442441602929</v>
      </c>
      <c r="BW72" s="3">
        <v>-0.37266848347007508</v>
      </c>
      <c r="BY72" s="17" t="s">
        <v>536</v>
      </c>
      <c r="BZ72" s="3">
        <v>0</v>
      </c>
      <c r="CA72" s="3">
        <v>-7.6686456017427407E-4</v>
      </c>
      <c r="CB72" s="3">
        <v>-6.6851136809364942E-4</v>
      </c>
      <c r="CC72" s="3">
        <v>-6.1492858789991001E-4</v>
      </c>
      <c r="CD72" s="3">
        <v>-6.0159215849864278E-4</v>
      </c>
      <c r="CE72" s="3">
        <v>-7.5832083847299558E-2</v>
      </c>
      <c r="CF72" s="3">
        <v>-7.7850266712278016E-2</v>
      </c>
      <c r="CG72" s="3">
        <v>-7.9405495393245484E-2</v>
      </c>
      <c r="CH72" s="3">
        <v>-8.1797077982388E-2</v>
      </c>
      <c r="CI72" s="3">
        <v>-8.5818324637825572E-2</v>
      </c>
      <c r="CJ72" s="3">
        <v>-9.2248002554811359E-2</v>
      </c>
      <c r="CK72" s="3">
        <v>-9.5492351454426805E-2</v>
      </c>
      <c r="CL72" s="3">
        <v>-0.1054148118607786</v>
      </c>
      <c r="CM72" s="3">
        <v>-0.1135598703845153</v>
      </c>
      <c r="CN72" s="3">
        <v>-0.1204112064570714</v>
      </c>
      <c r="CO72" s="3">
        <v>-0.12807129281730151</v>
      </c>
      <c r="CP72" s="3">
        <v>-0.1348085269604056</v>
      </c>
      <c r="CQ72" s="3">
        <v>-0.14108304464776819</v>
      </c>
      <c r="CR72" s="3">
        <v>-0.14765968780025299</v>
      </c>
      <c r="CS72" s="3">
        <v>-0.15346740789858551</v>
      </c>
      <c r="CU72" s="17" t="s">
        <v>537</v>
      </c>
      <c r="CV72" s="3">
        <v>0</v>
      </c>
      <c r="CW72" s="3">
        <v>-3.1145631493134651E-4</v>
      </c>
      <c r="CX72" s="3">
        <v>-2.7137646640684737E-4</v>
      </c>
      <c r="CY72" s="3">
        <v>-2.4949850229616383E-4</v>
      </c>
      <c r="CZ72" s="3">
        <v>-2.440123648430603E-4</v>
      </c>
      <c r="DA72" s="3">
        <v>-0.13157182962810199</v>
      </c>
      <c r="DB72" s="3">
        <v>-0.174464671167574</v>
      </c>
      <c r="DC72" s="3">
        <v>-0.17013049866697799</v>
      </c>
      <c r="DD72" s="3">
        <v>-0.17716212340376011</v>
      </c>
      <c r="DE72" s="3">
        <v>-0.16812867404006571</v>
      </c>
      <c r="DF72" s="3">
        <v>-0.17444248726039371</v>
      </c>
      <c r="DG72" s="3">
        <v>-0.176015500974222</v>
      </c>
      <c r="DH72" s="3">
        <v>-0.18196608043395809</v>
      </c>
      <c r="DI72" s="3">
        <v>-0.18531989282236319</v>
      </c>
      <c r="DJ72" s="3">
        <v>-0.1898151517485778</v>
      </c>
      <c r="DK72" s="3">
        <v>-0.19236112083569121</v>
      </c>
      <c r="DL72" s="3">
        <v>-0.19639190214897359</v>
      </c>
      <c r="DM72" s="3">
        <v>-0.19909310274536801</v>
      </c>
      <c r="DN72" s="3">
        <v>-0.20315761557077239</v>
      </c>
      <c r="DO72" s="3">
        <v>-0.2060502467676093</v>
      </c>
    </row>
    <row r="73" spans="1:119" x14ac:dyDescent="0.45">
      <c r="A73" s="16" t="s">
        <v>538</v>
      </c>
      <c r="B73" s="3" t="s">
        <v>89</v>
      </c>
      <c r="C73" s="16" t="s">
        <v>539</v>
      </c>
      <c r="H73" s="3" t="s">
        <v>540</v>
      </c>
      <c r="I73" s="3" t="s">
        <v>541</v>
      </c>
      <c r="K73" s="17" t="s">
        <v>542</v>
      </c>
      <c r="L73" s="3" t="s">
        <v>543</v>
      </c>
      <c r="M73" s="3" t="s">
        <v>543</v>
      </c>
      <c r="N73" s="3" t="s">
        <v>543</v>
      </c>
      <c r="O73" s="3" t="s">
        <v>543</v>
      </c>
      <c r="P73" s="3" t="s">
        <v>543</v>
      </c>
      <c r="Q73" s="3" t="s">
        <v>543</v>
      </c>
      <c r="R73" s="3" t="s">
        <v>543</v>
      </c>
      <c r="S73" s="3" t="s">
        <v>543</v>
      </c>
      <c r="T73" s="3" t="s">
        <v>543</v>
      </c>
      <c r="U73" s="3" t="s">
        <v>543</v>
      </c>
      <c r="V73" s="3" t="s">
        <v>543</v>
      </c>
      <c r="W73" s="3" t="s">
        <v>543</v>
      </c>
      <c r="X73" s="3" t="s">
        <v>543</v>
      </c>
      <c r="Y73" s="3" t="s">
        <v>543</v>
      </c>
      <c r="Z73" s="3" t="s">
        <v>543</v>
      </c>
      <c r="AA73" s="3" t="s">
        <v>543</v>
      </c>
      <c r="AB73" s="3" t="s">
        <v>543</v>
      </c>
      <c r="AC73" s="3" t="s">
        <v>543</v>
      </c>
      <c r="AD73" s="3" t="s">
        <v>543</v>
      </c>
      <c r="AE73" s="3" t="s">
        <v>543</v>
      </c>
      <c r="AG73" s="17" t="s">
        <v>544</v>
      </c>
      <c r="AH73" s="3" t="s">
        <v>543</v>
      </c>
      <c r="AI73" s="3" t="s">
        <v>543</v>
      </c>
      <c r="AJ73" s="3" t="s">
        <v>543</v>
      </c>
      <c r="AK73" s="3" t="s">
        <v>543</v>
      </c>
      <c r="AL73" s="3" t="s">
        <v>543</v>
      </c>
      <c r="AM73" s="3" t="s">
        <v>543</v>
      </c>
      <c r="AN73" s="3" t="s">
        <v>543</v>
      </c>
      <c r="AO73" s="3" t="s">
        <v>543</v>
      </c>
      <c r="AP73" s="3" t="s">
        <v>543</v>
      </c>
      <c r="AQ73" s="3" t="s">
        <v>543</v>
      </c>
      <c r="AR73" s="3" t="s">
        <v>543</v>
      </c>
      <c r="AS73" s="3" t="s">
        <v>543</v>
      </c>
      <c r="AT73" s="3" t="s">
        <v>543</v>
      </c>
      <c r="AU73" s="3" t="s">
        <v>543</v>
      </c>
      <c r="AV73" s="3" t="s">
        <v>543</v>
      </c>
      <c r="AW73" s="3" t="s">
        <v>543</v>
      </c>
      <c r="AX73" s="3" t="s">
        <v>543</v>
      </c>
      <c r="AY73" s="3" t="s">
        <v>543</v>
      </c>
      <c r="AZ73" s="3" t="s">
        <v>543</v>
      </c>
      <c r="BA73" s="3" t="s">
        <v>543</v>
      </c>
      <c r="BC73" s="17" t="s">
        <v>545</v>
      </c>
      <c r="BD73" s="3" t="s">
        <v>543</v>
      </c>
      <c r="BE73" s="3" t="s">
        <v>543</v>
      </c>
      <c r="BF73" s="3" t="s">
        <v>543</v>
      </c>
      <c r="BG73" s="3" t="s">
        <v>543</v>
      </c>
      <c r="BH73" s="3" t="s">
        <v>543</v>
      </c>
      <c r="BI73" s="3" t="s">
        <v>543</v>
      </c>
      <c r="BJ73" s="3" t="s">
        <v>543</v>
      </c>
      <c r="BK73" s="3" t="s">
        <v>543</v>
      </c>
      <c r="BL73" s="3" t="s">
        <v>543</v>
      </c>
      <c r="BM73" s="3" t="s">
        <v>543</v>
      </c>
      <c r="BN73" s="3" t="s">
        <v>543</v>
      </c>
      <c r="BO73" s="3" t="s">
        <v>543</v>
      </c>
      <c r="BP73" s="3" t="s">
        <v>543</v>
      </c>
      <c r="BQ73" s="3" t="s">
        <v>543</v>
      </c>
      <c r="BR73" s="3" t="s">
        <v>543</v>
      </c>
      <c r="BS73" s="3" t="s">
        <v>543</v>
      </c>
      <c r="BT73" s="3" t="s">
        <v>543</v>
      </c>
      <c r="BU73" s="3" t="s">
        <v>543</v>
      </c>
      <c r="BV73" s="3" t="s">
        <v>543</v>
      </c>
      <c r="BW73" s="3" t="s">
        <v>543</v>
      </c>
      <c r="BY73" s="17" t="s">
        <v>546</v>
      </c>
      <c r="BZ73" s="3" t="s">
        <v>543</v>
      </c>
      <c r="CA73" s="3" t="s">
        <v>543</v>
      </c>
      <c r="CB73" s="3" t="s">
        <v>543</v>
      </c>
      <c r="CC73" s="3" t="s">
        <v>543</v>
      </c>
      <c r="CD73" s="3" t="s">
        <v>543</v>
      </c>
      <c r="CE73" s="3" t="s">
        <v>543</v>
      </c>
      <c r="CF73" s="3" t="s">
        <v>543</v>
      </c>
      <c r="CG73" s="3" t="s">
        <v>543</v>
      </c>
      <c r="CH73" s="3" t="s">
        <v>543</v>
      </c>
      <c r="CI73" s="3" t="s">
        <v>543</v>
      </c>
      <c r="CJ73" s="3" t="s">
        <v>543</v>
      </c>
      <c r="CK73" s="3" t="s">
        <v>543</v>
      </c>
      <c r="CL73" s="3" t="s">
        <v>543</v>
      </c>
      <c r="CM73" s="3" t="s">
        <v>543</v>
      </c>
      <c r="CN73" s="3" t="s">
        <v>543</v>
      </c>
      <c r="CO73" s="3" t="s">
        <v>543</v>
      </c>
      <c r="CP73" s="3" t="s">
        <v>543</v>
      </c>
      <c r="CQ73" s="3" t="s">
        <v>543</v>
      </c>
      <c r="CR73" s="3" t="s">
        <v>543</v>
      </c>
      <c r="CS73" s="3" t="s">
        <v>543</v>
      </c>
      <c r="CU73" s="17" t="s">
        <v>547</v>
      </c>
      <c r="CV73" s="3" t="s">
        <v>543</v>
      </c>
      <c r="CW73" s="3" t="s">
        <v>543</v>
      </c>
      <c r="CX73" s="3" t="s">
        <v>543</v>
      </c>
      <c r="CY73" s="3" t="s">
        <v>543</v>
      </c>
      <c r="CZ73" s="3" t="s">
        <v>543</v>
      </c>
      <c r="DA73" s="3" t="s">
        <v>543</v>
      </c>
      <c r="DB73" s="3" t="s">
        <v>543</v>
      </c>
      <c r="DC73" s="3" t="s">
        <v>543</v>
      </c>
      <c r="DD73" s="3" t="s">
        <v>543</v>
      </c>
      <c r="DE73" s="3" t="s">
        <v>543</v>
      </c>
      <c r="DF73" s="3" t="s">
        <v>543</v>
      </c>
      <c r="DG73" s="3" t="s">
        <v>543</v>
      </c>
      <c r="DH73" s="3" t="s">
        <v>543</v>
      </c>
      <c r="DI73" s="3" t="s">
        <v>543</v>
      </c>
      <c r="DJ73" s="3" t="s">
        <v>543</v>
      </c>
      <c r="DK73" s="3" t="s">
        <v>543</v>
      </c>
      <c r="DL73" s="3" t="s">
        <v>543</v>
      </c>
      <c r="DM73" s="3" t="s">
        <v>543</v>
      </c>
      <c r="DN73" s="3" t="s">
        <v>543</v>
      </c>
      <c r="DO73" s="3" t="s">
        <v>543</v>
      </c>
    </row>
    <row r="74" spans="1:119" x14ac:dyDescent="0.45">
      <c r="A74" s="16" t="s">
        <v>548</v>
      </c>
      <c r="B74" s="3" t="s">
        <v>89</v>
      </c>
      <c r="C74" s="16" t="s">
        <v>549</v>
      </c>
      <c r="H74" s="3" t="s">
        <v>550</v>
      </c>
      <c r="I74" s="3" t="s">
        <v>551</v>
      </c>
      <c r="K74" s="17" t="s">
        <v>552</v>
      </c>
      <c r="L74" s="3">
        <v>0</v>
      </c>
      <c r="M74" s="3">
        <v>0</v>
      </c>
      <c r="N74" s="3">
        <v>0</v>
      </c>
      <c r="O74" s="3">
        <v>0</v>
      </c>
      <c r="P74" s="3">
        <v>0</v>
      </c>
      <c r="Q74" s="3">
        <v>0</v>
      </c>
      <c r="R74" s="3">
        <v>0</v>
      </c>
      <c r="S74" s="3">
        <v>0</v>
      </c>
      <c r="T74" s="3">
        <v>0</v>
      </c>
      <c r="U74" s="3">
        <v>0</v>
      </c>
      <c r="V74" s="3">
        <v>0</v>
      </c>
      <c r="W74" s="3">
        <v>0</v>
      </c>
      <c r="X74" s="3">
        <v>0</v>
      </c>
      <c r="Y74" s="3">
        <v>0</v>
      </c>
      <c r="Z74" s="3">
        <v>0</v>
      </c>
      <c r="AA74" s="3">
        <v>0</v>
      </c>
      <c r="AB74" s="3">
        <v>0</v>
      </c>
      <c r="AC74" s="3">
        <v>0</v>
      </c>
      <c r="AD74" s="3">
        <v>0</v>
      </c>
      <c r="AE74" s="3">
        <v>0</v>
      </c>
      <c r="AG74" s="17" t="s">
        <v>553</v>
      </c>
      <c r="AH74" s="3">
        <v>0</v>
      </c>
      <c r="AI74" s="3">
        <v>0</v>
      </c>
      <c r="AJ74" s="3">
        <v>0</v>
      </c>
      <c r="AK74" s="3">
        <v>0</v>
      </c>
      <c r="AL74" s="3">
        <v>0</v>
      </c>
      <c r="AM74" s="3">
        <v>0</v>
      </c>
      <c r="AN74" s="3">
        <v>0</v>
      </c>
      <c r="AO74" s="3">
        <v>0</v>
      </c>
      <c r="AP74" s="3">
        <v>0</v>
      </c>
      <c r="AQ74" s="3">
        <v>0</v>
      </c>
      <c r="AR74" s="3">
        <v>0</v>
      </c>
      <c r="AS74" s="3">
        <v>0</v>
      </c>
      <c r="AT74" s="3">
        <v>0</v>
      </c>
      <c r="AU74" s="3">
        <v>0</v>
      </c>
      <c r="AV74" s="3">
        <v>0</v>
      </c>
      <c r="AW74" s="3">
        <v>0</v>
      </c>
      <c r="AX74" s="3">
        <v>0</v>
      </c>
      <c r="AY74" s="3">
        <v>0</v>
      </c>
      <c r="AZ74" s="3">
        <v>0</v>
      </c>
      <c r="BA74" s="3">
        <v>0</v>
      </c>
      <c r="BC74" s="17" t="s">
        <v>554</v>
      </c>
      <c r="BD74" s="3">
        <v>0</v>
      </c>
      <c r="BE74" s="3">
        <v>0</v>
      </c>
      <c r="BF74" s="3">
        <v>0</v>
      </c>
      <c r="BG74" s="3">
        <v>0</v>
      </c>
      <c r="BH74" s="3">
        <v>0</v>
      </c>
      <c r="BI74" s="3">
        <v>0</v>
      </c>
      <c r="BJ74" s="3">
        <v>0</v>
      </c>
      <c r="BK74" s="3">
        <v>0</v>
      </c>
      <c r="BL74" s="3">
        <v>0</v>
      </c>
      <c r="BM74" s="3">
        <v>0</v>
      </c>
      <c r="BN74" s="3">
        <v>0</v>
      </c>
      <c r="BO74" s="3">
        <v>0</v>
      </c>
      <c r="BP74" s="3">
        <v>0</v>
      </c>
      <c r="BQ74" s="3">
        <v>0</v>
      </c>
      <c r="BR74" s="3">
        <v>0</v>
      </c>
      <c r="BS74" s="3">
        <v>0</v>
      </c>
      <c r="BT74" s="3">
        <v>0</v>
      </c>
      <c r="BU74" s="3">
        <v>0</v>
      </c>
      <c r="BV74" s="3">
        <v>0</v>
      </c>
      <c r="BW74" s="3">
        <v>0</v>
      </c>
      <c r="BY74" s="17" t="s">
        <v>555</v>
      </c>
      <c r="BZ74" s="3">
        <v>0</v>
      </c>
      <c r="CA74" s="3">
        <v>0</v>
      </c>
      <c r="CB74" s="3">
        <v>0</v>
      </c>
      <c r="CC74" s="3">
        <v>0</v>
      </c>
      <c r="CD74" s="3">
        <v>0</v>
      </c>
      <c r="CE74" s="3">
        <v>0</v>
      </c>
      <c r="CF74" s="3">
        <v>0</v>
      </c>
      <c r="CG74" s="3">
        <v>0</v>
      </c>
      <c r="CH74" s="3">
        <v>0</v>
      </c>
      <c r="CI74" s="3">
        <v>0</v>
      </c>
      <c r="CJ74" s="3">
        <v>0</v>
      </c>
      <c r="CK74" s="3">
        <v>0</v>
      </c>
      <c r="CL74" s="3">
        <v>0</v>
      </c>
      <c r="CM74" s="3">
        <v>0</v>
      </c>
      <c r="CN74" s="3">
        <v>0</v>
      </c>
      <c r="CO74" s="3">
        <v>0</v>
      </c>
      <c r="CP74" s="3">
        <v>0</v>
      </c>
      <c r="CQ74" s="3">
        <v>0</v>
      </c>
      <c r="CR74" s="3">
        <v>0</v>
      </c>
      <c r="CS74" s="3">
        <v>0</v>
      </c>
      <c r="CU74" s="17" t="s">
        <v>556</v>
      </c>
      <c r="CV74" s="3">
        <v>0</v>
      </c>
      <c r="CW74" s="3">
        <v>0</v>
      </c>
      <c r="CX74" s="3">
        <v>0</v>
      </c>
      <c r="CY74" s="3">
        <v>0</v>
      </c>
      <c r="CZ74" s="3">
        <v>0</v>
      </c>
      <c r="DA74" s="3">
        <v>0</v>
      </c>
      <c r="DB74" s="3">
        <v>0</v>
      </c>
      <c r="DC74" s="3">
        <v>0</v>
      </c>
      <c r="DD74" s="3">
        <v>0</v>
      </c>
      <c r="DE74" s="3">
        <v>0</v>
      </c>
      <c r="DF74" s="3">
        <v>0</v>
      </c>
      <c r="DG74" s="3">
        <v>0</v>
      </c>
      <c r="DH74" s="3">
        <v>0</v>
      </c>
      <c r="DI74" s="3">
        <v>0</v>
      </c>
      <c r="DJ74" s="3">
        <v>0</v>
      </c>
      <c r="DK74" s="3">
        <v>0</v>
      </c>
      <c r="DL74" s="3">
        <v>0</v>
      </c>
      <c r="DM74" s="3">
        <v>0</v>
      </c>
      <c r="DN74" s="3">
        <v>0</v>
      </c>
      <c r="DO74" s="3">
        <v>0</v>
      </c>
    </row>
    <row r="75" spans="1:119" x14ac:dyDescent="0.45">
      <c r="A75" s="11"/>
      <c r="B75" s="3" t="s">
        <v>89</v>
      </c>
      <c r="C75" s="16" t="s">
        <v>557</v>
      </c>
      <c r="H75" s="11" t="s">
        <v>558</v>
      </c>
      <c r="I75" s="11" t="s">
        <v>541</v>
      </c>
    </row>
    <row r="76" spans="1:119" x14ac:dyDescent="0.45">
      <c r="A76" s="11"/>
      <c r="B76" s="3" t="s">
        <v>89</v>
      </c>
      <c r="C76" s="16" t="s">
        <v>559</v>
      </c>
      <c r="H76" s="11" t="s">
        <v>560</v>
      </c>
      <c r="I76" s="11" t="s">
        <v>541</v>
      </c>
    </row>
    <row r="77" spans="1:119" x14ac:dyDescent="0.45">
      <c r="A77" s="16" t="s">
        <v>561</v>
      </c>
      <c r="B77" s="3" t="s">
        <v>89</v>
      </c>
      <c r="C77" s="16" t="s">
        <v>562</v>
      </c>
      <c r="H77" s="3" t="s">
        <v>563</v>
      </c>
      <c r="I77" s="3" t="s">
        <v>564</v>
      </c>
      <c r="K77" s="17" t="s">
        <v>565</v>
      </c>
      <c r="L77" s="3">
        <v>0.97466600049890861</v>
      </c>
      <c r="M77" s="3">
        <v>0.97466600049890861</v>
      </c>
      <c r="N77" s="3">
        <v>0.97466600049890861</v>
      </c>
      <c r="O77" s="3">
        <v>0.97466600049890861</v>
      </c>
      <c r="P77" s="3">
        <v>0.97466600049890861</v>
      </c>
      <c r="Q77" s="3">
        <v>0.97466600049890861</v>
      </c>
      <c r="R77" s="3">
        <v>0.97466600049890861</v>
      </c>
      <c r="S77" s="3">
        <v>0.97466600049890861</v>
      </c>
      <c r="T77" s="3">
        <v>0.97466600049890861</v>
      </c>
      <c r="U77" s="3">
        <v>0.97466600049890861</v>
      </c>
      <c r="V77" s="3">
        <v>0.97466600049890861</v>
      </c>
      <c r="W77" s="3">
        <v>0.97466600049890861</v>
      </c>
      <c r="X77" s="3">
        <v>0.97466600049890861</v>
      </c>
      <c r="Y77" s="3">
        <v>0.97466600049890861</v>
      </c>
      <c r="Z77" s="3">
        <v>0.97466600049890861</v>
      </c>
      <c r="AA77" s="3">
        <v>0.97466600049890861</v>
      </c>
      <c r="AB77" s="3">
        <v>0.97466600049890861</v>
      </c>
      <c r="AC77" s="3">
        <v>0.97466600049890861</v>
      </c>
      <c r="AD77" s="3">
        <v>0.97466600049890861</v>
      </c>
      <c r="AE77" s="3">
        <v>0.97466600049890861</v>
      </c>
      <c r="AG77" s="17" t="s">
        <v>566</v>
      </c>
      <c r="AH77" s="3">
        <v>0.97466600049890861</v>
      </c>
      <c r="AI77" s="3">
        <v>0.97466600049890861</v>
      </c>
      <c r="AJ77" s="3">
        <v>0.97466600049890861</v>
      </c>
      <c r="AK77" s="3">
        <v>0.97466600049890861</v>
      </c>
      <c r="AL77" s="3">
        <v>0.97466600049890861</v>
      </c>
      <c r="AM77" s="3">
        <v>0.97466600049890861</v>
      </c>
      <c r="AN77" s="3">
        <v>0.97466600049890861</v>
      </c>
      <c r="AO77" s="3">
        <v>0.97466600049890861</v>
      </c>
      <c r="AP77" s="3">
        <v>0.97466600049890861</v>
      </c>
      <c r="AQ77" s="3">
        <v>0.97466600049890861</v>
      </c>
      <c r="AR77" s="3">
        <v>0.97466600049890861</v>
      </c>
      <c r="AS77" s="3">
        <v>0.97466600049890861</v>
      </c>
      <c r="AT77" s="3">
        <v>0.97466600049890861</v>
      </c>
      <c r="AU77" s="3">
        <v>0.97466600049890861</v>
      </c>
      <c r="AV77" s="3">
        <v>0.97466600049890861</v>
      </c>
      <c r="AW77" s="3">
        <v>0.97466600049890861</v>
      </c>
      <c r="AX77" s="3">
        <v>0.97466600049890861</v>
      </c>
      <c r="AY77" s="3">
        <v>0.97466600049890861</v>
      </c>
      <c r="AZ77" s="3">
        <v>0.97466600049890861</v>
      </c>
      <c r="BA77" s="3">
        <v>0.97466600049890861</v>
      </c>
      <c r="BC77" s="17" t="s">
        <v>567</v>
      </c>
      <c r="BD77" s="3">
        <v>0.97466600049890861</v>
      </c>
      <c r="BE77" s="3">
        <v>0.97466600049890861</v>
      </c>
      <c r="BF77" s="3">
        <v>0.97466600049890861</v>
      </c>
      <c r="BG77" s="3">
        <v>0.97466600049890861</v>
      </c>
      <c r="BH77" s="3">
        <v>0.97466600049890861</v>
      </c>
      <c r="BI77" s="3">
        <v>0.97466600049890861</v>
      </c>
      <c r="BJ77" s="3">
        <v>0.97466600049890861</v>
      </c>
      <c r="BK77" s="3">
        <v>0.97466600049890861</v>
      </c>
      <c r="BL77" s="3">
        <v>0.97466600049890861</v>
      </c>
      <c r="BM77" s="3">
        <v>0.97466600049890861</v>
      </c>
      <c r="BN77" s="3">
        <v>0.97466600049890861</v>
      </c>
      <c r="BO77" s="3">
        <v>0.97466600049890861</v>
      </c>
      <c r="BP77" s="3">
        <v>0.97466600049890861</v>
      </c>
      <c r="BQ77" s="3">
        <v>0.97466600049890861</v>
      </c>
      <c r="BR77" s="3">
        <v>0.97466600049890861</v>
      </c>
      <c r="BS77" s="3">
        <v>0.97466600049890861</v>
      </c>
      <c r="BT77" s="3">
        <v>0.97466600049890861</v>
      </c>
      <c r="BU77" s="3">
        <v>0.97466600049890861</v>
      </c>
      <c r="BV77" s="3">
        <v>0.97466600049890861</v>
      </c>
      <c r="BW77" s="3">
        <v>0.97466600049890861</v>
      </c>
      <c r="BY77" s="17" t="s">
        <v>568</v>
      </c>
      <c r="BZ77" s="3">
        <v>0.97466600049890861</v>
      </c>
      <c r="CA77" s="3">
        <v>0.97466600049890861</v>
      </c>
      <c r="CB77" s="3">
        <v>0.97466600049890861</v>
      </c>
      <c r="CC77" s="3">
        <v>0.97466600049890861</v>
      </c>
      <c r="CD77" s="3">
        <v>0.97466600049890861</v>
      </c>
      <c r="CE77" s="3">
        <v>0.97466600049890861</v>
      </c>
      <c r="CF77" s="3">
        <v>0.97466600049890861</v>
      </c>
      <c r="CG77" s="3">
        <v>0.97466600049890861</v>
      </c>
      <c r="CH77" s="3">
        <v>0.97466600049890861</v>
      </c>
      <c r="CI77" s="3">
        <v>0.97466600049890861</v>
      </c>
      <c r="CJ77" s="3">
        <v>0.97466600049890861</v>
      </c>
      <c r="CK77" s="3">
        <v>0.97466600049890861</v>
      </c>
      <c r="CL77" s="3">
        <v>0.97466600049890861</v>
      </c>
      <c r="CM77" s="3">
        <v>0.97466600049890861</v>
      </c>
      <c r="CN77" s="3">
        <v>0.97466600049890861</v>
      </c>
      <c r="CO77" s="3">
        <v>0.97466600049890861</v>
      </c>
      <c r="CP77" s="3">
        <v>0.97466600049890861</v>
      </c>
      <c r="CQ77" s="3">
        <v>0.97466600049890861</v>
      </c>
      <c r="CR77" s="3">
        <v>0.97466600049890861</v>
      </c>
      <c r="CS77" s="3">
        <v>0.97466600049890861</v>
      </c>
      <c r="CU77" s="17" t="s">
        <v>569</v>
      </c>
      <c r="CV77" s="3">
        <v>0.97466600049890861</v>
      </c>
      <c r="CW77" s="3">
        <v>0.97466600049890861</v>
      </c>
      <c r="CX77" s="3">
        <v>0.97466600049890861</v>
      </c>
      <c r="CY77" s="3">
        <v>0.97466600049890861</v>
      </c>
      <c r="CZ77" s="3">
        <v>0.97466600049890861</v>
      </c>
      <c r="DA77" s="3">
        <v>0.97466600049890861</v>
      </c>
      <c r="DB77" s="3">
        <v>0.97466600049890861</v>
      </c>
      <c r="DC77" s="3">
        <v>0.97466600049890861</v>
      </c>
      <c r="DD77" s="3">
        <v>0.97466600049890861</v>
      </c>
      <c r="DE77" s="3">
        <v>0.97466600049890861</v>
      </c>
      <c r="DF77" s="3">
        <v>0.97466600049890861</v>
      </c>
      <c r="DG77" s="3">
        <v>0.97466600049890861</v>
      </c>
      <c r="DH77" s="3">
        <v>0.97466600049890861</v>
      </c>
      <c r="DI77" s="3">
        <v>0.97466600049890861</v>
      </c>
      <c r="DJ77" s="3">
        <v>0.97466600049890861</v>
      </c>
      <c r="DK77" s="3">
        <v>0.97466600049890861</v>
      </c>
      <c r="DL77" s="3">
        <v>0.97466600049890861</v>
      </c>
      <c r="DM77" s="3">
        <v>0.97466600049890861</v>
      </c>
      <c r="DN77" s="3">
        <v>0.97466600049890861</v>
      </c>
      <c r="DO77" s="3">
        <v>0.97466600049890861</v>
      </c>
    </row>
    <row r="78" spans="1:119" x14ac:dyDescent="0.45">
      <c r="A78" s="16" t="s">
        <v>570</v>
      </c>
      <c r="B78" s="3" t="s">
        <v>89</v>
      </c>
      <c r="C78" s="16" t="s">
        <v>571</v>
      </c>
      <c r="H78" s="3" t="s">
        <v>563</v>
      </c>
      <c r="I78" s="3" t="s">
        <v>564</v>
      </c>
      <c r="K78" s="17" t="s">
        <v>572</v>
      </c>
      <c r="L78" s="3" t="s">
        <v>573</v>
      </c>
      <c r="M78" s="3" t="s">
        <v>573</v>
      </c>
      <c r="N78" s="3" t="s">
        <v>573</v>
      </c>
      <c r="O78" s="3" t="s">
        <v>573</v>
      </c>
      <c r="P78" s="3" t="s">
        <v>573</v>
      </c>
      <c r="Q78" s="3" t="s">
        <v>573</v>
      </c>
      <c r="R78" s="3" t="s">
        <v>573</v>
      </c>
      <c r="S78" s="3" t="s">
        <v>573</v>
      </c>
      <c r="T78" s="3" t="s">
        <v>573</v>
      </c>
      <c r="U78" s="3" t="s">
        <v>573</v>
      </c>
      <c r="V78" s="3" t="s">
        <v>573</v>
      </c>
      <c r="W78" s="3" t="s">
        <v>573</v>
      </c>
      <c r="X78" s="3" t="s">
        <v>573</v>
      </c>
      <c r="Y78" s="3" t="s">
        <v>573</v>
      </c>
      <c r="Z78" s="3" t="s">
        <v>573</v>
      </c>
      <c r="AA78" s="3" t="s">
        <v>573</v>
      </c>
      <c r="AB78" s="3" t="s">
        <v>573</v>
      </c>
      <c r="AC78" s="3" t="s">
        <v>573</v>
      </c>
      <c r="AD78" s="3" t="s">
        <v>573</v>
      </c>
      <c r="AE78" s="3" t="s">
        <v>573</v>
      </c>
      <c r="AG78" s="17" t="s">
        <v>574</v>
      </c>
      <c r="AH78" s="3" t="s">
        <v>573</v>
      </c>
      <c r="AI78" s="3" t="s">
        <v>573</v>
      </c>
      <c r="AJ78" s="3" t="s">
        <v>573</v>
      </c>
      <c r="AK78" s="3" t="s">
        <v>573</v>
      </c>
      <c r="AL78" s="3" t="s">
        <v>573</v>
      </c>
      <c r="AM78" s="3" t="s">
        <v>573</v>
      </c>
      <c r="AN78" s="3" t="s">
        <v>573</v>
      </c>
      <c r="AO78" s="3" t="s">
        <v>573</v>
      </c>
      <c r="AP78" s="3" t="s">
        <v>573</v>
      </c>
      <c r="AQ78" s="3" t="s">
        <v>573</v>
      </c>
      <c r="AR78" s="3" t="s">
        <v>573</v>
      </c>
      <c r="AS78" s="3" t="s">
        <v>573</v>
      </c>
      <c r="AT78" s="3" t="s">
        <v>573</v>
      </c>
      <c r="AU78" s="3" t="s">
        <v>573</v>
      </c>
      <c r="AV78" s="3" t="s">
        <v>573</v>
      </c>
      <c r="AW78" s="3" t="s">
        <v>573</v>
      </c>
      <c r="AX78" s="3" t="s">
        <v>573</v>
      </c>
      <c r="AY78" s="3" t="s">
        <v>573</v>
      </c>
      <c r="AZ78" s="3" t="s">
        <v>573</v>
      </c>
      <c r="BA78" s="3" t="s">
        <v>573</v>
      </c>
      <c r="BC78" s="17" t="s">
        <v>575</v>
      </c>
      <c r="BD78" s="3" t="s">
        <v>573</v>
      </c>
      <c r="BE78" s="3" t="s">
        <v>573</v>
      </c>
      <c r="BF78" s="3" t="s">
        <v>573</v>
      </c>
      <c r="BG78" s="3" t="s">
        <v>573</v>
      </c>
      <c r="BH78" s="3" t="s">
        <v>573</v>
      </c>
      <c r="BI78" s="3" t="s">
        <v>573</v>
      </c>
      <c r="BJ78" s="3" t="s">
        <v>573</v>
      </c>
      <c r="BK78" s="3" t="s">
        <v>573</v>
      </c>
      <c r="BL78" s="3" t="s">
        <v>573</v>
      </c>
      <c r="BM78" s="3" t="s">
        <v>573</v>
      </c>
      <c r="BN78" s="3" t="s">
        <v>573</v>
      </c>
      <c r="BO78" s="3" t="s">
        <v>573</v>
      </c>
      <c r="BP78" s="3" t="s">
        <v>573</v>
      </c>
      <c r="BQ78" s="3" t="s">
        <v>573</v>
      </c>
      <c r="BR78" s="3" t="s">
        <v>573</v>
      </c>
      <c r="BS78" s="3" t="s">
        <v>573</v>
      </c>
      <c r="BT78" s="3" t="s">
        <v>573</v>
      </c>
      <c r="BU78" s="3" t="s">
        <v>573</v>
      </c>
      <c r="BV78" s="3" t="s">
        <v>573</v>
      </c>
      <c r="BW78" s="3" t="s">
        <v>573</v>
      </c>
      <c r="BY78" s="17" t="s">
        <v>576</v>
      </c>
      <c r="BZ78" s="3" t="s">
        <v>573</v>
      </c>
      <c r="CA78" s="3" t="s">
        <v>573</v>
      </c>
      <c r="CB78" s="3" t="s">
        <v>573</v>
      </c>
      <c r="CC78" s="3" t="s">
        <v>573</v>
      </c>
      <c r="CD78" s="3" t="s">
        <v>573</v>
      </c>
      <c r="CE78" s="3" t="s">
        <v>573</v>
      </c>
      <c r="CF78" s="3" t="s">
        <v>573</v>
      </c>
      <c r="CG78" s="3" t="s">
        <v>573</v>
      </c>
      <c r="CH78" s="3" t="s">
        <v>573</v>
      </c>
      <c r="CI78" s="3" t="s">
        <v>573</v>
      </c>
      <c r="CJ78" s="3" t="s">
        <v>573</v>
      </c>
      <c r="CK78" s="3" t="s">
        <v>573</v>
      </c>
      <c r="CL78" s="3" t="s">
        <v>573</v>
      </c>
      <c r="CM78" s="3" t="s">
        <v>573</v>
      </c>
      <c r="CN78" s="3" t="s">
        <v>573</v>
      </c>
      <c r="CO78" s="3" t="s">
        <v>573</v>
      </c>
      <c r="CP78" s="3" t="s">
        <v>573</v>
      </c>
      <c r="CQ78" s="3" t="s">
        <v>573</v>
      </c>
      <c r="CR78" s="3" t="s">
        <v>573</v>
      </c>
      <c r="CS78" s="3" t="s">
        <v>573</v>
      </c>
      <c r="CU78" s="17" t="s">
        <v>577</v>
      </c>
      <c r="CV78" s="3" t="s">
        <v>573</v>
      </c>
      <c r="CW78" s="3" t="s">
        <v>573</v>
      </c>
      <c r="CX78" s="3" t="s">
        <v>573</v>
      </c>
      <c r="CY78" s="3" t="s">
        <v>573</v>
      </c>
      <c r="CZ78" s="3" t="s">
        <v>573</v>
      </c>
      <c r="DA78" s="3" t="s">
        <v>573</v>
      </c>
      <c r="DB78" s="3" t="s">
        <v>573</v>
      </c>
      <c r="DC78" s="3" t="s">
        <v>573</v>
      </c>
      <c r="DD78" s="3" t="s">
        <v>573</v>
      </c>
      <c r="DE78" s="3" t="s">
        <v>573</v>
      </c>
      <c r="DF78" s="3" t="s">
        <v>573</v>
      </c>
      <c r="DG78" s="3" t="s">
        <v>573</v>
      </c>
      <c r="DH78" s="3" t="s">
        <v>573</v>
      </c>
      <c r="DI78" s="3" t="s">
        <v>573</v>
      </c>
      <c r="DJ78" s="3" t="s">
        <v>573</v>
      </c>
      <c r="DK78" s="3" t="s">
        <v>573</v>
      </c>
      <c r="DL78" s="3" t="s">
        <v>573</v>
      </c>
      <c r="DM78" s="3" t="s">
        <v>573</v>
      </c>
      <c r="DN78" s="3" t="s">
        <v>573</v>
      </c>
      <c r="DO78" s="3" t="s">
        <v>573</v>
      </c>
    </row>
    <row r="79" spans="1:119" x14ac:dyDescent="0.45">
      <c r="A79" s="16" t="s">
        <v>578</v>
      </c>
      <c r="B79" s="3" t="s">
        <v>89</v>
      </c>
      <c r="C79" s="16" t="s">
        <v>579</v>
      </c>
      <c r="H79" s="3" t="s">
        <v>580</v>
      </c>
      <c r="I79" s="3" t="s">
        <v>289</v>
      </c>
      <c r="K79" s="17" t="s">
        <v>581</v>
      </c>
      <c r="L79" s="3">
        <v>390.75078480076098</v>
      </c>
      <c r="M79" s="3">
        <v>390.75078480076098</v>
      </c>
      <c r="N79" s="3">
        <v>390.75078480076098</v>
      </c>
      <c r="O79" s="3">
        <v>390.75078480076098</v>
      </c>
      <c r="P79" s="3">
        <v>390.75078480076098</v>
      </c>
      <c r="Q79" s="3">
        <v>390.75078480076098</v>
      </c>
      <c r="R79" s="3">
        <v>390.75078480076098</v>
      </c>
      <c r="S79" s="3">
        <v>390.75078480076098</v>
      </c>
      <c r="T79" s="3">
        <v>390.75078480076098</v>
      </c>
      <c r="U79" s="3">
        <v>390.75078480076098</v>
      </c>
      <c r="V79" s="3">
        <v>390.75078480076098</v>
      </c>
      <c r="W79" s="3">
        <v>390.75078480076098</v>
      </c>
      <c r="X79" s="3">
        <v>390.75078480076098</v>
      </c>
      <c r="Y79" s="3">
        <v>390.75078480076098</v>
      </c>
      <c r="Z79" s="3">
        <v>390.75078480076098</v>
      </c>
      <c r="AA79" s="3">
        <v>390.75078480076098</v>
      </c>
      <c r="AB79" s="3">
        <v>390.75078480076098</v>
      </c>
      <c r="AC79" s="3">
        <v>390.75078480076098</v>
      </c>
      <c r="AD79" s="3">
        <v>390.75078480076098</v>
      </c>
      <c r="AE79" s="3">
        <v>390.75078480076098</v>
      </c>
      <c r="AG79" s="17" t="s">
        <v>582</v>
      </c>
      <c r="AH79" s="3">
        <v>390.75078480076098</v>
      </c>
      <c r="AI79" s="3">
        <v>390.75078480076098</v>
      </c>
      <c r="AJ79" s="3">
        <v>390.75078480076098</v>
      </c>
      <c r="AK79" s="3">
        <v>390.75078480076098</v>
      </c>
      <c r="AL79" s="3">
        <v>390.75078480076098</v>
      </c>
      <c r="AM79" s="3">
        <v>390.75078480076098</v>
      </c>
      <c r="AN79" s="3">
        <v>390.75078480076098</v>
      </c>
      <c r="AO79" s="3">
        <v>390.75078480076098</v>
      </c>
      <c r="AP79" s="3">
        <v>390.75078480076098</v>
      </c>
      <c r="AQ79" s="3">
        <v>390.75078480076098</v>
      </c>
      <c r="AR79" s="3">
        <v>390.75078480076098</v>
      </c>
      <c r="AS79" s="3">
        <v>390.75078480076098</v>
      </c>
      <c r="AT79" s="3">
        <v>390.75078480076098</v>
      </c>
      <c r="AU79" s="3">
        <v>390.75078480076098</v>
      </c>
      <c r="AV79" s="3">
        <v>390.75078480076098</v>
      </c>
      <c r="AW79" s="3">
        <v>390.75078480076098</v>
      </c>
      <c r="AX79" s="3">
        <v>390.75078480076098</v>
      </c>
      <c r="AY79" s="3">
        <v>390.75078480076098</v>
      </c>
      <c r="AZ79" s="3">
        <v>390.75078480076098</v>
      </c>
      <c r="BA79" s="3">
        <v>390.75078480076098</v>
      </c>
      <c r="BC79" s="17" t="s">
        <v>583</v>
      </c>
      <c r="BD79" s="3">
        <v>390.75078480076098</v>
      </c>
      <c r="BE79" s="3">
        <v>390.75078480076098</v>
      </c>
      <c r="BF79" s="3">
        <v>390.75078480076098</v>
      </c>
      <c r="BG79" s="3">
        <v>390.75078480076098</v>
      </c>
      <c r="BH79" s="3">
        <v>390.75078480076098</v>
      </c>
      <c r="BI79" s="3">
        <v>390.75078480076098</v>
      </c>
      <c r="BJ79" s="3">
        <v>390.75078480076098</v>
      </c>
      <c r="BK79" s="3">
        <v>390.75078480076098</v>
      </c>
      <c r="BL79" s="3">
        <v>390.75078480076098</v>
      </c>
      <c r="BM79" s="3">
        <v>390.75078480076098</v>
      </c>
      <c r="BN79" s="3">
        <v>390.75078480076098</v>
      </c>
      <c r="BO79" s="3">
        <v>390.75078480076098</v>
      </c>
      <c r="BP79" s="3">
        <v>390.75078480076098</v>
      </c>
      <c r="BQ79" s="3">
        <v>390.75078480076098</v>
      </c>
      <c r="BR79" s="3">
        <v>390.75078480076098</v>
      </c>
      <c r="BS79" s="3">
        <v>390.75078480076098</v>
      </c>
      <c r="BT79" s="3">
        <v>390.75078480076098</v>
      </c>
      <c r="BU79" s="3">
        <v>390.75078480076098</v>
      </c>
      <c r="BV79" s="3">
        <v>390.75078480076098</v>
      </c>
      <c r="BW79" s="3">
        <v>390.75078480076098</v>
      </c>
      <c r="BY79" s="17" t="s">
        <v>584</v>
      </c>
      <c r="BZ79" s="3">
        <v>390.75078480076098</v>
      </c>
      <c r="CA79" s="3">
        <v>390.75078480076098</v>
      </c>
      <c r="CB79" s="3">
        <v>390.75078480076098</v>
      </c>
      <c r="CC79" s="3">
        <v>390.75078480076098</v>
      </c>
      <c r="CD79" s="3">
        <v>390.75078480076098</v>
      </c>
      <c r="CE79" s="3">
        <v>390.75078480076098</v>
      </c>
      <c r="CF79" s="3">
        <v>390.75078480076098</v>
      </c>
      <c r="CG79" s="3">
        <v>390.75078480076098</v>
      </c>
      <c r="CH79" s="3">
        <v>390.75078480076098</v>
      </c>
      <c r="CI79" s="3">
        <v>390.75078480076098</v>
      </c>
      <c r="CJ79" s="3">
        <v>390.75078480076098</v>
      </c>
      <c r="CK79" s="3">
        <v>390.75078480076098</v>
      </c>
      <c r="CL79" s="3">
        <v>390.75078480076098</v>
      </c>
      <c r="CM79" s="3">
        <v>390.75078480076098</v>
      </c>
      <c r="CN79" s="3">
        <v>390.75078480076098</v>
      </c>
      <c r="CO79" s="3">
        <v>390.75078480076098</v>
      </c>
      <c r="CP79" s="3">
        <v>390.75078480076098</v>
      </c>
      <c r="CQ79" s="3">
        <v>390.75078480076098</v>
      </c>
      <c r="CR79" s="3">
        <v>390.75078480076098</v>
      </c>
      <c r="CS79" s="3">
        <v>390.75078480076098</v>
      </c>
      <c r="CU79" s="17" t="s">
        <v>585</v>
      </c>
      <c r="CV79" s="3">
        <v>390.75078480076098</v>
      </c>
      <c r="CW79" s="3">
        <v>390.75078480076098</v>
      </c>
      <c r="CX79" s="3">
        <v>390.75078480076098</v>
      </c>
      <c r="CY79" s="3">
        <v>390.75078480076098</v>
      </c>
      <c r="CZ79" s="3">
        <v>390.75078480076098</v>
      </c>
      <c r="DA79" s="3">
        <v>390.75078480076098</v>
      </c>
      <c r="DB79" s="3">
        <v>390.75078480076098</v>
      </c>
      <c r="DC79" s="3">
        <v>390.75078480076098</v>
      </c>
      <c r="DD79" s="3">
        <v>390.75078480076098</v>
      </c>
      <c r="DE79" s="3">
        <v>390.75078480076098</v>
      </c>
      <c r="DF79" s="3">
        <v>390.75078480076098</v>
      </c>
      <c r="DG79" s="3">
        <v>390.75078480076098</v>
      </c>
      <c r="DH79" s="3">
        <v>390.75078480076098</v>
      </c>
      <c r="DI79" s="3">
        <v>390.75078480076098</v>
      </c>
      <c r="DJ79" s="3">
        <v>390.75078480076098</v>
      </c>
      <c r="DK79" s="3">
        <v>390.75078480076098</v>
      </c>
      <c r="DL79" s="3">
        <v>390.75078480076098</v>
      </c>
      <c r="DM79" s="3">
        <v>390.75078480076098</v>
      </c>
      <c r="DN79" s="3">
        <v>390.75078480076098</v>
      </c>
      <c r="DO79" s="3">
        <v>390.75078480076098</v>
      </c>
    </row>
    <row r="80" spans="1:119" x14ac:dyDescent="0.45">
      <c r="A80" s="16" t="s">
        <v>586</v>
      </c>
      <c r="B80" s="3" t="s">
        <v>89</v>
      </c>
      <c r="C80" s="16" t="s">
        <v>587</v>
      </c>
      <c r="H80" s="3" t="s">
        <v>580</v>
      </c>
      <c r="I80" s="3" t="s">
        <v>289</v>
      </c>
      <c r="K80" s="17" t="s">
        <v>588</v>
      </c>
      <c r="L80" s="3" t="s">
        <v>573</v>
      </c>
      <c r="M80" s="3" t="s">
        <v>573</v>
      </c>
      <c r="N80" s="3" t="s">
        <v>573</v>
      </c>
      <c r="O80" s="3" t="s">
        <v>573</v>
      </c>
      <c r="P80" s="3" t="s">
        <v>573</v>
      </c>
      <c r="Q80" s="3" t="s">
        <v>573</v>
      </c>
      <c r="R80" s="3" t="s">
        <v>573</v>
      </c>
      <c r="S80" s="3" t="s">
        <v>573</v>
      </c>
      <c r="T80" s="3" t="s">
        <v>573</v>
      </c>
      <c r="U80" s="3" t="s">
        <v>573</v>
      </c>
      <c r="V80" s="3" t="s">
        <v>573</v>
      </c>
      <c r="W80" s="3" t="s">
        <v>573</v>
      </c>
      <c r="X80" s="3" t="s">
        <v>573</v>
      </c>
      <c r="Y80" s="3" t="s">
        <v>573</v>
      </c>
      <c r="Z80" s="3" t="s">
        <v>573</v>
      </c>
      <c r="AA80" s="3" t="s">
        <v>573</v>
      </c>
      <c r="AB80" s="3" t="s">
        <v>573</v>
      </c>
      <c r="AC80" s="3" t="s">
        <v>573</v>
      </c>
      <c r="AD80" s="3" t="s">
        <v>573</v>
      </c>
      <c r="AE80" s="3" t="s">
        <v>573</v>
      </c>
      <c r="AG80" s="17" t="s">
        <v>589</v>
      </c>
      <c r="AH80" s="3" t="s">
        <v>573</v>
      </c>
      <c r="AI80" s="3" t="s">
        <v>573</v>
      </c>
      <c r="AJ80" s="3" t="s">
        <v>573</v>
      </c>
      <c r="AK80" s="3" t="s">
        <v>573</v>
      </c>
      <c r="AL80" s="3" t="s">
        <v>573</v>
      </c>
      <c r="AM80" s="3" t="s">
        <v>573</v>
      </c>
      <c r="AN80" s="3" t="s">
        <v>573</v>
      </c>
      <c r="AO80" s="3" t="s">
        <v>573</v>
      </c>
      <c r="AP80" s="3" t="s">
        <v>573</v>
      </c>
      <c r="AQ80" s="3" t="s">
        <v>573</v>
      </c>
      <c r="AR80" s="3" t="s">
        <v>573</v>
      </c>
      <c r="AS80" s="3" t="s">
        <v>573</v>
      </c>
      <c r="AT80" s="3" t="s">
        <v>573</v>
      </c>
      <c r="AU80" s="3" t="s">
        <v>573</v>
      </c>
      <c r="AV80" s="3" t="s">
        <v>573</v>
      </c>
      <c r="AW80" s="3" t="s">
        <v>573</v>
      </c>
      <c r="AX80" s="3" t="s">
        <v>573</v>
      </c>
      <c r="AY80" s="3" t="s">
        <v>573</v>
      </c>
      <c r="AZ80" s="3" t="s">
        <v>573</v>
      </c>
      <c r="BA80" s="3" t="s">
        <v>573</v>
      </c>
      <c r="BC80" s="17" t="s">
        <v>590</v>
      </c>
      <c r="BD80" s="3" t="s">
        <v>573</v>
      </c>
      <c r="BE80" s="3" t="s">
        <v>573</v>
      </c>
      <c r="BF80" s="3" t="s">
        <v>573</v>
      </c>
      <c r="BG80" s="3" t="s">
        <v>573</v>
      </c>
      <c r="BH80" s="3" t="s">
        <v>573</v>
      </c>
      <c r="BI80" s="3" t="s">
        <v>573</v>
      </c>
      <c r="BJ80" s="3" t="s">
        <v>573</v>
      </c>
      <c r="BK80" s="3" t="s">
        <v>573</v>
      </c>
      <c r="BL80" s="3" t="s">
        <v>573</v>
      </c>
      <c r="BM80" s="3" t="s">
        <v>573</v>
      </c>
      <c r="BN80" s="3" t="s">
        <v>573</v>
      </c>
      <c r="BO80" s="3" t="s">
        <v>573</v>
      </c>
      <c r="BP80" s="3" t="s">
        <v>573</v>
      </c>
      <c r="BQ80" s="3" t="s">
        <v>573</v>
      </c>
      <c r="BR80" s="3" t="s">
        <v>573</v>
      </c>
      <c r="BS80" s="3" t="s">
        <v>573</v>
      </c>
      <c r="BT80" s="3" t="s">
        <v>573</v>
      </c>
      <c r="BU80" s="3" t="s">
        <v>573</v>
      </c>
      <c r="BV80" s="3" t="s">
        <v>573</v>
      </c>
      <c r="BW80" s="3" t="s">
        <v>573</v>
      </c>
      <c r="BY80" s="17" t="s">
        <v>591</v>
      </c>
      <c r="BZ80" s="3" t="s">
        <v>573</v>
      </c>
      <c r="CA80" s="3" t="s">
        <v>573</v>
      </c>
      <c r="CB80" s="3" t="s">
        <v>573</v>
      </c>
      <c r="CC80" s="3" t="s">
        <v>573</v>
      </c>
      <c r="CD80" s="3" t="s">
        <v>573</v>
      </c>
      <c r="CE80" s="3" t="s">
        <v>573</v>
      </c>
      <c r="CF80" s="3" t="s">
        <v>573</v>
      </c>
      <c r="CG80" s="3" t="s">
        <v>573</v>
      </c>
      <c r="CH80" s="3" t="s">
        <v>573</v>
      </c>
      <c r="CI80" s="3" t="s">
        <v>573</v>
      </c>
      <c r="CJ80" s="3" t="s">
        <v>573</v>
      </c>
      <c r="CK80" s="3" t="s">
        <v>573</v>
      </c>
      <c r="CL80" s="3" t="s">
        <v>573</v>
      </c>
      <c r="CM80" s="3" t="s">
        <v>573</v>
      </c>
      <c r="CN80" s="3" t="s">
        <v>573</v>
      </c>
      <c r="CO80" s="3" t="s">
        <v>573</v>
      </c>
      <c r="CP80" s="3" t="s">
        <v>573</v>
      </c>
      <c r="CQ80" s="3" t="s">
        <v>573</v>
      </c>
      <c r="CR80" s="3" t="s">
        <v>573</v>
      </c>
      <c r="CS80" s="3" t="s">
        <v>573</v>
      </c>
      <c r="CU80" s="17" t="s">
        <v>592</v>
      </c>
      <c r="CV80" s="3" t="s">
        <v>573</v>
      </c>
      <c r="CW80" s="3" t="s">
        <v>573</v>
      </c>
      <c r="CX80" s="3" t="s">
        <v>573</v>
      </c>
      <c r="CY80" s="3" t="s">
        <v>573</v>
      </c>
      <c r="CZ80" s="3" t="s">
        <v>573</v>
      </c>
      <c r="DA80" s="3" t="s">
        <v>573</v>
      </c>
      <c r="DB80" s="3" t="s">
        <v>573</v>
      </c>
      <c r="DC80" s="3" t="s">
        <v>573</v>
      </c>
      <c r="DD80" s="3" t="s">
        <v>573</v>
      </c>
      <c r="DE80" s="3" t="s">
        <v>573</v>
      </c>
      <c r="DF80" s="3" t="s">
        <v>573</v>
      </c>
      <c r="DG80" s="3" t="s">
        <v>573</v>
      </c>
      <c r="DH80" s="3" t="s">
        <v>573</v>
      </c>
      <c r="DI80" s="3" t="s">
        <v>573</v>
      </c>
      <c r="DJ80" s="3" t="s">
        <v>573</v>
      </c>
      <c r="DK80" s="3" t="s">
        <v>573</v>
      </c>
      <c r="DL80" s="3" t="s">
        <v>573</v>
      </c>
      <c r="DM80" s="3" t="s">
        <v>573</v>
      </c>
      <c r="DN80" s="3" t="s">
        <v>573</v>
      </c>
      <c r="DO80" s="3" t="s">
        <v>573</v>
      </c>
    </row>
    <row r="81" spans="1:230" x14ac:dyDescent="0.45">
      <c r="A81" s="16" t="s">
        <v>593</v>
      </c>
      <c r="B81" s="3" t="s">
        <v>89</v>
      </c>
      <c r="C81" s="16" t="s">
        <v>594</v>
      </c>
      <c r="H81" s="3" t="s">
        <v>595</v>
      </c>
      <c r="I81" s="3" t="s">
        <v>175</v>
      </c>
      <c r="K81" s="17" t="s">
        <v>596</v>
      </c>
      <c r="L81" s="3">
        <v>0.27</v>
      </c>
      <c r="M81" s="3">
        <v>0.27</v>
      </c>
      <c r="N81" s="3">
        <v>0.27</v>
      </c>
      <c r="O81" s="3">
        <v>0.27</v>
      </c>
      <c r="P81" s="3">
        <v>0.27</v>
      </c>
      <c r="Q81" s="3">
        <v>0.27</v>
      </c>
      <c r="R81" s="3">
        <v>0.27</v>
      </c>
      <c r="S81" s="3">
        <v>0.27</v>
      </c>
      <c r="T81" s="3">
        <v>0.27</v>
      </c>
      <c r="U81" s="3">
        <v>0.27</v>
      </c>
      <c r="V81" s="3">
        <v>0.27</v>
      </c>
      <c r="W81" s="3">
        <v>0.27</v>
      </c>
      <c r="X81" s="3">
        <v>0.27</v>
      </c>
      <c r="Y81" s="3">
        <v>0.27</v>
      </c>
      <c r="Z81" s="3">
        <v>0.27</v>
      </c>
      <c r="AA81" s="3">
        <v>0.27</v>
      </c>
      <c r="AB81" s="3">
        <v>0.27</v>
      </c>
      <c r="AC81" s="3">
        <v>0.27</v>
      </c>
      <c r="AD81" s="3">
        <v>0.27</v>
      </c>
      <c r="AE81" s="3">
        <v>0.27</v>
      </c>
      <c r="AG81" s="17" t="s">
        <v>597</v>
      </c>
      <c r="AH81" s="3">
        <v>0.27</v>
      </c>
      <c r="AI81" s="3">
        <v>0.27</v>
      </c>
      <c r="AJ81" s="3">
        <v>0.27</v>
      </c>
      <c r="AK81" s="3">
        <v>0.27</v>
      </c>
      <c r="AL81" s="3">
        <v>0.27</v>
      </c>
      <c r="AM81" s="3">
        <v>0.27</v>
      </c>
      <c r="AN81" s="3">
        <v>0.27</v>
      </c>
      <c r="AO81" s="3">
        <v>0.27</v>
      </c>
      <c r="AP81" s="3">
        <v>0.27</v>
      </c>
      <c r="AQ81" s="3">
        <v>0.27</v>
      </c>
      <c r="AR81" s="3">
        <v>0.27</v>
      </c>
      <c r="AS81" s="3">
        <v>0.27</v>
      </c>
      <c r="AT81" s="3">
        <v>0.27</v>
      </c>
      <c r="AU81" s="3">
        <v>0.27</v>
      </c>
      <c r="AV81" s="3">
        <v>0.27</v>
      </c>
      <c r="AW81" s="3">
        <v>0.27</v>
      </c>
      <c r="AX81" s="3">
        <v>0.27</v>
      </c>
      <c r="AY81" s="3">
        <v>0.27</v>
      </c>
      <c r="AZ81" s="3">
        <v>0.27</v>
      </c>
      <c r="BA81" s="3">
        <v>0.27</v>
      </c>
      <c r="BC81" s="17" t="s">
        <v>598</v>
      </c>
      <c r="BD81" s="3">
        <v>0.27</v>
      </c>
      <c r="BE81" s="3">
        <v>0.27</v>
      </c>
      <c r="BF81" s="3">
        <v>0.27</v>
      </c>
      <c r="BG81" s="3">
        <v>0.27</v>
      </c>
      <c r="BH81" s="3">
        <v>0.27</v>
      </c>
      <c r="BI81" s="3">
        <v>0.27</v>
      </c>
      <c r="BJ81" s="3">
        <v>0.27</v>
      </c>
      <c r="BK81" s="3">
        <v>0.27</v>
      </c>
      <c r="BL81" s="3">
        <v>0.27</v>
      </c>
      <c r="BM81" s="3">
        <v>0.27</v>
      </c>
      <c r="BN81" s="3">
        <v>0.27</v>
      </c>
      <c r="BO81" s="3">
        <v>0.27</v>
      </c>
      <c r="BP81" s="3">
        <v>0.27</v>
      </c>
      <c r="BQ81" s="3">
        <v>0.27</v>
      </c>
      <c r="BR81" s="3">
        <v>0.27</v>
      </c>
      <c r="BS81" s="3">
        <v>0.27</v>
      </c>
      <c r="BT81" s="3">
        <v>0.27</v>
      </c>
      <c r="BU81" s="3">
        <v>0.27</v>
      </c>
      <c r="BV81" s="3">
        <v>0.27</v>
      </c>
      <c r="BW81" s="3">
        <v>0.27</v>
      </c>
      <c r="BY81" s="17" t="s">
        <v>599</v>
      </c>
      <c r="BZ81" s="3">
        <v>0.27</v>
      </c>
      <c r="CA81" s="3">
        <v>0.27</v>
      </c>
      <c r="CB81" s="3">
        <v>0.27</v>
      </c>
      <c r="CC81" s="3">
        <v>0.27</v>
      </c>
      <c r="CD81" s="3">
        <v>0.27</v>
      </c>
      <c r="CE81" s="3">
        <v>0.27</v>
      </c>
      <c r="CF81" s="3">
        <v>0.27</v>
      </c>
      <c r="CG81" s="3">
        <v>0.27</v>
      </c>
      <c r="CH81" s="3">
        <v>0.27</v>
      </c>
      <c r="CI81" s="3">
        <v>0.27</v>
      </c>
      <c r="CJ81" s="3">
        <v>0.27</v>
      </c>
      <c r="CK81" s="3">
        <v>0.27</v>
      </c>
      <c r="CL81" s="3">
        <v>0.27</v>
      </c>
      <c r="CM81" s="3">
        <v>0.27</v>
      </c>
      <c r="CN81" s="3">
        <v>0.27</v>
      </c>
      <c r="CO81" s="3">
        <v>0.27</v>
      </c>
      <c r="CP81" s="3">
        <v>0.27</v>
      </c>
      <c r="CQ81" s="3">
        <v>0.27</v>
      </c>
      <c r="CR81" s="3">
        <v>0.27</v>
      </c>
      <c r="CS81" s="3">
        <v>0.27</v>
      </c>
      <c r="CU81" s="17" t="s">
        <v>600</v>
      </c>
      <c r="CV81" s="3">
        <v>0.27</v>
      </c>
      <c r="CW81" s="3">
        <v>0.27</v>
      </c>
      <c r="CX81" s="3">
        <v>0.27</v>
      </c>
      <c r="CY81" s="3">
        <v>0.27</v>
      </c>
      <c r="CZ81" s="3">
        <v>0.27</v>
      </c>
      <c r="DA81" s="3">
        <v>0.27</v>
      </c>
      <c r="DB81" s="3">
        <v>0.27</v>
      </c>
      <c r="DC81" s="3">
        <v>0.27</v>
      </c>
      <c r="DD81" s="3">
        <v>0.27</v>
      </c>
      <c r="DE81" s="3">
        <v>0.27</v>
      </c>
      <c r="DF81" s="3">
        <v>0.27</v>
      </c>
      <c r="DG81" s="3">
        <v>0.27</v>
      </c>
      <c r="DH81" s="3">
        <v>0.27</v>
      </c>
      <c r="DI81" s="3">
        <v>0.27</v>
      </c>
      <c r="DJ81" s="3">
        <v>0.27</v>
      </c>
      <c r="DK81" s="3">
        <v>0.27</v>
      </c>
      <c r="DL81" s="3">
        <v>0.27</v>
      </c>
      <c r="DM81" s="3">
        <v>0.27</v>
      </c>
      <c r="DN81" s="3">
        <v>0.27</v>
      </c>
      <c r="DO81" s="3">
        <v>0.27</v>
      </c>
    </row>
    <row r="82" spans="1:230" x14ac:dyDescent="0.45">
      <c r="A82" s="16" t="s">
        <v>601</v>
      </c>
      <c r="B82" s="3" t="s">
        <v>89</v>
      </c>
      <c r="C82" s="16" t="s">
        <v>602</v>
      </c>
      <c r="H82" s="3" t="s">
        <v>595</v>
      </c>
      <c r="I82" s="3" t="s">
        <v>175</v>
      </c>
      <c r="K82" s="17" t="s">
        <v>603</v>
      </c>
      <c r="L82" s="3" t="s">
        <v>573</v>
      </c>
      <c r="M82" s="3" t="s">
        <v>573</v>
      </c>
      <c r="N82" s="3" t="s">
        <v>573</v>
      </c>
      <c r="O82" s="3" t="s">
        <v>573</v>
      </c>
      <c r="P82" s="3" t="s">
        <v>573</v>
      </c>
      <c r="Q82" s="3" t="s">
        <v>573</v>
      </c>
      <c r="R82" s="3" t="s">
        <v>573</v>
      </c>
      <c r="S82" s="3" t="s">
        <v>573</v>
      </c>
      <c r="T82" s="3" t="s">
        <v>573</v>
      </c>
      <c r="U82" s="3" t="s">
        <v>573</v>
      </c>
      <c r="V82" s="3" t="s">
        <v>573</v>
      </c>
      <c r="W82" s="3" t="s">
        <v>573</v>
      </c>
      <c r="X82" s="3" t="s">
        <v>573</v>
      </c>
      <c r="Y82" s="3" t="s">
        <v>573</v>
      </c>
      <c r="Z82" s="3" t="s">
        <v>573</v>
      </c>
      <c r="AA82" s="3" t="s">
        <v>573</v>
      </c>
      <c r="AB82" s="3" t="s">
        <v>573</v>
      </c>
      <c r="AC82" s="3" t="s">
        <v>573</v>
      </c>
      <c r="AD82" s="3" t="s">
        <v>573</v>
      </c>
      <c r="AE82" s="3" t="s">
        <v>573</v>
      </c>
      <c r="AG82" s="17" t="s">
        <v>604</v>
      </c>
      <c r="AH82" s="3" t="s">
        <v>573</v>
      </c>
      <c r="AI82" s="3" t="s">
        <v>573</v>
      </c>
      <c r="AJ82" s="3" t="s">
        <v>573</v>
      </c>
      <c r="AK82" s="3" t="s">
        <v>573</v>
      </c>
      <c r="AL82" s="3" t="s">
        <v>573</v>
      </c>
      <c r="AM82" s="3" t="s">
        <v>573</v>
      </c>
      <c r="AN82" s="3" t="s">
        <v>573</v>
      </c>
      <c r="AO82" s="3" t="s">
        <v>573</v>
      </c>
      <c r="AP82" s="3" t="s">
        <v>573</v>
      </c>
      <c r="AQ82" s="3" t="s">
        <v>573</v>
      </c>
      <c r="AR82" s="3" t="s">
        <v>573</v>
      </c>
      <c r="AS82" s="3" t="s">
        <v>573</v>
      </c>
      <c r="AT82" s="3" t="s">
        <v>573</v>
      </c>
      <c r="AU82" s="3" t="s">
        <v>573</v>
      </c>
      <c r="AV82" s="3" t="s">
        <v>573</v>
      </c>
      <c r="AW82" s="3" t="s">
        <v>573</v>
      </c>
      <c r="AX82" s="3" t="s">
        <v>573</v>
      </c>
      <c r="AY82" s="3" t="s">
        <v>573</v>
      </c>
      <c r="AZ82" s="3" t="s">
        <v>573</v>
      </c>
      <c r="BA82" s="3" t="s">
        <v>573</v>
      </c>
      <c r="BC82" s="17" t="s">
        <v>605</v>
      </c>
      <c r="BD82" s="3" t="s">
        <v>573</v>
      </c>
      <c r="BE82" s="3" t="s">
        <v>573</v>
      </c>
      <c r="BF82" s="3" t="s">
        <v>573</v>
      </c>
      <c r="BG82" s="3" t="s">
        <v>573</v>
      </c>
      <c r="BH82" s="3" t="s">
        <v>573</v>
      </c>
      <c r="BI82" s="3" t="s">
        <v>573</v>
      </c>
      <c r="BJ82" s="3" t="s">
        <v>573</v>
      </c>
      <c r="BK82" s="3" t="s">
        <v>573</v>
      </c>
      <c r="BL82" s="3" t="s">
        <v>573</v>
      </c>
      <c r="BM82" s="3" t="s">
        <v>573</v>
      </c>
      <c r="BN82" s="3" t="s">
        <v>573</v>
      </c>
      <c r="BO82" s="3" t="s">
        <v>573</v>
      </c>
      <c r="BP82" s="3" t="s">
        <v>573</v>
      </c>
      <c r="BQ82" s="3" t="s">
        <v>573</v>
      </c>
      <c r="BR82" s="3" t="s">
        <v>573</v>
      </c>
      <c r="BS82" s="3" t="s">
        <v>573</v>
      </c>
      <c r="BT82" s="3" t="s">
        <v>573</v>
      </c>
      <c r="BU82" s="3" t="s">
        <v>573</v>
      </c>
      <c r="BV82" s="3" t="s">
        <v>573</v>
      </c>
      <c r="BW82" s="3" t="s">
        <v>573</v>
      </c>
      <c r="BY82" s="17" t="s">
        <v>606</v>
      </c>
      <c r="BZ82" s="3" t="s">
        <v>573</v>
      </c>
      <c r="CA82" s="3" t="s">
        <v>573</v>
      </c>
      <c r="CB82" s="3" t="s">
        <v>573</v>
      </c>
      <c r="CC82" s="3" t="s">
        <v>573</v>
      </c>
      <c r="CD82" s="3" t="s">
        <v>573</v>
      </c>
      <c r="CE82" s="3" t="s">
        <v>573</v>
      </c>
      <c r="CF82" s="3" t="s">
        <v>573</v>
      </c>
      <c r="CG82" s="3" t="s">
        <v>573</v>
      </c>
      <c r="CH82" s="3" t="s">
        <v>573</v>
      </c>
      <c r="CI82" s="3" t="s">
        <v>573</v>
      </c>
      <c r="CJ82" s="3" t="s">
        <v>573</v>
      </c>
      <c r="CK82" s="3" t="s">
        <v>573</v>
      </c>
      <c r="CL82" s="3" t="s">
        <v>573</v>
      </c>
      <c r="CM82" s="3" t="s">
        <v>573</v>
      </c>
      <c r="CN82" s="3" t="s">
        <v>573</v>
      </c>
      <c r="CO82" s="3" t="s">
        <v>573</v>
      </c>
      <c r="CP82" s="3" t="s">
        <v>573</v>
      </c>
      <c r="CQ82" s="3" t="s">
        <v>573</v>
      </c>
      <c r="CR82" s="3" t="s">
        <v>573</v>
      </c>
      <c r="CS82" s="3" t="s">
        <v>573</v>
      </c>
      <c r="CU82" s="17" t="s">
        <v>607</v>
      </c>
      <c r="CV82" s="3" t="s">
        <v>573</v>
      </c>
      <c r="CW82" s="3" t="s">
        <v>573</v>
      </c>
      <c r="CX82" s="3" t="s">
        <v>573</v>
      </c>
      <c r="CY82" s="3" t="s">
        <v>573</v>
      </c>
      <c r="CZ82" s="3" t="s">
        <v>573</v>
      </c>
      <c r="DA82" s="3" t="s">
        <v>573</v>
      </c>
      <c r="DB82" s="3" t="s">
        <v>573</v>
      </c>
      <c r="DC82" s="3" t="s">
        <v>573</v>
      </c>
      <c r="DD82" s="3" t="s">
        <v>573</v>
      </c>
      <c r="DE82" s="3" t="s">
        <v>573</v>
      </c>
      <c r="DF82" s="3" t="s">
        <v>573</v>
      </c>
      <c r="DG82" s="3" t="s">
        <v>573</v>
      </c>
      <c r="DH82" s="3" t="s">
        <v>573</v>
      </c>
      <c r="DI82" s="3" t="s">
        <v>573</v>
      </c>
      <c r="DJ82" s="3" t="s">
        <v>573</v>
      </c>
      <c r="DK82" s="3" t="s">
        <v>573</v>
      </c>
      <c r="DL82" s="3" t="s">
        <v>573</v>
      </c>
      <c r="DM82" s="3" t="s">
        <v>573</v>
      </c>
      <c r="DN82" s="3" t="s">
        <v>573</v>
      </c>
      <c r="DO82" s="3" t="s">
        <v>573</v>
      </c>
    </row>
    <row r="83" spans="1:230" x14ac:dyDescent="0.45">
      <c r="A83" s="16" t="s">
        <v>608</v>
      </c>
      <c r="B83" s="3" t="s">
        <v>89</v>
      </c>
      <c r="C83" s="16" t="s">
        <v>609</v>
      </c>
      <c r="H83" s="3" t="s">
        <v>595</v>
      </c>
      <c r="I83" s="3" t="s">
        <v>175</v>
      </c>
      <c r="K83" s="17" t="s">
        <v>610</v>
      </c>
      <c r="L83" s="3">
        <v>0.27</v>
      </c>
      <c r="M83" s="3">
        <v>0.27</v>
      </c>
      <c r="N83" s="3">
        <v>0.27</v>
      </c>
      <c r="O83" s="3">
        <v>0.27</v>
      </c>
      <c r="P83" s="3">
        <v>0.27</v>
      </c>
      <c r="Q83" s="3">
        <v>0.27</v>
      </c>
      <c r="R83" s="3">
        <v>0.27</v>
      </c>
      <c r="S83" s="3">
        <v>0.27</v>
      </c>
      <c r="T83" s="3">
        <v>0.27</v>
      </c>
      <c r="U83" s="3">
        <v>0.27</v>
      </c>
      <c r="V83" s="3">
        <v>0.27</v>
      </c>
      <c r="W83" s="3">
        <v>0.27</v>
      </c>
      <c r="X83" s="3">
        <v>0.27</v>
      </c>
      <c r="Y83" s="3">
        <v>0.27</v>
      </c>
      <c r="Z83" s="3">
        <v>0.27</v>
      </c>
      <c r="AA83" s="3">
        <v>0.27</v>
      </c>
      <c r="AB83" s="3">
        <v>0.27</v>
      </c>
      <c r="AC83" s="3">
        <v>0.27</v>
      </c>
      <c r="AD83" s="3">
        <v>0.27</v>
      </c>
      <c r="AE83" s="3">
        <v>0.27</v>
      </c>
      <c r="AG83" s="17" t="s">
        <v>611</v>
      </c>
      <c r="AH83" s="3">
        <v>0.27</v>
      </c>
      <c r="AI83" s="3">
        <v>0.27</v>
      </c>
      <c r="AJ83" s="3">
        <v>0.27</v>
      </c>
      <c r="AK83" s="3">
        <v>0.27</v>
      </c>
      <c r="AL83" s="3">
        <v>0.27</v>
      </c>
      <c r="AM83" s="3">
        <v>0.27</v>
      </c>
      <c r="AN83" s="3">
        <v>0.27</v>
      </c>
      <c r="AO83" s="3">
        <v>0.27</v>
      </c>
      <c r="AP83" s="3">
        <v>0.27</v>
      </c>
      <c r="AQ83" s="3">
        <v>0.27</v>
      </c>
      <c r="AR83" s="3">
        <v>0.27</v>
      </c>
      <c r="AS83" s="3">
        <v>0.27</v>
      </c>
      <c r="AT83" s="3">
        <v>0.27</v>
      </c>
      <c r="AU83" s="3">
        <v>0.27</v>
      </c>
      <c r="AV83" s="3">
        <v>0.27</v>
      </c>
      <c r="AW83" s="3">
        <v>0.27</v>
      </c>
      <c r="AX83" s="3">
        <v>0.27</v>
      </c>
      <c r="AY83" s="3">
        <v>0.27</v>
      </c>
      <c r="AZ83" s="3">
        <v>0.27</v>
      </c>
      <c r="BA83" s="3">
        <v>0.27</v>
      </c>
      <c r="BC83" s="17" t="s">
        <v>612</v>
      </c>
      <c r="BD83" s="3">
        <v>0.27</v>
      </c>
      <c r="BE83" s="3">
        <v>0.27</v>
      </c>
      <c r="BF83" s="3">
        <v>0.27</v>
      </c>
      <c r="BG83" s="3">
        <v>0.27</v>
      </c>
      <c r="BH83" s="3">
        <v>0.27</v>
      </c>
      <c r="BI83" s="3">
        <v>0.27</v>
      </c>
      <c r="BJ83" s="3">
        <v>0.27</v>
      </c>
      <c r="BK83" s="3">
        <v>0.27</v>
      </c>
      <c r="BL83" s="3">
        <v>0.27</v>
      </c>
      <c r="BM83" s="3">
        <v>0.27</v>
      </c>
      <c r="BN83" s="3">
        <v>0.27</v>
      </c>
      <c r="BO83" s="3">
        <v>0.27</v>
      </c>
      <c r="BP83" s="3">
        <v>0.27</v>
      </c>
      <c r="BQ83" s="3">
        <v>0.27</v>
      </c>
      <c r="BR83" s="3">
        <v>0.27</v>
      </c>
      <c r="BS83" s="3">
        <v>0.27</v>
      </c>
      <c r="BT83" s="3">
        <v>0.27</v>
      </c>
      <c r="BU83" s="3">
        <v>0.27</v>
      </c>
      <c r="BV83" s="3">
        <v>0.27</v>
      </c>
      <c r="BW83" s="3">
        <v>0.27</v>
      </c>
      <c r="BY83" s="17" t="s">
        <v>613</v>
      </c>
      <c r="BZ83" s="3">
        <v>0.27</v>
      </c>
      <c r="CA83" s="3">
        <v>0.27</v>
      </c>
      <c r="CB83" s="3">
        <v>0.27</v>
      </c>
      <c r="CC83" s="3">
        <v>0.27</v>
      </c>
      <c r="CD83" s="3">
        <v>0.27</v>
      </c>
      <c r="CE83" s="3">
        <v>0.27</v>
      </c>
      <c r="CF83" s="3">
        <v>0.27</v>
      </c>
      <c r="CG83" s="3">
        <v>0.27</v>
      </c>
      <c r="CH83" s="3">
        <v>0.27</v>
      </c>
      <c r="CI83" s="3">
        <v>0.27</v>
      </c>
      <c r="CJ83" s="3">
        <v>0.27</v>
      </c>
      <c r="CK83" s="3">
        <v>0.27</v>
      </c>
      <c r="CL83" s="3">
        <v>0.27</v>
      </c>
      <c r="CM83" s="3">
        <v>0.27</v>
      </c>
      <c r="CN83" s="3">
        <v>0.27</v>
      </c>
      <c r="CO83" s="3">
        <v>0.27</v>
      </c>
      <c r="CP83" s="3">
        <v>0.27</v>
      </c>
      <c r="CQ83" s="3">
        <v>0.27</v>
      </c>
      <c r="CR83" s="3">
        <v>0.27</v>
      </c>
      <c r="CS83" s="3">
        <v>0.27</v>
      </c>
      <c r="CU83" s="17" t="s">
        <v>614</v>
      </c>
      <c r="CV83" s="3">
        <v>0.27</v>
      </c>
      <c r="CW83" s="3">
        <v>0.27</v>
      </c>
      <c r="CX83" s="3">
        <v>0.27</v>
      </c>
      <c r="CY83" s="3">
        <v>0.27</v>
      </c>
      <c r="CZ83" s="3">
        <v>0.27</v>
      </c>
      <c r="DA83" s="3">
        <v>0.27</v>
      </c>
      <c r="DB83" s="3">
        <v>0.27</v>
      </c>
      <c r="DC83" s="3">
        <v>0.27</v>
      </c>
      <c r="DD83" s="3">
        <v>0.27</v>
      </c>
      <c r="DE83" s="3">
        <v>0.27</v>
      </c>
      <c r="DF83" s="3">
        <v>0.27</v>
      </c>
      <c r="DG83" s="3">
        <v>0.27</v>
      </c>
      <c r="DH83" s="3">
        <v>0.27</v>
      </c>
      <c r="DI83" s="3">
        <v>0.27</v>
      </c>
      <c r="DJ83" s="3">
        <v>0.27</v>
      </c>
      <c r="DK83" s="3">
        <v>0.27</v>
      </c>
      <c r="DL83" s="3">
        <v>0.27</v>
      </c>
      <c r="DM83" s="3">
        <v>0.27</v>
      </c>
      <c r="DN83" s="3">
        <v>0.27</v>
      </c>
      <c r="DO83" s="3">
        <v>0.27</v>
      </c>
    </row>
    <row r="84" spans="1:230" ht="15.4" x14ac:dyDescent="0.45">
      <c r="A84" s="5"/>
      <c r="B84" s="15" t="s">
        <v>615</v>
      </c>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row>
    <row r="85" spans="1:230" x14ac:dyDescent="0.45">
      <c r="A85" s="11"/>
      <c r="B85" s="3" t="s">
        <v>89</v>
      </c>
      <c r="C85" s="16" t="s">
        <v>616</v>
      </c>
      <c r="H85" s="11" t="s">
        <v>617</v>
      </c>
      <c r="I85" s="11"/>
    </row>
    <row r="86" spans="1:230" x14ac:dyDescent="0.45">
      <c r="A86" s="11"/>
      <c r="B86" s="3" t="s">
        <v>89</v>
      </c>
      <c r="C86" s="16" t="s">
        <v>618</v>
      </c>
      <c r="H86" s="11" t="s">
        <v>619</v>
      </c>
      <c r="I86" s="11"/>
    </row>
    <row r="87" spans="1:230" x14ac:dyDescent="0.45">
      <c r="A87" s="11"/>
      <c r="B87" s="3" t="s">
        <v>89</v>
      </c>
      <c r="C87" s="16" t="s">
        <v>620</v>
      </c>
      <c r="H87" s="11" t="s">
        <v>621</v>
      </c>
      <c r="I87" s="11"/>
    </row>
    <row r="88" spans="1:230" x14ac:dyDescent="0.45">
      <c r="A88" s="11"/>
      <c r="B88" s="3" t="s">
        <v>89</v>
      </c>
      <c r="C88" s="16" t="s">
        <v>622</v>
      </c>
      <c r="H88" s="11" t="s">
        <v>623</v>
      </c>
      <c r="I88" s="11"/>
    </row>
    <row r="89" spans="1:230" x14ac:dyDescent="0.45">
      <c r="A89" s="11"/>
      <c r="B89" s="3" t="s">
        <v>89</v>
      </c>
      <c r="C89" s="16" t="s">
        <v>624</v>
      </c>
      <c r="H89" s="11" t="s">
        <v>625</v>
      </c>
      <c r="I89" s="11"/>
    </row>
    <row r="90" spans="1:230" x14ac:dyDescent="0.45">
      <c r="A90" s="11"/>
      <c r="B90" s="3" t="s">
        <v>89</v>
      </c>
      <c r="C90" s="16" t="s">
        <v>626</v>
      </c>
      <c r="H90" s="11" t="s">
        <v>627</v>
      </c>
      <c r="I90" s="11"/>
    </row>
    <row r="91" spans="1:230" x14ac:dyDescent="0.45">
      <c r="A91" s="11"/>
      <c r="B91" s="3" t="s">
        <v>89</v>
      </c>
      <c r="C91" s="16" t="s">
        <v>628</v>
      </c>
      <c r="H91" s="11" t="s">
        <v>629</v>
      </c>
      <c r="I91" s="11"/>
    </row>
    <row r="92" spans="1:230" x14ac:dyDescent="0.45">
      <c r="A92" s="11"/>
      <c r="B92" s="3" t="s">
        <v>89</v>
      </c>
      <c r="C92" s="16" t="s">
        <v>630</v>
      </c>
      <c r="H92" s="11" t="s">
        <v>631</v>
      </c>
      <c r="I92" s="11"/>
    </row>
    <row r="93" spans="1:230" x14ac:dyDescent="0.45">
      <c r="A93" s="11"/>
      <c r="B93" s="3" t="s">
        <v>89</v>
      </c>
      <c r="C93" s="16" t="s">
        <v>632</v>
      </c>
      <c r="H93" s="11" t="s">
        <v>633</v>
      </c>
      <c r="I93" s="11"/>
    </row>
    <row r="94" spans="1:230" ht="15.4" x14ac:dyDescent="0.45">
      <c r="A94" s="5"/>
      <c r="B94" s="15" t="s">
        <v>634</v>
      </c>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row>
    <row r="95" spans="1:230" x14ac:dyDescent="0.45">
      <c r="A95" s="11"/>
      <c r="B95" s="3" t="s">
        <v>89</v>
      </c>
      <c r="C95" s="16" t="s">
        <v>635</v>
      </c>
      <c r="H95" s="11" t="s">
        <v>636</v>
      </c>
      <c r="I95" s="11"/>
    </row>
    <row r="96" spans="1:230" x14ac:dyDescent="0.45">
      <c r="A96" s="11"/>
      <c r="B96" s="3" t="s">
        <v>89</v>
      </c>
      <c r="C96" s="16" t="s">
        <v>626</v>
      </c>
      <c r="H96" s="11" t="s">
        <v>637</v>
      </c>
      <c r="I96" s="11"/>
    </row>
    <row r="97" spans="1:230" x14ac:dyDescent="0.45">
      <c r="A97" s="11"/>
      <c r="B97" s="3" t="s">
        <v>89</v>
      </c>
      <c r="C97" s="16" t="s">
        <v>620</v>
      </c>
      <c r="H97" s="11" t="s">
        <v>638</v>
      </c>
      <c r="I97" s="11"/>
    </row>
    <row r="98" spans="1:230" x14ac:dyDescent="0.45">
      <c r="A98" s="11"/>
      <c r="B98" s="3" t="s">
        <v>89</v>
      </c>
      <c r="C98" s="16" t="s">
        <v>622</v>
      </c>
      <c r="H98" s="11" t="s">
        <v>639</v>
      </c>
      <c r="I98" s="11"/>
    </row>
    <row r="99" spans="1:230" x14ac:dyDescent="0.45">
      <c r="A99" s="11"/>
      <c r="B99" s="3" t="s">
        <v>89</v>
      </c>
      <c r="C99" s="16" t="s">
        <v>616</v>
      </c>
      <c r="H99" s="11" t="s">
        <v>640</v>
      </c>
      <c r="I99" s="11"/>
    </row>
    <row r="100" spans="1:230" x14ac:dyDescent="0.45">
      <c r="A100" s="11"/>
      <c r="B100" s="3" t="s">
        <v>89</v>
      </c>
      <c r="C100" s="16" t="s">
        <v>618</v>
      </c>
      <c r="H100" s="11" t="s">
        <v>641</v>
      </c>
      <c r="I100" s="11"/>
    </row>
    <row r="101" spans="1:230" x14ac:dyDescent="0.45">
      <c r="A101" s="11"/>
      <c r="B101" s="3" t="s">
        <v>89</v>
      </c>
      <c r="C101" s="16" t="s">
        <v>642</v>
      </c>
      <c r="H101" s="11" t="s">
        <v>643</v>
      </c>
      <c r="I101" s="11"/>
    </row>
    <row r="102" spans="1:230" x14ac:dyDescent="0.45">
      <c r="A102" s="11"/>
      <c r="B102" s="3" t="s">
        <v>89</v>
      </c>
      <c r="C102" s="16" t="s">
        <v>630</v>
      </c>
      <c r="H102" s="11" t="s">
        <v>644</v>
      </c>
      <c r="I102" s="11"/>
    </row>
    <row r="103" spans="1:230" x14ac:dyDescent="0.45">
      <c r="A103" s="11"/>
      <c r="B103" s="3" t="s">
        <v>89</v>
      </c>
      <c r="C103" s="16" t="s">
        <v>624</v>
      </c>
      <c r="H103" s="11" t="s">
        <v>645</v>
      </c>
      <c r="I103" s="11"/>
    </row>
    <row r="104" spans="1:230" x14ac:dyDescent="0.45">
      <c r="A104" s="11"/>
      <c r="B104" s="3" t="s">
        <v>89</v>
      </c>
      <c r="C104" s="16" t="s">
        <v>628</v>
      </c>
      <c r="H104" s="11" t="s">
        <v>646</v>
      </c>
      <c r="I104" s="11"/>
    </row>
    <row r="105" spans="1:230" ht="15.4" x14ac:dyDescent="0.45">
      <c r="A105" s="5"/>
      <c r="B105" s="15" t="s">
        <v>647</v>
      </c>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row>
    <row r="106" spans="1:230" x14ac:dyDescent="0.45">
      <c r="A106" s="16" t="s">
        <v>648</v>
      </c>
      <c r="B106" s="3" t="s">
        <v>89</v>
      </c>
      <c r="C106" s="16" t="s">
        <v>649</v>
      </c>
      <c r="H106" s="3" t="s">
        <v>650</v>
      </c>
      <c r="I106" s="3" t="s">
        <v>651</v>
      </c>
      <c r="K106" s="17" t="s">
        <v>652</v>
      </c>
      <c r="L106" s="3">
        <v>6.1848794823225431E-2</v>
      </c>
      <c r="M106" s="3">
        <v>5.9399036530333647E-2</v>
      </c>
      <c r="N106" s="3">
        <v>4.9810307769160587E-2</v>
      </c>
      <c r="O106" s="3">
        <v>4.8587933108526653E-2</v>
      </c>
      <c r="P106" s="3">
        <v>4.8615182788652823E-2</v>
      </c>
      <c r="Q106" s="3">
        <v>4.9125570049980131E-2</v>
      </c>
      <c r="R106" s="3">
        <v>4.9297641604768558E-2</v>
      </c>
      <c r="S106" s="3">
        <v>5.0064196444588087E-2</v>
      </c>
      <c r="T106" s="3">
        <v>5.0746947788848848E-2</v>
      </c>
      <c r="U106" s="3">
        <v>5.1515010826023389E-2</v>
      </c>
      <c r="V106" s="3">
        <v>5.0285257302291497E-2</v>
      </c>
      <c r="W106" s="3">
        <v>4.9193707495938883E-2</v>
      </c>
      <c r="X106" s="3">
        <v>4.8075482194076737E-2</v>
      </c>
      <c r="Y106" s="3">
        <v>4.7034554200949652E-2</v>
      </c>
      <c r="Z106" s="3">
        <v>4.6061172191565067E-2</v>
      </c>
      <c r="AA106" s="3">
        <v>4.5151279202891088E-2</v>
      </c>
      <c r="AB106" s="3">
        <v>4.4298176700865631E-2</v>
      </c>
      <c r="AC106" s="3">
        <v>4.3493028574305571E-2</v>
      </c>
      <c r="AD106" s="3">
        <v>4.2730310017592948E-2</v>
      </c>
      <c r="AE106" s="3">
        <v>4.2003749916013813E-2</v>
      </c>
      <c r="AG106" s="17" t="s">
        <v>653</v>
      </c>
      <c r="AH106" s="3">
        <v>6.1848794823225431E-2</v>
      </c>
      <c r="AI106" s="3">
        <v>5.9399036530333647E-2</v>
      </c>
      <c r="AJ106" s="3">
        <v>4.9810307769160587E-2</v>
      </c>
      <c r="AK106" s="3">
        <v>4.8589494004245642E-2</v>
      </c>
      <c r="AL106" s="3">
        <v>4.8619104930978277E-2</v>
      </c>
      <c r="AM106" s="3">
        <v>5.8334608857357098E-2</v>
      </c>
      <c r="AN106" s="3">
        <v>5.8292471787972679E-2</v>
      </c>
      <c r="AO106" s="3">
        <v>5.992715857864659E-2</v>
      </c>
      <c r="AP106" s="3">
        <v>5.9197907273477728E-2</v>
      </c>
      <c r="AQ106" s="3">
        <v>5.9611831287267381E-2</v>
      </c>
      <c r="AR106" s="3">
        <v>5.7842353238713951E-2</v>
      </c>
      <c r="AS106" s="3">
        <v>5.6437965013106127E-2</v>
      </c>
      <c r="AT106" s="3">
        <v>5.4964956906799492E-2</v>
      </c>
      <c r="AU106" s="3">
        <v>5.3603743366219168E-2</v>
      </c>
      <c r="AV106" s="3">
        <v>5.235470834220575E-2</v>
      </c>
      <c r="AW106" s="3">
        <v>5.1195053413749747E-2</v>
      </c>
      <c r="AX106" s="3">
        <v>5.0111770612076112E-2</v>
      </c>
      <c r="AY106" s="3">
        <v>4.9097007253806578E-2</v>
      </c>
      <c r="AZ106" s="3">
        <v>4.8140888520065643E-2</v>
      </c>
      <c r="BA106" s="3">
        <v>4.7237305027297768E-2</v>
      </c>
      <c r="BC106" s="17" t="s">
        <v>654</v>
      </c>
      <c r="BD106" s="3">
        <v>6.1848794823225431E-2</v>
      </c>
      <c r="BE106" s="3">
        <v>5.9399036530333647E-2</v>
      </c>
      <c r="BF106" s="3">
        <v>4.9810307769160587E-2</v>
      </c>
      <c r="BG106" s="3">
        <v>4.8593135728793882E-2</v>
      </c>
      <c r="BH106" s="3">
        <v>4.8628412937146023E-2</v>
      </c>
      <c r="BI106" s="3">
        <v>5.3740988207157628E-2</v>
      </c>
      <c r="BJ106" s="3">
        <v>5.9856392535130649E-2</v>
      </c>
      <c r="BK106" s="3">
        <v>6.6349901248527882E-2</v>
      </c>
      <c r="BL106" s="3">
        <v>7.118501353758129E-2</v>
      </c>
      <c r="BM106" s="3">
        <v>7.6363130299051091E-2</v>
      </c>
      <c r="BN106" s="3">
        <v>8.0065299220436398E-2</v>
      </c>
      <c r="BO106" s="3">
        <v>8.365567597366369E-2</v>
      </c>
      <c r="BP106" s="3">
        <v>8.6084692649923314E-2</v>
      </c>
      <c r="BQ106" s="3">
        <v>8.8330094400971143E-2</v>
      </c>
      <c r="BR106" s="3">
        <v>8.9532386070240402E-2</v>
      </c>
      <c r="BS106" s="3">
        <v>9.0744619970780135E-2</v>
      </c>
      <c r="BT106" s="3">
        <v>9.0871209160550123E-2</v>
      </c>
      <c r="BU106" s="3">
        <v>9.1323924614971297E-2</v>
      </c>
      <c r="BV106" s="3">
        <v>9.0467988057939971E-2</v>
      </c>
      <c r="BW106" s="3">
        <v>9.0576849344798857E-2</v>
      </c>
      <c r="BY106" s="17" t="s">
        <v>655</v>
      </c>
      <c r="BZ106" s="3">
        <v>6.1848794823225431E-2</v>
      </c>
      <c r="CA106" s="3">
        <v>5.9399036530333647E-2</v>
      </c>
      <c r="CB106" s="3">
        <v>4.9810307769160587E-2</v>
      </c>
      <c r="CC106" s="3">
        <v>4.8596868290778333E-2</v>
      </c>
      <c r="CD106" s="3">
        <v>4.863783219389848E-2</v>
      </c>
      <c r="CE106" s="3">
        <v>4.9157501028462607E-2</v>
      </c>
      <c r="CF106" s="3">
        <v>4.933893731652985E-2</v>
      </c>
      <c r="CG106" s="3">
        <v>5.0115569122754548E-2</v>
      </c>
      <c r="CH106" s="3">
        <v>5.0800608542010649E-2</v>
      </c>
      <c r="CI106" s="3">
        <v>5.1585320826343248E-2</v>
      </c>
      <c r="CJ106" s="3">
        <v>5.0269202508694343E-2</v>
      </c>
      <c r="CK106" s="3">
        <v>4.9061459710331559E-2</v>
      </c>
      <c r="CL106" s="3">
        <v>4.7868100421276087E-2</v>
      </c>
      <c r="CM106" s="3">
        <v>4.6560827895763109E-2</v>
      </c>
      <c r="CN106" s="3">
        <v>4.5395332573369279E-2</v>
      </c>
      <c r="CO106" s="3">
        <v>4.4301064223486931E-2</v>
      </c>
      <c r="CP106" s="3">
        <v>4.3257386919258907E-2</v>
      </c>
      <c r="CQ106" s="3">
        <v>4.230261862310343E-2</v>
      </c>
      <c r="CR106" s="3">
        <v>4.1411305050360281E-2</v>
      </c>
      <c r="CS106" s="3">
        <v>4.0566648428229428E-2</v>
      </c>
      <c r="CU106" s="17" t="s">
        <v>656</v>
      </c>
      <c r="CV106" s="3">
        <v>6.1848794823225431E-2</v>
      </c>
      <c r="CW106" s="3">
        <v>5.9399036530333647E-2</v>
      </c>
      <c r="CX106" s="3">
        <v>4.9810307769160587E-2</v>
      </c>
      <c r="CY106" s="3">
        <v>4.8591577443305903E-2</v>
      </c>
      <c r="CZ106" s="3">
        <v>4.8624402033223393E-2</v>
      </c>
      <c r="DA106" s="3">
        <v>7.213325523853957E-2</v>
      </c>
      <c r="DB106" s="3">
        <v>7.1476606209770768E-2</v>
      </c>
      <c r="DC106" s="3">
        <v>7.4343838983342583E-2</v>
      </c>
      <c r="DD106" s="3">
        <v>7.295018216477954E-2</v>
      </c>
      <c r="DE106" s="3">
        <v>7.1922695903323383E-2</v>
      </c>
      <c r="DF106" s="3">
        <v>6.9269820644745086E-2</v>
      </c>
      <c r="DG106" s="3">
        <v>6.6766214933103751E-2</v>
      </c>
      <c r="DH106" s="3">
        <v>6.3898265219074296E-2</v>
      </c>
      <c r="DI106" s="3">
        <v>6.137001511836284E-2</v>
      </c>
      <c r="DJ106" s="3">
        <v>5.8974782158947317E-2</v>
      </c>
      <c r="DK106" s="3">
        <v>5.687657323912873E-2</v>
      </c>
      <c r="DL106" s="3">
        <v>5.4885753659966452E-2</v>
      </c>
      <c r="DM106" s="3">
        <v>5.3154904298371053E-2</v>
      </c>
      <c r="DN106" s="3">
        <v>5.1518000488788858E-2</v>
      </c>
      <c r="DO106" s="3">
        <v>5.0083191035188712E-2</v>
      </c>
    </row>
    <row r="107" spans="1:230" x14ac:dyDescent="0.45">
      <c r="A107" s="16" t="s">
        <v>657</v>
      </c>
      <c r="B107" s="3" t="s">
        <v>89</v>
      </c>
      <c r="C107" s="16" t="s">
        <v>658</v>
      </c>
      <c r="H107" s="3" t="s">
        <v>659</v>
      </c>
      <c r="I107" s="3" t="s">
        <v>651</v>
      </c>
      <c r="K107" s="17" t="s">
        <v>660</v>
      </c>
      <c r="L107" s="3">
        <v>11.2636325723207</v>
      </c>
      <c r="M107" s="3">
        <v>8.7846614953404103</v>
      </c>
      <c r="N107" s="3">
        <v>7.5787022562114839</v>
      </c>
      <c r="O107" s="3">
        <v>6.8227913861520584</v>
      </c>
      <c r="P107" s="3">
        <v>7.2392031979651623</v>
      </c>
      <c r="Q107" s="3">
        <v>7.3330827979217821</v>
      </c>
      <c r="R107" s="3">
        <v>7.2884661636238386</v>
      </c>
      <c r="S107" s="3">
        <v>7.2406314178782836</v>
      </c>
      <c r="T107" s="3">
        <v>7.1894471186134057</v>
      </c>
      <c r="U107" s="3">
        <v>7.1400522070615891</v>
      </c>
      <c r="V107" s="3">
        <v>7.139995256845233</v>
      </c>
      <c r="W107" s="3">
        <v>7.1399395661918517</v>
      </c>
      <c r="X107" s="3">
        <v>7.1398850986337798</v>
      </c>
      <c r="Y107" s="3">
        <v>7.1398318189896148</v>
      </c>
      <c r="Z107" s="3">
        <v>7.1397796933290492</v>
      </c>
      <c r="AA107" s="3">
        <v>7.1397286889381109</v>
      </c>
      <c r="AB107" s="3">
        <v>7.1396787742849943</v>
      </c>
      <c r="AC107" s="3">
        <v>7.1396299189864774</v>
      </c>
      <c r="AD107" s="3">
        <v>7.1395820937750258</v>
      </c>
      <c r="AE107" s="3">
        <v>7.1395352704666202</v>
      </c>
      <c r="AG107" s="17" t="s">
        <v>661</v>
      </c>
      <c r="AH107" s="3">
        <v>11.2636325723207</v>
      </c>
      <c r="AI107" s="3">
        <v>8.7846614953404103</v>
      </c>
      <c r="AJ107" s="3">
        <v>7.5787022562114839</v>
      </c>
      <c r="AK107" s="3">
        <v>6.8227913861520584</v>
      </c>
      <c r="AL107" s="3">
        <v>7.2392031979651623</v>
      </c>
      <c r="AM107" s="3">
        <v>9.3243141269173453</v>
      </c>
      <c r="AN107" s="3">
        <v>9.2796957992064257</v>
      </c>
      <c r="AO107" s="3">
        <v>9.2318594733306067</v>
      </c>
      <c r="AP107" s="3">
        <v>9.1806737211568041</v>
      </c>
      <c r="AQ107" s="3">
        <v>9.1312773957858688</v>
      </c>
      <c r="AR107" s="3">
        <v>9.1312191682285881</v>
      </c>
      <c r="AS107" s="3">
        <v>9.1311622284851257</v>
      </c>
      <c r="AT107" s="3">
        <v>9.1311065392698687</v>
      </c>
      <c r="AU107" s="3">
        <v>9.1310520646123372</v>
      </c>
      <c r="AV107" s="3">
        <v>9.1309987698211881</v>
      </c>
      <c r="AW107" s="3">
        <v>9.1309466214487145</v>
      </c>
      <c r="AX107" s="3">
        <v>9.1308955872558837</v>
      </c>
      <c r="AY107" s="3">
        <v>9.1308456361779964</v>
      </c>
      <c r="AZ107" s="3">
        <v>9.1307967382910835</v>
      </c>
      <c r="BA107" s="3">
        <v>9.1307488647789761</v>
      </c>
      <c r="BC107" s="17" t="s">
        <v>662</v>
      </c>
      <c r="BD107" s="3">
        <v>11.2636325723207</v>
      </c>
      <c r="BE107" s="3">
        <v>8.7846614953404103</v>
      </c>
      <c r="BF107" s="3">
        <v>7.5787022562114839</v>
      </c>
      <c r="BG107" s="3">
        <v>6.8227913861520584</v>
      </c>
      <c r="BH107" s="3">
        <v>7.2392031979651623</v>
      </c>
      <c r="BI107" s="3">
        <v>8.3286984624195632</v>
      </c>
      <c r="BJ107" s="3">
        <v>9.6115674051368565</v>
      </c>
      <c r="BK107" s="3">
        <v>10.89121618620754</v>
      </c>
      <c r="BL107" s="3">
        <v>12.1675136249719</v>
      </c>
      <c r="BM107" s="3">
        <v>13.44559863802181</v>
      </c>
      <c r="BN107" s="3">
        <v>14.77302025048143</v>
      </c>
      <c r="BO107" s="3">
        <v>16.100441546511568</v>
      </c>
      <c r="BP107" s="3">
        <v>17.427862541920241</v>
      </c>
      <c r="BQ107" s="3">
        <v>18.755283251788821</v>
      </c>
      <c r="BR107" s="3">
        <v>20.082703690527961</v>
      </c>
      <c r="BS107" s="3">
        <v>21.4101238719308</v>
      </c>
      <c r="BT107" s="3">
        <v>22.737543809223641</v>
      </c>
      <c r="BU107" s="3">
        <v>24.06496351511441</v>
      </c>
      <c r="BV107" s="3">
        <v>25.39238300183888</v>
      </c>
      <c r="BW107" s="3">
        <v>26.719802281204799</v>
      </c>
      <c r="BY107" s="17" t="s">
        <v>663</v>
      </c>
      <c r="BZ107" s="3">
        <v>11.2636325723207</v>
      </c>
      <c r="CA107" s="3">
        <v>8.7846614953404103</v>
      </c>
      <c r="CB107" s="3">
        <v>7.5787022562114839</v>
      </c>
      <c r="CC107" s="3">
        <v>6.8227913861520584</v>
      </c>
      <c r="CD107" s="3">
        <v>7.2392031979651623</v>
      </c>
      <c r="CE107" s="3">
        <v>7.335777925581322</v>
      </c>
      <c r="CF107" s="3">
        <v>7.2911309584918014</v>
      </c>
      <c r="CG107" s="3">
        <v>7.2432679090999503</v>
      </c>
      <c r="CH107" s="3">
        <v>7.1920575850058306</v>
      </c>
      <c r="CI107" s="3">
        <v>7.1426373488101431</v>
      </c>
      <c r="CJ107" s="3">
        <v>7.1425575185777959</v>
      </c>
      <c r="CK107" s="3">
        <v>7.1424794539437499</v>
      </c>
      <c r="CL107" s="3">
        <v>7.1424031037892712</v>
      </c>
      <c r="CM107" s="3">
        <v>7.1423284187986784</v>
      </c>
      <c r="CN107" s="3">
        <v>7.1422553514099922</v>
      </c>
      <c r="CO107" s="3">
        <v>7.1421838557662536</v>
      </c>
      <c r="CP107" s="3">
        <v>7.1421138876676098</v>
      </c>
      <c r="CQ107" s="3">
        <v>7.1420454045242359</v>
      </c>
      <c r="CR107" s="3">
        <v>7.1419783653102256</v>
      </c>
      <c r="CS107" s="3">
        <v>7.1419127305185004</v>
      </c>
      <c r="CU107" s="17" t="s">
        <v>664</v>
      </c>
      <c r="CV107" s="3">
        <v>11.2636325723207</v>
      </c>
      <c r="CW107" s="3">
        <v>8.7846614953404103</v>
      </c>
      <c r="CX107" s="3">
        <v>7.5787022562114839</v>
      </c>
      <c r="CY107" s="3">
        <v>6.8227913861520584</v>
      </c>
      <c r="CZ107" s="3">
        <v>7.2392031979651623</v>
      </c>
      <c r="DA107" s="3">
        <v>12.31116112041069</v>
      </c>
      <c r="DB107" s="3">
        <v>12.266540252580301</v>
      </c>
      <c r="DC107" s="3">
        <v>12.218701556509091</v>
      </c>
      <c r="DD107" s="3">
        <v>12.1675136249719</v>
      </c>
      <c r="DE107" s="3">
        <v>12.118115178872291</v>
      </c>
      <c r="DF107" s="3">
        <v>12.11805503530363</v>
      </c>
      <c r="DG107" s="3">
        <v>12.117996221925029</v>
      </c>
      <c r="DH107" s="3">
        <v>12.117938700224</v>
      </c>
      <c r="DI107" s="3">
        <v>12.11788243304642</v>
      </c>
      <c r="DJ107" s="3">
        <v>12.1178273845594</v>
      </c>
      <c r="DK107" s="3">
        <v>12.11777352021463</v>
      </c>
      <c r="DL107" s="3">
        <v>12.117720806712221</v>
      </c>
      <c r="DM107" s="3">
        <v>12.11766921196528</v>
      </c>
      <c r="DN107" s="3">
        <v>12.117618705065169</v>
      </c>
      <c r="DO107" s="3">
        <v>12.11756925624751</v>
      </c>
    </row>
    <row r="108" spans="1:230" x14ac:dyDescent="0.45">
      <c r="A108" s="16" t="s">
        <v>665</v>
      </c>
      <c r="B108" s="3" t="s">
        <v>89</v>
      </c>
      <c r="C108" s="16" t="s">
        <v>666</v>
      </c>
      <c r="H108" s="3" t="s">
        <v>667</v>
      </c>
      <c r="I108" s="3" t="s">
        <v>651</v>
      </c>
      <c r="K108" s="17" t="s">
        <v>668</v>
      </c>
      <c r="L108" s="3">
        <v>3.6949837774904011</v>
      </c>
      <c r="M108" s="3">
        <v>3.1977272038198921</v>
      </c>
      <c r="N108" s="3">
        <v>3.1704485039463588</v>
      </c>
      <c r="O108" s="3">
        <v>3.1567384538339809</v>
      </c>
      <c r="P108" s="3">
        <v>3.1684399042978999</v>
      </c>
      <c r="Q108" s="3">
        <v>3.1857863392110972</v>
      </c>
      <c r="R108" s="3">
        <v>3.2061290967080458</v>
      </c>
      <c r="S108" s="3">
        <v>3.2260452928494008</v>
      </c>
      <c r="T108" s="3">
        <v>3.250562160896314</v>
      </c>
      <c r="U108" s="3">
        <v>3.2685692286515828</v>
      </c>
      <c r="V108" s="3">
        <v>3.2885871579142911</v>
      </c>
      <c r="W108" s="3">
        <v>3.296233999699655</v>
      </c>
      <c r="X108" s="3">
        <v>3.3067598219759708</v>
      </c>
      <c r="Y108" s="3">
        <v>3.315326238723769</v>
      </c>
      <c r="Z108" s="3">
        <v>3.3239508733434162</v>
      </c>
      <c r="AA108" s="3">
        <v>3.3323765790880482</v>
      </c>
      <c r="AB108" s="3">
        <v>3.3406628142923309</v>
      </c>
      <c r="AC108" s="3">
        <v>3.348794877579679</v>
      </c>
      <c r="AD108" s="3">
        <v>3.3567210799212241</v>
      </c>
      <c r="AE108" s="3">
        <v>3.3644242286978492</v>
      </c>
      <c r="AG108" s="17" t="s">
        <v>669</v>
      </c>
      <c r="AH108" s="3">
        <v>3.6949837774904011</v>
      </c>
      <c r="AI108" s="3">
        <v>3.1977272038198921</v>
      </c>
      <c r="AJ108" s="3">
        <v>3.1704485039463588</v>
      </c>
      <c r="AK108" s="3">
        <v>3.1567384538339809</v>
      </c>
      <c r="AL108" s="3">
        <v>3.1684399042978999</v>
      </c>
      <c r="AM108" s="3">
        <v>4.2968094624120416</v>
      </c>
      <c r="AN108" s="3">
        <v>4.3171522199089898</v>
      </c>
      <c r="AO108" s="3">
        <v>4.3370684160503448</v>
      </c>
      <c r="AP108" s="3">
        <v>4.3615852840972584</v>
      </c>
      <c r="AQ108" s="3">
        <v>4.3795923518525273</v>
      </c>
      <c r="AR108" s="3">
        <v>4.3996102811152342</v>
      </c>
      <c r="AS108" s="3">
        <v>4.4072571229005986</v>
      </c>
      <c r="AT108" s="3">
        <v>4.4177829451769144</v>
      </c>
      <c r="AU108" s="3">
        <v>4.4263493619247134</v>
      </c>
      <c r="AV108" s="3">
        <v>4.4349739965443593</v>
      </c>
      <c r="AW108" s="3">
        <v>4.4433997022889917</v>
      </c>
      <c r="AX108" s="3">
        <v>4.4516859374932753</v>
      </c>
      <c r="AY108" s="3">
        <v>4.4598180007806221</v>
      </c>
      <c r="AZ108" s="3">
        <v>4.4677442031221686</v>
      </c>
      <c r="BA108" s="3">
        <v>4.4754473518987927</v>
      </c>
      <c r="BC108" s="17" t="s">
        <v>670</v>
      </c>
      <c r="BD108" s="3">
        <v>3.6949837774904011</v>
      </c>
      <c r="BE108" s="3">
        <v>3.1977272038198921</v>
      </c>
      <c r="BF108" s="3">
        <v>3.1704485039463588</v>
      </c>
      <c r="BG108" s="3">
        <v>3.1567384538339809</v>
      </c>
      <c r="BH108" s="3">
        <v>3.1684399042978999</v>
      </c>
      <c r="BI108" s="3">
        <v>3.7412979008115692</v>
      </c>
      <c r="BJ108" s="3">
        <v>4.5023227404424802</v>
      </c>
      <c r="BK108" s="3">
        <v>5.2629210187177984</v>
      </c>
      <c r="BL108" s="3">
        <v>6.0281199688986744</v>
      </c>
      <c r="BM108" s="3">
        <v>6.7868091187879056</v>
      </c>
      <c r="BN108" s="3">
        <v>7.5475091301845749</v>
      </c>
      <c r="BO108" s="3">
        <v>8.2958380541039034</v>
      </c>
      <c r="BP108" s="3">
        <v>9.0470459585141807</v>
      </c>
      <c r="BQ108" s="3">
        <v>9.7962944573959412</v>
      </c>
      <c r="BR108" s="3">
        <v>10.545601174149549</v>
      </c>
      <c r="BS108" s="3">
        <v>11.29470896202815</v>
      </c>
      <c r="BT108" s="3">
        <v>12.04367727936639</v>
      </c>
      <c r="BU108" s="3">
        <v>12.7924914247877</v>
      </c>
      <c r="BV108" s="3">
        <v>13.541099709263211</v>
      </c>
      <c r="BW108" s="3">
        <v>14.2894849401738</v>
      </c>
      <c r="BY108" s="17" t="s">
        <v>671</v>
      </c>
      <c r="BZ108" s="3">
        <v>3.6949837774904011</v>
      </c>
      <c r="CA108" s="3">
        <v>3.1977272038198921</v>
      </c>
      <c r="CB108" s="3">
        <v>3.1704485039463588</v>
      </c>
      <c r="CC108" s="3">
        <v>3.1567384538339809</v>
      </c>
      <c r="CD108" s="3">
        <v>3.1684399042978999</v>
      </c>
      <c r="CE108" s="3">
        <v>3.4946099139480289</v>
      </c>
      <c r="CF108" s="3">
        <v>3.5264128775239239</v>
      </c>
      <c r="CG108" s="3">
        <v>3.557573202808177</v>
      </c>
      <c r="CH108" s="3">
        <v>3.596901115849608</v>
      </c>
      <c r="CI108" s="3">
        <v>3.6247699702806071</v>
      </c>
      <c r="CJ108" s="3">
        <v>3.6559966754818358</v>
      </c>
      <c r="CK108" s="3">
        <v>3.66592970055027</v>
      </c>
      <c r="CL108" s="3">
        <v>3.6808301376480079</v>
      </c>
      <c r="CM108" s="3">
        <v>3.6924224081924568</v>
      </c>
      <c r="CN108" s="3">
        <v>3.70351526961058</v>
      </c>
      <c r="CO108" s="3">
        <v>3.714360771372653</v>
      </c>
      <c r="CP108" s="3">
        <v>3.7250521473592628</v>
      </c>
      <c r="CQ108" s="3">
        <v>3.7355639550327999</v>
      </c>
      <c r="CR108" s="3">
        <v>3.7458123213074588</v>
      </c>
      <c r="CS108" s="3">
        <v>3.7557687410545588</v>
      </c>
      <c r="CU108" s="17" t="s">
        <v>672</v>
      </c>
      <c r="CV108" s="3">
        <v>3.6949837774904011</v>
      </c>
      <c r="CW108" s="3">
        <v>3.1977272038198921</v>
      </c>
      <c r="CX108" s="3">
        <v>3.1704485039463588</v>
      </c>
      <c r="CY108" s="3">
        <v>3.1567384538339809</v>
      </c>
      <c r="CZ108" s="3">
        <v>3.1684399042978999</v>
      </c>
      <c r="DA108" s="3">
        <v>5.9633441472134576</v>
      </c>
      <c r="DB108" s="3">
        <v>5.9836869047104049</v>
      </c>
      <c r="DC108" s="3">
        <v>6.0036031008517616</v>
      </c>
      <c r="DD108" s="3">
        <v>6.0281199688986744</v>
      </c>
      <c r="DE108" s="3">
        <v>6.0461270366539441</v>
      </c>
      <c r="DF108" s="3">
        <v>6.0661449659166493</v>
      </c>
      <c r="DG108" s="3">
        <v>6.0737918077020154</v>
      </c>
      <c r="DH108" s="3">
        <v>6.0843176299783304</v>
      </c>
      <c r="DI108" s="3">
        <v>6.0928840467261276</v>
      </c>
      <c r="DJ108" s="3">
        <v>6.1015086813457753</v>
      </c>
      <c r="DK108" s="3">
        <v>6.1099343870904077</v>
      </c>
      <c r="DL108" s="3">
        <v>6.1182206222946913</v>
      </c>
      <c r="DM108" s="3">
        <v>6.1263526855820389</v>
      </c>
      <c r="DN108" s="3">
        <v>6.1342788879235828</v>
      </c>
      <c r="DO108" s="3">
        <v>6.1419820367002087</v>
      </c>
    </row>
    <row r="109" spans="1:230" x14ac:dyDescent="0.45">
      <c r="A109" s="16" t="s">
        <v>673</v>
      </c>
      <c r="B109" s="3" t="s">
        <v>89</v>
      </c>
      <c r="C109" s="16" t="s">
        <v>674</v>
      </c>
      <c r="H109" s="3" t="s">
        <v>675</v>
      </c>
      <c r="I109" s="3" t="s">
        <v>651</v>
      </c>
      <c r="K109" s="17" t="s">
        <v>676</v>
      </c>
      <c r="L109" s="3">
        <v>4.8634415868015042</v>
      </c>
      <c r="M109" s="3">
        <v>4.3984442736846976</v>
      </c>
      <c r="N109" s="3">
        <v>4.1856180444947881</v>
      </c>
      <c r="O109" s="3">
        <v>4.1856180444947881</v>
      </c>
      <c r="P109" s="3">
        <v>4.1856180444947881</v>
      </c>
      <c r="Q109" s="3">
        <v>4.1856180444947881</v>
      </c>
      <c r="R109" s="3">
        <v>4.1856180444947881</v>
      </c>
      <c r="S109" s="3">
        <v>4.1856180444947881</v>
      </c>
      <c r="T109" s="3">
        <v>4.1856180444947881</v>
      </c>
      <c r="U109" s="3">
        <v>4.1856180444947881</v>
      </c>
      <c r="V109" s="3">
        <v>4.1856180444947881</v>
      </c>
      <c r="W109" s="3">
        <v>4.1856180444947872</v>
      </c>
      <c r="X109" s="3">
        <v>4.1856180444947917</v>
      </c>
      <c r="Y109" s="3">
        <v>4.1856180444947917</v>
      </c>
      <c r="Z109" s="3">
        <v>4.1856180444947917</v>
      </c>
      <c r="AA109" s="3">
        <v>4.1856180444947899</v>
      </c>
      <c r="AB109" s="3">
        <v>4.1856180444947926</v>
      </c>
      <c r="AC109" s="3">
        <v>4.1856180444947917</v>
      </c>
      <c r="AD109" s="3">
        <v>4.1856180444947917</v>
      </c>
      <c r="AE109" s="3">
        <v>4.1856180444947917</v>
      </c>
      <c r="AG109" s="17" t="s">
        <v>677</v>
      </c>
      <c r="AH109" s="3">
        <v>4.8634415868015042</v>
      </c>
      <c r="AI109" s="3">
        <v>4.3984442736846976</v>
      </c>
      <c r="AJ109" s="3">
        <v>4.1856180444947881</v>
      </c>
      <c r="AK109" s="3">
        <v>4.1856180444947881</v>
      </c>
      <c r="AL109" s="3">
        <v>4.1856180444947881</v>
      </c>
      <c r="AM109" s="3">
        <v>5.6416126124145078</v>
      </c>
      <c r="AN109" s="3">
        <v>5.6416290357412997</v>
      </c>
      <c r="AO109" s="3">
        <v>5.6416454055812526</v>
      </c>
      <c r="AP109" s="3">
        <v>5.6416617220666838</v>
      </c>
      <c r="AQ109" s="3">
        <v>5.6416779853298902</v>
      </c>
      <c r="AR109" s="3">
        <v>5.6416941955031454</v>
      </c>
      <c r="AS109" s="3">
        <v>5.6417103527186931</v>
      </c>
      <c r="AT109" s="3">
        <v>5.641726457108752</v>
      </c>
      <c r="AU109" s="3">
        <v>5.641742508805498</v>
      </c>
      <c r="AV109" s="3">
        <v>5.6417585079410859</v>
      </c>
      <c r="AW109" s="3">
        <v>5.6417744546476243</v>
      </c>
      <c r="AX109" s="3">
        <v>5.6417903490571906</v>
      </c>
      <c r="AY109" s="3">
        <v>5.6418061913018063</v>
      </c>
      <c r="AZ109" s="3">
        <v>5.6418219815134627</v>
      </c>
      <c r="BA109" s="3">
        <v>5.6418377198240961</v>
      </c>
      <c r="BC109" s="17" t="s">
        <v>678</v>
      </c>
      <c r="BD109" s="3">
        <v>4.8634415868015042</v>
      </c>
      <c r="BE109" s="3">
        <v>4.3984442736846976</v>
      </c>
      <c r="BF109" s="3">
        <v>4.1856180444947881</v>
      </c>
      <c r="BG109" s="3">
        <v>4.1856180444947881</v>
      </c>
      <c r="BH109" s="3">
        <v>4.1856180444947881</v>
      </c>
      <c r="BI109" s="3">
        <v>4.9162333226272636</v>
      </c>
      <c r="BJ109" s="3">
        <v>5.8831002828632846</v>
      </c>
      <c r="BK109" s="3">
        <v>6.8430952658526518</v>
      </c>
      <c r="BL109" s="3">
        <v>7.7972854771701661</v>
      </c>
      <c r="BM109" s="3">
        <v>8.7446316911955098</v>
      </c>
      <c r="BN109" s="3">
        <v>9.6861971989548099</v>
      </c>
      <c r="BO109" s="3">
        <v>10.622296915558939</v>
      </c>
      <c r="BP109" s="3">
        <v>11.55319930750162</v>
      </c>
      <c r="BQ109" s="3">
        <v>12.4791369889502</v>
      </c>
      <c r="BR109" s="3">
        <v>13.400314192525469</v>
      </c>
      <c r="BS109" s="3">
        <v>14.316912213019361</v>
      </c>
      <c r="BT109" s="3">
        <v>15.229093483292999</v>
      </c>
      <c r="BU109" s="3">
        <v>16.137004696415762</v>
      </c>
      <c r="BV109" s="3">
        <v>17.040779244129428</v>
      </c>
      <c r="BW109" s="3">
        <v>17.940539153526579</v>
      </c>
      <c r="BY109" s="17" t="s">
        <v>679</v>
      </c>
      <c r="BZ109" s="3">
        <v>4.8634415868015042</v>
      </c>
      <c r="CA109" s="3">
        <v>4.3984442736846976</v>
      </c>
      <c r="CB109" s="3">
        <v>4.1856180444947881</v>
      </c>
      <c r="CC109" s="3">
        <v>4.1856180444947881</v>
      </c>
      <c r="CD109" s="3">
        <v>4.1856180444947881</v>
      </c>
      <c r="CE109" s="3">
        <v>6.0025323657397252</v>
      </c>
      <c r="CF109" s="3">
        <v>6.0025518719610282</v>
      </c>
      <c r="CG109" s="3">
        <v>6.0025713147072963</v>
      </c>
      <c r="CH109" s="3">
        <v>6.0025906941351819</v>
      </c>
      <c r="CI109" s="3">
        <v>6.0026100104013036</v>
      </c>
      <c r="CJ109" s="3">
        <v>6.0026292636622678</v>
      </c>
      <c r="CK109" s="3">
        <v>6.0026484540746416</v>
      </c>
      <c r="CL109" s="3">
        <v>6.0026675817949737</v>
      </c>
      <c r="CM109" s="3">
        <v>6.002686646979754</v>
      </c>
      <c r="CN109" s="3">
        <v>6.0027056497854581</v>
      </c>
      <c r="CO109" s="3">
        <v>6.0027245903685058</v>
      </c>
      <c r="CP109" s="3">
        <v>6.0027434688852894</v>
      </c>
      <c r="CQ109" s="3">
        <v>6.0027622854921328</v>
      </c>
      <c r="CR109" s="3">
        <v>6.0027810403453277</v>
      </c>
      <c r="CS109" s="3">
        <v>6.002799733601103</v>
      </c>
      <c r="CU109" s="17" t="s">
        <v>680</v>
      </c>
      <c r="CV109" s="3">
        <v>4.8634415868015042</v>
      </c>
      <c r="CW109" s="3">
        <v>4.3984442736846976</v>
      </c>
      <c r="CX109" s="3">
        <v>4.1856180444947881</v>
      </c>
      <c r="CY109" s="3">
        <v>4.1856180444947881</v>
      </c>
      <c r="CZ109" s="3">
        <v>4.1856180444947881</v>
      </c>
      <c r="DA109" s="3">
        <v>7.7909087896110654</v>
      </c>
      <c r="DB109" s="3">
        <v>7.7909380065595979</v>
      </c>
      <c r="DC109" s="3">
        <v>7.7909671287239606</v>
      </c>
      <c r="DD109" s="3">
        <v>7.7909961563359564</v>
      </c>
      <c r="DE109" s="3">
        <v>7.7910250896273698</v>
      </c>
      <c r="DF109" s="3">
        <v>7.7910539288299692</v>
      </c>
      <c r="DG109" s="3">
        <v>7.7910826741754979</v>
      </c>
      <c r="DH109" s="3">
        <v>7.7911113258956686</v>
      </c>
      <c r="DI109" s="3">
        <v>7.7911398842221553</v>
      </c>
      <c r="DJ109" s="3">
        <v>7.7911683493866004</v>
      </c>
      <c r="DK109" s="3">
        <v>7.7911967216205964</v>
      </c>
      <c r="DL109" s="3">
        <v>7.7912250011556994</v>
      </c>
      <c r="DM109" s="3">
        <v>7.7912531882234006</v>
      </c>
      <c r="DN109" s="3">
        <v>7.791281283055139</v>
      </c>
      <c r="DO109" s="3">
        <v>7.7913092858822921</v>
      </c>
    </row>
    <row r="110" spans="1:230" x14ac:dyDescent="0.45">
      <c r="A110" s="16" t="s">
        <v>681</v>
      </c>
      <c r="B110" s="3" t="s">
        <v>89</v>
      </c>
      <c r="C110" s="16" t="s">
        <v>682</v>
      </c>
      <c r="H110" s="3" t="s">
        <v>683</v>
      </c>
      <c r="I110" s="3" t="s">
        <v>651</v>
      </c>
      <c r="K110" s="17" t="s">
        <v>684</v>
      </c>
      <c r="L110" s="3">
        <v>18.10713099918123</v>
      </c>
      <c r="M110" s="3">
        <v>11.328675363861979</v>
      </c>
      <c r="N110" s="3">
        <v>9.1450407589110867</v>
      </c>
      <c r="O110" s="3">
        <v>9.1450407589110867</v>
      </c>
      <c r="P110" s="3">
        <v>9.1450407589110867</v>
      </c>
      <c r="Q110" s="3">
        <v>9.1450407589110867</v>
      </c>
      <c r="R110" s="3">
        <v>9.1450407589110867</v>
      </c>
      <c r="S110" s="3">
        <v>9.1450407589110867</v>
      </c>
      <c r="T110" s="3">
        <v>9.1450407589110867</v>
      </c>
      <c r="U110" s="3">
        <v>9.1450407589110867</v>
      </c>
      <c r="V110" s="3">
        <v>9.1450407589110867</v>
      </c>
      <c r="W110" s="3">
        <v>9.1450407589110867</v>
      </c>
      <c r="X110" s="3">
        <v>9.1450407589110903</v>
      </c>
      <c r="Y110" s="3">
        <v>9.1450407589110903</v>
      </c>
      <c r="Z110" s="3">
        <v>9.1450407589110903</v>
      </c>
      <c r="AA110" s="3">
        <v>9.1450407589110903</v>
      </c>
      <c r="AB110" s="3">
        <v>9.1450407589110903</v>
      </c>
      <c r="AC110" s="3">
        <v>9.1450407589110903</v>
      </c>
      <c r="AD110" s="3">
        <v>9.1450407589110903</v>
      </c>
      <c r="AE110" s="3">
        <v>9.1450407589110938</v>
      </c>
      <c r="AG110" s="17" t="s">
        <v>685</v>
      </c>
      <c r="AH110" s="3">
        <v>18.10713099918123</v>
      </c>
      <c r="AI110" s="3">
        <v>11.328675363861979</v>
      </c>
      <c r="AJ110" s="3">
        <v>9.1450407589110867</v>
      </c>
      <c r="AK110" s="3">
        <v>9.1450407589110867</v>
      </c>
      <c r="AL110" s="3">
        <v>9.1450407589110867</v>
      </c>
      <c r="AM110" s="3">
        <v>10.462698254380481</v>
      </c>
      <c r="AN110" s="3">
        <v>10.462698254380481</v>
      </c>
      <c r="AO110" s="3">
        <v>10.462698254380481</v>
      </c>
      <c r="AP110" s="3">
        <v>10.462698254380481</v>
      </c>
      <c r="AQ110" s="3">
        <v>10.462698254380481</v>
      </c>
      <c r="AR110" s="3">
        <v>10.462698254380481</v>
      </c>
      <c r="AS110" s="3">
        <v>10.462698254380481</v>
      </c>
      <c r="AT110" s="3">
        <v>10.462698254380481</v>
      </c>
      <c r="AU110" s="3">
        <v>10.462698254380481</v>
      </c>
      <c r="AV110" s="3">
        <v>10.462698254380481</v>
      </c>
      <c r="AW110" s="3">
        <v>10.462698254380481</v>
      </c>
      <c r="AX110" s="3">
        <v>10.462698254380481</v>
      </c>
      <c r="AY110" s="3">
        <v>10.462698254380481</v>
      </c>
      <c r="AZ110" s="3">
        <v>10.462698254380481</v>
      </c>
      <c r="BA110" s="3">
        <v>10.46269825438049</v>
      </c>
      <c r="BC110" s="17" t="s">
        <v>686</v>
      </c>
      <c r="BD110" s="3">
        <v>18.10713099918123</v>
      </c>
      <c r="BE110" s="3">
        <v>11.328675363861979</v>
      </c>
      <c r="BF110" s="3">
        <v>9.1450407589110867</v>
      </c>
      <c r="BG110" s="3">
        <v>9.1450407589110867</v>
      </c>
      <c r="BH110" s="3">
        <v>9.1450407589110867</v>
      </c>
      <c r="BI110" s="3">
        <v>9.8038695066457819</v>
      </c>
      <c r="BJ110" s="3">
        <v>10.68230783695871</v>
      </c>
      <c r="BK110" s="3">
        <v>11.56074616727164</v>
      </c>
      <c r="BL110" s="3">
        <v>12.43918449758457</v>
      </c>
      <c r="BM110" s="3">
        <v>13.317622827897489</v>
      </c>
      <c r="BN110" s="3">
        <v>14.196061158210419</v>
      </c>
      <c r="BO110" s="3">
        <v>15.074499488523349</v>
      </c>
      <c r="BP110" s="3">
        <v>15.952937818836279</v>
      </c>
      <c r="BQ110" s="3">
        <v>16.831376149149211</v>
      </c>
      <c r="BR110" s="3">
        <v>17.709814479462139</v>
      </c>
      <c r="BS110" s="3">
        <v>18.588252809775071</v>
      </c>
      <c r="BT110" s="3">
        <v>19.466691140087999</v>
      </c>
      <c r="BU110" s="3">
        <v>20.345129470400931</v>
      </c>
      <c r="BV110" s="3">
        <v>21.223567800713852</v>
      </c>
      <c r="BW110" s="3">
        <v>22.102006131026791</v>
      </c>
      <c r="BY110" s="17" t="s">
        <v>687</v>
      </c>
      <c r="BZ110" s="3">
        <v>18.10713099918123</v>
      </c>
      <c r="CA110" s="3">
        <v>11.328675363861979</v>
      </c>
      <c r="CB110" s="3">
        <v>9.1450407589110867</v>
      </c>
      <c r="CC110" s="3">
        <v>9.1450407589110867</v>
      </c>
      <c r="CD110" s="3">
        <v>9.1450407589110867</v>
      </c>
      <c r="CE110" s="3">
        <v>10.79211262824783</v>
      </c>
      <c r="CF110" s="3">
        <v>10.79211262824783</v>
      </c>
      <c r="CG110" s="3">
        <v>10.79211262824783</v>
      </c>
      <c r="CH110" s="3">
        <v>10.79211262824783</v>
      </c>
      <c r="CI110" s="3">
        <v>10.79211262824783</v>
      </c>
      <c r="CJ110" s="3">
        <v>10.79211262824783</v>
      </c>
      <c r="CK110" s="3">
        <v>10.79211262824783</v>
      </c>
      <c r="CL110" s="3">
        <v>10.79211262824783</v>
      </c>
      <c r="CM110" s="3">
        <v>10.79211262824783</v>
      </c>
      <c r="CN110" s="3">
        <v>10.79211262824783</v>
      </c>
      <c r="CO110" s="3">
        <v>10.79211262824783</v>
      </c>
      <c r="CP110" s="3">
        <v>10.79211262824783</v>
      </c>
      <c r="CQ110" s="3">
        <v>10.79211262824783</v>
      </c>
      <c r="CR110" s="3">
        <v>10.79211262824783</v>
      </c>
      <c r="CS110" s="3">
        <v>10.79211262824783</v>
      </c>
      <c r="CU110" s="17" t="s">
        <v>688</v>
      </c>
      <c r="CV110" s="3">
        <v>18.10713099918123</v>
      </c>
      <c r="CW110" s="3">
        <v>11.328675363861979</v>
      </c>
      <c r="CX110" s="3">
        <v>9.1450407589110867</v>
      </c>
      <c r="CY110" s="3">
        <v>9.1450407589110867</v>
      </c>
      <c r="CZ110" s="3">
        <v>9.1450407589110867</v>
      </c>
      <c r="DA110" s="3">
        <v>12.43918449758457</v>
      </c>
      <c r="DB110" s="3">
        <v>12.43918449758457</v>
      </c>
      <c r="DC110" s="3">
        <v>12.43918449758457</v>
      </c>
      <c r="DD110" s="3">
        <v>12.43918449758457</v>
      </c>
      <c r="DE110" s="3">
        <v>12.43918449758457</v>
      </c>
      <c r="DF110" s="3">
        <v>12.43918449758457</v>
      </c>
      <c r="DG110" s="3">
        <v>12.43918449758457</v>
      </c>
      <c r="DH110" s="3">
        <v>12.43918449758457</v>
      </c>
      <c r="DI110" s="3">
        <v>12.43918449758457</v>
      </c>
      <c r="DJ110" s="3">
        <v>12.43918449758457</v>
      </c>
      <c r="DK110" s="3">
        <v>12.43918449758457</v>
      </c>
      <c r="DL110" s="3">
        <v>12.43918449758457</v>
      </c>
      <c r="DM110" s="3">
        <v>12.43918449758457</v>
      </c>
      <c r="DN110" s="3">
        <v>12.43918449758457</v>
      </c>
      <c r="DO110" s="3">
        <v>12.43918449758457</v>
      </c>
    </row>
    <row r="111" spans="1:230" x14ac:dyDescent="0.45">
      <c r="A111" s="16" t="s">
        <v>689</v>
      </c>
      <c r="B111" s="3" t="s">
        <v>89</v>
      </c>
      <c r="C111" s="16" t="s">
        <v>690</v>
      </c>
      <c r="H111" s="3" t="s">
        <v>691</v>
      </c>
      <c r="I111" s="3" t="s">
        <v>651</v>
      </c>
      <c r="K111" s="17" t="s">
        <v>692</v>
      </c>
      <c r="L111" s="3">
        <v>11.22829503955268</v>
      </c>
      <c r="M111" s="3">
        <v>7.7491704179782808</v>
      </c>
      <c r="N111" s="3">
        <v>6.8266892012964622</v>
      </c>
      <c r="O111" s="3">
        <v>6.8266892012964622</v>
      </c>
      <c r="P111" s="3">
        <v>6.8266892012964613</v>
      </c>
      <c r="Q111" s="3">
        <v>6.8266892012964613</v>
      </c>
      <c r="R111" s="3">
        <v>6.8266892012964622</v>
      </c>
      <c r="S111" s="3">
        <v>6.8266892012964622</v>
      </c>
      <c r="T111" s="3">
        <v>6.8266892012964613</v>
      </c>
      <c r="U111" s="3">
        <v>6.8266892012964622</v>
      </c>
      <c r="V111" s="3">
        <v>6.8266892012964622</v>
      </c>
      <c r="W111" s="3">
        <v>6.8266892012964622</v>
      </c>
      <c r="X111" s="3">
        <v>6.8266892012964657</v>
      </c>
      <c r="Y111" s="3">
        <v>6.8266892012964657</v>
      </c>
      <c r="Z111" s="3">
        <v>6.8266892012964657</v>
      </c>
      <c r="AA111" s="3">
        <v>6.8266892012964613</v>
      </c>
      <c r="AB111" s="3">
        <v>6.8266892012964622</v>
      </c>
      <c r="AC111" s="3">
        <v>6.8266892012964613</v>
      </c>
      <c r="AD111" s="3">
        <v>6.8266892012964622</v>
      </c>
      <c r="AE111" s="3">
        <v>6.8266892012964622</v>
      </c>
      <c r="AG111" s="17" t="s">
        <v>693</v>
      </c>
      <c r="AH111" s="3">
        <v>11.22829503955268</v>
      </c>
      <c r="AI111" s="3">
        <v>7.7491704179782808</v>
      </c>
      <c r="AJ111" s="3">
        <v>6.8266892012964622</v>
      </c>
      <c r="AK111" s="3">
        <v>6.8266892012964622</v>
      </c>
      <c r="AL111" s="3">
        <v>6.8266892012964613</v>
      </c>
      <c r="AM111" s="3">
        <v>8.2464354027942015</v>
      </c>
      <c r="AN111" s="3">
        <v>8.2464361647180429</v>
      </c>
      <c r="AO111" s="3">
        <v>8.2464386904676772</v>
      </c>
      <c r="AP111" s="3">
        <v>8.2464448525875866</v>
      </c>
      <c r="AQ111" s="3">
        <v>8.2464505560780825</v>
      </c>
      <c r="AR111" s="3">
        <v>8.2464570834051898</v>
      </c>
      <c r="AS111" s="3">
        <v>8.2464632486524678</v>
      </c>
      <c r="AT111" s="3">
        <v>8.2464694457920285</v>
      </c>
      <c r="AU111" s="3">
        <v>8.2464761752679863</v>
      </c>
      <c r="AV111" s="3">
        <v>8.2464831265880303</v>
      </c>
      <c r="AW111" s="3">
        <v>8.2464901134099193</v>
      </c>
      <c r="AX111" s="3">
        <v>8.246497762594263</v>
      </c>
      <c r="AY111" s="3">
        <v>8.2465059205094278</v>
      </c>
      <c r="AZ111" s="3">
        <v>8.2465147845055871</v>
      </c>
      <c r="BA111" s="3">
        <v>8.2465240781157139</v>
      </c>
      <c r="BC111" s="17" t="s">
        <v>694</v>
      </c>
      <c r="BD111" s="3">
        <v>11.22829503955268</v>
      </c>
      <c r="BE111" s="3">
        <v>7.7491704179782808</v>
      </c>
      <c r="BF111" s="3">
        <v>6.8266892012964622</v>
      </c>
      <c r="BG111" s="3">
        <v>6.8266892012964622</v>
      </c>
      <c r="BH111" s="3">
        <v>6.8266892012964613</v>
      </c>
      <c r="BI111" s="3">
        <v>7.5367483273707796</v>
      </c>
      <c r="BJ111" s="3">
        <v>8.4830767491712784</v>
      </c>
      <c r="BK111" s="3">
        <v>9.4289925479917684</v>
      </c>
      <c r="BL111" s="3">
        <v>10.37455950405654</v>
      </c>
      <c r="BM111" s="3">
        <v>11.319717885229309</v>
      </c>
      <c r="BN111" s="3">
        <v>12.264595841545271</v>
      </c>
      <c r="BO111" s="3">
        <v>13.20923017143777</v>
      </c>
      <c r="BP111" s="3">
        <v>14.15365038826209</v>
      </c>
      <c r="BQ111" s="3">
        <v>15.097882035903201</v>
      </c>
      <c r="BR111" s="3">
        <v>16.041945900615278</v>
      </c>
      <c r="BS111" s="3">
        <v>16.985858577898298</v>
      </c>
      <c r="BT111" s="3">
        <v>17.929635964817049</v>
      </c>
      <c r="BU111" s="3">
        <v>18.873291685397081</v>
      </c>
      <c r="BV111" s="3">
        <v>19.816838994671311</v>
      </c>
      <c r="BW111" s="3">
        <v>20.76028843599126</v>
      </c>
      <c r="BY111" s="17" t="s">
        <v>695</v>
      </c>
      <c r="BZ111" s="3">
        <v>11.22829503955268</v>
      </c>
      <c r="CA111" s="3">
        <v>7.7491704179782808</v>
      </c>
      <c r="CB111" s="3">
        <v>6.8266892012964622</v>
      </c>
      <c r="CC111" s="3">
        <v>6.8266892012964622</v>
      </c>
      <c r="CD111" s="3">
        <v>6.8266892012964613</v>
      </c>
      <c r="CE111" s="3">
        <v>8.6011905088801655</v>
      </c>
      <c r="CF111" s="3">
        <v>8.6011914564754939</v>
      </c>
      <c r="CG111" s="3">
        <v>8.6011946606906928</v>
      </c>
      <c r="CH111" s="3">
        <v>8.6012022583658858</v>
      </c>
      <c r="CI111" s="3">
        <v>8.6012091534528317</v>
      </c>
      <c r="CJ111" s="3">
        <v>8.6012173147297624</v>
      </c>
      <c r="CK111" s="3">
        <v>8.6012249139469859</v>
      </c>
      <c r="CL111" s="3">
        <v>8.6012329278381916</v>
      </c>
      <c r="CM111" s="3">
        <v>8.6012415293074085</v>
      </c>
      <c r="CN111" s="3">
        <v>8.6012504076244483</v>
      </c>
      <c r="CO111" s="3">
        <v>8.6012594255837502</v>
      </c>
      <c r="CP111" s="3">
        <v>8.6012692296504909</v>
      </c>
      <c r="CQ111" s="3">
        <v>8.6012795343322637</v>
      </c>
      <c r="CR111" s="3">
        <v>8.6012906172195933</v>
      </c>
      <c r="CS111" s="3">
        <v>8.6013020625685375</v>
      </c>
      <c r="CU111" s="17" t="s">
        <v>696</v>
      </c>
      <c r="CV111" s="3">
        <v>11.22829503955268</v>
      </c>
      <c r="CW111" s="3">
        <v>7.7491704179782808</v>
      </c>
      <c r="CX111" s="3">
        <v>6.8266892012964622</v>
      </c>
      <c r="CY111" s="3">
        <v>6.8266892012964622</v>
      </c>
      <c r="CZ111" s="3">
        <v>6.8266892012964613</v>
      </c>
      <c r="DA111" s="3">
        <v>10.374109031120589</v>
      </c>
      <c r="DB111" s="3">
        <v>10.37411087175423</v>
      </c>
      <c r="DC111" s="3">
        <v>10.37411599847441</v>
      </c>
      <c r="DD111" s="3">
        <v>10.37413313763275</v>
      </c>
      <c r="DE111" s="3">
        <v>10.374146349817771</v>
      </c>
      <c r="DF111" s="3">
        <v>10.37416312491132</v>
      </c>
      <c r="DG111" s="3">
        <v>10.374176752342381</v>
      </c>
      <c r="DH111" s="3">
        <v>10.3741898385961</v>
      </c>
      <c r="DI111" s="3">
        <v>10.37420459773856</v>
      </c>
      <c r="DJ111" s="3">
        <v>10.374219577069219</v>
      </c>
      <c r="DK111" s="3">
        <v>10.37423379791182</v>
      </c>
      <c r="DL111" s="3">
        <v>10.37425054886981</v>
      </c>
      <c r="DM111" s="3">
        <v>10.37426890717153</v>
      </c>
      <c r="DN111" s="3">
        <v>10.374289985505071</v>
      </c>
      <c r="DO111" s="3">
        <v>10.374312323592999</v>
      </c>
    </row>
    <row r="112" spans="1:230" x14ac:dyDescent="0.45">
      <c r="A112" s="16" t="s">
        <v>697</v>
      </c>
      <c r="B112" s="3" t="s">
        <v>89</v>
      </c>
      <c r="C112" s="16" t="s">
        <v>698</v>
      </c>
      <c r="H112" s="3" t="s">
        <v>699</v>
      </c>
      <c r="I112" s="3" t="s">
        <v>651</v>
      </c>
      <c r="K112" s="17" t="s">
        <v>700</v>
      </c>
      <c r="L112" s="3">
        <v>5.9267651349042794</v>
      </c>
      <c r="M112" s="3">
        <v>3.473334242251422</v>
      </c>
      <c r="N112" s="3">
        <v>4.0682684277323453</v>
      </c>
      <c r="O112" s="3">
        <v>4.0682684277323462</v>
      </c>
      <c r="P112" s="3">
        <v>4.0682684277323453</v>
      </c>
      <c r="Q112" s="3">
        <v>4.0682684277323453</v>
      </c>
      <c r="R112" s="3">
        <v>4.0682684277323453</v>
      </c>
      <c r="S112" s="3">
        <v>4.0682684277323453</v>
      </c>
      <c r="T112" s="3">
        <v>4.0682684277323453</v>
      </c>
      <c r="U112" s="3">
        <v>4.0682684277323453</v>
      </c>
      <c r="V112" s="3">
        <v>4.0682684277323453</v>
      </c>
      <c r="W112" s="3">
        <v>4.0682684277323453</v>
      </c>
      <c r="X112" s="3">
        <v>4.0682684277323489</v>
      </c>
      <c r="Y112" s="3">
        <v>4.0682684277323489</v>
      </c>
      <c r="Z112" s="3">
        <v>4.0682684277323489</v>
      </c>
      <c r="AA112" s="3">
        <v>4.0682684277323453</v>
      </c>
      <c r="AB112" s="3">
        <v>4.0682684277323453</v>
      </c>
      <c r="AC112" s="3">
        <v>4.0682684277323453</v>
      </c>
      <c r="AD112" s="3">
        <v>4.0682684277323453</v>
      </c>
      <c r="AE112" s="3">
        <v>4.0682684277323453</v>
      </c>
      <c r="AG112" s="17" t="s">
        <v>701</v>
      </c>
      <c r="AH112" s="3">
        <v>5.9267651349042794</v>
      </c>
      <c r="AI112" s="3">
        <v>3.473334242251422</v>
      </c>
      <c r="AJ112" s="3">
        <v>4.0682684277323453</v>
      </c>
      <c r="AK112" s="3">
        <v>4.0682684277323462</v>
      </c>
      <c r="AL112" s="3">
        <v>4.0682684277323453</v>
      </c>
      <c r="AM112" s="3">
        <v>5.4341499017750827</v>
      </c>
      <c r="AN112" s="3">
        <v>5.4341499017750836</v>
      </c>
      <c r="AO112" s="3">
        <v>5.4341499017750827</v>
      </c>
      <c r="AP112" s="3">
        <v>5.4341499017750827</v>
      </c>
      <c r="AQ112" s="3">
        <v>5.4341499017750827</v>
      </c>
      <c r="AR112" s="3">
        <v>5.4341499017750827</v>
      </c>
      <c r="AS112" s="3">
        <v>5.4341499017750836</v>
      </c>
      <c r="AT112" s="3">
        <v>5.4341499017750854</v>
      </c>
      <c r="AU112" s="3">
        <v>5.4341499017750863</v>
      </c>
      <c r="AV112" s="3">
        <v>5.4341499017750863</v>
      </c>
      <c r="AW112" s="3">
        <v>5.4341499017750818</v>
      </c>
      <c r="AX112" s="3">
        <v>5.4341499017750827</v>
      </c>
      <c r="AY112" s="3">
        <v>5.4341499017750827</v>
      </c>
      <c r="AZ112" s="3">
        <v>5.4341499017750827</v>
      </c>
      <c r="BA112" s="3">
        <v>5.4341499017750827</v>
      </c>
      <c r="BC112" s="17" t="s">
        <v>702</v>
      </c>
      <c r="BD112" s="3">
        <v>5.9267651349042794</v>
      </c>
      <c r="BE112" s="3">
        <v>3.473334242251422</v>
      </c>
      <c r="BF112" s="3">
        <v>4.0682684277323453</v>
      </c>
      <c r="BG112" s="3">
        <v>4.0682684277323462</v>
      </c>
      <c r="BH112" s="3">
        <v>4.0682684277323453</v>
      </c>
      <c r="BI112" s="3">
        <v>4.7512091647537149</v>
      </c>
      <c r="BJ112" s="3">
        <v>5.6617968141155401</v>
      </c>
      <c r="BK112" s="3">
        <v>6.5723844634773636</v>
      </c>
      <c r="BL112" s="3">
        <v>7.4829721128391888</v>
      </c>
      <c r="BM112" s="3">
        <v>8.393559762201015</v>
      </c>
      <c r="BN112" s="3">
        <v>9.3041474115628411</v>
      </c>
      <c r="BO112" s="3">
        <v>10.21473506092466</v>
      </c>
      <c r="BP112" s="3">
        <v>11.12532271028649</v>
      </c>
      <c r="BQ112" s="3">
        <v>12.035910359648319</v>
      </c>
      <c r="BR112" s="3">
        <v>12.94649800901014</v>
      </c>
      <c r="BS112" s="3">
        <v>13.85708565837197</v>
      </c>
      <c r="BT112" s="3">
        <v>14.767673307733791</v>
      </c>
      <c r="BU112" s="3">
        <v>15.67826095709562</v>
      </c>
      <c r="BV112" s="3">
        <v>16.588848606457439</v>
      </c>
      <c r="BW112" s="3">
        <v>17.499436255819269</v>
      </c>
      <c r="BY112" s="17" t="s">
        <v>703</v>
      </c>
      <c r="BZ112" s="3">
        <v>5.9267651349042794</v>
      </c>
      <c r="CA112" s="3">
        <v>3.473334242251422</v>
      </c>
      <c r="CB112" s="3">
        <v>4.0682684277323453</v>
      </c>
      <c r="CC112" s="3">
        <v>4.0682684277323462</v>
      </c>
      <c r="CD112" s="3">
        <v>4.0682684277323453</v>
      </c>
      <c r="CE112" s="3">
        <v>5.7756202702857671</v>
      </c>
      <c r="CF112" s="3">
        <v>5.775620270285768</v>
      </c>
      <c r="CG112" s="3">
        <v>5.7756202702857671</v>
      </c>
      <c r="CH112" s="3">
        <v>5.7756202702857671</v>
      </c>
      <c r="CI112" s="3">
        <v>5.7756202702857671</v>
      </c>
      <c r="CJ112" s="3">
        <v>5.775620270285768</v>
      </c>
      <c r="CK112" s="3">
        <v>5.7756202702857671</v>
      </c>
      <c r="CL112" s="3">
        <v>5.7756202702857706</v>
      </c>
      <c r="CM112" s="3">
        <v>5.7756202702857724</v>
      </c>
      <c r="CN112" s="3">
        <v>5.7756202702857724</v>
      </c>
      <c r="CO112" s="3">
        <v>5.7756202702857671</v>
      </c>
      <c r="CP112" s="3">
        <v>5.7756202702857671</v>
      </c>
      <c r="CQ112" s="3">
        <v>5.775620270285768</v>
      </c>
      <c r="CR112" s="3">
        <v>5.7756202702857671</v>
      </c>
      <c r="CS112" s="3">
        <v>5.7756202702857671</v>
      </c>
      <c r="CU112" s="17" t="s">
        <v>704</v>
      </c>
      <c r="CV112" s="3">
        <v>5.9267651349042794</v>
      </c>
      <c r="CW112" s="3">
        <v>3.473334242251422</v>
      </c>
      <c r="CX112" s="3">
        <v>4.0682684277323453</v>
      </c>
      <c r="CY112" s="3">
        <v>4.0682684277323462</v>
      </c>
      <c r="CZ112" s="3">
        <v>4.0682684277323453</v>
      </c>
      <c r="DA112" s="3">
        <v>7.4829721128391897</v>
      </c>
      <c r="DB112" s="3">
        <v>7.4829721128391906</v>
      </c>
      <c r="DC112" s="3">
        <v>7.4829721128391897</v>
      </c>
      <c r="DD112" s="3">
        <v>7.4829721128391897</v>
      </c>
      <c r="DE112" s="3">
        <v>7.4829721128391906</v>
      </c>
      <c r="DF112" s="3">
        <v>7.4829721128391888</v>
      </c>
      <c r="DG112" s="3">
        <v>7.4829721128391897</v>
      </c>
      <c r="DH112" s="3">
        <v>7.4829721128391942</v>
      </c>
      <c r="DI112" s="3">
        <v>7.4829721128391933</v>
      </c>
      <c r="DJ112" s="3">
        <v>7.4829721128391924</v>
      </c>
      <c r="DK112" s="3">
        <v>7.4829721128391897</v>
      </c>
      <c r="DL112" s="3">
        <v>7.4829721128391897</v>
      </c>
      <c r="DM112" s="3">
        <v>7.4829721128391906</v>
      </c>
      <c r="DN112" s="3">
        <v>7.4829721128391888</v>
      </c>
      <c r="DO112" s="3">
        <v>7.4829721128391897</v>
      </c>
    </row>
    <row r="113" spans="1:119" x14ac:dyDescent="0.45">
      <c r="A113" s="16" t="s">
        <v>705</v>
      </c>
      <c r="B113" s="3" t="s">
        <v>89</v>
      </c>
      <c r="C113" s="16" t="s">
        <v>706</v>
      </c>
      <c r="H113" s="3" t="s">
        <v>707</v>
      </c>
      <c r="I113" s="3" t="s">
        <v>651</v>
      </c>
      <c r="K113" s="17" t="s">
        <v>708</v>
      </c>
      <c r="L113" s="3">
        <v>10.55358878014809</v>
      </c>
      <c r="M113" s="3">
        <v>6.8465154810397708</v>
      </c>
      <c r="N113" s="3">
        <v>7.0761974364663258</v>
      </c>
      <c r="O113" s="3">
        <v>7.0761974364663276</v>
      </c>
      <c r="P113" s="3">
        <v>7.0761974364663258</v>
      </c>
      <c r="Q113" s="3">
        <v>7.0761974364663267</v>
      </c>
      <c r="R113" s="3">
        <v>7.0761974364663267</v>
      </c>
      <c r="S113" s="3">
        <v>7.0761974364663258</v>
      </c>
      <c r="T113" s="3">
        <v>7.0761974364663276</v>
      </c>
      <c r="U113" s="3">
        <v>7.0761974364663276</v>
      </c>
      <c r="V113" s="3">
        <v>7.0761974364663267</v>
      </c>
      <c r="W113" s="3">
        <v>7.0761974364663267</v>
      </c>
      <c r="X113" s="3">
        <v>7.0761974364663294</v>
      </c>
      <c r="Y113" s="3">
        <v>7.0761974364663303</v>
      </c>
      <c r="Z113" s="3">
        <v>7.0761974364663303</v>
      </c>
      <c r="AA113" s="3">
        <v>7.0761974364663276</v>
      </c>
      <c r="AB113" s="3">
        <v>7.0761974364663303</v>
      </c>
      <c r="AC113" s="3">
        <v>7.0761974364663303</v>
      </c>
      <c r="AD113" s="3">
        <v>7.0761974364663303</v>
      </c>
      <c r="AE113" s="3">
        <v>7.0761974364663303</v>
      </c>
      <c r="AG113" s="17" t="s">
        <v>709</v>
      </c>
      <c r="AH113" s="3">
        <v>10.55358878014809</v>
      </c>
      <c r="AI113" s="3">
        <v>6.8465154810397708</v>
      </c>
      <c r="AJ113" s="3">
        <v>7.0761974364663258</v>
      </c>
      <c r="AK113" s="3">
        <v>7.0761974364663276</v>
      </c>
      <c r="AL113" s="3">
        <v>7.0761974364663258</v>
      </c>
      <c r="AM113" s="3">
        <v>8.4990867659285456</v>
      </c>
      <c r="AN113" s="3">
        <v>8.4990876694512441</v>
      </c>
      <c r="AO113" s="3">
        <v>8.499088333958694</v>
      </c>
      <c r="AP113" s="3">
        <v>8.4990885614269569</v>
      </c>
      <c r="AQ113" s="3">
        <v>8.499088809127505</v>
      </c>
      <c r="AR113" s="3">
        <v>8.4990889379121519</v>
      </c>
      <c r="AS113" s="3">
        <v>8.499089076806797</v>
      </c>
      <c r="AT113" s="3">
        <v>8.4990891833190538</v>
      </c>
      <c r="AU113" s="3">
        <v>8.4990892055370697</v>
      </c>
      <c r="AV113" s="3">
        <v>8.4990891773318662</v>
      </c>
      <c r="AW113" s="3">
        <v>8.499089118579521</v>
      </c>
      <c r="AX113" s="3">
        <v>8.4990889660297153</v>
      </c>
      <c r="AY113" s="3">
        <v>8.4990887371375088</v>
      </c>
      <c r="AZ113" s="3">
        <v>8.4990884137958993</v>
      </c>
      <c r="BA113" s="3">
        <v>8.4990880252467829</v>
      </c>
      <c r="BC113" s="17" t="s">
        <v>710</v>
      </c>
      <c r="BD113" s="3">
        <v>10.55358878014809</v>
      </c>
      <c r="BE113" s="3">
        <v>6.8465154810397708</v>
      </c>
      <c r="BF113" s="3">
        <v>7.0761974364663258</v>
      </c>
      <c r="BG113" s="3">
        <v>7.0761974364663276</v>
      </c>
      <c r="BH113" s="3">
        <v>7.0761974364663258</v>
      </c>
      <c r="BI113" s="3">
        <v>7.7876440066753174</v>
      </c>
      <c r="BJ113" s="3">
        <v>8.736247689326337</v>
      </c>
      <c r="BK113" s="3">
        <v>9.6848584488227107</v>
      </c>
      <c r="BL113" s="3">
        <v>10.633474191893519</v>
      </c>
      <c r="BM113" s="3">
        <v>11.582082594863049</v>
      </c>
      <c r="BN113" s="3">
        <v>12.530691789458761</v>
      </c>
      <c r="BO113" s="3">
        <v>13.47930195859225</v>
      </c>
      <c r="BP113" s="3">
        <v>14.427913228232701</v>
      </c>
      <c r="BQ113" s="3">
        <v>15.37652551236474</v>
      </c>
      <c r="BR113" s="3">
        <v>16.325138761531921</v>
      </c>
      <c r="BS113" s="3">
        <v>17.273753014190291</v>
      </c>
      <c r="BT113" s="3">
        <v>18.222368074819759</v>
      </c>
      <c r="BU113" s="3">
        <v>19.170983759044699</v>
      </c>
      <c r="BV113" s="3">
        <v>20.119599718711939</v>
      </c>
      <c r="BW113" s="3">
        <v>21.068215754358121</v>
      </c>
      <c r="BY113" s="17" t="s">
        <v>711</v>
      </c>
      <c r="BZ113" s="3">
        <v>10.55358878014809</v>
      </c>
      <c r="CA113" s="3">
        <v>6.8465154810397708</v>
      </c>
      <c r="CB113" s="3">
        <v>7.0761974364663258</v>
      </c>
      <c r="CC113" s="3">
        <v>7.0761974364663276</v>
      </c>
      <c r="CD113" s="3">
        <v>7.0761974364663258</v>
      </c>
      <c r="CE113" s="3">
        <v>8.8548097039832232</v>
      </c>
      <c r="CF113" s="3">
        <v>8.8548108395616882</v>
      </c>
      <c r="CG113" s="3">
        <v>8.8548116689561436</v>
      </c>
      <c r="CH113" s="3">
        <v>8.8548119656763813</v>
      </c>
      <c r="CI113" s="3">
        <v>8.8548123020867582</v>
      </c>
      <c r="CJ113" s="3">
        <v>8.854812463132518</v>
      </c>
      <c r="CK113" s="3">
        <v>8.854812648960511</v>
      </c>
      <c r="CL113" s="3">
        <v>8.8548127544165407</v>
      </c>
      <c r="CM113" s="3">
        <v>8.8548127628779589</v>
      </c>
      <c r="CN113" s="3">
        <v>8.8548127086563131</v>
      </c>
      <c r="CO113" s="3">
        <v>8.8548126068931907</v>
      </c>
      <c r="CP113" s="3">
        <v>8.8548123922335122</v>
      </c>
      <c r="CQ113" s="3">
        <v>8.8548120959417052</v>
      </c>
      <c r="CR113" s="3">
        <v>8.8548116917377371</v>
      </c>
      <c r="CS113" s="3">
        <v>8.8548112231107012</v>
      </c>
      <c r="CU113" s="17" t="s">
        <v>712</v>
      </c>
      <c r="CV113" s="3">
        <v>10.55358878014809</v>
      </c>
      <c r="CW113" s="3">
        <v>6.8465154810397708</v>
      </c>
      <c r="CX113" s="3">
        <v>7.0761974364663258</v>
      </c>
      <c r="CY113" s="3">
        <v>7.0761974364663276</v>
      </c>
      <c r="CZ113" s="3">
        <v>7.0761974364663258</v>
      </c>
      <c r="DA113" s="3">
        <v>10.63342817104513</v>
      </c>
      <c r="DB113" s="3">
        <v>10.633430497893301</v>
      </c>
      <c r="DC113" s="3">
        <v>10.63343233713586</v>
      </c>
      <c r="DD113" s="3">
        <v>10.63343270922236</v>
      </c>
      <c r="DE113" s="3">
        <v>10.63343345575545</v>
      </c>
      <c r="DF113" s="3">
        <v>10.633433727083739</v>
      </c>
      <c r="DG113" s="3">
        <v>10.63343427774087</v>
      </c>
      <c r="DH113" s="3">
        <v>10.633434812196651</v>
      </c>
      <c r="DI113" s="3">
        <v>10.633435089351449</v>
      </c>
      <c r="DJ113" s="3">
        <v>10.6334352709501</v>
      </c>
      <c r="DK113" s="3">
        <v>10.63343546197261</v>
      </c>
      <c r="DL113" s="3">
        <v>10.633435314968869</v>
      </c>
      <c r="DM113" s="3">
        <v>10.633434934209349</v>
      </c>
      <c r="DN113" s="3">
        <v>10.633434210083349</v>
      </c>
      <c r="DO113" s="3">
        <v>10.63343329975118</v>
      </c>
    </row>
    <row r="114" spans="1:119" x14ac:dyDescent="0.45">
      <c r="A114" s="16" t="s">
        <v>713</v>
      </c>
      <c r="B114" s="3" t="s">
        <v>89</v>
      </c>
      <c r="C114" s="16" t="s">
        <v>714</v>
      </c>
      <c r="H114" s="3" t="s">
        <v>715</v>
      </c>
      <c r="I114" s="3" t="s">
        <v>529</v>
      </c>
      <c r="K114" s="17" t="s">
        <v>716</v>
      </c>
      <c r="L114" s="3">
        <v>1</v>
      </c>
      <c r="M114" s="3">
        <v>1</v>
      </c>
      <c r="N114" s="3">
        <v>1</v>
      </c>
      <c r="O114" s="3">
        <v>1</v>
      </c>
      <c r="P114" s="3">
        <v>1</v>
      </c>
      <c r="Q114" s="3">
        <v>1</v>
      </c>
      <c r="R114" s="3">
        <v>1</v>
      </c>
      <c r="S114" s="3">
        <v>1</v>
      </c>
      <c r="T114" s="3">
        <v>1</v>
      </c>
      <c r="U114" s="3">
        <v>1</v>
      </c>
      <c r="V114" s="3">
        <v>1</v>
      </c>
      <c r="W114" s="3">
        <v>1</v>
      </c>
      <c r="X114" s="3">
        <v>1</v>
      </c>
      <c r="Y114" s="3">
        <v>1</v>
      </c>
      <c r="Z114" s="3">
        <v>1</v>
      </c>
      <c r="AA114" s="3">
        <v>1</v>
      </c>
      <c r="AB114" s="3">
        <v>1</v>
      </c>
      <c r="AC114" s="3">
        <v>1</v>
      </c>
      <c r="AD114" s="3">
        <v>1</v>
      </c>
      <c r="AE114" s="3">
        <v>1</v>
      </c>
      <c r="AG114" s="17" t="s">
        <v>717</v>
      </c>
      <c r="AH114" s="3">
        <v>1</v>
      </c>
      <c r="AI114" s="3">
        <v>1</v>
      </c>
      <c r="AJ114" s="3">
        <v>1</v>
      </c>
      <c r="AK114" s="3">
        <v>1.000032125172222</v>
      </c>
      <c r="AL114" s="3">
        <v>1.000080677313145</v>
      </c>
      <c r="AM114" s="3">
        <v>1.1874591744789471</v>
      </c>
      <c r="AN114" s="3">
        <v>1.1824596449322651</v>
      </c>
      <c r="AO114" s="3">
        <v>1.19700630059997</v>
      </c>
      <c r="AP114" s="3">
        <v>1.1665313847010499</v>
      </c>
      <c r="AQ114" s="3">
        <v>1.157174002905456</v>
      </c>
      <c r="AR114" s="3">
        <v>1.150284523573037</v>
      </c>
      <c r="AS114" s="3">
        <v>1.1472598404534831</v>
      </c>
      <c r="AT114" s="3">
        <v>1.143305368938589</v>
      </c>
      <c r="AU114" s="3">
        <v>1.139667299432741</v>
      </c>
      <c r="AV114" s="3">
        <v>1.136634302845493</v>
      </c>
      <c r="AW114" s="3">
        <v>1.133856101478331</v>
      </c>
      <c r="AX114" s="3">
        <v>1.13123776968222</v>
      </c>
      <c r="AY114" s="3">
        <v>1.128847745562876</v>
      </c>
      <c r="AZ114" s="3">
        <v>1.1266215597369891</v>
      </c>
      <c r="BA114" s="3">
        <v>1.124597330518071</v>
      </c>
      <c r="BC114" s="17" t="s">
        <v>718</v>
      </c>
      <c r="BD114" s="3">
        <v>1</v>
      </c>
      <c r="BE114" s="3">
        <v>1</v>
      </c>
      <c r="BF114" s="3">
        <v>1</v>
      </c>
      <c r="BG114" s="3">
        <v>1.000107076385728</v>
      </c>
      <c r="BH114" s="3">
        <v>1.000272140260188</v>
      </c>
      <c r="BI114" s="3">
        <v>1.093951442242437</v>
      </c>
      <c r="BJ114" s="3">
        <v>1.2141836929038961</v>
      </c>
      <c r="BK114" s="3">
        <v>1.325296438582912</v>
      </c>
      <c r="BL114" s="3">
        <v>1.4027447292746049</v>
      </c>
      <c r="BM114" s="3">
        <v>1.4823471658958749</v>
      </c>
      <c r="BN114" s="3">
        <v>1.5922221246501971</v>
      </c>
      <c r="BO114" s="3">
        <v>1.7005361098382299</v>
      </c>
      <c r="BP114" s="3">
        <v>1.7906152725084801</v>
      </c>
      <c r="BQ114" s="3">
        <v>1.8779830254920911</v>
      </c>
      <c r="BR114" s="3">
        <v>1.943771332997817</v>
      </c>
      <c r="BS114" s="3">
        <v>2.00979067642827</v>
      </c>
      <c r="BT114" s="3">
        <v>2.0513532593944079</v>
      </c>
      <c r="BU114" s="3">
        <v>2.0997370753096471</v>
      </c>
      <c r="BV114" s="3">
        <v>2.1171853894973478</v>
      </c>
      <c r="BW114" s="3">
        <v>2.1563991197430381</v>
      </c>
      <c r="BY114" s="17" t="s">
        <v>719</v>
      </c>
      <c r="BZ114" s="3">
        <v>1</v>
      </c>
      <c r="CA114" s="3">
        <v>1</v>
      </c>
      <c r="CB114" s="3">
        <v>1</v>
      </c>
      <c r="CC114" s="3">
        <v>1.0001838971464729</v>
      </c>
      <c r="CD114" s="3">
        <v>1.0004658915990119</v>
      </c>
      <c r="CE114" s="3">
        <v>1.0006499869304319</v>
      </c>
      <c r="CF114" s="3">
        <v>1.0008376812848849</v>
      </c>
      <c r="CG114" s="3">
        <v>1.0010261360775721</v>
      </c>
      <c r="CH114" s="3">
        <v>1.001057418337455</v>
      </c>
      <c r="CI114" s="3">
        <v>1.001364844910104</v>
      </c>
      <c r="CJ114" s="3">
        <v>0.99968072563493815</v>
      </c>
      <c r="CK114" s="3">
        <v>0.99731169305305489</v>
      </c>
      <c r="CL114" s="3">
        <v>0.99568632984348504</v>
      </c>
      <c r="CM114" s="3">
        <v>0.98992812171318567</v>
      </c>
      <c r="CN114" s="3">
        <v>0.98554444912025663</v>
      </c>
      <c r="CO114" s="3">
        <v>0.98116963695350368</v>
      </c>
      <c r="CP114" s="3">
        <v>0.97650490699346582</v>
      </c>
      <c r="CQ114" s="3">
        <v>0.97262986758513748</v>
      </c>
      <c r="CR114" s="3">
        <v>0.969131865257013</v>
      </c>
      <c r="CS114" s="3">
        <v>0.96578635263142332</v>
      </c>
      <c r="CU114" s="17" t="s">
        <v>720</v>
      </c>
      <c r="CV114" s="3">
        <v>1</v>
      </c>
      <c r="CW114" s="3">
        <v>1</v>
      </c>
      <c r="CX114" s="3">
        <v>1</v>
      </c>
      <c r="CY114" s="3">
        <v>1.000075004935302</v>
      </c>
      <c r="CZ114" s="3">
        <v>1.000189637147116</v>
      </c>
      <c r="DA114" s="3">
        <v>1.46834439101982</v>
      </c>
      <c r="DB114" s="3">
        <v>1.44989910030213</v>
      </c>
      <c r="DC114" s="3">
        <v>1.484970183544793</v>
      </c>
      <c r="DD114" s="3">
        <v>1.4375284690680381</v>
      </c>
      <c r="DE114" s="3">
        <v>1.3961502628082689</v>
      </c>
      <c r="DF114" s="3">
        <v>1.3775373610664301</v>
      </c>
      <c r="DG114" s="3">
        <v>1.3572104712501201</v>
      </c>
      <c r="DH114" s="3">
        <v>1.329123750878302</v>
      </c>
      <c r="DI114" s="3">
        <v>1.30478572957589</v>
      </c>
      <c r="DJ114" s="3">
        <v>1.2803578231503849</v>
      </c>
      <c r="DK114" s="3">
        <v>1.2596890773248981</v>
      </c>
      <c r="DL114" s="3">
        <v>1.239007059604192</v>
      </c>
      <c r="DM114" s="3">
        <v>1.2221476875899471</v>
      </c>
      <c r="DN114" s="3">
        <v>1.205654732380314</v>
      </c>
      <c r="DO114" s="3">
        <v>1.1923504719299991</v>
      </c>
    </row>
    <row r="115" spans="1:119" x14ac:dyDescent="0.45">
      <c r="A115" s="16" t="s">
        <v>721</v>
      </c>
      <c r="B115" s="3" t="s">
        <v>89</v>
      </c>
      <c r="C115" s="16" t="s">
        <v>722</v>
      </c>
      <c r="H115" s="3" t="s">
        <v>723</v>
      </c>
      <c r="I115" s="3" t="s">
        <v>529</v>
      </c>
      <c r="K115" s="17" t="s">
        <v>724</v>
      </c>
      <c r="L115" s="3">
        <v>1</v>
      </c>
      <c r="M115" s="3">
        <v>1</v>
      </c>
      <c r="N115" s="3">
        <v>1</v>
      </c>
      <c r="O115" s="3">
        <v>1</v>
      </c>
      <c r="P115" s="3">
        <v>1</v>
      </c>
      <c r="Q115" s="3">
        <v>1</v>
      </c>
      <c r="R115" s="3">
        <v>1</v>
      </c>
      <c r="S115" s="3">
        <v>1</v>
      </c>
      <c r="T115" s="3">
        <v>1</v>
      </c>
      <c r="U115" s="3">
        <v>1</v>
      </c>
      <c r="V115" s="3">
        <v>1</v>
      </c>
      <c r="W115" s="3">
        <v>1</v>
      </c>
      <c r="X115" s="3">
        <v>1</v>
      </c>
      <c r="Y115" s="3">
        <v>1</v>
      </c>
      <c r="Z115" s="3">
        <v>1</v>
      </c>
      <c r="AA115" s="3">
        <v>1</v>
      </c>
      <c r="AB115" s="3">
        <v>1</v>
      </c>
      <c r="AC115" s="3">
        <v>1</v>
      </c>
      <c r="AD115" s="3">
        <v>1</v>
      </c>
      <c r="AE115" s="3">
        <v>1</v>
      </c>
      <c r="AG115" s="17" t="s">
        <v>725</v>
      </c>
      <c r="AH115" s="3">
        <v>1</v>
      </c>
      <c r="AI115" s="3">
        <v>1</v>
      </c>
      <c r="AJ115" s="3">
        <v>1</v>
      </c>
      <c r="AK115" s="3">
        <v>1</v>
      </c>
      <c r="AL115" s="3">
        <v>1</v>
      </c>
      <c r="AM115" s="3">
        <v>1.2715408217618771</v>
      </c>
      <c r="AN115" s="3">
        <v>1.2732028373158479</v>
      </c>
      <c r="AO115" s="3">
        <v>1.2750075153025551</v>
      </c>
      <c r="AP115" s="3">
        <v>1.2769651921339169</v>
      </c>
      <c r="AQ115" s="3">
        <v>1.278881040499247</v>
      </c>
      <c r="AR115" s="3">
        <v>1.278883086018066</v>
      </c>
      <c r="AS115" s="3">
        <v>1.278885086327882</v>
      </c>
      <c r="AT115" s="3">
        <v>1.2788870427364589</v>
      </c>
      <c r="AU115" s="3">
        <v>1.2788889565054919</v>
      </c>
      <c r="AV115" s="3">
        <v>1.278890828851849</v>
      </c>
      <c r="AW115" s="3">
        <v>1.2788926609488229</v>
      </c>
      <c r="AX115" s="3">
        <v>1.2788944539273479</v>
      </c>
      <c r="AY115" s="3">
        <v>1.278896208877194</v>
      </c>
      <c r="AZ115" s="3">
        <v>1.278897926848154</v>
      </c>
      <c r="BA115" s="3">
        <v>1.2788996088511819</v>
      </c>
      <c r="BC115" s="17" t="s">
        <v>726</v>
      </c>
      <c r="BD115" s="3">
        <v>1</v>
      </c>
      <c r="BE115" s="3">
        <v>1</v>
      </c>
      <c r="BF115" s="3">
        <v>1</v>
      </c>
      <c r="BG115" s="3">
        <v>1</v>
      </c>
      <c r="BH115" s="3">
        <v>1</v>
      </c>
      <c r="BI115" s="3">
        <v>1.1357704108809381</v>
      </c>
      <c r="BJ115" s="3">
        <v>1.318736643535156</v>
      </c>
      <c r="BK115" s="3">
        <v>1.50418044472135</v>
      </c>
      <c r="BL115" s="3">
        <v>1.6924129803347929</v>
      </c>
      <c r="BM115" s="3">
        <v>1.883123294914282</v>
      </c>
      <c r="BN115" s="3">
        <v>2.0690518297359222</v>
      </c>
      <c r="BO115" s="3">
        <v>2.254982888475467</v>
      </c>
      <c r="BP115" s="3">
        <v>2.4409163874717068</v>
      </c>
      <c r="BQ115" s="3">
        <v>2.6268522462820352</v>
      </c>
      <c r="BR115" s="3">
        <v>2.8127903875370199</v>
      </c>
      <c r="BS115" s="3">
        <v>2.9987307367999052</v>
      </c>
      <c r="BT115" s="3">
        <v>3.184673222430892</v>
      </c>
      <c r="BU115" s="3">
        <v>3.370617775456155</v>
      </c>
      <c r="BV115" s="3">
        <v>3.5565643294414109</v>
      </c>
      <c r="BW115" s="3">
        <v>3.7425128203699538</v>
      </c>
      <c r="BY115" s="17" t="s">
        <v>727</v>
      </c>
      <c r="BZ115" s="3">
        <v>1</v>
      </c>
      <c r="CA115" s="3">
        <v>1</v>
      </c>
      <c r="CB115" s="3">
        <v>1</v>
      </c>
      <c r="CC115" s="3">
        <v>1</v>
      </c>
      <c r="CD115" s="3">
        <v>1</v>
      </c>
      <c r="CE115" s="3">
        <v>1.0003675299643831</v>
      </c>
      <c r="CF115" s="3">
        <v>1.000365618061213</v>
      </c>
      <c r="CG115" s="3">
        <v>1.0003641244899111</v>
      </c>
      <c r="CH115" s="3">
        <v>1.0003630969599411</v>
      </c>
      <c r="CI115" s="3">
        <v>1.0003620620233</v>
      </c>
      <c r="CJ115" s="3">
        <v>1.0003588604250271</v>
      </c>
      <c r="CK115" s="3">
        <v>1.0003557295868331</v>
      </c>
      <c r="CL115" s="3">
        <v>1.0003526674618299</v>
      </c>
      <c r="CM115" s="3">
        <v>1.0003496720752469</v>
      </c>
      <c r="CN115" s="3">
        <v>1.0003467415224669</v>
      </c>
      <c r="CO115" s="3">
        <v>1.00034387396708</v>
      </c>
      <c r="CP115" s="3">
        <v>1.000341067638979</v>
      </c>
      <c r="CQ115" s="3">
        <v>1.000338320832475</v>
      </c>
      <c r="CR115" s="3">
        <v>1.000335631904463</v>
      </c>
      <c r="CS115" s="3">
        <v>1.000332999272616</v>
      </c>
      <c r="CU115" s="17" t="s">
        <v>728</v>
      </c>
      <c r="CV115" s="3">
        <v>1</v>
      </c>
      <c r="CW115" s="3">
        <v>1</v>
      </c>
      <c r="CX115" s="3">
        <v>1</v>
      </c>
      <c r="CY115" s="3">
        <v>1</v>
      </c>
      <c r="CZ115" s="3">
        <v>1</v>
      </c>
      <c r="DA115" s="3">
        <v>1.6788520544046921</v>
      </c>
      <c r="DB115" s="3">
        <v>1.6830070932896199</v>
      </c>
      <c r="DC115" s="3">
        <v>1.6875187882563869</v>
      </c>
      <c r="DD115" s="3">
        <v>1.692412980334792</v>
      </c>
      <c r="DE115" s="3">
        <v>1.6972026012481169</v>
      </c>
      <c r="DF115" s="3">
        <v>1.697207715045167</v>
      </c>
      <c r="DG115" s="3">
        <v>1.6972127158197039</v>
      </c>
      <c r="DH115" s="3">
        <v>1.697217606841148</v>
      </c>
      <c r="DI115" s="3">
        <v>1.697222391263729</v>
      </c>
      <c r="DJ115" s="3">
        <v>1.697227072129623</v>
      </c>
      <c r="DK115" s="3">
        <v>1.6972316523720601</v>
      </c>
      <c r="DL115" s="3">
        <v>1.69723613481837</v>
      </c>
      <c r="DM115" s="3">
        <v>1.6972405221929869</v>
      </c>
      <c r="DN115" s="3">
        <v>1.6972448171203851</v>
      </c>
      <c r="DO115" s="3">
        <v>1.6972490221279539</v>
      </c>
    </row>
    <row r="116" spans="1:119" x14ac:dyDescent="0.45">
      <c r="A116" s="16" t="s">
        <v>729</v>
      </c>
      <c r="B116" s="3" t="s">
        <v>89</v>
      </c>
      <c r="C116" s="16" t="s">
        <v>730</v>
      </c>
      <c r="H116" s="3" t="s">
        <v>731</v>
      </c>
      <c r="I116" s="3" t="s">
        <v>529</v>
      </c>
      <c r="K116" s="17" t="s">
        <v>732</v>
      </c>
      <c r="L116" s="3">
        <v>1</v>
      </c>
      <c r="M116" s="3">
        <v>1</v>
      </c>
      <c r="N116" s="3">
        <v>1</v>
      </c>
      <c r="O116" s="3">
        <v>1</v>
      </c>
      <c r="P116" s="3">
        <v>1</v>
      </c>
      <c r="Q116" s="3">
        <v>1</v>
      </c>
      <c r="R116" s="3">
        <v>1</v>
      </c>
      <c r="S116" s="3">
        <v>1</v>
      </c>
      <c r="T116" s="3">
        <v>1</v>
      </c>
      <c r="U116" s="3">
        <v>1</v>
      </c>
      <c r="V116" s="3">
        <v>1</v>
      </c>
      <c r="W116" s="3">
        <v>1</v>
      </c>
      <c r="X116" s="3">
        <v>1</v>
      </c>
      <c r="Y116" s="3">
        <v>1</v>
      </c>
      <c r="Z116" s="3">
        <v>1</v>
      </c>
      <c r="AA116" s="3">
        <v>1</v>
      </c>
      <c r="AB116" s="3">
        <v>1</v>
      </c>
      <c r="AC116" s="3">
        <v>1</v>
      </c>
      <c r="AD116" s="3">
        <v>1</v>
      </c>
      <c r="AE116" s="3">
        <v>1</v>
      </c>
      <c r="AG116" s="17" t="s">
        <v>733</v>
      </c>
      <c r="AH116" s="3">
        <v>1</v>
      </c>
      <c r="AI116" s="3">
        <v>1</v>
      </c>
      <c r="AJ116" s="3">
        <v>1</v>
      </c>
      <c r="AK116" s="3">
        <v>1</v>
      </c>
      <c r="AL116" s="3">
        <v>1</v>
      </c>
      <c r="AM116" s="3">
        <v>1.348743765244492</v>
      </c>
      <c r="AN116" s="3">
        <v>1.346531000371042</v>
      </c>
      <c r="AO116" s="3">
        <v>1.3443916691633411</v>
      </c>
      <c r="AP116" s="3">
        <v>1.341794147660474</v>
      </c>
      <c r="AQ116" s="3">
        <v>1.339911149337744</v>
      </c>
      <c r="AR116" s="3">
        <v>1.337842079242803</v>
      </c>
      <c r="AS116" s="3">
        <v>1.33705832877829</v>
      </c>
      <c r="AT116" s="3">
        <v>1.3359854307583321</v>
      </c>
      <c r="AU116" s="3">
        <v>1.335117283549335</v>
      </c>
      <c r="AV116" s="3">
        <v>1.334247756821813</v>
      </c>
      <c r="AW116" s="3">
        <v>1.3334026322754291</v>
      </c>
      <c r="AX116" s="3">
        <v>1.332575654881319</v>
      </c>
      <c r="AY116" s="3">
        <v>1.331768043077016</v>
      </c>
      <c r="AZ116" s="3">
        <v>1.3309846414844271</v>
      </c>
      <c r="BA116" s="3">
        <v>1.330226822683104</v>
      </c>
      <c r="BC116" s="17" t="s">
        <v>734</v>
      </c>
      <c r="BD116" s="3">
        <v>1</v>
      </c>
      <c r="BE116" s="3">
        <v>1</v>
      </c>
      <c r="BF116" s="3">
        <v>1</v>
      </c>
      <c r="BG116" s="3">
        <v>1</v>
      </c>
      <c r="BH116" s="3">
        <v>1</v>
      </c>
      <c r="BI116" s="3">
        <v>1.174371882622246</v>
      </c>
      <c r="BJ116" s="3">
        <v>1.404286167099549</v>
      </c>
      <c r="BK116" s="3">
        <v>1.6313847267994579</v>
      </c>
      <c r="BL116" s="3">
        <v>1.8544853691511849</v>
      </c>
      <c r="BM116" s="3">
        <v>2.0763853062361899</v>
      </c>
      <c r="BN116" s="3">
        <v>2.2950613037640779</v>
      </c>
      <c r="BO116" s="3">
        <v>2.5167624795023049</v>
      </c>
      <c r="BP116" s="3">
        <v>2.7359247255847179</v>
      </c>
      <c r="BQ116" s="3">
        <v>2.954850820704455</v>
      </c>
      <c r="BR116" s="3">
        <v>3.1726104193417859</v>
      </c>
      <c r="BS116" s="3">
        <v>3.3893855313072412</v>
      </c>
      <c r="BT116" s="3">
        <v>3.6051759632370031</v>
      </c>
      <c r="BU116" s="3">
        <v>3.8200283661546321</v>
      </c>
      <c r="BV116" s="3">
        <v>4.0340258802739113</v>
      </c>
      <c r="BW116" s="3">
        <v>4.2472304230505236</v>
      </c>
      <c r="BY116" s="17" t="s">
        <v>735</v>
      </c>
      <c r="BZ116" s="3">
        <v>1</v>
      </c>
      <c r="CA116" s="3">
        <v>1</v>
      </c>
      <c r="CB116" s="3">
        <v>1</v>
      </c>
      <c r="CC116" s="3">
        <v>1</v>
      </c>
      <c r="CD116" s="3">
        <v>1</v>
      </c>
      <c r="CE116" s="3">
        <v>1.0969379430553421</v>
      </c>
      <c r="CF116" s="3">
        <v>1.099897343854537</v>
      </c>
      <c r="CG116" s="3">
        <v>1.1027660432088831</v>
      </c>
      <c r="CH116" s="3">
        <v>1.1065474025138451</v>
      </c>
      <c r="CI116" s="3">
        <v>1.1089775729718809</v>
      </c>
      <c r="CJ116" s="3">
        <v>1.1117226030282761</v>
      </c>
      <c r="CK116" s="3">
        <v>1.11215699519036</v>
      </c>
      <c r="CL116" s="3">
        <v>1.1131229166346011</v>
      </c>
      <c r="CM116" s="3">
        <v>1.1137433067865601</v>
      </c>
      <c r="CN116" s="3">
        <v>1.1141907358833429</v>
      </c>
      <c r="CO116" s="3">
        <v>1.114628158978701</v>
      </c>
      <c r="CP116" s="3">
        <v>1.1150637925570941</v>
      </c>
      <c r="CQ116" s="3">
        <v>1.1154950039020179</v>
      </c>
      <c r="CR116" s="3">
        <v>1.115914081665482</v>
      </c>
      <c r="CS116" s="3">
        <v>1.1163184205542871</v>
      </c>
      <c r="CU116" s="17" t="s">
        <v>736</v>
      </c>
      <c r="CV116" s="3">
        <v>1</v>
      </c>
      <c r="CW116" s="3">
        <v>1</v>
      </c>
      <c r="CX116" s="3">
        <v>1</v>
      </c>
      <c r="CY116" s="3">
        <v>1</v>
      </c>
      <c r="CZ116" s="3">
        <v>1</v>
      </c>
      <c r="DA116" s="3">
        <v>1.8718594131112301</v>
      </c>
      <c r="DB116" s="3">
        <v>1.8663275009276039</v>
      </c>
      <c r="DC116" s="3">
        <v>1.860979172908352</v>
      </c>
      <c r="DD116" s="3">
        <v>1.8544853691511849</v>
      </c>
      <c r="DE116" s="3">
        <v>1.8497778733443611</v>
      </c>
      <c r="DF116" s="3">
        <v>1.8446051981070071</v>
      </c>
      <c r="DG116" s="3">
        <v>1.8426458219457249</v>
      </c>
      <c r="DH116" s="3">
        <v>1.839963576895832</v>
      </c>
      <c r="DI116" s="3">
        <v>1.837793208873338</v>
      </c>
      <c r="DJ116" s="3">
        <v>1.835619392054533</v>
      </c>
      <c r="DK116" s="3">
        <v>1.833506580688572</v>
      </c>
      <c r="DL116" s="3">
        <v>1.831439137203299</v>
      </c>
      <c r="DM116" s="3">
        <v>1.8294201076925389</v>
      </c>
      <c r="DN116" s="3">
        <v>1.827461603711066</v>
      </c>
      <c r="DO116" s="3">
        <v>1.82556705670776</v>
      </c>
    </row>
    <row r="117" spans="1:119" x14ac:dyDescent="0.45">
      <c r="A117" s="16" t="s">
        <v>737</v>
      </c>
      <c r="B117" s="3" t="s">
        <v>89</v>
      </c>
      <c r="C117" s="16" t="s">
        <v>738</v>
      </c>
      <c r="H117" s="3" t="s">
        <v>739</v>
      </c>
      <c r="I117" s="3" t="s">
        <v>529</v>
      </c>
      <c r="K117" s="17" t="s">
        <v>740</v>
      </c>
      <c r="L117" s="3">
        <v>1</v>
      </c>
      <c r="M117" s="3">
        <v>1</v>
      </c>
      <c r="N117" s="3">
        <v>1</v>
      </c>
      <c r="O117" s="3">
        <v>1</v>
      </c>
      <c r="P117" s="3">
        <v>1</v>
      </c>
      <c r="Q117" s="3">
        <v>1</v>
      </c>
      <c r="R117" s="3">
        <v>1</v>
      </c>
      <c r="S117" s="3">
        <v>1</v>
      </c>
      <c r="T117" s="3">
        <v>1</v>
      </c>
      <c r="U117" s="3">
        <v>1</v>
      </c>
      <c r="V117" s="3">
        <v>1</v>
      </c>
      <c r="W117" s="3">
        <v>1</v>
      </c>
      <c r="X117" s="3">
        <v>1</v>
      </c>
      <c r="Y117" s="3">
        <v>1</v>
      </c>
      <c r="Z117" s="3">
        <v>1</v>
      </c>
      <c r="AA117" s="3">
        <v>1</v>
      </c>
      <c r="AB117" s="3">
        <v>1</v>
      </c>
      <c r="AC117" s="3">
        <v>1</v>
      </c>
      <c r="AD117" s="3">
        <v>1</v>
      </c>
      <c r="AE117" s="3">
        <v>1</v>
      </c>
      <c r="AG117" s="17" t="s">
        <v>741</v>
      </c>
      <c r="AH117" s="3">
        <v>1</v>
      </c>
      <c r="AI117" s="3">
        <v>1</v>
      </c>
      <c r="AJ117" s="3">
        <v>1</v>
      </c>
      <c r="AK117" s="3">
        <v>1</v>
      </c>
      <c r="AL117" s="3">
        <v>1</v>
      </c>
      <c r="AM117" s="3">
        <v>1.3478565297745559</v>
      </c>
      <c r="AN117" s="3">
        <v>1.3478604535264651</v>
      </c>
      <c r="AO117" s="3">
        <v>1.347864364499654</v>
      </c>
      <c r="AP117" s="3">
        <v>1.3478682627257359</v>
      </c>
      <c r="AQ117" s="3">
        <v>1.347872148236319</v>
      </c>
      <c r="AR117" s="3">
        <v>1.3478760210630041</v>
      </c>
      <c r="AS117" s="3">
        <v>1.347879881237386</v>
      </c>
      <c r="AT117" s="3">
        <v>1.3478837287910519</v>
      </c>
      <c r="AU117" s="3">
        <v>1.3478875637555841</v>
      </c>
      <c r="AV117" s="3">
        <v>1.347891386162555</v>
      </c>
      <c r="AW117" s="3">
        <v>1.3478951960435259</v>
      </c>
      <c r="AX117" s="3">
        <v>1.3478989934300509</v>
      </c>
      <c r="AY117" s="3">
        <v>1.347902778353675</v>
      </c>
      <c r="AZ117" s="3">
        <v>1.34790655084593</v>
      </c>
      <c r="BA117" s="3">
        <v>1.347910310938339</v>
      </c>
      <c r="BC117" s="17" t="s">
        <v>742</v>
      </c>
      <c r="BD117" s="3">
        <v>1</v>
      </c>
      <c r="BE117" s="3">
        <v>1</v>
      </c>
      <c r="BF117" s="3">
        <v>1</v>
      </c>
      <c r="BG117" s="3">
        <v>1</v>
      </c>
      <c r="BH117" s="3">
        <v>1</v>
      </c>
      <c r="BI117" s="3">
        <v>1.1745537386273051</v>
      </c>
      <c r="BJ117" s="3">
        <v>1.4055511564417931</v>
      </c>
      <c r="BK117" s="3">
        <v>1.6349067671984929</v>
      </c>
      <c r="BL117" s="3">
        <v>1.8628755405490689</v>
      </c>
      <c r="BM117" s="3">
        <v>2.089209191626324</v>
      </c>
      <c r="BN117" s="3">
        <v>2.314161754844009</v>
      </c>
      <c r="BO117" s="3">
        <v>2.5378084676240622</v>
      </c>
      <c r="BP117" s="3">
        <v>2.7602134701940071</v>
      </c>
      <c r="BQ117" s="3">
        <v>2.9814323371822251</v>
      </c>
      <c r="BR117" s="3">
        <v>3.2015138624869199</v>
      </c>
      <c r="BS117" s="3">
        <v>3.4205013598529241</v>
      </c>
      <c r="BT117" s="3">
        <v>3.638433636658112</v>
      </c>
      <c r="BU117" s="3">
        <v>3.8553457398341071</v>
      </c>
      <c r="BV117" s="3">
        <v>4.071269538447881</v>
      </c>
      <c r="BW117" s="3">
        <v>4.286234186400069</v>
      </c>
      <c r="BY117" s="17" t="s">
        <v>743</v>
      </c>
      <c r="BZ117" s="3">
        <v>1</v>
      </c>
      <c r="CA117" s="3">
        <v>1</v>
      </c>
      <c r="CB117" s="3">
        <v>1</v>
      </c>
      <c r="CC117" s="3">
        <v>1</v>
      </c>
      <c r="CD117" s="3">
        <v>1</v>
      </c>
      <c r="CE117" s="3">
        <v>1.434085074636628</v>
      </c>
      <c r="CF117" s="3">
        <v>1.4340897349331709</v>
      </c>
      <c r="CG117" s="3">
        <v>1.434094380064681</v>
      </c>
      <c r="CH117" s="3">
        <v>1.4340990100685851</v>
      </c>
      <c r="CI117" s="3">
        <v>1.4341036249823</v>
      </c>
      <c r="CJ117" s="3">
        <v>1.4341082248432431</v>
      </c>
      <c r="CK117" s="3">
        <v>1.43411280968882</v>
      </c>
      <c r="CL117" s="3">
        <v>1.434117379556429</v>
      </c>
      <c r="CM117" s="3">
        <v>1.434121934483461</v>
      </c>
      <c r="CN117" s="3">
        <v>1.434126474507301</v>
      </c>
      <c r="CO117" s="3">
        <v>1.434130999665318</v>
      </c>
      <c r="CP117" s="3">
        <v>1.434135509994874</v>
      </c>
      <c r="CQ117" s="3">
        <v>1.434140005533322</v>
      </c>
      <c r="CR117" s="3">
        <v>1.434144486317998</v>
      </c>
      <c r="CS117" s="3">
        <v>1.434148952386229</v>
      </c>
      <c r="CU117" s="17" t="s">
        <v>744</v>
      </c>
      <c r="CV117" s="3">
        <v>1</v>
      </c>
      <c r="CW117" s="3">
        <v>1</v>
      </c>
      <c r="CX117" s="3">
        <v>1</v>
      </c>
      <c r="CY117" s="3">
        <v>1</v>
      </c>
      <c r="CZ117" s="3">
        <v>1</v>
      </c>
      <c r="DA117" s="3">
        <v>1.861352064806344</v>
      </c>
      <c r="DB117" s="3">
        <v>1.8613590451251929</v>
      </c>
      <c r="DC117" s="3">
        <v>1.8613660027988399</v>
      </c>
      <c r="DD117" s="3">
        <v>1.861372937882664</v>
      </c>
      <c r="DE117" s="3">
        <v>1.8613798504320429</v>
      </c>
      <c r="DF117" s="3">
        <v>1.861386740502349</v>
      </c>
      <c r="DG117" s="3">
        <v>1.8613936081489479</v>
      </c>
      <c r="DH117" s="3">
        <v>1.861400453427198</v>
      </c>
      <c r="DI117" s="3">
        <v>1.861407276392453</v>
      </c>
      <c r="DJ117" s="3">
        <v>1.8614140771000529</v>
      </c>
      <c r="DK117" s="3">
        <v>1.8614208556053291</v>
      </c>
      <c r="DL117" s="3">
        <v>1.8614276119636011</v>
      </c>
      <c r="DM117" s="3">
        <v>1.861434346230179</v>
      </c>
      <c r="DN117" s="3">
        <v>1.8614410584603529</v>
      </c>
      <c r="DO117" s="3">
        <v>1.861447748709405</v>
      </c>
    </row>
    <row r="118" spans="1:119" x14ac:dyDescent="0.45">
      <c r="A118" s="16" t="s">
        <v>745</v>
      </c>
      <c r="B118" s="3" t="s">
        <v>89</v>
      </c>
      <c r="C118" s="16" t="s">
        <v>746</v>
      </c>
      <c r="H118" s="3" t="s">
        <v>747</v>
      </c>
      <c r="I118" s="3" t="s">
        <v>529</v>
      </c>
      <c r="K118" s="17" t="s">
        <v>748</v>
      </c>
      <c r="L118" s="3">
        <v>1</v>
      </c>
      <c r="M118" s="3">
        <v>1</v>
      </c>
      <c r="N118" s="3">
        <v>1</v>
      </c>
      <c r="O118" s="3">
        <v>1</v>
      </c>
      <c r="P118" s="3">
        <v>1</v>
      </c>
      <c r="Q118" s="3">
        <v>1</v>
      </c>
      <c r="R118" s="3">
        <v>1</v>
      </c>
      <c r="S118" s="3">
        <v>1</v>
      </c>
      <c r="T118" s="3">
        <v>1</v>
      </c>
      <c r="U118" s="3">
        <v>1</v>
      </c>
      <c r="V118" s="3">
        <v>1</v>
      </c>
      <c r="W118" s="3">
        <v>1</v>
      </c>
      <c r="X118" s="3">
        <v>1</v>
      </c>
      <c r="Y118" s="3">
        <v>1</v>
      </c>
      <c r="Z118" s="3">
        <v>1</v>
      </c>
      <c r="AA118" s="3">
        <v>1</v>
      </c>
      <c r="AB118" s="3">
        <v>1</v>
      </c>
      <c r="AC118" s="3">
        <v>1</v>
      </c>
      <c r="AD118" s="3">
        <v>1</v>
      </c>
      <c r="AE118" s="3">
        <v>1</v>
      </c>
      <c r="AG118" s="17" t="s">
        <v>749</v>
      </c>
      <c r="AH118" s="3">
        <v>1</v>
      </c>
      <c r="AI118" s="3">
        <v>1</v>
      </c>
      <c r="AJ118" s="3">
        <v>1</v>
      </c>
      <c r="AK118" s="3">
        <v>1</v>
      </c>
      <c r="AL118" s="3">
        <v>1</v>
      </c>
      <c r="AM118" s="3">
        <v>1.144084376462231</v>
      </c>
      <c r="AN118" s="3">
        <v>1.144084376462231</v>
      </c>
      <c r="AO118" s="3">
        <v>1.144084376462231</v>
      </c>
      <c r="AP118" s="3">
        <v>1.144084376462231</v>
      </c>
      <c r="AQ118" s="3">
        <v>1.144084376462231</v>
      </c>
      <c r="AR118" s="3">
        <v>1.144084376462231</v>
      </c>
      <c r="AS118" s="3">
        <v>1.144084376462231</v>
      </c>
      <c r="AT118" s="3">
        <v>1.144084376462231</v>
      </c>
      <c r="AU118" s="3">
        <v>1.144084376462231</v>
      </c>
      <c r="AV118" s="3">
        <v>1.144084376462231</v>
      </c>
      <c r="AW118" s="3">
        <v>1.144084376462231</v>
      </c>
      <c r="AX118" s="3">
        <v>1.144084376462231</v>
      </c>
      <c r="AY118" s="3">
        <v>1.144084376462231</v>
      </c>
      <c r="AZ118" s="3">
        <v>1.144084376462231</v>
      </c>
      <c r="BA118" s="3">
        <v>1.144084376462231</v>
      </c>
      <c r="BC118" s="17" t="s">
        <v>750</v>
      </c>
      <c r="BD118" s="3">
        <v>1</v>
      </c>
      <c r="BE118" s="3">
        <v>1</v>
      </c>
      <c r="BF118" s="3">
        <v>1</v>
      </c>
      <c r="BG118" s="3">
        <v>1</v>
      </c>
      <c r="BH118" s="3">
        <v>1</v>
      </c>
      <c r="BI118" s="3">
        <v>1.072042188231116</v>
      </c>
      <c r="BJ118" s="3">
        <v>1.1680984392059359</v>
      </c>
      <c r="BK118" s="3">
        <v>1.264154690180757</v>
      </c>
      <c r="BL118" s="3">
        <v>1.3602109411555781</v>
      </c>
      <c r="BM118" s="3">
        <v>1.456267192130398</v>
      </c>
      <c r="BN118" s="3">
        <v>1.5523234431052191</v>
      </c>
      <c r="BO118" s="3">
        <v>1.6483796940800399</v>
      </c>
      <c r="BP118" s="3">
        <v>1.7444359450548601</v>
      </c>
      <c r="BQ118" s="3">
        <v>1.8404921960296809</v>
      </c>
      <c r="BR118" s="3">
        <v>1.9365484470045009</v>
      </c>
      <c r="BS118" s="3">
        <v>2.032604697979322</v>
      </c>
      <c r="BT118" s="3">
        <v>2.1286609489541428</v>
      </c>
      <c r="BU118" s="3">
        <v>2.2247171999289641</v>
      </c>
      <c r="BV118" s="3">
        <v>2.3207734509037841</v>
      </c>
      <c r="BW118" s="3">
        <v>2.416829701878604</v>
      </c>
      <c r="BY118" s="17" t="s">
        <v>751</v>
      </c>
      <c r="BZ118" s="3">
        <v>1</v>
      </c>
      <c r="CA118" s="3">
        <v>1</v>
      </c>
      <c r="CB118" s="3">
        <v>1</v>
      </c>
      <c r="CC118" s="3">
        <v>1</v>
      </c>
      <c r="CD118" s="3">
        <v>1</v>
      </c>
      <c r="CE118" s="3">
        <v>1.1801054705777889</v>
      </c>
      <c r="CF118" s="3">
        <v>1.1801054705777889</v>
      </c>
      <c r="CG118" s="3">
        <v>1.1801054705777889</v>
      </c>
      <c r="CH118" s="3">
        <v>1.1801054705777889</v>
      </c>
      <c r="CI118" s="3">
        <v>1.1801054705777889</v>
      </c>
      <c r="CJ118" s="3">
        <v>1.1801054705777889</v>
      </c>
      <c r="CK118" s="3">
        <v>1.1801054705777889</v>
      </c>
      <c r="CL118" s="3">
        <v>1.1801054705777889</v>
      </c>
      <c r="CM118" s="3">
        <v>1.1801054705777889</v>
      </c>
      <c r="CN118" s="3">
        <v>1.1801054705777889</v>
      </c>
      <c r="CO118" s="3">
        <v>1.1801054705777889</v>
      </c>
      <c r="CP118" s="3">
        <v>1.180105470577788</v>
      </c>
      <c r="CQ118" s="3">
        <v>1.1801054705777889</v>
      </c>
      <c r="CR118" s="3">
        <v>1.1801054705777889</v>
      </c>
      <c r="CS118" s="3">
        <v>1.1801054705777889</v>
      </c>
      <c r="CU118" s="17" t="s">
        <v>752</v>
      </c>
      <c r="CV118" s="3">
        <v>1</v>
      </c>
      <c r="CW118" s="3">
        <v>1</v>
      </c>
      <c r="CX118" s="3">
        <v>1</v>
      </c>
      <c r="CY118" s="3">
        <v>1</v>
      </c>
      <c r="CZ118" s="3">
        <v>1</v>
      </c>
      <c r="DA118" s="3">
        <v>1.3602109411555781</v>
      </c>
      <c r="DB118" s="3">
        <v>1.3602109411555781</v>
      </c>
      <c r="DC118" s="3">
        <v>1.3602109411555781</v>
      </c>
      <c r="DD118" s="3">
        <v>1.3602109411555781</v>
      </c>
      <c r="DE118" s="3">
        <v>1.3602109411555781</v>
      </c>
      <c r="DF118" s="3">
        <v>1.3602109411555781</v>
      </c>
      <c r="DG118" s="3">
        <v>1.3602109411555781</v>
      </c>
      <c r="DH118" s="3">
        <v>1.3602109411555781</v>
      </c>
      <c r="DI118" s="3">
        <v>1.3602109411555769</v>
      </c>
      <c r="DJ118" s="3">
        <v>1.3602109411555769</v>
      </c>
      <c r="DK118" s="3">
        <v>1.3602109411555769</v>
      </c>
      <c r="DL118" s="3">
        <v>1.3602109411555769</v>
      </c>
      <c r="DM118" s="3">
        <v>1.3602109411555769</v>
      </c>
      <c r="DN118" s="3">
        <v>1.3602109411555769</v>
      </c>
      <c r="DO118" s="3">
        <v>1.3602109411555769</v>
      </c>
    </row>
    <row r="119" spans="1:119" x14ac:dyDescent="0.45">
      <c r="A119" s="16" t="s">
        <v>753</v>
      </c>
      <c r="B119" s="3" t="s">
        <v>89</v>
      </c>
      <c r="C119" s="16" t="s">
        <v>754</v>
      </c>
      <c r="H119" s="3" t="s">
        <v>755</v>
      </c>
      <c r="I119" s="3" t="s">
        <v>529</v>
      </c>
      <c r="K119" s="17" t="s">
        <v>756</v>
      </c>
      <c r="L119" s="3">
        <v>1</v>
      </c>
      <c r="M119" s="3">
        <v>1</v>
      </c>
      <c r="N119" s="3">
        <v>1</v>
      </c>
      <c r="O119" s="3">
        <v>1</v>
      </c>
      <c r="P119" s="3">
        <v>1</v>
      </c>
      <c r="Q119" s="3">
        <v>1</v>
      </c>
      <c r="R119" s="3">
        <v>1</v>
      </c>
      <c r="S119" s="3">
        <v>1</v>
      </c>
      <c r="T119" s="3">
        <v>1</v>
      </c>
      <c r="U119" s="3">
        <v>1</v>
      </c>
      <c r="V119" s="3">
        <v>1</v>
      </c>
      <c r="W119" s="3">
        <v>1</v>
      </c>
      <c r="X119" s="3">
        <v>1</v>
      </c>
      <c r="Y119" s="3">
        <v>1</v>
      </c>
      <c r="Z119" s="3">
        <v>1</v>
      </c>
      <c r="AA119" s="3">
        <v>1</v>
      </c>
      <c r="AB119" s="3">
        <v>1</v>
      </c>
      <c r="AC119" s="3">
        <v>1</v>
      </c>
      <c r="AD119" s="3">
        <v>1</v>
      </c>
      <c r="AE119" s="3">
        <v>1</v>
      </c>
      <c r="AG119" s="17" t="s">
        <v>757</v>
      </c>
      <c r="AH119" s="3">
        <v>1</v>
      </c>
      <c r="AI119" s="3">
        <v>1</v>
      </c>
      <c r="AJ119" s="3">
        <v>1</v>
      </c>
      <c r="AK119" s="3">
        <v>1</v>
      </c>
      <c r="AL119" s="3">
        <v>1</v>
      </c>
      <c r="AM119" s="3">
        <v>1.2079699484822179</v>
      </c>
      <c r="AN119" s="3">
        <v>1.2079700600917871</v>
      </c>
      <c r="AO119" s="3">
        <v>1.2079704300734231</v>
      </c>
      <c r="AP119" s="3">
        <v>1.207971332724727</v>
      </c>
      <c r="AQ119" s="3">
        <v>1.2079721681942091</v>
      </c>
      <c r="AR119" s="3">
        <v>1.2079731243424849</v>
      </c>
      <c r="AS119" s="3">
        <v>1.207974027451898</v>
      </c>
      <c r="AT119" s="3">
        <v>1.207974935233016</v>
      </c>
      <c r="AU119" s="3">
        <v>1.207975920992842</v>
      </c>
      <c r="AV119" s="3">
        <v>1.207976939249253</v>
      </c>
      <c r="AW119" s="3">
        <v>1.2079779627061129</v>
      </c>
      <c r="AX119" s="3">
        <v>1.2079790831884021</v>
      </c>
      <c r="AY119" s="3">
        <v>1.207980278191561</v>
      </c>
      <c r="AZ119" s="3">
        <v>1.207981576624213</v>
      </c>
      <c r="BA119" s="3">
        <v>1.20798293798839</v>
      </c>
      <c r="BC119" s="17" t="s">
        <v>758</v>
      </c>
      <c r="BD119" s="3">
        <v>1</v>
      </c>
      <c r="BE119" s="3">
        <v>1</v>
      </c>
      <c r="BF119" s="3">
        <v>1</v>
      </c>
      <c r="BG119" s="3">
        <v>1</v>
      </c>
      <c r="BH119" s="3">
        <v>1</v>
      </c>
      <c r="BI119" s="3">
        <v>1.104012223954691</v>
      </c>
      <c r="BJ119" s="3">
        <v>1.2426340937800791</v>
      </c>
      <c r="BK119" s="3">
        <v>1.381195520985649</v>
      </c>
      <c r="BL119" s="3">
        <v>1.519705848346854</v>
      </c>
      <c r="BM119" s="3">
        <v>1.658156326067924</v>
      </c>
      <c r="BN119" s="3">
        <v>1.796565726064707</v>
      </c>
      <c r="BO119" s="3">
        <v>1.9349394387149179</v>
      </c>
      <c r="BP119" s="3">
        <v>2.0732817872496891</v>
      </c>
      <c r="BQ119" s="3">
        <v>2.2115965134366951</v>
      </c>
      <c r="BR119" s="3">
        <v>2.3498866621273362</v>
      </c>
      <c r="BS119" s="3">
        <v>2.4881546642950298</v>
      </c>
      <c r="BT119" s="3">
        <v>2.6264028486036861</v>
      </c>
      <c r="BU119" s="3">
        <v>2.7646332107535869</v>
      </c>
      <c r="BV119" s="3">
        <v>2.9028476923935358</v>
      </c>
      <c r="BW119" s="3">
        <v>3.041047837954693</v>
      </c>
      <c r="BY119" s="17" t="s">
        <v>759</v>
      </c>
      <c r="BZ119" s="3">
        <v>1</v>
      </c>
      <c r="CA119" s="3">
        <v>1</v>
      </c>
      <c r="CB119" s="3">
        <v>1</v>
      </c>
      <c r="CC119" s="3">
        <v>1</v>
      </c>
      <c r="CD119" s="3">
        <v>1</v>
      </c>
      <c r="CE119" s="3">
        <v>1.259935856937314</v>
      </c>
      <c r="CF119" s="3">
        <v>1.2599359957447649</v>
      </c>
      <c r="CG119" s="3">
        <v>1.259936465110677</v>
      </c>
      <c r="CH119" s="3">
        <v>1.2599375780477049</v>
      </c>
      <c r="CI119" s="3">
        <v>1.259938588066873</v>
      </c>
      <c r="CJ119" s="3">
        <v>1.259939783562477</v>
      </c>
      <c r="CK119" s="3">
        <v>1.259940896725388</v>
      </c>
      <c r="CL119" s="3">
        <v>1.2599420706313571</v>
      </c>
      <c r="CM119" s="3">
        <v>1.2599433306080401</v>
      </c>
      <c r="CN119" s="3">
        <v>1.259944631138469</v>
      </c>
      <c r="CO119" s="3">
        <v>1.259945952124242</v>
      </c>
      <c r="CP119" s="3">
        <v>1.25994738826209</v>
      </c>
      <c r="CQ119" s="3">
        <v>1.259948897731977</v>
      </c>
      <c r="CR119" s="3">
        <v>1.259950521196441</v>
      </c>
      <c r="CS119" s="3">
        <v>1.259952197755694</v>
      </c>
      <c r="CU119" s="17" t="s">
        <v>760</v>
      </c>
      <c r="CV119" s="3">
        <v>1</v>
      </c>
      <c r="CW119" s="3">
        <v>1</v>
      </c>
      <c r="CX119" s="3">
        <v>1</v>
      </c>
      <c r="CY119" s="3">
        <v>1</v>
      </c>
      <c r="CZ119" s="3">
        <v>1</v>
      </c>
      <c r="DA119" s="3">
        <v>1.5196398613181969</v>
      </c>
      <c r="DB119" s="3">
        <v>1.519640130941375</v>
      </c>
      <c r="DC119" s="3">
        <v>1.519640881923298</v>
      </c>
      <c r="DD119" s="3">
        <v>1.5196433925339079</v>
      </c>
      <c r="DE119" s="3">
        <v>1.5196453279061839</v>
      </c>
      <c r="DF119" s="3">
        <v>1.519647785187167</v>
      </c>
      <c r="DG119" s="3">
        <v>1.5196497813862999</v>
      </c>
      <c r="DH119" s="3">
        <v>1.5196516983116679</v>
      </c>
      <c r="DI119" s="3">
        <v>1.5196538602882901</v>
      </c>
      <c r="DJ119" s="3">
        <v>1.5196560545189359</v>
      </c>
      <c r="DK119" s="3">
        <v>1.519658137643302</v>
      </c>
      <c r="DL119" s="3">
        <v>1.5196605913888139</v>
      </c>
      <c r="DM119" s="3">
        <v>1.5196632805842909</v>
      </c>
      <c r="DN119" s="3">
        <v>1.5196663682206131</v>
      </c>
      <c r="DO119" s="3">
        <v>1.5196696403906611</v>
      </c>
    </row>
    <row r="120" spans="1:119" x14ac:dyDescent="0.45">
      <c r="A120" s="16" t="s">
        <v>761</v>
      </c>
      <c r="B120" s="3" t="s">
        <v>89</v>
      </c>
      <c r="C120" s="16" t="s">
        <v>762</v>
      </c>
      <c r="H120" s="3" t="s">
        <v>763</v>
      </c>
      <c r="I120" s="3" t="s">
        <v>529</v>
      </c>
      <c r="K120" s="17" t="s">
        <v>764</v>
      </c>
      <c r="L120" s="3">
        <v>1</v>
      </c>
      <c r="M120" s="3">
        <v>1</v>
      </c>
      <c r="N120" s="3">
        <v>1</v>
      </c>
      <c r="O120" s="3">
        <v>1</v>
      </c>
      <c r="P120" s="3">
        <v>1</v>
      </c>
      <c r="Q120" s="3">
        <v>1</v>
      </c>
      <c r="R120" s="3">
        <v>1</v>
      </c>
      <c r="S120" s="3">
        <v>1</v>
      </c>
      <c r="T120" s="3">
        <v>1</v>
      </c>
      <c r="U120" s="3">
        <v>1</v>
      </c>
      <c r="V120" s="3">
        <v>1</v>
      </c>
      <c r="W120" s="3">
        <v>1</v>
      </c>
      <c r="X120" s="3">
        <v>1</v>
      </c>
      <c r="Y120" s="3">
        <v>1</v>
      </c>
      <c r="Z120" s="3">
        <v>1</v>
      </c>
      <c r="AA120" s="3">
        <v>1</v>
      </c>
      <c r="AB120" s="3">
        <v>1</v>
      </c>
      <c r="AC120" s="3">
        <v>1</v>
      </c>
      <c r="AD120" s="3">
        <v>1</v>
      </c>
      <c r="AE120" s="3">
        <v>1</v>
      </c>
      <c r="AG120" s="17" t="s">
        <v>765</v>
      </c>
      <c r="AH120" s="3">
        <v>1</v>
      </c>
      <c r="AI120" s="3">
        <v>1</v>
      </c>
      <c r="AJ120" s="3">
        <v>1</v>
      </c>
      <c r="AK120" s="3">
        <v>1</v>
      </c>
      <c r="AL120" s="3">
        <v>1</v>
      </c>
      <c r="AM120" s="3">
        <v>1.335740253699061</v>
      </c>
      <c r="AN120" s="3">
        <v>1.335740253699061</v>
      </c>
      <c r="AO120" s="3">
        <v>1.335740253699061</v>
      </c>
      <c r="AP120" s="3">
        <v>1.335740253699061</v>
      </c>
      <c r="AQ120" s="3">
        <v>1.335740253699061</v>
      </c>
      <c r="AR120" s="3">
        <v>1.335740253699061</v>
      </c>
      <c r="AS120" s="3">
        <v>1.335740253699061</v>
      </c>
      <c r="AT120" s="3">
        <v>1.3357402536990599</v>
      </c>
      <c r="AU120" s="3">
        <v>1.335740253699061</v>
      </c>
      <c r="AV120" s="3">
        <v>1.335740253699061</v>
      </c>
      <c r="AW120" s="3">
        <v>1.335740253699061</v>
      </c>
      <c r="AX120" s="3">
        <v>1.335740253699061</v>
      </c>
      <c r="AY120" s="3">
        <v>1.335740253699061</v>
      </c>
      <c r="AZ120" s="3">
        <v>1.335740253699061</v>
      </c>
      <c r="BA120" s="3">
        <v>1.335740253699061</v>
      </c>
      <c r="BC120" s="17" t="s">
        <v>766</v>
      </c>
      <c r="BD120" s="3">
        <v>1</v>
      </c>
      <c r="BE120" s="3">
        <v>1</v>
      </c>
      <c r="BF120" s="3">
        <v>1</v>
      </c>
      <c r="BG120" s="3">
        <v>1</v>
      </c>
      <c r="BH120" s="3">
        <v>1</v>
      </c>
      <c r="BI120" s="3">
        <v>1.1678701268495311</v>
      </c>
      <c r="BJ120" s="3">
        <v>1.3916969626489051</v>
      </c>
      <c r="BK120" s="3">
        <v>1.6155237984482791</v>
      </c>
      <c r="BL120" s="3">
        <v>1.839350634247652</v>
      </c>
      <c r="BM120" s="3">
        <v>2.0631774700470271</v>
      </c>
      <c r="BN120" s="3">
        <v>2.2870043058464011</v>
      </c>
      <c r="BO120" s="3">
        <v>2.5108311416457738</v>
      </c>
      <c r="BP120" s="3">
        <v>2.7346579774451469</v>
      </c>
      <c r="BQ120" s="3">
        <v>2.958484813244521</v>
      </c>
      <c r="BR120" s="3">
        <v>3.182311649043895</v>
      </c>
      <c r="BS120" s="3">
        <v>3.4061384848432712</v>
      </c>
      <c r="BT120" s="3">
        <v>3.6299653206426452</v>
      </c>
      <c r="BU120" s="3">
        <v>3.8537921564420179</v>
      </c>
      <c r="BV120" s="3">
        <v>4.0776189922413923</v>
      </c>
      <c r="BW120" s="3">
        <v>4.3014458280407668</v>
      </c>
      <c r="BY120" s="17" t="s">
        <v>767</v>
      </c>
      <c r="BZ120" s="3">
        <v>1</v>
      </c>
      <c r="CA120" s="3">
        <v>1</v>
      </c>
      <c r="CB120" s="3">
        <v>1</v>
      </c>
      <c r="CC120" s="3">
        <v>1</v>
      </c>
      <c r="CD120" s="3">
        <v>1</v>
      </c>
      <c r="CE120" s="3">
        <v>1.4196753171238261</v>
      </c>
      <c r="CF120" s="3">
        <v>1.4196753171238261</v>
      </c>
      <c r="CG120" s="3">
        <v>1.4196753171238261</v>
      </c>
      <c r="CH120" s="3">
        <v>1.4196753171238261</v>
      </c>
      <c r="CI120" s="3">
        <v>1.4196753171238261</v>
      </c>
      <c r="CJ120" s="3">
        <v>1.4196753171238261</v>
      </c>
      <c r="CK120" s="3">
        <v>1.4196753171238261</v>
      </c>
      <c r="CL120" s="3">
        <v>1.4196753171238261</v>
      </c>
      <c r="CM120" s="3">
        <v>1.4196753171238261</v>
      </c>
      <c r="CN120" s="3">
        <v>1.4196753171238261</v>
      </c>
      <c r="CO120" s="3">
        <v>1.4196753171238261</v>
      </c>
      <c r="CP120" s="3">
        <v>1.4196753171238261</v>
      </c>
      <c r="CQ120" s="3">
        <v>1.4196753171238261</v>
      </c>
      <c r="CR120" s="3">
        <v>1.4196753171238261</v>
      </c>
      <c r="CS120" s="3">
        <v>1.4196753171238261</v>
      </c>
      <c r="CU120" s="17" t="s">
        <v>768</v>
      </c>
      <c r="CV120" s="3">
        <v>1</v>
      </c>
      <c r="CW120" s="3">
        <v>1</v>
      </c>
      <c r="CX120" s="3">
        <v>1</v>
      </c>
      <c r="CY120" s="3">
        <v>1</v>
      </c>
      <c r="CZ120" s="3">
        <v>1</v>
      </c>
      <c r="DA120" s="3">
        <v>1.8393506342476531</v>
      </c>
      <c r="DB120" s="3">
        <v>1.8393506342476531</v>
      </c>
      <c r="DC120" s="3">
        <v>1.8393506342476531</v>
      </c>
      <c r="DD120" s="3">
        <v>1.8393506342476531</v>
      </c>
      <c r="DE120" s="3">
        <v>1.8393506342476531</v>
      </c>
      <c r="DF120" s="3">
        <v>1.839350634247652</v>
      </c>
      <c r="DG120" s="3">
        <v>1.8393506342476531</v>
      </c>
      <c r="DH120" s="3">
        <v>1.839350634247652</v>
      </c>
      <c r="DI120" s="3">
        <v>1.839350634247652</v>
      </c>
      <c r="DJ120" s="3">
        <v>1.839350634247652</v>
      </c>
      <c r="DK120" s="3">
        <v>1.8393506342476531</v>
      </c>
      <c r="DL120" s="3">
        <v>1.8393506342476531</v>
      </c>
      <c r="DM120" s="3">
        <v>1.8393506342476531</v>
      </c>
      <c r="DN120" s="3">
        <v>1.839350634247652</v>
      </c>
      <c r="DO120" s="3">
        <v>1.8393506342476531</v>
      </c>
    </row>
    <row r="121" spans="1:119" x14ac:dyDescent="0.45">
      <c r="A121" s="16" t="s">
        <v>769</v>
      </c>
      <c r="B121" s="3" t="s">
        <v>89</v>
      </c>
      <c r="C121" s="16" t="s">
        <v>770</v>
      </c>
      <c r="H121" s="3" t="s">
        <v>771</v>
      </c>
      <c r="I121" s="3" t="s">
        <v>529</v>
      </c>
      <c r="K121" s="17" t="s">
        <v>772</v>
      </c>
      <c r="L121" s="3">
        <v>1</v>
      </c>
      <c r="M121" s="3">
        <v>1</v>
      </c>
      <c r="N121" s="3">
        <v>1</v>
      </c>
      <c r="O121" s="3">
        <v>1</v>
      </c>
      <c r="P121" s="3">
        <v>1</v>
      </c>
      <c r="Q121" s="3">
        <v>1</v>
      </c>
      <c r="R121" s="3">
        <v>1</v>
      </c>
      <c r="S121" s="3">
        <v>1</v>
      </c>
      <c r="T121" s="3">
        <v>1</v>
      </c>
      <c r="U121" s="3">
        <v>1</v>
      </c>
      <c r="V121" s="3">
        <v>1</v>
      </c>
      <c r="W121" s="3">
        <v>1</v>
      </c>
      <c r="X121" s="3">
        <v>1</v>
      </c>
      <c r="Y121" s="3">
        <v>1</v>
      </c>
      <c r="Z121" s="3">
        <v>1</v>
      </c>
      <c r="AA121" s="3">
        <v>1</v>
      </c>
      <c r="AB121" s="3">
        <v>1</v>
      </c>
      <c r="AC121" s="3">
        <v>1</v>
      </c>
      <c r="AD121" s="3">
        <v>1</v>
      </c>
      <c r="AE121" s="3">
        <v>1</v>
      </c>
      <c r="AG121" s="17" t="s">
        <v>773</v>
      </c>
      <c r="AH121" s="3">
        <v>1</v>
      </c>
      <c r="AI121" s="3">
        <v>1</v>
      </c>
      <c r="AJ121" s="3">
        <v>1</v>
      </c>
      <c r="AK121" s="3">
        <v>1</v>
      </c>
      <c r="AL121" s="3">
        <v>1</v>
      </c>
      <c r="AM121" s="3">
        <v>1.2010810668070859</v>
      </c>
      <c r="AN121" s="3">
        <v>1.201081194491864</v>
      </c>
      <c r="AO121" s="3">
        <v>1.201081288399285</v>
      </c>
      <c r="AP121" s="3">
        <v>1.2010813205448361</v>
      </c>
      <c r="AQ121" s="3">
        <v>1.2010813555495889</v>
      </c>
      <c r="AR121" s="3">
        <v>1.201081373749286</v>
      </c>
      <c r="AS121" s="3">
        <v>1.201081393377716</v>
      </c>
      <c r="AT121" s="3">
        <v>1.201081408429904</v>
      </c>
      <c r="AU121" s="3">
        <v>1.2010814115697279</v>
      </c>
      <c r="AV121" s="3">
        <v>1.201081407583801</v>
      </c>
      <c r="AW121" s="3">
        <v>1.2010813992809879</v>
      </c>
      <c r="AX121" s="3">
        <v>1.2010813777228271</v>
      </c>
      <c r="AY121" s="3">
        <v>1.2010813453760461</v>
      </c>
      <c r="AZ121" s="3">
        <v>1.2010812996817859</v>
      </c>
      <c r="BA121" s="3">
        <v>1.2010812447724759</v>
      </c>
      <c r="BC121" s="17" t="s">
        <v>774</v>
      </c>
      <c r="BD121" s="3">
        <v>1</v>
      </c>
      <c r="BE121" s="3">
        <v>1</v>
      </c>
      <c r="BF121" s="3">
        <v>1</v>
      </c>
      <c r="BG121" s="3">
        <v>1</v>
      </c>
      <c r="BH121" s="3">
        <v>1</v>
      </c>
      <c r="BI121" s="3">
        <v>1.1005408026834631</v>
      </c>
      <c r="BJ121" s="3">
        <v>1.2345963729481519</v>
      </c>
      <c r="BK121" s="3">
        <v>1.368652943304403</v>
      </c>
      <c r="BL121" s="3">
        <v>1.5027102179336029</v>
      </c>
      <c r="BM121" s="3">
        <v>1.63676645526822</v>
      </c>
      <c r="BN121" s="3">
        <v>1.770822804474528</v>
      </c>
      <c r="BO121" s="3">
        <v>1.904879291401381</v>
      </c>
      <c r="BP121" s="3">
        <v>2.0389359338506008</v>
      </c>
      <c r="BQ121" s="3">
        <v>2.1729927196665928</v>
      </c>
      <c r="BR121" s="3">
        <v>2.30704964186023</v>
      </c>
      <c r="BS121" s="3">
        <v>2.4411067058660749</v>
      </c>
      <c r="BT121" s="3">
        <v>2.5751638840534579</v>
      </c>
      <c r="BU121" s="3">
        <v>2.7092211503666279</v>
      </c>
      <c r="BV121" s="3">
        <v>2.843278455604985</v>
      </c>
      <c r="BW121" s="3">
        <v>2.9773357715805959</v>
      </c>
      <c r="BY121" s="17" t="s">
        <v>775</v>
      </c>
      <c r="BZ121" s="3">
        <v>1</v>
      </c>
      <c r="CA121" s="3">
        <v>1</v>
      </c>
      <c r="CB121" s="3">
        <v>1</v>
      </c>
      <c r="CC121" s="3">
        <v>1</v>
      </c>
      <c r="CD121" s="3">
        <v>1</v>
      </c>
      <c r="CE121" s="3">
        <v>1.251351419104141</v>
      </c>
      <c r="CF121" s="3">
        <v>1.2513515795827701</v>
      </c>
      <c r="CG121" s="3">
        <v>1.251351696791831</v>
      </c>
      <c r="CH121" s="3">
        <v>1.2513517387239901</v>
      </c>
      <c r="CI121" s="3">
        <v>1.251351786265114</v>
      </c>
      <c r="CJ121" s="3">
        <v>1.251351809023914</v>
      </c>
      <c r="CK121" s="3">
        <v>1.25135183528491</v>
      </c>
      <c r="CL121" s="3">
        <v>1.2513518501878329</v>
      </c>
      <c r="CM121" s="3">
        <v>1.25135185138359</v>
      </c>
      <c r="CN121" s="3">
        <v>1.25135184372105</v>
      </c>
      <c r="CO121" s="3">
        <v>1.251351829340005</v>
      </c>
      <c r="CP121" s="3">
        <v>1.251351799004548</v>
      </c>
      <c r="CQ121" s="3">
        <v>1.251351757132934</v>
      </c>
      <c r="CR121" s="3">
        <v>1.251351700011299</v>
      </c>
      <c r="CS121" s="3">
        <v>1.2513516337854711</v>
      </c>
      <c r="CU121" s="17" t="s">
        <v>776</v>
      </c>
      <c r="CV121" s="3">
        <v>1</v>
      </c>
      <c r="CW121" s="3">
        <v>1</v>
      </c>
      <c r="CX121" s="3">
        <v>1</v>
      </c>
      <c r="CY121" s="3">
        <v>1</v>
      </c>
      <c r="CZ121" s="3">
        <v>1</v>
      </c>
      <c r="DA121" s="3">
        <v>1.50270371432078</v>
      </c>
      <c r="DB121" s="3">
        <v>1.5027040431482599</v>
      </c>
      <c r="DC121" s="3">
        <v>1.5027043030678819</v>
      </c>
      <c r="DD121" s="3">
        <v>1.5027043556507129</v>
      </c>
      <c r="DE121" s="3">
        <v>1.5027044611499021</v>
      </c>
      <c r="DF121" s="3">
        <v>1.5027044994937011</v>
      </c>
      <c r="DG121" s="3">
        <v>1.5027045773119261</v>
      </c>
      <c r="DH121" s="3">
        <v>1.502704652840597</v>
      </c>
      <c r="DI121" s="3">
        <v>1.50270469200779</v>
      </c>
      <c r="DJ121" s="3">
        <v>1.502704717671101</v>
      </c>
      <c r="DK121" s="3">
        <v>1.5027047446661801</v>
      </c>
      <c r="DL121" s="3">
        <v>1.5027047238917819</v>
      </c>
      <c r="DM121" s="3">
        <v>1.502704670083288</v>
      </c>
      <c r="DN121" s="3">
        <v>1.5027045677506441</v>
      </c>
      <c r="DO121" s="3">
        <v>1.50270443910356</v>
      </c>
    </row>
    <row r="122" spans="1:119" x14ac:dyDescent="0.45">
      <c r="A122" s="11"/>
      <c r="B122" s="3" t="s">
        <v>89</v>
      </c>
      <c r="C122" s="16" t="s">
        <v>777</v>
      </c>
      <c r="H122" s="11" t="s">
        <v>778</v>
      </c>
      <c r="I122" s="11" t="s">
        <v>779</v>
      </c>
    </row>
    <row r="123" spans="1:119" x14ac:dyDescent="0.45">
      <c r="A123" s="11"/>
      <c r="B123" s="3" t="s">
        <v>89</v>
      </c>
      <c r="C123" s="16" t="s">
        <v>780</v>
      </c>
      <c r="H123" s="11" t="s">
        <v>781</v>
      </c>
      <c r="I123" s="11" t="s">
        <v>782</v>
      </c>
    </row>
    <row r="124" spans="1:119" x14ac:dyDescent="0.45">
      <c r="A124" s="16" t="s">
        <v>783</v>
      </c>
      <c r="B124" s="3" t="s">
        <v>89</v>
      </c>
      <c r="C124" s="16" t="s">
        <v>784</v>
      </c>
      <c r="H124" s="3" t="s">
        <v>785</v>
      </c>
      <c r="I124" s="3" t="s">
        <v>109</v>
      </c>
      <c r="K124" s="17" t="s">
        <v>786</v>
      </c>
      <c r="L124" s="19">
        <v>-215.4052943364598</v>
      </c>
      <c r="M124" s="19">
        <v>-199.97072537699319</v>
      </c>
      <c r="N124" s="19">
        <v>-195.08779859825879</v>
      </c>
      <c r="O124" s="19">
        <v>-175.77056577339351</v>
      </c>
      <c r="P124" s="19">
        <v>-190.8709937398404</v>
      </c>
      <c r="Q124" s="19">
        <v>-176.58956382310649</v>
      </c>
      <c r="R124" s="19">
        <v>-172.76586834075229</v>
      </c>
      <c r="S124" s="19">
        <v>-170.9966361687824</v>
      </c>
      <c r="T124" s="19">
        <v>-169.26200163413611</v>
      </c>
      <c r="U124" s="19">
        <v>-168.14885161643011</v>
      </c>
      <c r="V124" s="19">
        <v>-169.14262543616701</v>
      </c>
      <c r="W124" s="19">
        <v>-170.50087090285169</v>
      </c>
      <c r="X124" s="19">
        <v>-171.91577773693021</v>
      </c>
      <c r="Y124" s="19">
        <v>-173.2893759368439</v>
      </c>
      <c r="Z124" s="19">
        <v>-174.65716947781851</v>
      </c>
      <c r="AA124" s="19">
        <v>-176.00861460328881</v>
      </c>
      <c r="AB124" s="19">
        <v>-177.34512378170331</v>
      </c>
      <c r="AC124" s="19">
        <v>-178.66646277078169</v>
      </c>
      <c r="AD124" s="19">
        <v>-179.9728815199885</v>
      </c>
      <c r="AE124" s="19">
        <v>-181.2645382816203</v>
      </c>
      <c r="AG124" s="17" t="s">
        <v>787</v>
      </c>
      <c r="AH124" s="19">
        <v>-215.4052943364598</v>
      </c>
      <c r="AI124" s="19">
        <v>-199.98983220596489</v>
      </c>
      <c r="AJ124" s="19">
        <v>-195.09728579171639</v>
      </c>
      <c r="AK124" s="19">
        <v>-175.77474680850301</v>
      </c>
      <c r="AL124" s="19">
        <v>-190.8765147485984</v>
      </c>
      <c r="AM124" s="19">
        <v>-159.30720066179859</v>
      </c>
      <c r="AN124" s="19">
        <v>-153.8259705662656</v>
      </c>
      <c r="AO124" s="19">
        <v>-151.69794993751219</v>
      </c>
      <c r="AP124" s="19">
        <v>-149.8882130418977</v>
      </c>
      <c r="AQ124" s="19">
        <v>-149.22134941539781</v>
      </c>
      <c r="AR124" s="19">
        <v>-150.47149693813199</v>
      </c>
      <c r="AS124" s="19">
        <v>-151.89385173971331</v>
      </c>
      <c r="AT124" s="19">
        <v>-153.53128319015221</v>
      </c>
      <c r="AU124" s="19">
        <v>-155.05320301680629</v>
      </c>
      <c r="AV124" s="19">
        <v>-156.57288253555819</v>
      </c>
      <c r="AW124" s="19">
        <v>-158.06844704932601</v>
      </c>
      <c r="AX124" s="19">
        <v>-159.55263291931649</v>
      </c>
      <c r="AY124" s="19">
        <v>-161.01842828815609</v>
      </c>
      <c r="AZ124" s="19">
        <v>-162.47318614386259</v>
      </c>
      <c r="BA124" s="19">
        <v>-163.90987847524829</v>
      </c>
      <c r="BC124" s="17" t="s">
        <v>788</v>
      </c>
      <c r="BD124" s="19">
        <v>-215.4052943364598</v>
      </c>
      <c r="BE124" s="19">
        <v>-200.03714639502459</v>
      </c>
      <c r="BF124" s="19">
        <v>-195.12204074915249</v>
      </c>
      <c r="BG124" s="19">
        <v>-175.78623751203801</v>
      </c>
      <c r="BH124" s="19">
        <v>-190.89148470004341</v>
      </c>
      <c r="BI124" s="19">
        <v>-168.3298836430597</v>
      </c>
      <c r="BJ124" s="19">
        <v>-152.52020298367671</v>
      </c>
      <c r="BK124" s="19">
        <v>-139.20143841262279</v>
      </c>
      <c r="BL124" s="19">
        <v>-125.0484573645019</v>
      </c>
      <c r="BM124" s="19">
        <v>-110.74723588842809</v>
      </c>
      <c r="BN124" s="19">
        <v>-99.436790569517242</v>
      </c>
      <c r="BO124" s="19">
        <v>-87.742659695905488</v>
      </c>
      <c r="BP124" s="19">
        <v>-76.937662461120098</v>
      </c>
      <c r="BQ124" s="19">
        <v>-66.01136435869283</v>
      </c>
      <c r="BR124" s="19">
        <v>-55.724329493112258</v>
      </c>
      <c r="BS124" s="19">
        <v>-45.389781258516948</v>
      </c>
      <c r="BT124" s="19">
        <v>-35.719009764789277</v>
      </c>
      <c r="BU124" s="19">
        <v>-25.88596363632325</v>
      </c>
      <c r="BV124" s="19">
        <v>-16.90173755412577</v>
      </c>
      <c r="BW124" s="19">
        <v>-7.4103545109417466</v>
      </c>
      <c r="BY124" s="17" t="s">
        <v>789</v>
      </c>
      <c r="BZ124" s="19">
        <v>-215.4052943364598</v>
      </c>
      <c r="CA124" s="19">
        <v>-200.0833788962446</v>
      </c>
      <c r="CB124" s="19">
        <v>-195.1451371624658</v>
      </c>
      <c r="CC124" s="19">
        <v>-175.7964766613195</v>
      </c>
      <c r="CD124" s="19">
        <v>-190.90505642424469</v>
      </c>
      <c r="CE124" s="19">
        <v>-166.47016070065661</v>
      </c>
      <c r="CF124" s="19">
        <v>-162.98649354651459</v>
      </c>
      <c r="CG124" s="19">
        <v>-161.5147427585473</v>
      </c>
      <c r="CH124" s="19">
        <v>-160.0059835861797</v>
      </c>
      <c r="CI124" s="19">
        <v>-159.30916366189561</v>
      </c>
      <c r="CJ124" s="19">
        <v>-160.86557426857439</v>
      </c>
      <c r="CK124" s="19">
        <v>-162.79043650266291</v>
      </c>
      <c r="CL124" s="19">
        <v>-165.5876875496825</v>
      </c>
      <c r="CM124" s="19">
        <v>-168.19800952199671</v>
      </c>
      <c r="CN124" s="19">
        <v>-170.86748829488519</v>
      </c>
      <c r="CO124" s="19">
        <v>-173.70462171412731</v>
      </c>
      <c r="CP124" s="19">
        <v>-176.45494785872501</v>
      </c>
      <c r="CQ124" s="19">
        <v>-179.21091092069139</v>
      </c>
      <c r="CR124" s="19">
        <v>-182.01647755038229</v>
      </c>
      <c r="CS124" s="19">
        <v>-184.74607630129049</v>
      </c>
      <c r="CU124" s="17" t="s">
        <v>790</v>
      </c>
      <c r="CV124" s="19">
        <v>-215.4052943364598</v>
      </c>
      <c r="CW124" s="19">
        <v>-200.01641228107539</v>
      </c>
      <c r="CX124" s="19">
        <v>-195.110980445715</v>
      </c>
      <c r="CY124" s="19">
        <v>-175.7810104539808</v>
      </c>
      <c r="CZ124" s="19">
        <v>-190.8847061412213</v>
      </c>
      <c r="DA124" s="19">
        <v>-132.837649933526</v>
      </c>
      <c r="DB124" s="19">
        <v>-125.32518576232771</v>
      </c>
      <c r="DC124" s="19">
        <v>-123.22157328335889</v>
      </c>
      <c r="DD124" s="19">
        <v>-121.8108925530379</v>
      </c>
      <c r="DE124" s="19">
        <v>-120.33075138219741</v>
      </c>
      <c r="DF124" s="19">
        <v>-122.9835543858687</v>
      </c>
      <c r="DG124" s="19">
        <v>-125.0768260866641</v>
      </c>
      <c r="DH124" s="19">
        <v>-128.1579316167346</v>
      </c>
      <c r="DI124" s="19">
        <v>-130.99700980336229</v>
      </c>
      <c r="DJ124" s="19">
        <v>-134.09094151928079</v>
      </c>
      <c r="DK124" s="19">
        <v>-137.0047837614766</v>
      </c>
      <c r="DL124" s="19">
        <v>-140.099710328687</v>
      </c>
      <c r="DM124" s="19">
        <v>-142.96010361814379</v>
      </c>
      <c r="DN124" s="19">
        <v>-145.9481121884036</v>
      </c>
      <c r="DO124" s="19">
        <v>-148.6974572546693</v>
      </c>
    </row>
    <row r="125" spans="1:119" x14ac:dyDescent="0.45">
      <c r="A125" s="16" t="s">
        <v>791</v>
      </c>
      <c r="B125" s="3" t="s">
        <v>89</v>
      </c>
      <c r="C125" s="16" t="s">
        <v>792</v>
      </c>
      <c r="H125" s="3" t="s">
        <v>793</v>
      </c>
      <c r="I125" s="3" t="s">
        <v>794</v>
      </c>
      <c r="K125" s="17" t="s">
        <v>795</v>
      </c>
      <c r="L125" s="23">
        <v>6.2326367863754943E-2</v>
      </c>
      <c r="M125" s="23">
        <v>6.3513641698972667E-2</v>
      </c>
      <c r="N125" s="23">
        <v>5.3145511985616928E-2</v>
      </c>
      <c r="O125" s="23">
        <v>5.1764127020226453E-2</v>
      </c>
      <c r="P125" s="23">
        <v>5.1773127138046299E-2</v>
      </c>
      <c r="Q125" s="23">
        <v>5.2304866747271639E-2</v>
      </c>
      <c r="R125" s="23">
        <v>5.2474822652907843E-2</v>
      </c>
      <c r="S125" s="23">
        <v>5.3271172293089718E-2</v>
      </c>
      <c r="T125" s="23">
        <v>5.394326944766778E-2</v>
      </c>
      <c r="U125" s="23">
        <v>5.4698556854496511E-2</v>
      </c>
      <c r="V125" s="23">
        <v>5.345633218262702E-2</v>
      </c>
      <c r="W125" s="23">
        <v>5.2293539960965203E-2</v>
      </c>
      <c r="X125" s="23">
        <v>5.1078994276693379E-2</v>
      </c>
      <c r="Y125" s="23">
        <v>4.9946687442858927E-2</v>
      </c>
      <c r="Z125" s="23">
        <v>4.8887796494670371E-2</v>
      </c>
      <c r="AA125" s="23">
        <v>4.7897859914470382E-2</v>
      </c>
      <c r="AB125" s="23">
        <v>4.6969628277178599E-2</v>
      </c>
      <c r="AC125" s="23">
        <v>4.6093569660066967E-2</v>
      </c>
      <c r="AD125" s="23">
        <v>4.5263684542707273E-2</v>
      </c>
      <c r="AE125" s="23">
        <v>4.447320622566639E-2</v>
      </c>
      <c r="AG125" s="17" t="s">
        <v>796</v>
      </c>
      <c r="AH125" s="23">
        <v>6.2326367863754943E-2</v>
      </c>
      <c r="AI125" s="23">
        <v>6.3513641698972667E-2</v>
      </c>
      <c r="AJ125" s="23">
        <v>5.3145511985616928E-2</v>
      </c>
      <c r="AK125" s="23">
        <v>5.176584371891163E-2</v>
      </c>
      <c r="AL125" s="23">
        <v>5.1777382880188877E-2</v>
      </c>
      <c r="AM125" s="23">
        <v>6.1514347314370887E-2</v>
      </c>
      <c r="AN125" s="23">
        <v>6.1487066119874249E-2</v>
      </c>
      <c r="AO125" s="23">
        <v>6.3150934252734464E-2</v>
      </c>
      <c r="AP125" s="23">
        <v>6.2412982888005529E-2</v>
      </c>
      <c r="AQ125" s="23">
        <v>6.2811675255853502E-2</v>
      </c>
      <c r="AR125" s="23">
        <v>6.1010080072167107E-2</v>
      </c>
      <c r="AS125" s="23">
        <v>5.9508583270343599E-2</v>
      </c>
      <c r="AT125" s="23">
        <v>5.7937807607729687E-2</v>
      </c>
      <c r="AU125" s="23">
        <v>5.6482543221322463E-2</v>
      </c>
      <c r="AV125" s="23">
        <v>5.5147111044854577E-2</v>
      </c>
      <c r="AW125" s="23">
        <v>5.3906896131292938E-2</v>
      </c>
      <c r="AX125" s="23">
        <v>5.2748461704333158E-2</v>
      </c>
      <c r="AY125" s="23">
        <v>5.1663168198041863E-2</v>
      </c>
      <c r="AZ125" s="23">
        <v>5.0640693663217051E-2</v>
      </c>
      <c r="BA125" s="23">
        <v>4.9674222069861648E-2</v>
      </c>
      <c r="BC125" s="17" t="s">
        <v>797</v>
      </c>
      <c r="BD125" s="23">
        <v>6.2326367863754943E-2</v>
      </c>
      <c r="BE125" s="23">
        <v>6.3513641698972667E-2</v>
      </c>
      <c r="BF125" s="23">
        <v>5.3145511985616928E-2</v>
      </c>
      <c r="BG125" s="23">
        <v>5.1769848061693269E-2</v>
      </c>
      <c r="BH125" s="23">
        <v>5.1787478864226522E-2</v>
      </c>
      <c r="BI125" s="23">
        <v>5.6921776834458357E-2</v>
      </c>
      <c r="BJ125" s="23">
        <v>6.3043805789729207E-2</v>
      </c>
      <c r="BK125" s="23">
        <v>6.9576745651835636E-2</v>
      </c>
      <c r="BL125" s="23">
        <v>7.4400470103552357E-2</v>
      </c>
      <c r="BM125" s="23">
        <v>7.955572291895778E-2</v>
      </c>
      <c r="BN125" s="23">
        <v>8.3224566401565253E-2</v>
      </c>
      <c r="BO125" s="23">
        <v>8.6746855824232499E-2</v>
      </c>
      <c r="BP125" s="23">
        <v>8.9120526154951502E-2</v>
      </c>
      <c r="BQ125" s="23">
        <v>9.1291816164719597E-2</v>
      </c>
      <c r="BR125" s="23">
        <v>9.2424538577306203E-2</v>
      </c>
      <c r="BS125" s="23">
        <v>9.3562018574440853E-2</v>
      </c>
      <c r="BT125" s="23">
        <v>9.3618454116833949E-2</v>
      </c>
      <c r="BU125" s="23">
        <v>9.3997407661982765E-2</v>
      </c>
      <c r="BV125" s="23">
        <v>9.3074110236608554E-2</v>
      </c>
      <c r="BW125" s="23">
        <v>9.3111150415362998E-2</v>
      </c>
      <c r="BY125" s="17" t="s">
        <v>798</v>
      </c>
      <c r="BZ125" s="23">
        <v>6.2326367863754943E-2</v>
      </c>
      <c r="CA125" s="23">
        <v>6.3513641698972667E-2</v>
      </c>
      <c r="CB125" s="23">
        <v>5.3145511985616928E-2</v>
      </c>
      <c r="CC125" s="23">
        <v>5.177395277454247E-2</v>
      </c>
      <c r="CD125" s="23">
        <v>5.1797696731220998E-2</v>
      </c>
      <c r="CE125" s="23">
        <v>5.2339347904702543E-2</v>
      </c>
      <c r="CF125" s="23">
        <v>5.2519334043681233E-2</v>
      </c>
      <c r="CG125" s="23">
        <v>5.3322627469943457E-2</v>
      </c>
      <c r="CH125" s="23">
        <v>5.3997236511330121E-2</v>
      </c>
      <c r="CI125" s="23">
        <v>5.4769041140792042E-2</v>
      </c>
      <c r="CJ125" s="23">
        <v>5.344065591316724E-2</v>
      </c>
      <c r="CK125" s="23">
        <v>5.2152322369007909E-2</v>
      </c>
      <c r="CL125" s="23">
        <v>5.085682896006477E-2</v>
      </c>
      <c r="CM125" s="23">
        <v>4.9439773420924732E-2</v>
      </c>
      <c r="CN125" s="23">
        <v>4.8174479357856098E-2</v>
      </c>
      <c r="CO125" s="23">
        <v>4.6986854649791347E-2</v>
      </c>
      <c r="CP125" s="23">
        <v>4.5854656257456237E-2</v>
      </c>
      <c r="CQ125" s="23">
        <v>4.48184395467775E-2</v>
      </c>
      <c r="CR125" s="23">
        <v>4.3851278142636542E-2</v>
      </c>
      <c r="CS125" s="23">
        <v>4.2934906849461052E-2</v>
      </c>
      <c r="CU125" s="17" t="s">
        <v>799</v>
      </c>
      <c r="CV125" s="23">
        <v>6.2326367863754943E-2</v>
      </c>
      <c r="CW125" s="23">
        <v>6.3513641698972667E-2</v>
      </c>
      <c r="CX125" s="23">
        <v>5.3145511985616928E-2</v>
      </c>
      <c r="CY125" s="23">
        <v>5.176813476786471E-2</v>
      </c>
      <c r="CZ125" s="23">
        <v>5.178312905993418E-2</v>
      </c>
      <c r="DA125" s="23">
        <v>7.5313591017242332E-2</v>
      </c>
      <c r="DB125" s="23">
        <v>7.469698749904255E-2</v>
      </c>
      <c r="DC125" s="23">
        <v>7.7592059067683392E-2</v>
      </c>
      <c r="DD125" s="23">
        <v>7.6192141788467532E-2</v>
      </c>
      <c r="DE125" s="23">
        <v>7.5148529336249534E-2</v>
      </c>
      <c r="DF125" s="23">
        <v>7.2448321887766912E-2</v>
      </c>
      <c r="DG125" s="23">
        <v>6.9821776396507787E-2</v>
      </c>
      <c r="DH125" s="23">
        <v>6.6843769421728261E-2</v>
      </c>
      <c r="DI125" s="23">
        <v>6.4201248136788472E-2</v>
      </c>
      <c r="DJ125" s="23">
        <v>6.1704575116998478E-2</v>
      </c>
      <c r="DK125" s="23">
        <v>5.9510300391651748E-2</v>
      </c>
      <c r="DL125" s="23">
        <v>5.7433274390178993E-2</v>
      </c>
      <c r="DM125" s="23">
        <v>5.5621115645967299E-2</v>
      </c>
      <c r="DN125" s="23">
        <v>5.3911198876114903E-2</v>
      </c>
      <c r="DO125" s="23">
        <v>5.2407012669330878E-2</v>
      </c>
    </row>
    <row r="126" spans="1:119" x14ac:dyDescent="0.45">
      <c r="A126" s="16" t="s">
        <v>800</v>
      </c>
      <c r="B126" s="3" t="s">
        <v>89</v>
      </c>
      <c r="C126" s="16" t="s">
        <v>801</v>
      </c>
      <c r="H126" s="3" t="s">
        <v>802</v>
      </c>
      <c r="I126" s="3" t="s">
        <v>794</v>
      </c>
      <c r="K126" s="17" t="s">
        <v>803</v>
      </c>
      <c r="L126" s="23">
        <v>6.1135554578983307E-2</v>
      </c>
      <c r="M126" s="23">
        <v>5.3218541238289348E-2</v>
      </c>
      <c r="N126" s="23">
        <v>4.5128064520456243E-2</v>
      </c>
      <c r="O126" s="23">
        <v>4.3973478004060942E-2</v>
      </c>
      <c r="P126" s="23">
        <v>4.3981000465171442E-2</v>
      </c>
      <c r="Q126" s="23">
        <v>4.4425438039364482E-2</v>
      </c>
      <c r="R126" s="23">
        <v>4.4567490256484023E-2</v>
      </c>
      <c r="S126" s="23">
        <v>4.525372482792904E-2</v>
      </c>
      <c r="T126" s="23">
        <v>4.5925821982507102E-2</v>
      </c>
      <c r="U126" s="23">
        <v>4.6681109389335833E-2</v>
      </c>
      <c r="V126" s="23">
        <v>4.5438884717466342E-2</v>
      </c>
      <c r="W126" s="23">
        <v>4.441597090668882E-2</v>
      </c>
      <c r="X126" s="23">
        <v>4.3400831676322318E-2</v>
      </c>
      <c r="Y126" s="23">
        <v>4.2454429163248819E-2</v>
      </c>
      <c r="Z126" s="23">
        <v>4.1569388974060158E-2</v>
      </c>
      <c r="AA126" s="23">
        <v>4.0741982091676517E-2</v>
      </c>
      <c r="AB126" s="23">
        <v>3.9966149315614943E-2</v>
      </c>
      <c r="AC126" s="23">
        <v>3.9233923692612679E-2</v>
      </c>
      <c r="AD126" s="23">
        <v>3.8540290715081471E-2</v>
      </c>
      <c r="AE126" s="23">
        <v>3.7879594653357468E-2</v>
      </c>
      <c r="AG126" s="17" t="s">
        <v>804</v>
      </c>
      <c r="AH126" s="23">
        <v>6.1135554578983307E-2</v>
      </c>
      <c r="AI126" s="23">
        <v>5.3218541238289348E-2</v>
      </c>
      <c r="AJ126" s="23">
        <v>4.5128064520456243E-2</v>
      </c>
      <c r="AK126" s="23">
        <v>4.3974812545277478E-2</v>
      </c>
      <c r="AL126" s="23">
        <v>4.3984458023727649E-2</v>
      </c>
      <c r="AM126" s="23">
        <v>5.3633879852878333E-2</v>
      </c>
      <c r="AN126" s="23">
        <v>5.3578425390715542E-2</v>
      </c>
      <c r="AO126" s="23">
        <v>5.5133486787573779E-2</v>
      </c>
      <c r="AP126" s="23">
        <v>5.4395535422844837E-2</v>
      </c>
      <c r="AQ126" s="23">
        <v>5.4794227790692818E-2</v>
      </c>
      <c r="AR126" s="23">
        <v>5.3041335206687482E-2</v>
      </c>
      <c r="AS126" s="23">
        <v>5.1740034002685738E-2</v>
      </c>
      <c r="AT126" s="23">
        <v>5.036846750747638E-2</v>
      </c>
      <c r="AU126" s="23">
        <v>4.9104980786478618E-2</v>
      </c>
      <c r="AV126" s="23">
        <v>4.7944449296778012E-2</v>
      </c>
      <c r="AW126" s="23">
        <v>4.686688480010575E-2</v>
      </c>
      <c r="AX126" s="23">
        <v>4.5860166280919969E-2</v>
      </c>
      <c r="AY126" s="23">
        <v>4.4917231730913179E-2</v>
      </c>
      <c r="AZ126" s="23">
        <v>4.402888496393817E-2</v>
      </c>
      <c r="BA126" s="23">
        <v>4.3189636348951121E-2</v>
      </c>
      <c r="BC126" s="17" t="s">
        <v>805</v>
      </c>
      <c r="BD126" s="23">
        <v>6.1135554578983307E-2</v>
      </c>
      <c r="BE126" s="23">
        <v>5.3218541238289348E-2</v>
      </c>
      <c r="BF126" s="23">
        <v>4.5128064520456243E-2</v>
      </c>
      <c r="BG126" s="23">
        <v>4.3977927448855522E-2</v>
      </c>
      <c r="BH126" s="23">
        <v>4.3992667851102722E-2</v>
      </c>
      <c r="BI126" s="23">
        <v>4.9038839424932139E-2</v>
      </c>
      <c r="BJ126" s="23">
        <v>5.5132041638577767E-2</v>
      </c>
      <c r="BK126" s="23">
        <v>6.1559298186674979E-2</v>
      </c>
      <c r="BL126" s="23">
        <v>6.6411543902648043E-2</v>
      </c>
      <c r="BM126" s="23">
        <v>7.1611541982906646E-2</v>
      </c>
      <c r="BN126" s="23">
        <v>7.535282597392505E-2</v>
      </c>
      <c r="BO126" s="23">
        <v>7.9027184244501225E-2</v>
      </c>
      <c r="BP126" s="23">
        <v>8.1518873790042801E-2</v>
      </c>
      <c r="BQ126" s="23">
        <v>8.385205538234268E-2</v>
      </c>
      <c r="BR126" s="23">
        <v>8.5134472375390569E-2</v>
      </c>
      <c r="BS126" s="23">
        <v>8.6431782467562626E-2</v>
      </c>
      <c r="BT126" s="23">
        <v>8.6637547814790689E-2</v>
      </c>
      <c r="BU126" s="23">
        <v>8.7172308629685905E-2</v>
      </c>
      <c r="BV126" s="23">
        <v>8.6391410996924961E-2</v>
      </c>
      <c r="BW126" s="23">
        <v>8.6579050754213599E-2</v>
      </c>
      <c r="BY126" s="17" t="s">
        <v>806</v>
      </c>
      <c r="BZ126" s="23">
        <v>6.1135554578983307E-2</v>
      </c>
      <c r="CA126" s="23">
        <v>5.3218541238289348E-2</v>
      </c>
      <c r="CB126" s="23">
        <v>4.5128064520456243E-2</v>
      </c>
      <c r="CC126" s="23">
        <v>4.3981119340621072E-2</v>
      </c>
      <c r="CD126" s="23">
        <v>4.4000974857205957E-2</v>
      </c>
      <c r="CE126" s="23">
        <v>4.4453922274685712E-2</v>
      </c>
      <c r="CF126" s="23">
        <v>4.460443290001774E-2</v>
      </c>
      <c r="CG126" s="23">
        <v>4.5305180004782772E-2</v>
      </c>
      <c r="CH126" s="23">
        <v>4.5979789046169457E-2</v>
      </c>
      <c r="CI126" s="23">
        <v>4.675159367563135E-2</v>
      </c>
      <c r="CJ126" s="23">
        <v>4.5423208448006583E-2</v>
      </c>
      <c r="CK126" s="23">
        <v>4.4297525062710411E-2</v>
      </c>
      <c r="CL126" s="23">
        <v>4.32141887335908E-2</v>
      </c>
      <c r="CM126" s="23">
        <v>4.2029197952987027E-2</v>
      </c>
      <c r="CN126" s="23">
        <v>4.0971115359838342E-2</v>
      </c>
      <c r="CO126" s="23">
        <v>3.9977982563696793E-2</v>
      </c>
      <c r="CP126" s="23">
        <v>3.9031199166946001E-2</v>
      </c>
      <c r="CQ126" s="23">
        <v>3.816467896717525E-2</v>
      </c>
      <c r="CR126" s="23">
        <v>3.7355905199593531E-2</v>
      </c>
      <c r="CS126" s="23">
        <v>3.6589603876864898E-2</v>
      </c>
      <c r="CU126" s="17" t="s">
        <v>807</v>
      </c>
      <c r="CV126" s="23">
        <v>6.1135554578983307E-2</v>
      </c>
      <c r="CW126" s="23">
        <v>5.3218541238289348E-2</v>
      </c>
      <c r="CX126" s="23">
        <v>4.5128064520456243E-2</v>
      </c>
      <c r="CY126" s="23">
        <v>4.3976594363417762E-2</v>
      </c>
      <c r="CZ126" s="23">
        <v>4.3989129404379247E-2</v>
      </c>
      <c r="DA126" s="23">
        <v>6.743171878657192E-2</v>
      </c>
      <c r="DB126" s="23">
        <v>6.6786572522918433E-2</v>
      </c>
      <c r="DC126" s="23">
        <v>6.9574611602522707E-2</v>
      </c>
      <c r="DD126" s="23">
        <v>6.8174694323306848E-2</v>
      </c>
      <c r="DE126" s="23">
        <v>6.7131081871088849E-2</v>
      </c>
      <c r="DF126" s="23">
        <v>6.4511734699289142E-2</v>
      </c>
      <c r="DG126" s="23">
        <v>6.2144643177155158E-2</v>
      </c>
      <c r="DH126" s="23">
        <v>5.9390331932825918E-2</v>
      </c>
      <c r="DI126" s="23">
        <v>5.6984405025419599E-2</v>
      </c>
      <c r="DJ126" s="23">
        <v>5.4694859950401728E-2</v>
      </c>
      <c r="DK126" s="23">
        <v>5.2697021340027628E-2</v>
      </c>
      <c r="DL126" s="23">
        <v>5.0795574176753261E-2</v>
      </c>
      <c r="DM126" s="23">
        <v>4.9149723968648362E-2</v>
      </c>
      <c r="DN126" s="23">
        <v>4.7588605843149008E-2</v>
      </c>
      <c r="DO126" s="23">
        <v>4.6226535668323139E-2</v>
      </c>
    </row>
    <row r="127" spans="1:119" x14ac:dyDescent="0.45">
      <c r="A127" s="16" t="s">
        <v>808</v>
      </c>
      <c r="B127" s="3" t="s">
        <v>89</v>
      </c>
      <c r="C127" s="16" t="s">
        <v>809</v>
      </c>
      <c r="H127" s="3" t="s">
        <v>810</v>
      </c>
      <c r="I127" s="3" t="s">
        <v>651</v>
      </c>
      <c r="K127" s="17" t="s">
        <v>811</v>
      </c>
      <c r="L127" s="3">
        <v>11.251346624355421</v>
      </c>
      <c r="M127" s="3">
        <v>8.7773562722248748</v>
      </c>
      <c r="N127" s="3">
        <v>7.5715284334375186</v>
      </c>
      <c r="O127" s="3">
        <v>6.8162015160669256</v>
      </c>
      <c r="P127" s="3">
        <v>7.2323827454022327</v>
      </c>
      <c r="Q127" s="3">
        <v>7.3262627361533168</v>
      </c>
      <c r="R127" s="3">
        <v>7.2817483726127454</v>
      </c>
      <c r="S127" s="3">
        <v>7.2340120479098626</v>
      </c>
      <c r="T127" s="3">
        <v>7.1829217736300794</v>
      </c>
      <c r="U127" s="3">
        <v>7.1336175794829062</v>
      </c>
      <c r="V127" s="3">
        <v>7.1336175794829062</v>
      </c>
      <c r="W127" s="3">
        <v>7.1336175794829053</v>
      </c>
      <c r="X127" s="3">
        <v>7.133617579482908</v>
      </c>
      <c r="Y127" s="3">
        <v>7.1336175794829062</v>
      </c>
      <c r="Z127" s="3">
        <v>7.1336175794829071</v>
      </c>
      <c r="AA127" s="3">
        <v>7.1336175794829062</v>
      </c>
      <c r="AB127" s="3">
        <v>7.1336175794829071</v>
      </c>
      <c r="AC127" s="3">
        <v>7.1336175794829071</v>
      </c>
      <c r="AD127" s="3">
        <v>7.1336175794829062</v>
      </c>
      <c r="AE127" s="3">
        <v>7.1336175794829062</v>
      </c>
      <c r="AG127" s="17" t="s">
        <v>812</v>
      </c>
      <c r="AH127" s="3">
        <v>11.251346624355421</v>
      </c>
      <c r="AI127" s="3">
        <v>8.7773562722248748</v>
      </c>
      <c r="AJ127" s="3">
        <v>7.5715284334375186</v>
      </c>
      <c r="AK127" s="3">
        <v>6.8162015160669256</v>
      </c>
      <c r="AL127" s="3">
        <v>7.2323827454022327</v>
      </c>
      <c r="AM127" s="3">
        <v>9.3173436021048293</v>
      </c>
      <c r="AN127" s="3">
        <v>9.2728292385642597</v>
      </c>
      <c r="AO127" s="3">
        <v>9.225092913861376</v>
      </c>
      <c r="AP127" s="3">
        <v>9.174002639581591</v>
      </c>
      <c r="AQ127" s="3">
        <v>9.1246984454344187</v>
      </c>
      <c r="AR127" s="3">
        <v>9.1246984454344187</v>
      </c>
      <c r="AS127" s="3">
        <v>9.1246984454344187</v>
      </c>
      <c r="AT127" s="3">
        <v>9.1246984454344204</v>
      </c>
      <c r="AU127" s="3">
        <v>9.1246984454344204</v>
      </c>
      <c r="AV127" s="3">
        <v>9.1246984454344187</v>
      </c>
      <c r="AW127" s="3">
        <v>9.1246984454344169</v>
      </c>
      <c r="AX127" s="3">
        <v>9.1246984454344187</v>
      </c>
      <c r="AY127" s="3">
        <v>9.1246984454344169</v>
      </c>
      <c r="AZ127" s="3">
        <v>9.1246984454344204</v>
      </c>
      <c r="BA127" s="3">
        <v>9.1246984454344204</v>
      </c>
      <c r="BC127" s="17" t="s">
        <v>813</v>
      </c>
      <c r="BD127" s="3">
        <v>11.251346624355421</v>
      </c>
      <c r="BE127" s="3">
        <v>8.7773562722248748</v>
      </c>
      <c r="BF127" s="3">
        <v>7.5715284334375186</v>
      </c>
      <c r="BG127" s="3">
        <v>6.8162015160669256</v>
      </c>
      <c r="BH127" s="3">
        <v>7.2323827454022327</v>
      </c>
      <c r="BI127" s="3">
        <v>8.3218031691290726</v>
      </c>
      <c r="BJ127" s="3">
        <v>9.6046760495561774</v>
      </c>
      <c r="BK127" s="3">
        <v>10.88432696882097</v>
      </c>
      <c r="BL127" s="3">
        <v>12.160623938508859</v>
      </c>
      <c r="BM127" s="3">
        <v>13.43870698832936</v>
      </c>
      <c r="BN127" s="3">
        <v>14.766094232297039</v>
      </c>
      <c r="BO127" s="3">
        <v>16.09348147626471</v>
      </c>
      <c r="BP127" s="3">
        <v>17.420868720232399</v>
      </c>
      <c r="BQ127" s="3">
        <v>18.748255964200069</v>
      </c>
      <c r="BR127" s="3">
        <v>20.07564320816774</v>
      </c>
      <c r="BS127" s="3">
        <v>21.403030452135422</v>
      </c>
      <c r="BT127" s="3">
        <v>22.730417696103089</v>
      </c>
      <c r="BU127" s="3">
        <v>24.057804940070771</v>
      </c>
      <c r="BV127" s="3">
        <v>25.385192184038441</v>
      </c>
      <c r="BW127" s="3">
        <v>26.712579428006119</v>
      </c>
      <c r="BY127" s="17" t="s">
        <v>814</v>
      </c>
      <c r="BZ127" s="3">
        <v>11.251346624355421</v>
      </c>
      <c r="CA127" s="3">
        <v>8.7773562722248748</v>
      </c>
      <c r="CB127" s="3">
        <v>7.5715284334375186</v>
      </c>
      <c r="CC127" s="3">
        <v>6.8162015160669256</v>
      </c>
      <c r="CD127" s="3">
        <v>7.2323827454022327</v>
      </c>
      <c r="CE127" s="3">
        <v>7.3262627361533168</v>
      </c>
      <c r="CF127" s="3">
        <v>7.2817483726127454</v>
      </c>
      <c r="CG127" s="3">
        <v>7.2340120479098617</v>
      </c>
      <c r="CH127" s="3">
        <v>7.1829217736300794</v>
      </c>
      <c r="CI127" s="3">
        <v>7.1336175794829062</v>
      </c>
      <c r="CJ127" s="3">
        <v>7.1336175794829053</v>
      </c>
      <c r="CK127" s="3">
        <v>7.1336175794829071</v>
      </c>
      <c r="CL127" s="3">
        <v>7.1336175794829071</v>
      </c>
      <c r="CM127" s="3">
        <v>7.133617579482908</v>
      </c>
      <c r="CN127" s="3">
        <v>7.133617579482908</v>
      </c>
      <c r="CO127" s="3">
        <v>7.1336175794829071</v>
      </c>
      <c r="CP127" s="3">
        <v>7.1336175794829062</v>
      </c>
      <c r="CQ127" s="3">
        <v>7.1336175794829062</v>
      </c>
      <c r="CR127" s="3">
        <v>7.1336175794829071</v>
      </c>
      <c r="CS127" s="3">
        <v>7.1336175794829062</v>
      </c>
      <c r="CU127" s="17" t="s">
        <v>815</v>
      </c>
      <c r="CV127" s="3">
        <v>11.251346624355421</v>
      </c>
      <c r="CW127" s="3">
        <v>8.7773562722248748</v>
      </c>
      <c r="CX127" s="3">
        <v>7.5715284334375186</v>
      </c>
      <c r="CY127" s="3">
        <v>6.8162015160669256</v>
      </c>
      <c r="CZ127" s="3">
        <v>7.2323827454022327</v>
      </c>
      <c r="DA127" s="3">
        <v>12.303964901032099</v>
      </c>
      <c r="DB127" s="3">
        <v>12.25945053749153</v>
      </c>
      <c r="DC127" s="3">
        <v>12.21171421278865</v>
      </c>
      <c r="DD127" s="3">
        <v>12.160623938508859</v>
      </c>
      <c r="DE127" s="3">
        <v>12.11131974436169</v>
      </c>
      <c r="DF127" s="3">
        <v>12.11131974436169</v>
      </c>
      <c r="DG127" s="3">
        <v>12.11131974436169</v>
      </c>
      <c r="DH127" s="3">
        <v>12.11131974436169</v>
      </c>
      <c r="DI127" s="3">
        <v>12.11131974436169</v>
      </c>
      <c r="DJ127" s="3">
        <v>12.11131974436169</v>
      </c>
      <c r="DK127" s="3">
        <v>12.11131974436169</v>
      </c>
      <c r="DL127" s="3">
        <v>12.11131974436169</v>
      </c>
      <c r="DM127" s="3">
        <v>12.11131974436169</v>
      </c>
      <c r="DN127" s="3">
        <v>12.11131974436169</v>
      </c>
      <c r="DO127" s="3">
        <v>12.11131974436169</v>
      </c>
    </row>
    <row r="128" spans="1:119" x14ac:dyDescent="0.45">
      <c r="A128" s="16" t="s">
        <v>816</v>
      </c>
      <c r="B128" s="3" t="s">
        <v>89</v>
      </c>
      <c r="C128" s="16" t="s">
        <v>817</v>
      </c>
      <c r="H128" s="3" t="s">
        <v>818</v>
      </c>
      <c r="I128" s="3" t="s">
        <v>651</v>
      </c>
      <c r="K128" s="17" t="s">
        <v>819</v>
      </c>
      <c r="L128" s="3">
        <v>4.8997949629715043</v>
      </c>
      <c r="M128" s="3">
        <v>5.118455079782481</v>
      </c>
      <c r="N128" s="3">
        <v>4.8850072384069456</v>
      </c>
      <c r="O128" s="3">
        <v>4.8850072384069456</v>
      </c>
      <c r="P128" s="3">
        <v>4.8850072384069456</v>
      </c>
      <c r="Q128" s="3">
        <v>4.8850072384069474</v>
      </c>
      <c r="R128" s="3">
        <v>4.8850072384069456</v>
      </c>
      <c r="S128" s="3">
        <v>4.8850072384069456</v>
      </c>
      <c r="T128" s="3">
        <v>4.8850072384069456</v>
      </c>
      <c r="U128" s="3">
        <v>4.8850072384069456</v>
      </c>
      <c r="V128" s="3">
        <v>4.8850072384069456</v>
      </c>
      <c r="W128" s="3">
        <v>4.8850072384069456</v>
      </c>
      <c r="X128" s="3">
        <v>4.8850072384069456</v>
      </c>
      <c r="Y128" s="3">
        <v>4.8850072384069456</v>
      </c>
      <c r="Z128" s="3">
        <v>4.8850072384069456</v>
      </c>
      <c r="AA128" s="3">
        <v>4.8850072384069447</v>
      </c>
      <c r="AB128" s="3">
        <v>4.8850072384069456</v>
      </c>
      <c r="AC128" s="3">
        <v>4.8850072384069474</v>
      </c>
      <c r="AD128" s="3">
        <v>4.8850072384069456</v>
      </c>
      <c r="AE128" s="3">
        <v>4.8850072384069474</v>
      </c>
      <c r="AG128" s="17" t="s">
        <v>820</v>
      </c>
      <c r="AH128" s="3">
        <v>4.8997949629715043</v>
      </c>
      <c r="AI128" s="3">
        <v>5.118455079782481</v>
      </c>
      <c r="AJ128" s="3">
        <v>4.8850072384069456</v>
      </c>
      <c r="AK128" s="3">
        <v>4.8850072384069456</v>
      </c>
      <c r="AL128" s="3">
        <v>4.8850072384069456</v>
      </c>
      <c r="AM128" s="3">
        <v>5.9960303616078896</v>
      </c>
      <c r="AN128" s="3">
        <v>5.9960303616078896</v>
      </c>
      <c r="AO128" s="3">
        <v>5.9960303616078896</v>
      </c>
      <c r="AP128" s="3">
        <v>5.9960303616078896</v>
      </c>
      <c r="AQ128" s="3">
        <v>5.9960303616078896</v>
      </c>
      <c r="AR128" s="3">
        <v>5.9960303616078887</v>
      </c>
      <c r="AS128" s="3">
        <v>5.9960303616078896</v>
      </c>
      <c r="AT128" s="3">
        <v>5.9960303616078887</v>
      </c>
      <c r="AU128" s="3">
        <v>5.9960303616078896</v>
      </c>
      <c r="AV128" s="3">
        <v>5.9960303616078896</v>
      </c>
      <c r="AW128" s="3">
        <v>5.9960303616078896</v>
      </c>
      <c r="AX128" s="3">
        <v>5.9960303616078896</v>
      </c>
      <c r="AY128" s="3">
        <v>5.9960303616078896</v>
      </c>
      <c r="AZ128" s="3">
        <v>5.9960303616078896</v>
      </c>
      <c r="BA128" s="3">
        <v>5.9960303616078896</v>
      </c>
      <c r="BC128" s="17" t="s">
        <v>821</v>
      </c>
      <c r="BD128" s="3">
        <v>4.8997949629715043</v>
      </c>
      <c r="BE128" s="3">
        <v>5.118455079782481</v>
      </c>
      <c r="BF128" s="3">
        <v>4.8850072384069456</v>
      </c>
      <c r="BG128" s="3">
        <v>4.8850072384069456</v>
      </c>
      <c r="BH128" s="3">
        <v>4.8850072384069456</v>
      </c>
      <c r="BI128" s="3">
        <v>5.4405188000074176</v>
      </c>
      <c r="BJ128" s="3">
        <v>6.1812008821413809</v>
      </c>
      <c r="BK128" s="3">
        <v>6.9218829642753423</v>
      </c>
      <c r="BL128" s="3">
        <v>7.6625650464093056</v>
      </c>
      <c r="BM128" s="3">
        <v>8.4032471285432688</v>
      </c>
      <c r="BN128" s="3">
        <v>9.1439292106772321</v>
      </c>
      <c r="BO128" s="3">
        <v>9.8846112928111936</v>
      </c>
      <c r="BP128" s="3">
        <v>10.62529337494516</v>
      </c>
      <c r="BQ128" s="3">
        <v>11.36597545707912</v>
      </c>
      <c r="BR128" s="3">
        <v>12.10665753921308</v>
      </c>
      <c r="BS128" s="3">
        <v>12.847339621347039</v>
      </c>
      <c r="BT128" s="3">
        <v>13.58802170348101</v>
      </c>
      <c r="BU128" s="3">
        <v>14.328703785614969</v>
      </c>
      <c r="BV128" s="3">
        <v>15.069385867748929</v>
      </c>
      <c r="BW128" s="3">
        <v>15.8100679498829</v>
      </c>
      <c r="BY128" s="17" t="s">
        <v>822</v>
      </c>
      <c r="BZ128" s="3">
        <v>4.8997949629715043</v>
      </c>
      <c r="CA128" s="3">
        <v>5.118455079782481</v>
      </c>
      <c r="CB128" s="3">
        <v>4.8850072384069456</v>
      </c>
      <c r="CC128" s="3">
        <v>4.8850072384069456</v>
      </c>
      <c r="CD128" s="3">
        <v>4.8850072384069456</v>
      </c>
      <c r="CE128" s="3">
        <v>5.8363954055685774</v>
      </c>
      <c r="CF128" s="3">
        <v>5.8438204236838418</v>
      </c>
      <c r="CG128" s="3">
        <v>5.8506372590963034</v>
      </c>
      <c r="CH128" s="3">
        <v>5.8569125934902102</v>
      </c>
      <c r="CI128" s="3">
        <v>5.862642373030317</v>
      </c>
      <c r="CJ128" s="3">
        <v>5.8679686555250834</v>
      </c>
      <c r="CK128" s="3">
        <v>5.8730625950222199</v>
      </c>
      <c r="CL128" s="3">
        <v>5.8778448428442394</v>
      </c>
      <c r="CM128" s="3">
        <v>5.8823920116405386</v>
      </c>
      <c r="CN128" s="3">
        <v>5.8844786448098017</v>
      </c>
      <c r="CO128" s="3">
        <v>5.8865563168959332</v>
      </c>
      <c r="CP128" s="3">
        <v>5.8886019624061063</v>
      </c>
      <c r="CQ128" s="3">
        <v>5.8906179457859587</v>
      </c>
      <c r="CR128" s="3">
        <v>5.8926170260434034</v>
      </c>
      <c r="CS128" s="3">
        <v>5.8946010074522333</v>
      </c>
      <c r="CU128" s="17" t="s">
        <v>823</v>
      </c>
      <c r="CV128" s="3">
        <v>4.8997949629715043</v>
      </c>
      <c r="CW128" s="3">
        <v>5.118455079782481</v>
      </c>
      <c r="CX128" s="3">
        <v>4.8850072384069456</v>
      </c>
      <c r="CY128" s="3">
        <v>4.8850072384069456</v>
      </c>
      <c r="CZ128" s="3">
        <v>4.8850072384069456</v>
      </c>
      <c r="DA128" s="3">
        <v>7.6625650464093056</v>
      </c>
      <c r="DB128" s="3">
        <v>7.6625650464093056</v>
      </c>
      <c r="DC128" s="3">
        <v>7.6625650464093056</v>
      </c>
      <c r="DD128" s="3">
        <v>7.6625650464093056</v>
      </c>
      <c r="DE128" s="3">
        <v>7.6625650464093047</v>
      </c>
      <c r="DF128" s="3">
        <v>7.6625650464093047</v>
      </c>
      <c r="DG128" s="3">
        <v>7.6625650464093056</v>
      </c>
      <c r="DH128" s="3">
        <v>7.6625650464093056</v>
      </c>
      <c r="DI128" s="3">
        <v>7.6625650464093047</v>
      </c>
      <c r="DJ128" s="3">
        <v>7.6625650464093056</v>
      </c>
      <c r="DK128" s="3">
        <v>7.6625650464093056</v>
      </c>
      <c r="DL128" s="3">
        <v>7.6625650464093056</v>
      </c>
      <c r="DM128" s="3">
        <v>7.6625650464093047</v>
      </c>
      <c r="DN128" s="3">
        <v>7.6625650464093047</v>
      </c>
      <c r="DO128" s="3">
        <v>7.6625650464093056</v>
      </c>
    </row>
    <row r="129" spans="1:230" x14ac:dyDescent="0.45">
      <c r="A129" s="16" t="s">
        <v>824</v>
      </c>
      <c r="B129" s="3" t="s">
        <v>89</v>
      </c>
      <c r="C129" s="16" t="s">
        <v>825</v>
      </c>
      <c r="H129" s="3" t="s">
        <v>826</v>
      </c>
      <c r="I129" s="3" t="s">
        <v>651</v>
      </c>
      <c r="K129" s="17" t="s">
        <v>827</v>
      </c>
      <c r="L129" s="3">
        <v>23.576579600904509</v>
      </c>
      <c r="M129" s="3">
        <v>15.45297302294686</v>
      </c>
      <c r="N129" s="3">
        <v>14.48322663188887</v>
      </c>
      <c r="O129" s="3">
        <v>13.293238597245139</v>
      </c>
      <c r="P129" s="3">
        <v>13.94891585667126</v>
      </c>
      <c r="Q129" s="3">
        <v>14.09682011258624</v>
      </c>
      <c r="R129" s="3">
        <v>14.0266894727734</v>
      </c>
      <c r="S129" s="3">
        <v>13.95148275908703</v>
      </c>
      <c r="T129" s="3">
        <v>13.870992028939011</v>
      </c>
      <c r="U129" s="3">
        <v>13.793315198226921</v>
      </c>
      <c r="V129" s="3">
        <v>13.793315198226921</v>
      </c>
      <c r="W129" s="3">
        <v>13.793315198226921</v>
      </c>
      <c r="X129" s="3">
        <v>13.793315198226921</v>
      </c>
      <c r="Y129" s="3">
        <v>13.793315198226921</v>
      </c>
      <c r="Z129" s="3">
        <v>13.793315198226921</v>
      </c>
      <c r="AA129" s="3">
        <v>13.793315198226921</v>
      </c>
      <c r="AB129" s="3">
        <v>13.793315198226921</v>
      </c>
      <c r="AC129" s="3">
        <v>13.793315198226921</v>
      </c>
      <c r="AD129" s="3">
        <v>13.793315198226921</v>
      </c>
      <c r="AE129" s="3">
        <v>13.793315198226921</v>
      </c>
      <c r="AG129" s="17" t="s">
        <v>828</v>
      </c>
      <c r="AH129" s="3">
        <v>23.576579600904509</v>
      </c>
      <c r="AI129" s="3">
        <v>15.45297302294686</v>
      </c>
      <c r="AJ129" s="3">
        <v>14.48322663188887</v>
      </c>
      <c r="AK129" s="3">
        <v>13.293238597245139</v>
      </c>
      <c r="AL129" s="3">
        <v>13.94891585667126</v>
      </c>
      <c r="AM129" s="3">
        <v>16.23727186510143</v>
      </c>
      <c r="AN129" s="3">
        <v>16.167141225288599</v>
      </c>
      <c r="AO129" s="3">
        <v>16.091934511602229</v>
      </c>
      <c r="AP129" s="3">
        <v>16.011443781454211</v>
      </c>
      <c r="AQ129" s="3">
        <v>15.933766950742109</v>
      </c>
      <c r="AR129" s="3">
        <v>15.933766950742109</v>
      </c>
      <c r="AS129" s="3">
        <v>15.933766950742109</v>
      </c>
      <c r="AT129" s="3">
        <v>15.93376695074212</v>
      </c>
      <c r="AU129" s="3">
        <v>15.93376695074212</v>
      </c>
      <c r="AV129" s="3">
        <v>15.93376695074212</v>
      </c>
      <c r="AW129" s="3">
        <v>15.933766950742109</v>
      </c>
      <c r="AX129" s="3">
        <v>15.933766950742109</v>
      </c>
      <c r="AY129" s="3">
        <v>15.933766950742109</v>
      </c>
      <c r="AZ129" s="3">
        <v>15.933766950742109</v>
      </c>
      <c r="BA129" s="3">
        <v>15.933766950742109</v>
      </c>
      <c r="BC129" s="17" t="s">
        <v>829</v>
      </c>
      <c r="BD129" s="3">
        <v>23.576579600904509</v>
      </c>
      <c r="BE129" s="3">
        <v>15.45297302294686</v>
      </c>
      <c r="BF129" s="3">
        <v>14.48322663188887</v>
      </c>
      <c r="BG129" s="3">
        <v>13.293238597245139</v>
      </c>
      <c r="BH129" s="3">
        <v>13.94891585667126</v>
      </c>
      <c r="BI129" s="3">
        <v>15.16704598884384</v>
      </c>
      <c r="BJ129" s="3">
        <v>16.523883184041129</v>
      </c>
      <c r="BK129" s="3">
        <v>17.87564430536489</v>
      </c>
      <c r="BL129" s="3">
        <v>19.222121410227</v>
      </c>
      <c r="BM129" s="3">
        <v>20.571412414525039</v>
      </c>
      <c r="BN129" s="3">
        <v>21.99838024953517</v>
      </c>
      <c r="BO129" s="3">
        <v>23.425348084545298</v>
      </c>
      <c r="BP129" s="3">
        <v>24.85231591955543</v>
      </c>
      <c r="BQ129" s="3">
        <v>26.279283754565562</v>
      </c>
      <c r="BR129" s="3">
        <v>27.70625158957569</v>
      </c>
      <c r="BS129" s="3">
        <v>29.133219424585821</v>
      </c>
      <c r="BT129" s="3">
        <v>30.56018725959596</v>
      </c>
      <c r="BU129" s="3">
        <v>31.987155094606081</v>
      </c>
      <c r="BV129" s="3">
        <v>33.414122929616212</v>
      </c>
      <c r="BW129" s="3">
        <v>34.841090764626337</v>
      </c>
      <c r="BY129" s="17" t="s">
        <v>830</v>
      </c>
      <c r="BZ129" s="3">
        <v>23.576579600904509</v>
      </c>
      <c r="CA129" s="3">
        <v>15.45297302294686</v>
      </c>
      <c r="CB129" s="3">
        <v>14.48322663188887</v>
      </c>
      <c r="CC129" s="3">
        <v>13.293238597245139</v>
      </c>
      <c r="CD129" s="3">
        <v>13.94891585667126</v>
      </c>
      <c r="CE129" s="3">
        <v>16.772384803230231</v>
      </c>
      <c r="CF129" s="3">
        <v>16.70225416341739</v>
      </c>
      <c r="CG129" s="3">
        <v>16.62704744973102</v>
      </c>
      <c r="CH129" s="3">
        <v>16.546556719583009</v>
      </c>
      <c r="CI129" s="3">
        <v>16.468879888870909</v>
      </c>
      <c r="CJ129" s="3">
        <v>16.468879888870909</v>
      </c>
      <c r="CK129" s="3">
        <v>16.468879888870909</v>
      </c>
      <c r="CL129" s="3">
        <v>16.468879888870919</v>
      </c>
      <c r="CM129" s="3">
        <v>16.468879888870919</v>
      </c>
      <c r="CN129" s="3">
        <v>16.468879888870919</v>
      </c>
      <c r="CO129" s="3">
        <v>16.468879888870909</v>
      </c>
      <c r="CP129" s="3">
        <v>16.468879888870909</v>
      </c>
      <c r="CQ129" s="3">
        <v>16.468879888870909</v>
      </c>
      <c r="CR129" s="3">
        <v>16.468879888870909</v>
      </c>
      <c r="CS129" s="3">
        <v>16.468879888870909</v>
      </c>
      <c r="CU129" s="17" t="s">
        <v>831</v>
      </c>
      <c r="CV129" s="3">
        <v>23.576579600904509</v>
      </c>
      <c r="CW129" s="3">
        <v>15.45297302294686</v>
      </c>
      <c r="CX129" s="3">
        <v>14.48322663188887</v>
      </c>
      <c r="CY129" s="3">
        <v>13.293238597245139</v>
      </c>
      <c r="CZ129" s="3">
        <v>13.94891585667126</v>
      </c>
      <c r="DA129" s="3">
        <v>19.44794949387423</v>
      </c>
      <c r="DB129" s="3">
        <v>19.377818854061388</v>
      </c>
      <c r="DC129" s="3">
        <v>19.302612140375022</v>
      </c>
      <c r="DD129" s="3">
        <v>19.222121410227</v>
      </c>
      <c r="DE129" s="3">
        <v>19.144444579514911</v>
      </c>
      <c r="DF129" s="3">
        <v>19.144444579514911</v>
      </c>
      <c r="DG129" s="3">
        <v>19.144444579514911</v>
      </c>
      <c r="DH129" s="3">
        <v>19.144444579514911</v>
      </c>
      <c r="DI129" s="3">
        <v>19.144444579514911</v>
      </c>
      <c r="DJ129" s="3">
        <v>19.144444579514911</v>
      </c>
      <c r="DK129" s="3">
        <v>19.144444579514911</v>
      </c>
      <c r="DL129" s="3">
        <v>19.144444579514911</v>
      </c>
      <c r="DM129" s="3">
        <v>19.144444579514911</v>
      </c>
      <c r="DN129" s="3">
        <v>19.144444579514911</v>
      </c>
      <c r="DO129" s="3">
        <v>19.144444579514911</v>
      </c>
    </row>
    <row r="130" spans="1:230" x14ac:dyDescent="0.45">
      <c r="A130" s="16" t="s">
        <v>832</v>
      </c>
      <c r="B130" s="3" t="s">
        <v>89</v>
      </c>
      <c r="C130" s="16" t="s">
        <v>833</v>
      </c>
      <c r="H130" s="3" t="s">
        <v>834</v>
      </c>
      <c r="I130" s="3" t="s">
        <v>651</v>
      </c>
      <c r="K130" s="17" t="s">
        <v>835</v>
      </c>
      <c r="L130" s="3">
        <v>4.9564885072313949</v>
      </c>
      <c r="M130" s="3">
        <v>2.7348469350648341</v>
      </c>
      <c r="N130" s="3">
        <v>1.797160127284108</v>
      </c>
      <c r="O130" s="3">
        <v>1.7971601272841089</v>
      </c>
      <c r="P130" s="3">
        <v>1.797160127284108</v>
      </c>
      <c r="Q130" s="3">
        <v>1.797160127284108</v>
      </c>
      <c r="R130" s="3">
        <v>1.7971601272841089</v>
      </c>
      <c r="S130" s="3">
        <v>1.797160127284108</v>
      </c>
      <c r="T130" s="3">
        <v>1.797160127284108</v>
      </c>
      <c r="U130" s="3">
        <v>1.7971601272841089</v>
      </c>
      <c r="V130" s="3">
        <v>1.797160127284108</v>
      </c>
      <c r="W130" s="3">
        <v>1.797160127284108</v>
      </c>
      <c r="X130" s="3">
        <v>1.797160127284108</v>
      </c>
      <c r="Y130" s="3">
        <v>1.7971601272841089</v>
      </c>
      <c r="Z130" s="3">
        <v>1.7971601272841089</v>
      </c>
      <c r="AA130" s="3">
        <v>1.797160127284108</v>
      </c>
      <c r="AB130" s="3">
        <v>1.797160127284108</v>
      </c>
      <c r="AC130" s="3">
        <v>1.797160127284108</v>
      </c>
      <c r="AD130" s="3">
        <v>1.797160127284108</v>
      </c>
      <c r="AE130" s="3">
        <v>1.797160127284108</v>
      </c>
      <c r="AG130" s="17" t="s">
        <v>836</v>
      </c>
      <c r="AH130" s="3">
        <v>4.9564885072313949</v>
      </c>
      <c r="AI130" s="3">
        <v>2.7348469350648341</v>
      </c>
      <c r="AJ130" s="3">
        <v>1.797160127284108</v>
      </c>
      <c r="AK130" s="3">
        <v>1.7971601272841089</v>
      </c>
      <c r="AL130" s="3">
        <v>1.797160127284108</v>
      </c>
      <c r="AM130" s="3">
        <v>2.9081832504850529</v>
      </c>
      <c r="AN130" s="3">
        <v>2.908183250485052</v>
      </c>
      <c r="AO130" s="3">
        <v>2.908183250485052</v>
      </c>
      <c r="AP130" s="3">
        <v>2.908183250485052</v>
      </c>
      <c r="AQ130" s="3">
        <v>2.908183250485052</v>
      </c>
      <c r="AR130" s="3">
        <v>2.9081832504850529</v>
      </c>
      <c r="AS130" s="3">
        <v>2.908183250485052</v>
      </c>
      <c r="AT130" s="3">
        <v>2.908183250485052</v>
      </c>
      <c r="AU130" s="3">
        <v>2.908183250485052</v>
      </c>
      <c r="AV130" s="3">
        <v>2.9081832504850529</v>
      </c>
      <c r="AW130" s="3">
        <v>2.9081832504850529</v>
      </c>
      <c r="AX130" s="3">
        <v>2.908183250485052</v>
      </c>
      <c r="AY130" s="3">
        <v>2.9081832504850529</v>
      </c>
      <c r="AZ130" s="3">
        <v>2.908183250485052</v>
      </c>
      <c r="BA130" s="3">
        <v>2.9081832504850529</v>
      </c>
      <c r="BC130" s="17" t="s">
        <v>837</v>
      </c>
      <c r="BD130" s="3">
        <v>4.9564885072313949</v>
      </c>
      <c r="BE130" s="3">
        <v>2.7348469350648341</v>
      </c>
      <c r="BF130" s="3">
        <v>1.797160127284108</v>
      </c>
      <c r="BG130" s="3">
        <v>1.7971601272841089</v>
      </c>
      <c r="BH130" s="3">
        <v>1.797160127284108</v>
      </c>
      <c r="BI130" s="3">
        <v>2.35267168888458</v>
      </c>
      <c r="BJ130" s="3">
        <v>3.0933537710185441</v>
      </c>
      <c r="BK130" s="3">
        <v>3.8340358531525069</v>
      </c>
      <c r="BL130" s="3">
        <v>4.5747179352864684</v>
      </c>
      <c r="BM130" s="3">
        <v>5.3154000174204317</v>
      </c>
      <c r="BN130" s="3">
        <v>6.056082099554394</v>
      </c>
      <c r="BO130" s="3">
        <v>6.7967641816883564</v>
      </c>
      <c r="BP130" s="3">
        <v>7.5374462638223196</v>
      </c>
      <c r="BQ130" s="3">
        <v>8.2781283459562829</v>
      </c>
      <c r="BR130" s="3">
        <v>9.0188104280902444</v>
      </c>
      <c r="BS130" s="3">
        <v>9.7594925102242076</v>
      </c>
      <c r="BT130" s="3">
        <v>10.500174592358171</v>
      </c>
      <c r="BU130" s="3">
        <v>11.240856674492131</v>
      </c>
      <c r="BV130" s="3">
        <v>11.98153875662609</v>
      </c>
      <c r="BW130" s="3">
        <v>12.722220838760061</v>
      </c>
      <c r="BY130" s="17" t="s">
        <v>838</v>
      </c>
      <c r="BZ130" s="3">
        <v>4.9564885072313949</v>
      </c>
      <c r="CA130" s="3">
        <v>2.7348469350648341</v>
      </c>
      <c r="CB130" s="3">
        <v>1.797160127284108</v>
      </c>
      <c r="CC130" s="3">
        <v>1.7971601272841089</v>
      </c>
      <c r="CD130" s="3">
        <v>1.797160127284108</v>
      </c>
      <c r="CE130" s="3">
        <v>3.185939031285288</v>
      </c>
      <c r="CF130" s="3">
        <v>3.1859390312852889</v>
      </c>
      <c r="CG130" s="3">
        <v>3.185939031285288</v>
      </c>
      <c r="CH130" s="3">
        <v>3.185939031285288</v>
      </c>
      <c r="CI130" s="3">
        <v>3.185939031285288</v>
      </c>
      <c r="CJ130" s="3">
        <v>3.185939031285288</v>
      </c>
      <c r="CK130" s="3">
        <v>3.185939031285288</v>
      </c>
      <c r="CL130" s="3">
        <v>3.185939031285288</v>
      </c>
      <c r="CM130" s="3">
        <v>3.185939031285288</v>
      </c>
      <c r="CN130" s="3">
        <v>3.1859390312852889</v>
      </c>
      <c r="CO130" s="3">
        <v>3.185939031285288</v>
      </c>
      <c r="CP130" s="3">
        <v>3.185939031285288</v>
      </c>
      <c r="CQ130" s="3">
        <v>3.185939031285288</v>
      </c>
      <c r="CR130" s="3">
        <v>3.185939031285288</v>
      </c>
      <c r="CS130" s="3">
        <v>3.185939031285288</v>
      </c>
      <c r="CU130" s="17" t="s">
        <v>839</v>
      </c>
      <c r="CV130" s="3">
        <v>4.9564885072313949</v>
      </c>
      <c r="CW130" s="3">
        <v>2.7348469350648341</v>
      </c>
      <c r="CX130" s="3">
        <v>1.797160127284108</v>
      </c>
      <c r="CY130" s="3">
        <v>1.7971601272841089</v>
      </c>
      <c r="CZ130" s="3">
        <v>1.797160127284108</v>
      </c>
      <c r="DA130" s="3">
        <v>4.5747179352864684</v>
      </c>
      <c r="DB130" s="3">
        <v>4.5747179352864684</v>
      </c>
      <c r="DC130" s="3">
        <v>4.5747179352864684</v>
      </c>
      <c r="DD130" s="3">
        <v>4.5747179352864693</v>
      </c>
      <c r="DE130" s="3">
        <v>4.5747179352864684</v>
      </c>
      <c r="DF130" s="3">
        <v>4.5747179352864684</v>
      </c>
      <c r="DG130" s="3">
        <v>4.5747179352864684</v>
      </c>
      <c r="DH130" s="3">
        <v>4.5747179352864684</v>
      </c>
      <c r="DI130" s="3">
        <v>4.5747179352864684</v>
      </c>
      <c r="DJ130" s="3">
        <v>4.5747179352864684</v>
      </c>
      <c r="DK130" s="3">
        <v>4.5747179352864684</v>
      </c>
      <c r="DL130" s="3">
        <v>4.5747179352864684</v>
      </c>
      <c r="DM130" s="3">
        <v>4.5747179352864684</v>
      </c>
      <c r="DN130" s="3">
        <v>4.5747179352864684</v>
      </c>
      <c r="DO130" s="3">
        <v>4.5747179352864684</v>
      </c>
    </row>
    <row r="131" spans="1:230" x14ac:dyDescent="0.45">
      <c r="A131" s="16" t="s">
        <v>840</v>
      </c>
      <c r="B131" s="3" t="s">
        <v>89</v>
      </c>
      <c r="C131" s="16" t="s">
        <v>841</v>
      </c>
      <c r="H131" s="3" t="s">
        <v>842</v>
      </c>
      <c r="I131" s="3" t="s">
        <v>651</v>
      </c>
      <c r="K131" s="17" t="s">
        <v>843</v>
      </c>
      <c r="L131" s="3">
        <v>13.46421248673108</v>
      </c>
      <c r="M131" s="3">
        <v>6.5884752723340902</v>
      </c>
      <c r="N131" s="3">
        <v>5.8065680582894004</v>
      </c>
      <c r="O131" s="3">
        <v>4.7532486605082349</v>
      </c>
      <c r="P131" s="3">
        <v>5.3336222070744386</v>
      </c>
      <c r="Q131" s="3">
        <v>5.4645398442557918</v>
      </c>
      <c r="R131" s="3">
        <v>5.4024636206778087</v>
      </c>
      <c r="S131" s="3">
        <v>5.3358943039594733</v>
      </c>
      <c r="T131" s="3">
        <v>5.2646478334587359</v>
      </c>
      <c r="U131" s="3">
        <v>5.1958920895644614</v>
      </c>
      <c r="V131" s="3">
        <v>5.1958920895644614</v>
      </c>
      <c r="W131" s="3">
        <v>5.1958920895644614</v>
      </c>
      <c r="X131" s="3">
        <v>5.1958920895644631</v>
      </c>
      <c r="Y131" s="3">
        <v>5.1958920895644631</v>
      </c>
      <c r="Z131" s="3">
        <v>5.1958920895644631</v>
      </c>
      <c r="AA131" s="3">
        <v>5.1958920895644622</v>
      </c>
      <c r="AB131" s="3">
        <v>5.1958920895644622</v>
      </c>
      <c r="AC131" s="3">
        <v>5.1958920895644631</v>
      </c>
      <c r="AD131" s="3">
        <v>5.1958920895644631</v>
      </c>
      <c r="AE131" s="3">
        <v>5.1958920895644631</v>
      </c>
      <c r="AG131" s="17" t="s">
        <v>844</v>
      </c>
      <c r="AH131" s="3">
        <v>13.46421248673108</v>
      </c>
      <c r="AI131" s="3">
        <v>6.5884752723340902</v>
      </c>
      <c r="AJ131" s="3">
        <v>5.8065680582894004</v>
      </c>
      <c r="AK131" s="3">
        <v>4.7532486605082349</v>
      </c>
      <c r="AL131" s="3">
        <v>5.3336222070744386</v>
      </c>
      <c r="AM131" s="3">
        <v>5.4645398442557918</v>
      </c>
      <c r="AN131" s="3">
        <v>5.4024636206778087</v>
      </c>
      <c r="AO131" s="3">
        <v>5.3358943039594733</v>
      </c>
      <c r="AP131" s="3">
        <v>5.2646478334587359</v>
      </c>
      <c r="AQ131" s="3">
        <v>5.1958920895644614</v>
      </c>
      <c r="AR131" s="3">
        <v>5.1958920895644614</v>
      </c>
      <c r="AS131" s="3">
        <v>5.1958920895644614</v>
      </c>
      <c r="AT131" s="3">
        <v>5.1958920895644631</v>
      </c>
      <c r="AU131" s="3">
        <v>5.1958920895644631</v>
      </c>
      <c r="AV131" s="3">
        <v>5.1958920895644631</v>
      </c>
      <c r="AW131" s="3">
        <v>5.1958920895644622</v>
      </c>
      <c r="AX131" s="3">
        <v>5.1958920895644622</v>
      </c>
      <c r="AY131" s="3">
        <v>5.1958920895644631</v>
      </c>
      <c r="AZ131" s="3">
        <v>5.1958920895644631</v>
      </c>
      <c r="BA131" s="3">
        <v>5.1958920895644631</v>
      </c>
      <c r="BC131" s="17" t="s">
        <v>845</v>
      </c>
      <c r="BD131" s="3">
        <v>13.46421248673108</v>
      </c>
      <c r="BE131" s="3">
        <v>6.5884752723340902</v>
      </c>
      <c r="BF131" s="3">
        <v>5.8065680582894004</v>
      </c>
      <c r="BG131" s="3">
        <v>4.7532486605082349</v>
      </c>
      <c r="BH131" s="3">
        <v>5.3336222070744386</v>
      </c>
      <c r="BI131" s="3">
        <v>5.4645398442557918</v>
      </c>
      <c r="BJ131" s="3">
        <v>5.4024636206778087</v>
      </c>
      <c r="BK131" s="3">
        <v>5.3358943039594733</v>
      </c>
      <c r="BL131" s="3">
        <v>5.2646478334587359</v>
      </c>
      <c r="BM131" s="3">
        <v>5.1958920895644614</v>
      </c>
      <c r="BN131" s="3">
        <v>5.1958920895644614</v>
      </c>
      <c r="BO131" s="3">
        <v>5.1958920895644614</v>
      </c>
      <c r="BP131" s="3">
        <v>5.1958920895644631</v>
      </c>
      <c r="BQ131" s="3">
        <v>5.1958920895644631</v>
      </c>
      <c r="BR131" s="3">
        <v>5.1958920895644631</v>
      </c>
      <c r="BS131" s="3">
        <v>5.1958920895644622</v>
      </c>
      <c r="BT131" s="3">
        <v>5.1958920895644622</v>
      </c>
      <c r="BU131" s="3">
        <v>5.1958920895644631</v>
      </c>
      <c r="BV131" s="3">
        <v>5.1958920895644631</v>
      </c>
      <c r="BW131" s="3">
        <v>5.1958920895644631</v>
      </c>
      <c r="BY131" s="17" t="s">
        <v>846</v>
      </c>
      <c r="BZ131" s="3">
        <v>13.46421248673108</v>
      </c>
      <c r="CA131" s="3">
        <v>6.5884752723340902</v>
      </c>
      <c r="CB131" s="3">
        <v>5.8065680582894004</v>
      </c>
      <c r="CC131" s="3">
        <v>4.7532486605082349</v>
      </c>
      <c r="CD131" s="3">
        <v>5.3336222070744386</v>
      </c>
      <c r="CE131" s="3">
        <v>5.4645398442557918</v>
      </c>
      <c r="CF131" s="3">
        <v>5.4024636206778087</v>
      </c>
      <c r="CG131" s="3">
        <v>5.3358943039594733</v>
      </c>
      <c r="CH131" s="3">
        <v>5.2646478334587359</v>
      </c>
      <c r="CI131" s="3">
        <v>5.1958920895644614</v>
      </c>
      <c r="CJ131" s="3">
        <v>5.1958920895644614</v>
      </c>
      <c r="CK131" s="3">
        <v>5.1958920895644614</v>
      </c>
      <c r="CL131" s="3">
        <v>5.1958920895644631</v>
      </c>
      <c r="CM131" s="3">
        <v>5.1958920895644631</v>
      </c>
      <c r="CN131" s="3">
        <v>5.1958920895644631</v>
      </c>
      <c r="CO131" s="3">
        <v>5.1958920895644622</v>
      </c>
      <c r="CP131" s="3">
        <v>5.1958920895644622</v>
      </c>
      <c r="CQ131" s="3">
        <v>5.1958920895644631</v>
      </c>
      <c r="CR131" s="3">
        <v>5.1958920895644631</v>
      </c>
      <c r="CS131" s="3">
        <v>5.1958920895644631</v>
      </c>
      <c r="CU131" s="17" t="s">
        <v>847</v>
      </c>
      <c r="CV131" s="3">
        <v>13.46421248673108</v>
      </c>
      <c r="CW131" s="3">
        <v>6.5884752723340902</v>
      </c>
      <c r="CX131" s="3">
        <v>5.8065680582894004</v>
      </c>
      <c r="CY131" s="3">
        <v>4.7532486605082349</v>
      </c>
      <c r="CZ131" s="3">
        <v>5.3336222070744386</v>
      </c>
      <c r="DA131" s="3">
        <v>5.4645398442557918</v>
      </c>
      <c r="DB131" s="3">
        <v>5.4024636206778087</v>
      </c>
      <c r="DC131" s="3">
        <v>5.3358943039594733</v>
      </c>
      <c r="DD131" s="3">
        <v>5.2646478334587359</v>
      </c>
      <c r="DE131" s="3">
        <v>5.1958920895644614</v>
      </c>
      <c r="DF131" s="3">
        <v>5.1958920895644614</v>
      </c>
      <c r="DG131" s="3">
        <v>5.1958920895644614</v>
      </c>
      <c r="DH131" s="3">
        <v>5.1958920895644631</v>
      </c>
      <c r="DI131" s="3">
        <v>5.1958920895644631</v>
      </c>
      <c r="DJ131" s="3">
        <v>5.1958920895644631</v>
      </c>
      <c r="DK131" s="3">
        <v>5.1958920895644622</v>
      </c>
      <c r="DL131" s="3">
        <v>5.1958920895644622</v>
      </c>
      <c r="DM131" s="3">
        <v>5.1958920895644631</v>
      </c>
      <c r="DN131" s="3">
        <v>5.1958920895644631</v>
      </c>
      <c r="DO131" s="3">
        <v>5.1958920895644631</v>
      </c>
    </row>
    <row r="132" spans="1:230" x14ac:dyDescent="0.45">
      <c r="A132" s="16" t="s">
        <v>848</v>
      </c>
      <c r="B132" s="3" t="s">
        <v>89</v>
      </c>
      <c r="C132" s="16" t="s">
        <v>849</v>
      </c>
      <c r="H132" s="3" t="s">
        <v>850</v>
      </c>
      <c r="I132" s="3" t="s">
        <v>651</v>
      </c>
      <c r="K132" s="17" t="s">
        <v>851</v>
      </c>
      <c r="L132" s="3">
        <v>3.1542204536504528</v>
      </c>
      <c r="M132" s="3">
        <v>2.6237150486756571</v>
      </c>
      <c r="N132" s="3">
        <v>2.77897804122306</v>
      </c>
      <c r="O132" s="3">
        <v>2.77897804122306</v>
      </c>
      <c r="P132" s="3">
        <v>2.77897804122306</v>
      </c>
      <c r="Q132" s="3">
        <v>2.77897804122306</v>
      </c>
      <c r="R132" s="3">
        <v>2.77897804122306</v>
      </c>
      <c r="S132" s="3">
        <v>2.77897804122306</v>
      </c>
      <c r="T132" s="3">
        <v>2.77897804122306</v>
      </c>
      <c r="U132" s="3">
        <v>2.77897804122306</v>
      </c>
      <c r="V132" s="3">
        <v>2.77897804122306</v>
      </c>
      <c r="W132" s="3">
        <v>2.77897804122306</v>
      </c>
      <c r="X132" s="3">
        <v>2.77897804122306</v>
      </c>
      <c r="Y132" s="3">
        <v>2.77897804122306</v>
      </c>
      <c r="Z132" s="3">
        <v>2.77897804122306</v>
      </c>
      <c r="AA132" s="3">
        <v>2.77897804122306</v>
      </c>
      <c r="AB132" s="3">
        <v>2.77897804122306</v>
      </c>
      <c r="AC132" s="3">
        <v>2.77897804122306</v>
      </c>
      <c r="AD132" s="3">
        <v>2.77897804122306</v>
      </c>
      <c r="AE132" s="3">
        <v>2.77897804122306</v>
      </c>
      <c r="AG132" s="17" t="s">
        <v>852</v>
      </c>
      <c r="AH132" s="3">
        <v>3.1542204536504528</v>
      </c>
      <c r="AI132" s="3">
        <v>2.6237150486756571</v>
      </c>
      <c r="AJ132" s="3">
        <v>2.77897804122306</v>
      </c>
      <c r="AK132" s="3">
        <v>2.77897804122306</v>
      </c>
      <c r="AL132" s="3">
        <v>2.77897804122306</v>
      </c>
      <c r="AM132" s="3">
        <v>2.77897804122306</v>
      </c>
      <c r="AN132" s="3">
        <v>2.77897804122306</v>
      </c>
      <c r="AO132" s="3">
        <v>2.77897804122306</v>
      </c>
      <c r="AP132" s="3">
        <v>2.77897804122306</v>
      </c>
      <c r="AQ132" s="3">
        <v>2.77897804122306</v>
      </c>
      <c r="AR132" s="3">
        <v>2.77897804122306</v>
      </c>
      <c r="AS132" s="3">
        <v>2.77897804122306</v>
      </c>
      <c r="AT132" s="3">
        <v>2.77897804122306</v>
      </c>
      <c r="AU132" s="3">
        <v>2.77897804122306</v>
      </c>
      <c r="AV132" s="3">
        <v>2.77897804122306</v>
      </c>
      <c r="AW132" s="3">
        <v>2.77897804122306</v>
      </c>
      <c r="AX132" s="3">
        <v>2.77897804122306</v>
      </c>
      <c r="AY132" s="3">
        <v>2.77897804122306</v>
      </c>
      <c r="AZ132" s="3">
        <v>2.77897804122306</v>
      </c>
      <c r="BA132" s="3">
        <v>2.77897804122306</v>
      </c>
      <c r="BC132" s="17" t="s">
        <v>853</v>
      </c>
      <c r="BD132" s="3">
        <v>3.1542204536504528</v>
      </c>
      <c r="BE132" s="3">
        <v>2.6237150486756571</v>
      </c>
      <c r="BF132" s="3">
        <v>2.77897804122306</v>
      </c>
      <c r="BG132" s="3">
        <v>2.77897804122306</v>
      </c>
      <c r="BH132" s="3">
        <v>2.77897804122306</v>
      </c>
      <c r="BI132" s="3">
        <v>2.77897804122306</v>
      </c>
      <c r="BJ132" s="3">
        <v>2.77897804122306</v>
      </c>
      <c r="BK132" s="3">
        <v>2.77897804122306</v>
      </c>
      <c r="BL132" s="3">
        <v>2.77897804122306</v>
      </c>
      <c r="BM132" s="3">
        <v>2.77897804122306</v>
      </c>
      <c r="BN132" s="3">
        <v>2.77897804122306</v>
      </c>
      <c r="BO132" s="3">
        <v>2.77897804122306</v>
      </c>
      <c r="BP132" s="3">
        <v>2.77897804122306</v>
      </c>
      <c r="BQ132" s="3">
        <v>2.77897804122306</v>
      </c>
      <c r="BR132" s="3">
        <v>2.77897804122306</v>
      </c>
      <c r="BS132" s="3">
        <v>2.77897804122306</v>
      </c>
      <c r="BT132" s="3">
        <v>2.77897804122306</v>
      </c>
      <c r="BU132" s="3">
        <v>2.77897804122306</v>
      </c>
      <c r="BV132" s="3">
        <v>2.77897804122306</v>
      </c>
      <c r="BW132" s="3">
        <v>2.77897804122306</v>
      </c>
      <c r="BY132" s="17" t="s">
        <v>854</v>
      </c>
      <c r="BZ132" s="3">
        <v>3.1542204536504528</v>
      </c>
      <c r="CA132" s="3">
        <v>2.6237150486756571</v>
      </c>
      <c r="CB132" s="3">
        <v>2.77897804122306</v>
      </c>
      <c r="CC132" s="3">
        <v>2.77897804122306</v>
      </c>
      <c r="CD132" s="3">
        <v>2.77897804122306</v>
      </c>
      <c r="CE132" s="3">
        <v>2.77897804122306</v>
      </c>
      <c r="CF132" s="3">
        <v>2.77897804122306</v>
      </c>
      <c r="CG132" s="3">
        <v>2.77897804122306</v>
      </c>
      <c r="CH132" s="3">
        <v>2.77897804122306</v>
      </c>
      <c r="CI132" s="3">
        <v>2.77897804122306</v>
      </c>
      <c r="CJ132" s="3">
        <v>2.77897804122306</v>
      </c>
      <c r="CK132" s="3">
        <v>2.77897804122306</v>
      </c>
      <c r="CL132" s="3">
        <v>2.77897804122306</v>
      </c>
      <c r="CM132" s="3">
        <v>2.77897804122306</v>
      </c>
      <c r="CN132" s="3">
        <v>2.77897804122306</v>
      </c>
      <c r="CO132" s="3">
        <v>2.77897804122306</v>
      </c>
      <c r="CP132" s="3">
        <v>2.77897804122306</v>
      </c>
      <c r="CQ132" s="3">
        <v>2.77897804122306</v>
      </c>
      <c r="CR132" s="3">
        <v>2.77897804122306</v>
      </c>
      <c r="CS132" s="3">
        <v>2.77897804122306</v>
      </c>
      <c r="CU132" s="17" t="s">
        <v>855</v>
      </c>
      <c r="CV132" s="3">
        <v>3.1542204536504528</v>
      </c>
      <c r="CW132" s="3">
        <v>2.6237150486756571</v>
      </c>
      <c r="CX132" s="3">
        <v>2.77897804122306</v>
      </c>
      <c r="CY132" s="3">
        <v>2.77897804122306</v>
      </c>
      <c r="CZ132" s="3">
        <v>2.77897804122306</v>
      </c>
      <c r="DA132" s="3">
        <v>2.77897804122306</v>
      </c>
      <c r="DB132" s="3">
        <v>2.77897804122306</v>
      </c>
      <c r="DC132" s="3">
        <v>2.77897804122306</v>
      </c>
      <c r="DD132" s="3">
        <v>2.77897804122306</v>
      </c>
      <c r="DE132" s="3">
        <v>2.77897804122306</v>
      </c>
      <c r="DF132" s="3">
        <v>2.77897804122306</v>
      </c>
      <c r="DG132" s="3">
        <v>2.77897804122306</v>
      </c>
      <c r="DH132" s="3">
        <v>2.77897804122306</v>
      </c>
      <c r="DI132" s="3">
        <v>2.77897804122306</v>
      </c>
      <c r="DJ132" s="3">
        <v>2.77897804122306</v>
      </c>
      <c r="DK132" s="3">
        <v>2.77897804122306</v>
      </c>
      <c r="DL132" s="3">
        <v>2.77897804122306</v>
      </c>
      <c r="DM132" s="3">
        <v>2.77897804122306</v>
      </c>
      <c r="DN132" s="3">
        <v>2.77897804122306</v>
      </c>
      <c r="DO132" s="3">
        <v>2.77897804122306</v>
      </c>
    </row>
    <row r="133" spans="1:230" ht="15.4" x14ac:dyDescent="0.45">
      <c r="A133" s="5"/>
      <c r="B133" s="15" t="s">
        <v>856</v>
      </c>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row>
    <row r="134" spans="1:230" x14ac:dyDescent="0.45">
      <c r="A134" s="16" t="s">
        <v>857</v>
      </c>
      <c r="B134" s="3" t="s">
        <v>89</v>
      </c>
      <c r="C134" s="16" t="s">
        <v>858</v>
      </c>
      <c r="H134" s="3" t="s">
        <v>859</v>
      </c>
      <c r="I134" s="3" t="s">
        <v>860</v>
      </c>
      <c r="K134" s="17" t="s">
        <v>861</v>
      </c>
      <c r="L134" s="3">
        <v>6.2322146649461729E-2</v>
      </c>
      <c r="M134" s="3">
        <v>6.3511140934565197E-2</v>
      </c>
      <c r="N134" s="3">
        <v>0.10710597699475879</v>
      </c>
      <c r="O134" s="3">
        <v>0.10572459202936831</v>
      </c>
      <c r="P134" s="3">
        <v>0.10573359214718819</v>
      </c>
      <c r="Q134" s="3">
        <v>0.10626533175641351</v>
      </c>
      <c r="R134" s="3">
        <v>0.1064352876620497</v>
      </c>
      <c r="S134" s="3">
        <v>0.10723163730223161</v>
      </c>
      <c r="T134" s="3">
        <v>0.10790373445680961</v>
      </c>
      <c r="U134" s="3">
        <v>0.10865902186363841</v>
      </c>
      <c r="V134" s="3">
        <v>0.1074167971917689</v>
      </c>
      <c r="W134" s="3">
        <v>0.1062540049701071</v>
      </c>
      <c r="X134" s="3">
        <v>0.1050394592858352</v>
      </c>
      <c r="Y134" s="3">
        <v>0.1039071524520008</v>
      </c>
      <c r="Z134" s="3">
        <v>0.1028482615038122</v>
      </c>
      <c r="AA134" s="3">
        <v>0.1018583249236122</v>
      </c>
      <c r="AB134" s="3">
        <v>0.10093009328632049</v>
      </c>
      <c r="AC134" s="3">
        <v>0.1000540346692088</v>
      </c>
      <c r="AD134" s="3">
        <v>9.9224149551849133E-2</v>
      </c>
      <c r="AE134" s="3">
        <v>9.8433671234808257E-2</v>
      </c>
      <c r="AG134" s="17" t="s">
        <v>862</v>
      </c>
      <c r="AH134" s="3">
        <v>6.2322146649461729E-2</v>
      </c>
      <c r="AI134" s="3">
        <v>6.3511140934565197E-2</v>
      </c>
      <c r="AJ134" s="3">
        <v>0.10710597699475879</v>
      </c>
      <c r="AK134" s="3">
        <v>0.10572459202936831</v>
      </c>
      <c r="AL134" s="3">
        <v>0.10573359214718819</v>
      </c>
      <c r="AM134" s="3">
        <v>0.10626533175641351</v>
      </c>
      <c r="AN134" s="3">
        <v>0.1064352876620497</v>
      </c>
      <c r="AO134" s="3">
        <v>0.10723163730223161</v>
      </c>
      <c r="AP134" s="3">
        <v>0.10790373445680961</v>
      </c>
      <c r="AQ134" s="3">
        <v>0.10865902186363841</v>
      </c>
      <c r="AR134" s="3">
        <v>0.1074167971917689</v>
      </c>
      <c r="AS134" s="3">
        <v>0.1062540049701071</v>
      </c>
      <c r="AT134" s="3">
        <v>0.1050394592858352</v>
      </c>
      <c r="AU134" s="3">
        <v>0.1039071524520008</v>
      </c>
      <c r="AV134" s="3">
        <v>0.1028482615038122</v>
      </c>
      <c r="AW134" s="3">
        <v>0.1018583249236122</v>
      </c>
      <c r="AX134" s="3">
        <v>0.10093009328632049</v>
      </c>
      <c r="AY134" s="3">
        <v>0.1000540346692088</v>
      </c>
      <c r="AZ134" s="3">
        <v>9.9224149551849133E-2</v>
      </c>
      <c r="BA134" s="3">
        <v>9.8433671234808257E-2</v>
      </c>
      <c r="BC134" s="17" t="s">
        <v>863</v>
      </c>
      <c r="BD134" s="3">
        <v>6.2322146649461729E-2</v>
      </c>
      <c r="BE134" s="3">
        <v>6.3511140934565197E-2</v>
      </c>
      <c r="BF134" s="3">
        <v>0.10710597699475879</v>
      </c>
      <c r="BG134" s="3">
        <v>0.10572459202936831</v>
      </c>
      <c r="BH134" s="3">
        <v>0.10573359214718819</v>
      </c>
      <c r="BI134" s="3">
        <v>0.10626533175641351</v>
      </c>
      <c r="BJ134" s="3">
        <v>0.1064352876620497</v>
      </c>
      <c r="BK134" s="3">
        <v>0.10723163730223161</v>
      </c>
      <c r="BL134" s="3">
        <v>0.10790373445680961</v>
      </c>
      <c r="BM134" s="3">
        <v>0.10865902186363841</v>
      </c>
      <c r="BN134" s="3">
        <v>0.1074167971917689</v>
      </c>
      <c r="BO134" s="3">
        <v>0.1062540049701071</v>
      </c>
      <c r="BP134" s="3">
        <v>0.1050394592858352</v>
      </c>
      <c r="BQ134" s="3">
        <v>0.1039071524520008</v>
      </c>
      <c r="BR134" s="3">
        <v>0.1028482615038122</v>
      </c>
      <c r="BS134" s="3">
        <v>0.1018583249236122</v>
      </c>
      <c r="BT134" s="3">
        <v>0.10093009328632049</v>
      </c>
      <c r="BU134" s="3">
        <v>0.1000540346692088</v>
      </c>
      <c r="BV134" s="3">
        <v>9.9224149551849133E-2</v>
      </c>
      <c r="BW134" s="3">
        <v>9.8433671234808257E-2</v>
      </c>
      <c r="BY134" s="17" t="s">
        <v>864</v>
      </c>
      <c r="BZ134" s="3">
        <v>6.2322146649461729E-2</v>
      </c>
      <c r="CA134" s="3">
        <v>6.3511140934565197E-2</v>
      </c>
      <c r="CB134" s="3">
        <v>0.10710597699475879</v>
      </c>
      <c r="CC134" s="3">
        <v>0.10572459202936831</v>
      </c>
      <c r="CD134" s="3">
        <v>0.10573359214718819</v>
      </c>
      <c r="CE134" s="3">
        <v>0.10626533175641351</v>
      </c>
      <c r="CF134" s="3">
        <v>0.1064352876620497</v>
      </c>
      <c r="CG134" s="3">
        <v>0.10723163730223161</v>
      </c>
      <c r="CH134" s="3">
        <v>0.10790373445680961</v>
      </c>
      <c r="CI134" s="3">
        <v>0.10865902186363841</v>
      </c>
      <c r="CJ134" s="3">
        <v>0.1074167971917689</v>
      </c>
      <c r="CK134" s="3">
        <v>0.1062540049701071</v>
      </c>
      <c r="CL134" s="3">
        <v>0.1050394592858352</v>
      </c>
      <c r="CM134" s="3">
        <v>0.1039071524520008</v>
      </c>
      <c r="CN134" s="3">
        <v>0.1028482615038122</v>
      </c>
      <c r="CO134" s="3">
        <v>0.1018583249236122</v>
      </c>
      <c r="CP134" s="3">
        <v>0.10093009328632049</v>
      </c>
      <c r="CQ134" s="3">
        <v>0.1000540346692088</v>
      </c>
      <c r="CR134" s="3">
        <v>9.9224149551849133E-2</v>
      </c>
      <c r="CS134" s="3">
        <v>9.8433671234808257E-2</v>
      </c>
      <c r="CU134" s="17" t="s">
        <v>865</v>
      </c>
      <c r="CV134" s="3">
        <v>6.2322146649461729E-2</v>
      </c>
      <c r="CW134" s="3">
        <v>6.3511140934565197E-2</v>
      </c>
      <c r="CX134" s="3">
        <v>0.10710597699475879</v>
      </c>
      <c r="CY134" s="3">
        <v>0.10572459202936831</v>
      </c>
      <c r="CZ134" s="3">
        <v>0.10573359214718819</v>
      </c>
      <c r="DA134" s="3">
        <v>0.10626533175641351</v>
      </c>
      <c r="DB134" s="3">
        <v>0.1064352876620497</v>
      </c>
      <c r="DC134" s="3">
        <v>0.10723163730223161</v>
      </c>
      <c r="DD134" s="3">
        <v>0.10790373445680961</v>
      </c>
      <c r="DE134" s="3">
        <v>0.10865902186363841</v>
      </c>
      <c r="DF134" s="3">
        <v>0.1074167971917689</v>
      </c>
      <c r="DG134" s="3">
        <v>0.1062540049701071</v>
      </c>
      <c r="DH134" s="3">
        <v>0.1050394592858352</v>
      </c>
      <c r="DI134" s="3">
        <v>0.1039071524520008</v>
      </c>
      <c r="DJ134" s="3">
        <v>0.1028482615038122</v>
      </c>
      <c r="DK134" s="3">
        <v>0.1018583249236122</v>
      </c>
      <c r="DL134" s="3">
        <v>0.10093009328632049</v>
      </c>
      <c r="DM134" s="3">
        <v>0.1000540346692088</v>
      </c>
      <c r="DN134" s="3">
        <v>9.9224149551849133E-2</v>
      </c>
      <c r="DO134" s="3">
        <v>9.8433671234808257E-2</v>
      </c>
    </row>
    <row r="135" spans="1:230" x14ac:dyDescent="0.45">
      <c r="A135" s="16" t="s">
        <v>866</v>
      </c>
      <c r="B135" s="3" t="s">
        <v>89</v>
      </c>
      <c r="C135" s="16" t="s">
        <v>867</v>
      </c>
      <c r="H135" s="3" t="s">
        <v>868</v>
      </c>
      <c r="I135" s="3" t="s">
        <v>860</v>
      </c>
      <c r="K135" s="17" t="s">
        <v>869</v>
      </c>
      <c r="L135" s="3">
        <v>5.9052188353449768E-2</v>
      </c>
      <c r="M135" s="3">
        <v>5.1982039633043362E-2</v>
      </c>
      <c r="N135" s="3">
        <v>0.1007432456881396</v>
      </c>
      <c r="O135" s="3">
        <v>9.9588659171744254E-2</v>
      </c>
      <c r="P135" s="3">
        <v>9.9596181632854747E-2</v>
      </c>
      <c r="Q135" s="3">
        <v>0.10004061920704781</v>
      </c>
      <c r="R135" s="3">
        <v>0.1001826714241673</v>
      </c>
      <c r="S135" s="3">
        <v>0.10086890599561241</v>
      </c>
      <c r="T135" s="3">
        <v>0.10154100315019041</v>
      </c>
      <c r="U135" s="3">
        <v>0.1022962905570191</v>
      </c>
      <c r="V135" s="3">
        <v>0.1010540658851496</v>
      </c>
      <c r="W135" s="3">
        <v>0.1000311520743721</v>
      </c>
      <c r="X135" s="3">
        <v>9.901601284400563E-2</v>
      </c>
      <c r="Y135" s="3">
        <v>9.806961033093213E-2</v>
      </c>
      <c r="Z135" s="3">
        <v>9.7184570141743476E-2</v>
      </c>
      <c r="AA135" s="3">
        <v>9.6357163259359835E-2</v>
      </c>
      <c r="AB135" s="3">
        <v>9.5581330483298255E-2</v>
      </c>
      <c r="AC135" s="3">
        <v>9.4849104860295991E-2</v>
      </c>
      <c r="AD135" s="3">
        <v>9.4155471882764782E-2</v>
      </c>
      <c r="AE135" s="3">
        <v>9.3494775821040779E-2</v>
      </c>
      <c r="AG135" s="17" t="s">
        <v>870</v>
      </c>
      <c r="AH135" s="3">
        <v>5.9052188353449768E-2</v>
      </c>
      <c r="AI135" s="3">
        <v>5.1982039633043362E-2</v>
      </c>
      <c r="AJ135" s="3">
        <v>0.1007432456881396</v>
      </c>
      <c r="AK135" s="3">
        <v>9.9588659171744254E-2</v>
      </c>
      <c r="AL135" s="3">
        <v>9.9596181632854747E-2</v>
      </c>
      <c r="AM135" s="3">
        <v>0.10004061920704781</v>
      </c>
      <c r="AN135" s="3">
        <v>0.1001826714241673</v>
      </c>
      <c r="AO135" s="3">
        <v>0.10086890599561241</v>
      </c>
      <c r="AP135" s="3">
        <v>0.10154100315019041</v>
      </c>
      <c r="AQ135" s="3">
        <v>0.1022962905570191</v>
      </c>
      <c r="AR135" s="3">
        <v>0.1010540658851496</v>
      </c>
      <c r="AS135" s="3">
        <v>0.1000311520743721</v>
      </c>
      <c r="AT135" s="3">
        <v>9.901601284400563E-2</v>
      </c>
      <c r="AU135" s="3">
        <v>9.806961033093213E-2</v>
      </c>
      <c r="AV135" s="3">
        <v>9.7184570141743476E-2</v>
      </c>
      <c r="AW135" s="3">
        <v>9.6357163259359835E-2</v>
      </c>
      <c r="AX135" s="3">
        <v>9.5581330483298255E-2</v>
      </c>
      <c r="AY135" s="3">
        <v>9.4849104860295991E-2</v>
      </c>
      <c r="AZ135" s="3">
        <v>9.4155471882764782E-2</v>
      </c>
      <c r="BA135" s="3">
        <v>9.3494775821040779E-2</v>
      </c>
      <c r="BC135" s="17" t="s">
        <v>871</v>
      </c>
      <c r="BD135" s="3">
        <v>5.9052188353449768E-2</v>
      </c>
      <c r="BE135" s="3">
        <v>5.1982039633043362E-2</v>
      </c>
      <c r="BF135" s="3">
        <v>0.1007432456881396</v>
      </c>
      <c r="BG135" s="3">
        <v>9.9588659171744254E-2</v>
      </c>
      <c r="BH135" s="3">
        <v>9.9596181632854747E-2</v>
      </c>
      <c r="BI135" s="3">
        <v>0.10004061920704781</v>
      </c>
      <c r="BJ135" s="3">
        <v>0.1001826714241673</v>
      </c>
      <c r="BK135" s="3">
        <v>0.10086890599561241</v>
      </c>
      <c r="BL135" s="3">
        <v>0.10154100315019041</v>
      </c>
      <c r="BM135" s="3">
        <v>0.1022962905570191</v>
      </c>
      <c r="BN135" s="3">
        <v>0.1010540658851496</v>
      </c>
      <c r="BO135" s="3">
        <v>0.1000311520743721</v>
      </c>
      <c r="BP135" s="3">
        <v>9.901601284400563E-2</v>
      </c>
      <c r="BQ135" s="3">
        <v>9.806961033093213E-2</v>
      </c>
      <c r="BR135" s="3">
        <v>9.7184570141743476E-2</v>
      </c>
      <c r="BS135" s="3">
        <v>9.6357163259359835E-2</v>
      </c>
      <c r="BT135" s="3">
        <v>9.5581330483298255E-2</v>
      </c>
      <c r="BU135" s="3">
        <v>9.4849104860295991E-2</v>
      </c>
      <c r="BV135" s="3">
        <v>9.4155471882764782E-2</v>
      </c>
      <c r="BW135" s="3">
        <v>9.3494775821040779E-2</v>
      </c>
      <c r="BY135" s="17" t="s">
        <v>872</v>
      </c>
      <c r="BZ135" s="3">
        <v>5.9052188353449768E-2</v>
      </c>
      <c r="CA135" s="3">
        <v>5.1982039633043362E-2</v>
      </c>
      <c r="CB135" s="3">
        <v>0.1007432456881396</v>
      </c>
      <c r="CC135" s="3">
        <v>9.9588659171744254E-2</v>
      </c>
      <c r="CD135" s="3">
        <v>9.9596181632854747E-2</v>
      </c>
      <c r="CE135" s="3">
        <v>0.10004061920704781</v>
      </c>
      <c r="CF135" s="3">
        <v>0.1001826714241673</v>
      </c>
      <c r="CG135" s="3">
        <v>0.10086890599561241</v>
      </c>
      <c r="CH135" s="3">
        <v>0.10154100315019041</v>
      </c>
      <c r="CI135" s="3">
        <v>0.1022962905570191</v>
      </c>
      <c r="CJ135" s="3">
        <v>0.1010540658851496</v>
      </c>
      <c r="CK135" s="3">
        <v>0.1000311520743721</v>
      </c>
      <c r="CL135" s="3">
        <v>9.901601284400563E-2</v>
      </c>
      <c r="CM135" s="3">
        <v>9.806961033093213E-2</v>
      </c>
      <c r="CN135" s="3">
        <v>9.7184570141743476E-2</v>
      </c>
      <c r="CO135" s="3">
        <v>9.6357163259359835E-2</v>
      </c>
      <c r="CP135" s="3">
        <v>9.5581330483298255E-2</v>
      </c>
      <c r="CQ135" s="3">
        <v>9.4849104860295991E-2</v>
      </c>
      <c r="CR135" s="3">
        <v>9.4155471882764782E-2</v>
      </c>
      <c r="CS135" s="3">
        <v>9.3494775821040779E-2</v>
      </c>
      <c r="CU135" s="17" t="s">
        <v>873</v>
      </c>
      <c r="CV135" s="3">
        <v>5.9052188353449768E-2</v>
      </c>
      <c r="CW135" s="3">
        <v>5.1982039633043362E-2</v>
      </c>
      <c r="CX135" s="3">
        <v>0.1007432456881396</v>
      </c>
      <c r="CY135" s="3">
        <v>9.9588659171744254E-2</v>
      </c>
      <c r="CZ135" s="3">
        <v>9.9596181632854747E-2</v>
      </c>
      <c r="DA135" s="3">
        <v>0.10004061920704781</v>
      </c>
      <c r="DB135" s="3">
        <v>0.1001826714241673</v>
      </c>
      <c r="DC135" s="3">
        <v>0.10086890599561241</v>
      </c>
      <c r="DD135" s="3">
        <v>0.10154100315019041</v>
      </c>
      <c r="DE135" s="3">
        <v>0.1022962905570191</v>
      </c>
      <c r="DF135" s="3">
        <v>0.1010540658851496</v>
      </c>
      <c r="DG135" s="3">
        <v>0.1000311520743721</v>
      </c>
      <c r="DH135" s="3">
        <v>9.901601284400563E-2</v>
      </c>
      <c r="DI135" s="3">
        <v>9.806961033093213E-2</v>
      </c>
      <c r="DJ135" s="3">
        <v>9.7184570141743476E-2</v>
      </c>
      <c r="DK135" s="3">
        <v>9.6357163259359835E-2</v>
      </c>
      <c r="DL135" s="3">
        <v>9.5581330483298255E-2</v>
      </c>
      <c r="DM135" s="3">
        <v>9.4849104860295991E-2</v>
      </c>
      <c r="DN135" s="3">
        <v>9.4155471882764782E-2</v>
      </c>
      <c r="DO135" s="3">
        <v>9.3494775821040779E-2</v>
      </c>
    </row>
    <row r="136" spans="1:230" x14ac:dyDescent="0.45">
      <c r="A136" s="16" t="s">
        <v>874</v>
      </c>
      <c r="B136" s="3" t="s">
        <v>89</v>
      </c>
      <c r="C136" s="16" t="s">
        <v>875</v>
      </c>
      <c r="H136" s="3" t="s">
        <v>876</v>
      </c>
      <c r="I136" s="3" t="s">
        <v>651</v>
      </c>
      <c r="K136" s="17" t="s">
        <v>877</v>
      </c>
      <c r="L136" s="3">
        <v>10.90003858207016</v>
      </c>
      <c r="M136" s="3">
        <v>8.5604711808494134</v>
      </c>
      <c r="N136" s="3">
        <v>7.4051359960438541</v>
      </c>
      <c r="O136" s="3">
        <v>6.6498090786732611</v>
      </c>
      <c r="P136" s="3">
        <v>7.0659903080085673</v>
      </c>
      <c r="Q136" s="3">
        <v>7.1598702987596514</v>
      </c>
      <c r="R136" s="3">
        <v>7.1153559352190801</v>
      </c>
      <c r="S136" s="3">
        <v>7.0676196105161972</v>
      </c>
      <c r="T136" s="3">
        <v>7.0165293362364132</v>
      </c>
      <c r="U136" s="3">
        <v>6.9672251420892408</v>
      </c>
      <c r="V136" s="3">
        <v>6.9672251420892408</v>
      </c>
      <c r="W136" s="3">
        <v>6.9672251420892408</v>
      </c>
      <c r="X136" s="3">
        <v>6.9672251420892417</v>
      </c>
      <c r="Y136" s="3">
        <v>6.9672251420892417</v>
      </c>
      <c r="Z136" s="3">
        <v>6.9672251420892417</v>
      </c>
      <c r="AA136" s="3">
        <v>6.9672251420892408</v>
      </c>
      <c r="AB136" s="3">
        <v>6.9672251420892408</v>
      </c>
      <c r="AC136" s="3">
        <v>6.9672251420892408</v>
      </c>
      <c r="AD136" s="3">
        <v>6.9672251420892408</v>
      </c>
      <c r="AE136" s="3">
        <v>6.9672251420892408</v>
      </c>
      <c r="AG136" s="17" t="s">
        <v>878</v>
      </c>
      <c r="AH136" s="3">
        <v>10.90003858207016</v>
      </c>
      <c r="AI136" s="3">
        <v>8.5604711808494134</v>
      </c>
      <c r="AJ136" s="3">
        <v>7.4051359960438541</v>
      </c>
      <c r="AK136" s="3">
        <v>6.6498090786732611</v>
      </c>
      <c r="AL136" s="3">
        <v>7.0659903080085673</v>
      </c>
      <c r="AM136" s="3">
        <v>7.1598702987596514</v>
      </c>
      <c r="AN136" s="3">
        <v>7.1153559352190801</v>
      </c>
      <c r="AO136" s="3">
        <v>7.0676196105161972</v>
      </c>
      <c r="AP136" s="3">
        <v>7.0165293362364132</v>
      </c>
      <c r="AQ136" s="3">
        <v>6.9672251420892408</v>
      </c>
      <c r="AR136" s="3">
        <v>6.9672251420892408</v>
      </c>
      <c r="AS136" s="3">
        <v>6.9672251420892408</v>
      </c>
      <c r="AT136" s="3">
        <v>6.9672251420892417</v>
      </c>
      <c r="AU136" s="3">
        <v>6.9672251420892417</v>
      </c>
      <c r="AV136" s="3">
        <v>6.9672251420892417</v>
      </c>
      <c r="AW136" s="3">
        <v>6.9672251420892408</v>
      </c>
      <c r="AX136" s="3">
        <v>6.9672251420892408</v>
      </c>
      <c r="AY136" s="3">
        <v>6.9672251420892408</v>
      </c>
      <c r="AZ136" s="3">
        <v>6.9672251420892408</v>
      </c>
      <c r="BA136" s="3">
        <v>6.9672251420892408</v>
      </c>
      <c r="BC136" s="17" t="s">
        <v>879</v>
      </c>
      <c r="BD136" s="3">
        <v>10.90003858207016</v>
      </c>
      <c r="BE136" s="3">
        <v>8.5604711808494134</v>
      </c>
      <c r="BF136" s="3">
        <v>7.4051359960438541</v>
      </c>
      <c r="BG136" s="3">
        <v>6.6498090786732611</v>
      </c>
      <c r="BH136" s="3">
        <v>7.0659903080085673</v>
      </c>
      <c r="BI136" s="3">
        <v>7.1598702987596514</v>
      </c>
      <c r="BJ136" s="3">
        <v>7.1153559352190801</v>
      </c>
      <c r="BK136" s="3">
        <v>7.0676196105161972</v>
      </c>
      <c r="BL136" s="3">
        <v>7.0165293362364132</v>
      </c>
      <c r="BM136" s="3">
        <v>6.9672251420892408</v>
      </c>
      <c r="BN136" s="3">
        <v>6.9672251420892408</v>
      </c>
      <c r="BO136" s="3">
        <v>6.9672251420892408</v>
      </c>
      <c r="BP136" s="3">
        <v>6.9672251420892417</v>
      </c>
      <c r="BQ136" s="3">
        <v>6.9672251420892417</v>
      </c>
      <c r="BR136" s="3">
        <v>6.9672251420892417</v>
      </c>
      <c r="BS136" s="3">
        <v>6.9672251420892408</v>
      </c>
      <c r="BT136" s="3">
        <v>6.9672251420892408</v>
      </c>
      <c r="BU136" s="3">
        <v>6.9672251420892408</v>
      </c>
      <c r="BV136" s="3">
        <v>6.9672251420892408</v>
      </c>
      <c r="BW136" s="3">
        <v>6.9672251420892408</v>
      </c>
      <c r="BY136" s="17" t="s">
        <v>880</v>
      </c>
      <c r="BZ136" s="3">
        <v>10.90003858207016</v>
      </c>
      <c r="CA136" s="3">
        <v>8.5604711808494134</v>
      </c>
      <c r="CB136" s="3">
        <v>7.4051359960438541</v>
      </c>
      <c r="CC136" s="3">
        <v>6.6498090786732611</v>
      </c>
      <c r="CD136" s="3">
        <v>7.0659903080085673</v>
      </c>
      <c r="CE136" s="3">
        <v>7.1598702987596514</v>
      </c>
      <c r="CF136" s="3">
        <v>7.1153559352190801</v>
      </c>
      <c r="CG136" s="3">
        <v>7.0676196105161972</v>
      </c>
      <c r="CH136" s="3">
        <v>7.0165293362364132</v>
      </c>
      <c r="CI136" s="3">
        <v>6.9672251420892408</v>
      </c>
      <c r="CJ136" s="3">
        <v>6.9672251420892408</v>
      </c>
      <c r="CK136" s="3">
        <v>6.9672251420892408</v>
      </c>
      <c r="CL136" s="3">
        <v>6.9672251420892417</v>
      </c>
      <c r="CM136" s="3">
        <v>6.9672251420892417</v>
      </c>
      <c r="CN136" s="3">
        <v>6.9672251420892417</v>
      </c>
      <c r="CO136" s="3">
        <v>6.9672251420892408</v>
      </c>
      <c r="CP136" s="3">
        <v>6.9672251420892408</v>
      </c>
      <c r="CQ136" s="3">
        <v>6.9672251420892408</v>
      </c>
      <c r="CR136" s="3">
        <v>6.9672251420892408</v>
      </c>
      <c r="CS136" s="3">
        <v>6.9672251420892408</v>
      </c>
      <c r="CU136" s="17" t="s">
        <v>881</v>
      </c>
      <c r="CV136" s="3">
        <v>10.90003858207016</v>
      </c>
      <c r="CW136" s="3">
        <v>8.5604711808494134</v>
      </c>
      <c r="CX136" s="3">
        <v>7.4051359960438541</v>
      </c>
      <c r="CY136" s="3">
        <v>6.6498090786732611</v>
      </c>
      <c r="CZ136" s="3">
        <v>7.0659903080085673</v>
      </c>
      <c r="DA136" s="3">
        <v>7.1598702987596514</v>
      </c>
      <c r="DB136" s="3">
        <v>7.1153559352190801</v>
      </c>
      <c r="DC136" s="3">
        <v>7.0676196105161972</v>
      </c>
      <c r="DD136" s="3">
        <v>7.0165293362364132</v>
      </c>
      <c r="DE136" s="3">
        <v>6.9672251420892408</v>
      </c>
      <c r="DF136" s="3">
        <v>6.9672251420892408</v>
      </c>
      <c r="DG136" s="3">
        <v>6.9672251420892408</v>
      </c>
      <c r="DH136" s="3">
        <v>6.9672251420892417</v>
      </c>
      <c r="DI136" s="3">
        <v>6.9672251420892417</v>
      </c>
      <c r="DJ136" s="3">
        <v>6.9672251420892417</v>
      </c>
      <c r="DK136" s="3">
        <v>6.9672251420892408</v>
      </c>
      <c r="DL136" s="3">
        <v>6.9672251420892408</v>
      </c>
      <c r="DM136" s="3">
        <v>6.9672251420892408</v>
      </c>
      <c r="DN136" s="3">
        <v>6.9672251420892408</v>
      </c>
      <c r="DO136" s="3">
        <v>6.9672251420892408</v>
      </c>
    </row>
    <row r="137" spans="1:230" x14ac:dyDescent="0.45">
      <c r="A137" s="16" t="s">
        <v>882</v>
      </c>
      <c r="B137" s="3" t="s">
        <v>89</v>
      </c>
      <c r="C137" s="16" t="s">
        <v>883</v>
      </c>
      <c r="H137" s="3" t="s">
        <v>884</v>
      </c>
      <c r="I137" s="3" t="s">
        <v>651</v>
      </c>
      <c r="K137" s="17" t="s">
        <v>885</v>
      </c>
      <c r="L137" s="3">
        <v>11.983620492474531</v>
      </c>
      <c r="M137" s="3">
        <v>10.255102264307411</v>
      </c>
      <c r="N137" s="3">
        <v>9.4209665734146721</v>
      </c>
      <c r="O137" s="3">
        <v>9.3973858659795368</v>
      </c>
      <c r="P137" s="3">
        <v>9.3413750637348123</v>
      </c>
      <c r="Q137" s="3">
        <v>9.4080858704257864</v>
      </c>
      <c r="R137" s="3">
        <v>9.4865601343435895</v>
      </c>
      <c r="S137" s="3">
        <v>9.5145136788987337</v>
      </c>
      <c r="T137" s="3">
        <v>9.5224438493655583</v>
      </c>
      <c r="U137" s="3">
        <v>9.526937785601195</v>
      </c>
      <c r="V137" s="3">
        <v>9.526937785601195</v>
      </c>
      <c r="W137" s="3">
        <v>9.526937785601195</v>
      </c>
      <c r="X137" s="3">
        <v>9.526937785601195</v>
      </c>
      <c r="Y137" s="3">
        <v>9.526937785601195</v>
      </c>
      <c r="Z137" s="3">
        <v>9.526937785601195</v>
      </c>
      <c r="AA137" s="3">
        <v>9.526937785601195</v>
      </c>
      <c r="AB137" s="3">
        <v>9.526937785601195</v>
      </c>
      <c r="AC137" s="3">
        <v>9.526937785601195</v>
      </c>
      <c r="AD137" s="3">
        <v>9.526937785601195</v>
      </c>
      <c r="AE137" s="3">
        <v>9.526937785601195</v>
      </c>
      <c r="AG137" s="17" t="s">
        <v>886</v>
      </c>
      <c r="AH137" s="3">
        <v>11.983620492474531</v>
      </c>
      <c r="AI137" s="3">
        <v>10.255102264307411</v>
      </c>
      <c r="AJ137" s="3">
        <v>9.4209665734146721</v>
      </c>
      <c r="AK137" s="3">
        <v>9.3973858659795368</v>
      </c>
      <c r="AL137" s="3">
        <v>9.3413750637348123</v>
      </c>
      <c r="AM137" s="3">
        <v>9.4080858704257864</v>
      </c>
      <c r="AN137" s="3">
        <v>9.4865601343435895</v>
      </c>
      <c r="AO137" s="3">
        <v>9.5145136788987337</v>
      </c>
      <c r="AP137" s="3">
        <v>9.5224438493655583</v>
      </c>
      <c r="AQ137" s="3">
        <v>9.526937785601195</v>
      </c>
      <c r="AR137" s="3">
        <v>9.526937785601195</v>
      </c>
      <c r="AS137" s="3">
        <v>9.526937785601195</v>
      </c>
      <c r="AT137" s="3">
        <v>9.526937785601195</v>
      </c>
      <c r="AU137" s="3">
        <v>9.526937785601195</v>
      </c>
      <c r="AV137" s="3">
        <v>9.526937785601195</v>
      </c>
      <c r="AW137" s="3">
        <v>9.526937785601195</v>
      </c>
      <c r="AX137" s="3">
        <v>9.526937785601195</v>
      </c>
      <c r="AY137" s="3">
        <v>9.526937785601195</v>
      </c>
      <c r="AZ137" s="3">
        <v>9.526937785601195</v>
      </c>
      <c r="BA137" s="3">
        <v>9.526937785601195</v>
      </c>
      <c r="BC137" s="17" t="s">
        <v>887</v>
      </c>
      <c r="BD137" s="3">
        <v>11.983620492474531</v>
      </c>
      <c r="BE137" s="3">
        <v>10.255102264307411</v>
      </c>
      <c r="BF137" s="3">
        <v>9.4209665734146721</v>
      </c>
      <c r="BG137" s="3">
        <v>9.3973858659795368</v>
      </c>
      <c r="BH137" s="3">
        <v>9.3413750637348123</v>
      </c>
      <c r="BI137" s="3">
        <v>9.4080858704257864</v>
      </c>
      <c r="BJ137" s="3">
        <v>9.4865601343435895</v>
      </c>
      <c r="BK137" s="3">
        <v>9.5145136788987337</v>
      </c>
      <c r="BL137" s="3">
        <v>9.5224438493655583</v>
      </c>
      <c r="BM137" s="3">
        <v>9.526937785601195</v>
      </c>
      <c r="BN137" s="3">
        <v>9.526937785601195</v>
      </c>
      <c r="BO137" s="3">
        <v>9.526937785601195</v>
      </c>
      <c r="BP137" s="3">
        <v>9.526937785601195</v>
      </c>
      <c r="BQ137" s="3">
        <v>9.526937785601195</v>
      </c>
      <c r="BR137" s="3">
        <v>9.526937785601195</v>
      </c>
      <c r="BS137" s="3">
        <v>9.526937785601195</v>
      </c>
      <c r="BT137" s="3">
        <v>9.526937785601195</v>
      </c>
      <c r="BU137" s="3">
        <v>9.526937785601195</v>
      </c>
      <c r="BV137" s="3">
        <v>9.526937785601195</v>
      </c>
      <c r="BW137" s="3">
        <v>9.526937785601195</v>
      </c>
      <c r="BY137" s="17" t="s">
        <v>888</v>
      </c>
      <c r="BZ137" s="3">
        <v>11.983620492474531</v>
      </c>
      <c r="CA137" s="3">
        <v>10.255102264307411</v>
      </c>
      <c r="CB137" s="3">
        <v>9.4209665734146721</v>
      </c>
      <c r="CC137" s="3">
        <v>9.3973858659795368</v>
      </c>
      <c r="CD137" s="3">
        <v>9.3413750637348123</v>
      </c>
      <c r="CE137" s="3">
        <v>9.4080858704257864</v>
      </c>
      <c r="CF137" s="3">
        <v>9.4865601343435895</v>
      </c>
      <c r="CG137" s="3">
        <v>9.5145136788987337</v>
      </c>
      <c r="CH137" s="3">
        <v>9.5224438493655583</v>
      </c>
      <c r="CI137" s="3">
        <v>9.526937785601195</v>
      </c>
      <c r="CJ137" s="3">
        <v>9.526937785601195</v>
      </c>
      <c r="CK137" s="3">
        <v>9.526937785601195</v>
      </c>
      <c r="CL137" s="3">
        <v>9.526937785601195</v>
      </c>
      <c r="CM137" s="3">
        <v>9.526937785601195</v>
      </c>
      <c r="CN137" s="3">
        <v>9.526937785601195</v>
      </c>
      <c r="CO137" s="3">
        <v>9.526937785601195</v>
      </c>
      <c r="CP137" s="3">
        <v>9.526937785601195</v>
      </c>
      <c r="CQ137" s="3">
        <v>9.526937785601195</v>
      </c>
      <c r="CR137" s="3">
        <v>9.526937785601195</v>
      </c>
      <c r="CS137" s="3">
        <v>9.526937785601195</v>
      </c>
      <c r="CU137" s="17" t="s">
        <v>889</v>
      </c>
      <c r="CV137" s="3">
        <v>11.983620492474531</v>
      </c>
      <c r="CW137" s="3">
        <v>10.255102264307411</v>
      </c>
      <c r="CX137" s="3">
        <v>9.4209665734146721</v>
      </c>
      <c r="CY137" s="3">
        <v>9.3973858659795368</v>
      </c>
      <c r="CZ137" s="3">
        <v>9.3413750637348123</v>
      </c>
      <c r="DA137" s="3">
        <v>9.4080858704257864</v>
      </c>
      <c r="DB137" s="3">
        <v>9.4865601343435895</v>
      </c>
      <c r="DC137" s="3">
        <v>9.5145136788987337</v>
      </c>
      <c r="DD137" s="3">
        <v>9.5224438493655583</v>
      </c>
      <c r="DE137" s="3">
        <v>9.526937785601195</v>
      </c>
      <c r="DF137" s="3">
        <v>9.526937785601195</v>
      </c>
      <c r="DG137" s="3">
        <v>9.526937785601195</v>
      </c>
      <c r="DH137" s="3">
        <v>9.526937785601195</v>
      </c>
      <c r="DI137" s="3">
        <v>9.526937785601195</v>
      </c>
      <c r="DJ137" s="3">
        <v>9.526937785601195</v>
      </c>
      <c r="DK137" s="3">
        <v>9.526937785601195</v>
      </c>
      <c r="DL137" s="3">
        <v>9.526937785601195</v>
      </c>
      <c r="DM137" s="3">
        <v>9.526937785601195</v>
      </c>
      <c r="DN137" s="3">
        <v>9.526937785601195</v>
      </c>
      <c r="DO137" s="3">
        <v>9.526937785601195</v>
      </c>
    </row>
    <row r="138" spans="1:230" x14ac:dyDescent="0.45">
      <c r="A138" s="16" t="s">
        <v>890</v>
      </c>
      <c r="B138" s="3" t="s">
        <v>89</v>
      </c>
      <c r="C138" s="16" t="s">
        <v>891</v>
      </c>
      <c r="H138" s="3" t="s">
        <v>892</v>
      </c>
      <c r="I138" s="3" t="s">
        <v>651</v>
      </c>
      <c r="K138" s="17" t="s">
        <v>893</v>
      </c>
      <c r="L138" s="3">
        <v>20.502627497702459</v>
      </c>
      <c r="M138" s="3">
        <v>13.364278434844859</v>
      </c>
      <c r="N138" s="3">
        <v>12.70156580181755</v>
      </c>
      <c r="O138" s="3">
        <v>11.6577166486213</v>
      </c>
      <c r="P138" s="3">
        <v>12.23287213934597</v>
      </c>
      <c r="Q138" s="3">
        <v>12.36261271470998</v>
      </c>
      <c r="R138" s="3">
        <v>12.301094609611001</v>
      </c>
      <c r="S138" s="3">
        <v>12.23512380813173</v>
      </c>
      <c r="T138" s="3">
        <v>12.16451790449312</v>
      </c>
      <c r="U138" s="3">
        <v>12.09638033369303</v>
      </c>
      <c r="V138" s="3">
        <v>12.09638033369303</v>
      </c>
      <c r="W138" s="3">
        <v>12.09638033369303</v>
      </c>
      <c r="X138" s="3">
        <v>12.096380333693039</v>
      </c>
      <c r="Y138" s="3">
        <v>12.096380333693039</v>
      </c>
      <c r="Z138" s="3">
        <v>12.096380333693039</v>
      </c>
      <c r="AA138" s="3">
        <v>12.09638033369303</v>
      </c>
      <c r="AB138" s="3">
        <v>12.09638033369303</v>
      </c>
      <c r="AC138" s="3">
        <v>12.09638033369303</v>
      </c>
      <c r="AD138" s="3">
        <v>12.09638033369303</v>
      </c>
      <c r="AE138" s="3">
        <v>12.09638033369303</v>
      </c>
      <c r="AG138" s="17" t="s">
        <v>894</v>
      </c>
      <c r="AH138" s="3">
        <v>20.502627497702459</v>
      </c>
      <c r="AI138" s="3">
        <v>13.364278434844859</v>
      </c>
      <c r="AJ138" s="3">
        <v>12.70156580181755</v>
      </c>
      <c r="AK138" s="3">
        <v>11.6577166486213</v>
      </c>
      <c r="AL138" s="3">
        <v>12.23287213934597</v>
      </c>
      <c r="AM138" s="3">
        <v>12.36261271470998</v>
      </c>
      <c r="AN138" s="3">
        <v>12.301094609611001</v>
      </c>
      <c r="AO138" s="3">
        <v>12.23512380813173</v>
      </c>
      <c r="AP138" s="3">
        <v>12.16451790449312</v>
      </c>
      <c r="AQ138" s="3">
        <v>12.09638033369303</v>
      </c>
      <c r="AR138" s="3">
        <v>12.09638033369303</v>
      </c>
      <c r="AS138" s="3">
        <v>12.09638033369303</v>
      </c>
      <c r="AT138" s="3">
        <v>12.096380333693039</v>
      </c>
      <c r="AU138" s="3">
        <v>12.096380333693039</v>
      </c>
      <c r="AV138" s="3">
        <v>12.096380333693039</v>
      </c>
      <c r="AW138" s="3">
        <v>12.09638033369303</v>
      </c>
      <c r="AX138" s="3">
        <v>12.09638033369303</v>
      </c>
      <c r="AY138" s="3">
        <v>12.09638033369303</v>
      </c>
      <c r="AZ138" s="3">
        <v>12.09638033369303</v>
      </c>
      <c r="BA138" s="3">
        <v>12.09638033369303</v>
      </c>
      <c r="BC138" s="17" t="s">
        <v>895</v>
      </c>
      <c r="BD138" s="3">
        <v>20.502627497702459</v>
      </c>
      <c r="BE138" s="3">
        <v>13.364278434844859</v>
      </c>
      <c r="BF138" s="3">
        <v>12.70156580181755</v>
      </c>
      <c r="BG138" s="3">
        <v>11.6577166486213</v>
      </c>
      <c r="BH138" s="3">
        <v>12.23287213934597</v>
      </c>
      <c r="BI138" s="3">
        <v>12.36261271470998</v>
      </c>
      <c r="BJ138" s="3">
        <v>12.301094609611001</v>
      </c>
      <c r="BK138" s="3">
        <v>12.23512380813173</v>
      </c>
      <c r="BL138" s="3">
        <v>12.16451790449312</v>
      </c>
      <c r="BM138" s="3">
        <v>12.09638033369303</v>
      </c>
      <c r="BN138" s="3">
        <v>12.09638033369303</v>
      </c>
      <c r="BO138" s="3">
        <v>12.09638033369303</v>
      </c>
      <c r="BP138" s="3">
        <v>12.096380333693039</v>
      </c>
      <c r="BQ138" s="3">
        <v>12.096380333693039</v>
      </c>
      <c r="BR138" s="3">
        <v>12.096380333693039</v>
      </c>
      <c r="BS138" s="3">
        <v>12.09638033369303</v>
      </c>
      <c r="BT138" s="3">
        <v>12.09638033369303</v>
      </c>
      <c r="BU138" s="3">
        <v>12.09638033369303</v>
      </c>
      <c r="BV138" s="3">
        <v>12.09638033369303</v>
      </c>
      <c r="BW138" s="3">
        <v>12.09638033369303</v>
      </c>
      <c r="BY138" s="17" t="s">
        <v>896</v>
      </c>
      <c r="BZ138" s="3">
        <v>20.502627497702459</v>
      </c>
      <c r="CA138" s="3">
        <v>13.364278434844859</v>
      </c>
      <c r="CB138" s="3">
        <v>12.70156580181755</v>
      </c>
      <c r="CC138" s="3">
        <v>11.6577166486213</v>
      </c>
      <c r="CD138" s="3">
        <v>12.23287213934597</v>
      </c>
      <c r="CE138" s="3">
        <v>12.36261271470998</v>
      </c>
      <c r="CF138" s="3">
        <v>12.301094609611001</v>
      </c>
      <c r="CG138" s="3">
        <v>12.23512380813173</v>
      </c>
      <c r="CH138" s="3">
        <v>12.16451790449312</v>
      </c>
      <c r="CI138" s="3">
        <v>12.09638033369303</v>
      </c>
      <c r="CJ138" s="3">
        <v>12.09638033369303</v>
      </c>
      <c r="CK138" s="3">
        <v>12.09638033369303</v>
      </c>
      <c r="CL138" s="3">
        <v>12.096380333693039</v>
      </c>
      <c r="CM138" s="3">
        <v>12.096380333693039</v>
      </c>
      <c r="CN138" s="3">
        <v>12.096380333693039</v>
      </c>
      <c r="CO138" s="3">
        <v>12.09638033369303</v>
      </c>
      <c r="CP138" s="3">
        <v>12.09638033369303</v>
      </c>
      <c r="CQ138" s="3">
        <v>12.09638033369303</v>
      </c>
      <c r="CR138" s="3">
        <v>12.09638033369303</v>
      </c>
      <c r="CS138" s="3">
        <v>12.09638033369303</v>
      </c>
      <c r="CU138" s="17" t="s">
        <v>897</v>
      </c>
      <c r="CV138" s="3">
        <v>20.502627497702459</v>
      </c>
      <c r="CW138" s="3">
        <v>13.364278434844859</v>
      </c>
      <c r="CX138" s="3">
        <v>12.70156580181755</v>
      </c>
      <c r="CY138" s="3">
        <v>11.6577166486213</v>
      </c>
      <c r="CZ138" s="3">
        <v>12.23287213934597</v>
      </c>
      <c r="DA138" s="3">
        <v>12.36261271470998</v>
      </c>
      <c r="DB138" s="3">
        <v>12.301094609611001</v>
      </c>
      <c r="DC138" s="3">
        <v>12.23512380813173</v>
      </c>
      <c r="DD138" s="3">
        <v>12.16451790449312</v>
      </c>
      <c r="DE138" s="3">
        <v>12.09638033369303</v>
      </c>
      <c r="DF138" s="3">
        <v>12.09638033369303</v>
      </c>
      <c r="DG138" s="3">
        <v>12.09638033369303</v>
      </c>
      <c r="DH138" s="3">
        <v>12.096380333693039</v>
      </c>
      <c r="DI138" s="3">
        <v>12.096380333693039</v>
      </c>
      <c r="DJ138" s="3">
        <v>12.096380333693039</v>
      </c>
      <c r="DK138" s="3">
        <v>12.09638033369303</v>
      </c>
      <c r="DL138" s="3">
        <v>12.09638033369303</v>
      </c>
      <c r="DM138" s="3">
        <v>12.09638033369303</v>
      </c>
      <c r="DN138" s="3">
        <v>12.09638033369303</v>
      </c>
      <c r="DO138" s="3">
        <v>12.09638033369303</v>
      </c>
    </row>
    <row r="139" spans="1:230" x14ac:dyDescent="0.45">
      <c r="A139" s="16" t="s">
        <v>898</v>
      </c>
      <c r="B139" s="3" t="s">
        <v>89</v>
      </c>
      <c r="C139" s="16" t="s">
        <v>899</v>
      </c>
      <c r="H139" s="3" t="s">
        <v>900</v>
      </c>
      <c r="I139" s="3" t="s">
        <v>651</v>
      </c>
      <c r="K139" s="17" t="s">
        <v>901</v>
      </c>
      <c r="L139" s="3">
        <v>16.97156498304895</v>
      </c>
      <c r="M139" s="3">
        <v>14.735600113104001</v>
      </c>
      <c r="N139" s="3">
        <v>14.190538808788419</v>
      </c>
      <c r="O139" s="3">
        <v>14.12676629077407</v>
      </c>
      <c r="P139" s="3">
        <v>13.97528865148035</v>
      </c>
      <c r="Q139" s="3">
        <v>14.155703769778</v>
      </c>
      <c r="R139" s="3">
        <v>14.367932407240531</v>
      </c>
      <c r="S139" s="3">
        <v>14.44353098411155</v>
      </c>
      <c r="T139" s="3">
        <v>14.46497762392689</v>
      </c>
      <c r="U139" s="3">
        <v>14.47713118761156</v>
      </c>
      <c r="V139" s="3">
        <v>14.47713118761156</v>
      </c>
      <c r="W139" s="3">
        <v>14.47713118761156</v>
      </c>
      <c r="X139" s="3">
        <v>14.47713118761156</v>
      </c>
      <c r="Y139" s="3">
        <v>14.47713118761156</v>
      </c>
      <c r="Z139" s="3">
        <v>14.47713118761156</v>
      </c>
      <c r="AA139" s="3">
        <v>14.47713118761156</v>
      </c>
      <c r="AB139" s="3">
        <v>14.47713118761156</v>
      </c>
      <c r="AC139" s="3">
        <v>14.47713118761156</v>
      </c>
      <c r="AD139" s="3">
        <v>14.47713118761156</v>
      </c>
      <c r="AE139" s="3">
        <v>14.47713118761156</v>
      </c>
      <c r="AG139" s="17" t="s">
        <v>902</v>
      </c>
      <c r="AH139" s="3">
        <v>16.97156498304895</v>
      </c>
      <c r="AI139" s="3">
        <v>14.735600113104001</v>
      </c>
      <c r="AJ139" s="3">
        <v>14.190538808788419</v>
      </c>
      <c r="AK139" s="3">
        <v>14.12676629077407</v>
      </c>
      <c r="AL139" s="3">
        <v>13.97528865148035</v>
      </c>
      <c r="AM139" s="3">
        <v>14.155703769778</v>
      </c>
      <c r="AN139" s="3">
        <v>14.367932407240531</v>
      </c>
      <c r="AO139" s="3">
        <v>14.44353098411155</v>
      </c>
      <c r="AP139" s="3">
        <v>14.46497762392689</v>
      </c>
      <c r="AQ139" s="3">
        <v>14.47713118761156</v>
      </c>
      <c r="AR139" s="3">
        <v>14.47713118761156</v>
      </c>
      <c r="AS139" s="3">
        <v>14.47713118761156</v>
      </c>
      <c r="AT139" s="3">
        <v>14.47713118761156</v>
      </c>
      <c r="AU139" s="3">
        <v>14.47713118761156</v>
      </c>
      <c r="AV139" s="3">
        <v>14.47713118761156</v>
      </c>
      <c r="AW139" s="3">
        <v>14.47713118761156</v>
      </c>
      <c r="AX139" s="3">
        <v>14.47713118761156</v>
      </c>
      <c r="AY139" s="3">
        <v>14.47713118761156</v>
      </c>
      <c r="AZ139" s="3">
        <v>14.47713118761156</v>
      </c>
      <c r="BA139" s="3">
        <v>14.47713118761156</v>
      </c>
      <c r="BC139" s="17" t="s">
        <v>903</v>
      </c>
      <c r="BD139" s="3">
        <v>16.97156498304895</v>
      </c>
      <c r="BE139" s="3">
        <v>14.735600113104001</v>
      </c>
      <c r="BF139" s="3">
        <v>14.190538808788419</v>
      </c>
      <c r="BG139" s="3">
        <v>14.12676629077407</v>
      </c>
      <c r="BH139" s="3">
        <v>13.97528865148035</v>
      </c>
      <c r="BI139" s="3">
        <v>14.155703769778</v>
      </c>
      <c r="BJ139" s="3">
        <v>14.367932407240531</v>
      </c>
      <c r="BK139" s="3">
        <v>14.44353098411155</v>
      </c>
      <c r="BL139" s="3">
        <v>14.46497762392689</v>
      </c>
      <c r="BM139" s="3">
        <v>14.47713118761156</v>
      </c>
      <c r="BN139" s="3">
        <v>14.47713118761156</v>
      </c>
      <c r="BO139" s="3">
        <v>14.47713118761156</v>
      </c>
      <c r="BP139" s="3">
        <v>14.47713118761156</v>
      </c>
      <c r="BQ139" s="3">
        <v>14.47713118761156</v>
      </c>
      <c r="BR139" s="3">
        <v>14.47713118761156</v>
      </c>
      <c r="BS139" s="3">
        <v>14.47713118761156</v>
      </c>
      <c r="BT139" s="3">
        <v>14.47713118761156</v>
      </c>
      <c r="BU139" s="3">
        <v>14.47713118761156</v>
      </c>
      <c r="BV139" s="3">
        <v>14.47713118761156</v>
      </c>
      <c r="BW139" s="3">
        <v>14.47713118761156</v>
      </c>
      <c r="BY139" s="17" t="s">
        <v>904</v>
      </c>
      <c r="BZ139" s="3">
        <v>16.97156498304895</v>
      </c>
      <c r="CA139" s="3">
        <v>14.735600113104001</v>
      </c>
      <c r="CB139" s="3">
        <v>14.190538808788419</v>
      </c>
      <c r="CC139" s="3">
        <v>14.12676629077407</v>
      </c>
      <c r="CD139" s="3">
        <v>13.97528865148035</v>
      </c>
      <c r="CE139" s="3">
        <v>14.155703769778</v>
      </c>
      <c r="CF139" s="3">
        <v>14.367932407240531</v>
      </c>
      <c r="CG139" s="3">
        <v>14.44353098411155</v>
      </c>
      <c r="CH139" s="3">
        <v>14.46497762392689</v>
      </c>
      <c r="CI139" s="3">
        <v>14.47713118761156</v>
      </c>
      <c r="CJ139" s="3">
        <v>14.47713118761156</v>
      </c>
      <c r="CK139" s="3">
        <v>14.47713118761156</v>
      </c>
      <c r="CL139" s="3">
        <v>14.47713118761156</v>
      </c>
      <c r="CM139" s="3">
        <v>14.47713118761156</v>
      </c>
      <c r="CN139" s="3">
        <v>14.47713118761156</v>
      </c>
      <c r="CO139" s="3">
        <v>14.47713118761156</v>
      </c>
      <c r="CP139" s="3">
        <v>14.47713118761156</v>
      </c>
      <c r="CQ139" s="3">
        <v>14.47713118761156</v>
      </c>
      <c r="CR139" s="3">
        <v>14.47713118761156</v>
      </c>
      <c r="CS139" s="3">
        <v>14.47713118761156</v>
      </c>
      <c r="CU139" s="17" t="s">
        <v>905</v>
      </c>
      <c r="CV139" s="3">
        <v>16.97156498304895</v>
      </c>
      <c r="CW139" s="3">
        <v>14.735600113104001</v>
      </c>
      <c r="CX139" s="3">
        <v>14.190538808788419</v>
      </c>
      <c r="CY139" s="3">
        <v>14.12676629077407</v>
      </c>
      <c r="CZ139" s="3">
        <v>13.97528865148035</v>
      </c>
      <c r="DA139" s="3">
        <v>14.155703769778</v>
      </c>
      <c r="DB139" s="3">
        <v>14.367932407240531</v>
      </c>
      <c r="DC139" s="3">
        <v>14.44353098411155</v>
      </c>
      <c r="DD139" s="3">
        <v>14.46497762392689</v>
      </c>
      <c r="DE139" s="3">
        <v>14.47713118761156</v>
      </c>
      <c r="DF139" s="3">
        <v>14.47713118761156</v>
      </c>
      <c r="DG139" s="3">
        <v>14.47713118761156</v>
      </c>
      <c r="DH139" s="3">
        <v>14.47713118761156</v>
      </c>
      <c r="DI139" s="3">
        <v>14.47713118761156</v>
      </c>
      <c r="DJ139" s="3">
        <v>14.47713118761156</v>
      </c>
      <c r="DK139" s="3">
        <v>14.47713118761156</v>
      </c>
      <c r="DL139" s="3">
        <v>14.47713118761156</v>
      </c>
      <c r="DM139" s="3">
        <v>14.47713118761156</v>
      </c>
      <c r="DN139" s="3">
        <v>14.47713118761156</v>
      </c>
      <c r="DO139" s="3">
        <v>14.47713118761156</v>
      </c>
    </row>
    <row r="140" spans="1:230" x14ac:dyDescent="0.45">
      <c r="A140" s="16" t="s">
        <v>906</v>
      </c>
      <c r="B140" s="3" t="s">
        <v>89</v>
      </c>
      <c r="C140" s="16" t="s">
        <v>907</v>
      </c>
      <c r="H140" s="3" t="s">
        <v>908</v>
      </c>
      <c r="I140" s="3" t="s">
        <v>651</v>
      </c>
      <c r="K140" s="17" t="s">
        <v>909</v>
      </c>
      <c r="L140" s="3">
        <v>13.46421248673108</v>
      </c>
      <c r="M140" s="3">
        <v>6.5884752723340902</v>
      </c>
      <c r="N140" s="3">
        <v>5.8065680582894004</v>
      </c>
      <c r="O140" s="3">
        <v>4.7532486605082349</v>
      </c>
      <c r="P140" s="3">
        <v>5.3336222070744386</v>
      </c>
      <c r="Q140" s="3">
        <v>5.4645398442557918</v>
      </c>
      <c r="R140" s="3">
        <v>5.4024636206778087</v>
      </c>
      <c r="S140" s="3">
        <v>5.3358943039594733</v>
      </c>
      <c r="T140" s="3">
        <v>5.2646478334587359</v>
      </c>
      <c r="U140" s="3">
        <v>5.1958920895644614</v>
      </c>
      <c r="V140" s="3">
        <v>5.1958920895644614</v>
      </c>
      <c r="W140" s="3">
        <v>5.1958920895644614</v>
      </c>
      <c r="X140" s="3">
        <v>5.1958920895644631</v>
      </c>
      <c r="Y140" s="3">
        <v>5.1958920895644631</v>
      </c>
      <c r="Z140" s="3">
        <v>5.1958920895644631</v>
      </c>
      <c r="AA140" s="3">
        <v>5.1958920895644622</v>
      </c>
      <c r="AB140" s="3">
        <v>5.1958920895644622</v>
      </c>
      <c r="AC140" s="3">
        <v>5.1958920895644631</v>
      </c>
      <c r="AD140" s="3">
        <v>5.1958920895644631</v>
      </c>
      <c r="AE140" s="3">
        <v>5.1958920895644631</v>
      </c>
      <c r="AG140" s="17" t="s">
        <v>910</v>
      </c>
      <c r="AH140" s="3">
        <v>13.46421248673108</v>
      </c>
      <c r="AI140" s="3">
        <v>6.5884752723340902</v>
      </c>
      <c r="AJ140" s="3">
        <v>5.8065680582894004</v>
      </c>
      <c r="AK140" s="3">
        <v>4.7532486605082349</v>
      </c>
      <c r="AL140" s="3">
        <v>5.3336222070744386</v>
      </c>
      <c r="AM140" s="3">
        <v>5.4645398442557918</v>
      </c>
      <c r="AN140" s="3">
        <v>5.4024636206778087</v>
      </c>
      <c r="AO140" s="3">
        <v>5.3358943039594733</v>
      </c>
      <c r="AP140" s="3">
        <v>5.2646478334587359</v>
      </c>
      <c r="AQ140" s="3">
        <v>5.1958920895644614</v>
      </c>
      <c r="AR140" s="3">
        <v>5.1958920895644614</v>
      </c>
      <c r="AS140" s="3">
        <v>5.1958920895644614</v>
      </c>
      <c r="AT140" s="3">
        <v>5.1958920895644631</v>
      </c>
      <c r="AU140" s="3">
        <v>5.1958920895644631</v>
      </c>
      <c r="AV140" s="3">
        <v>5.1958920895644631</v>
      </c>
      <c r="AW140" s="3">
        <v>5.1958920895644622</v>
      </c>
      <c r="AX140" s="3">
        <v>5.1958920895644622</v>
      </c>
      <c r="AY140" s="3">
        <v>5.1958920895644631</v>
      </c>
      <c r="AZ140" s="3">
        <v>5.1958920895644631</v>
      </c>
      <c r="BA140" s="3">
        <v>5.1958920895644631</v>
      </c>
      <c r="BC140" s="17" t="s">
        <v>911</v>
      </c>
      <c r="BD140" s="3">
        <v>13.46421248673108</v>
      </c>
      <c r="BE140" s="3">
        <v>6.5884752723340902</v>
      </c>
      <c r="BF140" s="3">
        <v>5.8065680582894004</v>
      </c>
      <c r="BG140" s="3">
        <v>4.7532486605082349</v>
      </c>
      <c r="BH140" s="3">
        <v>5.3336222070744386</v>
      </c>
      <c r="BI140" s="3">
        <v>5.4645398442557918</v>
      </c>
      <c r="BJ140" s="3">
        <v>5.4024636206778087</v>
      </c>
      <c r="BK140" s="3">
        <v>5.3358943039594733</v>
      </c>
      <c r="BL140" s="3">
        <v>5.2646478334587359</v>
      </c>
      <c r="BM140" s="3">
        <v>5.1958920895644614</v>
      </c>
      <c r="BN140" s="3">
        <v>5.1958920895644614</v>
      </c>
      <c r="BO140" s="3">
        <v>5.1958920895644614</v>
      </c>
      <c r="BP140" s="3">
        <v>5.1958920895644631</v>
      </c>
      <c r="BQ140" s="3">
        <v>5.1958920895644631</v>
      </c>
      <c r="BR140" s="3">
        <v>5.1958920895644631</v>
      </c>
      <c r="BS140" s="3">
        <v>5.1958920895644622</v>
      </c>
      <c r="BT140" s="3">
        <v>5.1958920895644622</v>
      </c>
      <c r="BU140" s="3">
        <v>5.1958920895644631</v>
      </c>
      <c r="BV140" s="3">
        <v>5.1958920895644631</v>
      </c>
      <c r="BW140" s="3">
        <v>5.1958920895644631</v>
      </c>
      <c r="BY140" s="17" t="s">
        <v>912</v>
      </c>
      <c r="BZ140" s="3">
        <v>13.46421248673108</v>
      </c>
      <c r="CA140" s="3">
        <v>6.5884752723340902</v>
      </c>
      <c r="CB140" s="3">
        <v>5.8065680582894004</v>
      </c>
      <c r="CC140" s="3">
        <v>4.7532486605082349</v>
      </c>
      <c r="CD140" s="3">
        <v>5.3336222070744386</v>
      </c>
      <c r="CE140" s="3">
        <v>5.4645398442557918</v>
      </c>
      <c r="CF140" s="3">
        <v>5.4024636206778087</v>
      </c>
      <c r="CG140" s="3">
        <v>5.3358943039594733</v>
      </c>
      <c r="CH140" s="3">
        <v>5.2646478334587359</v>
      </c>
      <c r="CI140" s="3">
        <v>5.1958920895644614</v>
      </c>
      <c r="CJ140" s="3">
        <v>5.1958920895644614</v>
      </c>
      <c r="CK140" s="3">
        <v>5.1958920895644614</v>
      </c>
      <c r="CL140" s="3">
        <v>5.1958920895644631</v>
      </c>
      <c r="CM140" s="3">
        <v>5.1958920895644631</v>
      </c>
      <c r="CN140" s="3">
        <v>5.1958920895644631</v>
      </c>
      <c r="CO140" s="3">
        <v>5.1958920895644622</v>
      </c>
      <c r="CP140" s="3">
        <v>5.1958920895644622</v>
      </c>
      <c r="CQ140" s="3">
        <v>5.1958920895644631</v>
      </c>
      <c r="CR140" s="3">
        <v>5.1958920895644631</v>
      </c>
      <c r="CS140" s="3">
        <v>5.1958920895644631</v>
      </c>
      <c r="CU140" s="17" t="s">
        <v>913</v>
      </c>
      <c r="CV140" s="3">
        <v>13.46421248673108</v>
      </c>
      <c r="CW140" s="3">
        <v>6.5884752723340902</v>
      </c>
      <c r="CX140" s="3">
        <v>5.8065680582894004</v>
      </c>
      <c r="CY140" s="3">
        <v>4.7532486605082349</v>
      </c>
      <c r="CZ140" s="3">
        <v>5.3336222070744386</v>
      </c>
      <c r="DA140" s="3">
        <v>5.4645398442557918</v>
      </c>
      <c r="DB140" s="3">
        <v>5.4024636206778087</v>
      </c>
      <c r="DC140" s="3">
        <v>5.3358943039594733</v>
      </c>
      <c r="DD140" s="3">
        <v>5.2646478334587359</v>
      </c>
      <c r="DE140" s="3">
        <v>5.1958920895644614</v>
      </c>
      <c r="DF140" s="3">
        <v>5.1958920895644614</v>
      </c>
      <c r="DG140" s="3">
        <v>5.1958920895644614</v>
      </c>
      <c r="DH140" s="3">
        <v>5.1958920895644631</v>
      </c>
      <c r="DI140" s="3">
        <v>5.1958920895644631</v>
      </c>
      <c r="DJ140" s="3">
        <v>5.1958920895644631</v>
      </c>
      <c r="DK140" s="3">
        <v>5.1958920895644622</v>
      </c>
      <c r="DL140" s="3">
        <v>5.1958920895644622</v>
      </c>
      <c r="DM140" s="3">
        <v>5.1958920895644631</v>
      </c>
      <c r="DN140" s="3">
        <v>5.1958920895644631</v>
      </c>
      <c r="DO140" s="3">
        <v>5.1958920895644631</v>
      </c>
    </row>
    <row r="141" spans="1:230" x14ac:dyDescent="0.45">
      <c r="A141" s="16" t="s">
        <v>914</v>
      </c>
      <c r="B141" s="3" t="s">
        <v>89</v>
      </c>
      <c r="C141" s="16" t="s">
        <v>915</v>
      </c>
      <c r="H141" s="3" t="s">
        <v>916</v>
      </c>
      <c r="I141" s="3" t="s">
        <v>651</v>
      </c>
      <c r="K141" s="17" t="s">
        <v>917</v>
      </c>
      <c r="L141" s="3">
        <v>11.602403278425079</v>
      </c>
      <c r="M141" s="3">
        <v>9.5111985613263279</v>
      </c>
      <c r="N141" s="3">
        <v>8.8922303249003338</v>
      </c>
      <c r="O141" s="3">
        <v>8.9047892694972273</v>
      </c>
      <c r="P141" s="3">
        <v>8.934620289798632</v>
      </c>
      <c r="Q141" s="3">
        <v>8.8990905107387555</v>
      </c>
      <c r="R141" s="3">
        <v>8.8572955842915047</v>
      </c>
      <c r="S141" s="3">
        <v>8.842407692640224</v>
      </c>
      <c r="T141" s="3">
        <v>8.8381841309930298</v>
      </c>
      <c r="U141" s="3">
        <v>8.8357906872695722</v>
      </c>
      <c r="V141" s="3">
        <v>8.8357906872695722</v>
      </c>
      <c r="W141" s="3">
        <v>8.8357906872695722</v>
      </c>
      <c r="X141" s="3">
        <v>8.8357906872695722</v>
      </c>
      <c r="Y141" s="3">
        <v>8.8357906872695722</v>
      </c>
      <c r="Z141" s="3">
        <v>8.8357906872695722</v>
      </c>
      <c r="AA141" s="3">
        <v>8.8357906872695722</v>
      </c>
      <c r="AB141" s="3">
        <v>8.8357906872695722</v>
      </c>
      <c r="AC141" s="3">
        <v>8.8357906872695722</v>
      </c>
      <c r="AD141" s="3">
        <v>8.8357906872695722</v>
      </c>
      <c r="AE141" s="3">
        <v>8.8357906872695722</v>
      </c>
      <c r="AG141" s="17" t="s">
        <v>918</v>
      </c>
      <c r="AH141" s="3">
        <v>11.602403278425079</v>
      </c>
      <c r="AI141" s="3">
        <v>9.5111985613263279</v>
      </c>
      <c r="AJ141" s="3">
        <v>8.8922303249003338</v>
      </c>
      <c r="AK141" s="3">
        <v>8.9047892694972273</v>
      </c>
      <c r="AL141" s="3">
        <v>8.934620289798632</v>
      </c>
      <c r="AM141" s="3">
        <v>8.8990905107387555</v>
      </c>
      <c r="AN141" s="3">
        <v>8.8572955842915047</v>
      </c>
      <c r="AO141" s="3">
        <v>8.842407692640224</v>
      </c>
      <c r="AP141" s="3">
        <v>8.8381841309930298</v>
      </c>
      <c r="AQ141" s="3">
        <v>8.8357906872695722</v>
      </c>
      <c r="AR141" s="3">
        <v>8.8357906872695722</v>
      </c>
      <c r="AS141" s="3">
        <v>8.8357906872695722</v>
      </c>
      <c r="AT141" s="3">
        <v>8.8357906872695722</v>
      </c>
      <c r="AU141" s="3">
        <v>8.8357906872695722</v>
      </c>
      <c r="AV141" s="3">
        <v>8.8357906872695722</v>
      </c>
      <c r="AW141" s="3">
        <v>8.8357906872695722</v>
      </c>
      <c r="AX141" s="3">
        <v>8.8357906872695722</v>
      </c>
      <c r="AY141" s="3">
        <v>8.8357906872695722</v>
      </c>
      <c r="AZ141" s="3">
        <v>8.8357906872695722</v>
      </c>
      <c r="BA141" s="3">
        <v>8.8357906872695722</v>
      </c>
      <c r="BC141" s="17" t="s">
        <v>919</v>
      </c>
      <c r="BD141" s="3">
        <v>11.602403278425079</v>
      </c>
      <c r="BE141" s="3">
        <v>9.5111985613263279</v>
      </c>
      <c r="BF141" s="3">
        <v>8.8922303249003338</v>
      </c>
      <c r="BG141" s="3">
        <v>8.9047892694972273</v>
      </c>
      <c r="BH141" s="3">
        <v>8.934620289798632</v>
      </c>
      <c r="BI141" s="3">
        <v>8.8990905107387555</v>
      </c>
      <c r="BJ141" s="3">
        <v>8.8572955842915047</v>
      </c>
      <c r="BK141" s="3">
        <v>8.842407692640224</v>
      </c>
      <c r="BL141" s="3">
        <v>8.8381841309930298</v>
      </c>
      <c r="BM141" s="3">
        <v>8.8357906872695722</v>
      </c>
      <c r="BN141" s="3">
        <v>8.8357906872695722</v>
      </c>
      <c r="BO141" s="3">
        <v>8.8357906872695722</v>
      </c>
      <c r="BP141" s="3">
        <v>8.8357906872695722</v>
      </c>
      <c r="BQ141" s="3">
        <v>8.8357906872695722</v>
      </c>
      <c r="BR141" s="3">
        <v>8.8357906872695722</v>
      </c>
      <c r="BS141" s="3">
        <v>8.8357906872695722</v>
      </c>
      <c r="BT141" s="3">
        <v>8.8357906872695722</v>
      </c>
      <c r="BU141" s="3">
        <v>8.8357906872695722</v>
      </c>
      <c r="BV141" s="3">
        <v>8.8357906872695722</v>
      </c>
      <c r="BW141" s="3">
        <v>8.8357906872695722</v>
      </c>
      <c r="BY141" s="17" t="s">
        <v>920</v>
      </c>
      <c r="BZ141" s="3">
        <v>11.602403278425079</v>
      </c>
      <c r="CA141" s="3">
        <v>9.5111985613263279</v>
      </c>
      <c r="CB141" s="3">
        <v>8.8922303249003338</v>
      </c>
      <c r="CC141" s="3">
        <v>8.9047892694972273</v>
      </c>
      <c r="CD141" s="3">
        <v>8.934620289798632</v>
      </c>
      <c r="CE141" s="3">
        <v>8.8990905107387555</v>
      </c>
      <c r="CF141" s="3">
        <v>8.8572955842915047</v>
      </c>
      <c r="CG141" s="3">
        <v>8.842407692640224</v>
      </c>
      <c r="CH141" s="3">
        <v>8.8381841309930298</v>
      </c>
      <c r="CI141" s="3">
        <v>8.8357906872695722</v>
      </c>
      <c r="CJ141" s="3">
        <v>8.8357906872695722</v>
      </c>
      <c r="CK141" s="3">
        <v>8.8357906872695722</v>
      </c>
      <c r="CL141" s="3">
        <v>8.8357906872695722</v>
      </c>
      <c r="CM141" s="3">
        <v>8.8357906872695722</v>
      </c>
      <c r="CN141" s="3">
        <v>8.8357906872695722</v>
      </c>
      <c r="CO141" s="3">
        <v>8.8357906872695722</v>
      </c>
      <c r="CP141" s="3">
        <v>8.8357906872695722</v>
      </c>
      <c r="CQ141" s="3">
        <v>8.8357906872695722</v>
      </c>
      <c r="CR141" s="3">
        <v>8.8357906872695722</v>
      </c>
      <c r="CS141" s="3">
        <v>8.8357906872695722</v>
      </c>
      <c r="CU141" s="17" t="s">
        <v>921</v>
      </c>
      <c r="CV141" s="3">
        <v>11.602403278425079</v>
      </c>
      <c r="CW141" s="3">
        <v>9.5111985613263279</v>
      </c>
      <c r="CX141" s="3">
        <v>8.8922303249003338</v>
      </c>
      <c r="CY141" s="3">
        <v>8.9047892694972273</v>
      </c>
      <c r="CZ141" s="3">
        <v>8.934620289798632</v>
      </c>
      <c r="DA141" s="3">
        <v>8.8990905107387555</v>
      </c>
      <c r="DB141" s="3">
        <v>8.8572955842915047</v>
      </c>
      <c r="DC141" s="3">
        <v>8.842407692640224</v>
      </c>
      <c r="DD141" s="3">
        <v>8.8381841309930298</v>
      </c>
      <c r="DE141" s="3">
        <v>8.8357906872695722</v>
      </c>
      <c r="DF141" s="3">
        <v>8.8357906872695722</v>
      </c>
      <c r="DG141" s="3">
        <v>8.8357906872695722</v>
      </c>
      <c r="DH141" s="3">
        <v>8.8357906872695722</v>
      </c>
      <c r="DI141" s="3">
        <v>8.8357906872695722</v>
      </c>
      <c r="DJ141" s="3">
        <v>8.8357906872695722</v>
      </c>
      <c r="DK141" s="3">
        <v>8.8357906872695722</v>
      </c>
      <c r="DL141" s="3">
        <v>8.8357906872695722</v>
      </c>
      <c r="DM141" s="3">
        <v>8.8357906872695722</v>
      </c>
      <c r="DN141" s="3">
        <v>8.8357906872695722</v>
      </c>
      <c r="DO141" s="3">
        <v>8.8357906872695722</v>
      </c>
    </row>
    <row r="142" spans="1:230" x14ac:dyDescent="0.45">
      <c r="A142" s="16" t="s">
        <v>922</v>
      </c>
      <c r="B142" s="3" t="s">
        <v>89</v>
      </c>
      <c r="C142" s="16" t="s">
        <v>923</v>
      </c>
      <c r="H142" s="3" t="s">
        <v>924</v>
      </c>
      <c r="I142" s="3" t="s">
        <v>651</v>
      </c>
      <c r="K142" s="17" t="s">
        <v>925</v>
      </c>
      <c r="L142" s="3">
        <v>18.718156345275201</v>
      </c>
      <c r="M142" s="3">
        <v>15.72799110744487</v>
      </c>
      <c r="N142" s="3">
        <v>15.135752517221979</v>
      </c>
      <c r="O142" s="3">
        <v>12.831384156078141</v>
      </c>
      <c r="P142" s="3">
        <v>14.43292178260919</v>
      </c>
      <c r="Q142" s="3">
        <v>12.772236855140489</v>
      </c>
      <c r="R142" s="3">
        <v>12.315355530065419</v>
      </c>
      <c r="S142" s="3">
        <v>12.08505029299921</v>
      </c>
      <c r="T142" s="3">
        <v>11.88364692995445</v>
      </c>
      <c r="U142" s="3">
        <v>11.66484073767055</v>
      </c>
      <c r="V142" s="3">
        <v>11.66484073767055</v>
      </c>
      <c r="W142" s="3">
        <v>11.66484073767055</v>
      </c>
      <c r="X142" s="3">
        <v>11.66484073767055</v>
      </c>
      <c r="Y142" s="3">
        <v>11.66484073767055</v>
      </c>
      <c r="Z142" s="3">
        <v>11.66484073767055</v>
      </c>
      <c r="AA142" s="3">
        <v>11.66484073767055</v>
      </c>
      <c r="AB142" s="3">
        <v>11.66484073767055</v>
      </c>
      <c r="AC142" s="3">
        <v>11.66484073767055</v>
      </c>
      <c r="AD142" s="3">
        <v>11.66484073767055</v>
      </c>
      <c r="AE142" s="3">
        <v>11.66484073767055</v>
      </c>
      <c r="AG142" s="17" t="s">
        <v>926</v>
      </c>
      <c r="AH142" s="3">
        <v>18.718156345275201</v>
      </c>
      <c r="AI142" s="3">
        <v>15.72799110744487</v>
      </c>
      <c r="AJ142" s="3">
        <v>15.135752517221979</v>
      </c>
      <c r="AK142" s="3">
        <v>12.831384156078141</v>
      </c>
      <c r="AL142" s="3">
        <v>14.43292178260919</v>
      </c>
      <c r="AM142" s="3">
        <v>12.772236855140489</v>
      </c>
      <c r="AN142" s="3">
        <v>12.315355530065419</v>
      </c>
      <c r="AO142" s="3">
        <v>12.08505029299921</v>
      </c>
      <c r="AP142" s="3">
        <v>11.88364692995445</v>
      </c>
      <c r="AQ142" s="3">
        <v>11.66484073767055</v>
      </c>
      <c r="AR142" s="3">
        <v>11.66484073767055</v>
      </c>
      <c r="AS142" s="3">
        <v>11.66484073767055</v>
      </c>
      <c r="AT142" s="3">
        <v>11.66484073767055</v>
      </c>
      <c r="AU142" s="3">
        <v>11.66484073767055</v>
      </c>
      <c r="AV142" s="3">
        <v>11.66484073767055</v>
      </c>
      <c r="AW142" s="3">
        <v>11.66484073767055</v>
      </c>
      <c r="AX142" s="3">
        <v>11.66484073767055</v>
      </c>
      <c r="AY142" s="3">
        <v>11.66484073767055</v>
      </c>
      <c r="AZ142" s="3">
        <v>11.66484073767055</v>
      </c>
      <c r="BA142" s="3">
        <v>11.66484073767055</v>
      </c>
      <c r="BC142" s="17" t="s">
        <v>927</v>
      </c>
      <c r="BD142" s="3">
        <v>18.718156345275201</v>
      </c>
      <c r="BE142" s="3">
        <v>15.72799110744487</v>
      </c>
      <c r="BF142" s="3">
        <v>15.135752517221979</v>
      </c>
      <c r="BG142" s="3">
        <v>12.831384156078141</v>
      </c>
      <c r="BH142" s="3">
        <v>14.43292178260919</v>
      </c>
      <c r="BI142" s="3">
        <v>12.772236855140489</v>
      </c>
      <c r="BJ142" s="3">
        <v>12.315355530065419</v>
      </c>
      <c r="BK142" s="3">
        <v>12.08505029299921</v>
      </c>
      <c r="BL142" s="3">
        <v>11.88364692995445</v>
      </c>
      <c r="BM142" s="3">
        <v>11.66484073767055</v>
      </c>
      <c r="BN142" s="3">
        <v>11.66484073767055</v>
      </c>
      <c r="BO142" s="3">
        <v>11.66484073767055</v>
      </c>
      <c r="BP142" s="3">
        <v>11.66484073767055</v>
      </c>
      <c r="BQ142" s="3">
        <v>11.66484073767055</v>
      </c>
      <c r="BR142" s="3">
        <v>11.66484073767055</v>
      </c>
      <c r="BS142" s="3">
        <v>11.66484073767055</v>
      </c>
      <c r="BT142" s="3">
        <v>11.66484073767055</v>
      </c>
      <c r="BU142" s="3">
        <v>11.66484073767055</v>
      </c>
      <c r="BV142" s="3">
        <v>11.66484073767055</v>
      </c>
      <c r="BW142" s="3">
        <v>11.66484073767055</v>
      </c>
      <c r="BY142" s="17" t="s">
        <v>928</v>
      </c>
      <c r="BZ142" s="3">
        <v>18.718156345275201</v>
      </c>
      <c r="CA142" s="3">
        <v>15.72799110744487</v>
      </c>
      <c r="CB142" s="3">
        <v>15.135752517221979</v>
      </c>
      <c r="CC142" s="3">
        <v>12.831384156078141</v>
      </c>
      <c r="CD142" s="3">
        <v>14.43292178260919</v>
      </c>
      <c r="CE142" s="3">
        <v>12.772236855140489</v>
      </c>
      <c r="CF142" s="3">
        <v>12.315355530065419</v>
      </c>
      <c r="CG142" s="3">
        <v>12.08505029299921</v>
      </c>
      <c r="CH142" s="3">
        <v>11.88364692995445</v>
      </c>
      <c r="CI142" s="3">
        <v>11.66484073767055</v>
      </c>
      <c r="CJ142" s="3">
        <v>11.66484073767055</v>
      </c>
      <c r="CK142" s="3">
        <v>11.66484073767055</v>
      </c>
      <c r="CL142" s="3">
        <v>11.66484073767055</v>
      </c>
      <c r="CM142" s="3">
        <v>11.66484073767055</v>
      </c>
      <c r="CN142" s="3">
        <v>11.66484073767055</v>
      </c>
      <c r="CO142" s="3">
        <v>11.66484073767055</v>
      </c>
      <c r="CP142" s="3">
        <v>11.66484073767055</v>
      </c>
      <c r="CQ142" s="3">
        <v>11.66484073767055</v>
      </c>
      <c r="CR142" s="3">
        <v>11.66484073767055</v>
      </c>
      <c r="CS142" s="3">
        <v>11.66484073767055</v>
      </c>
      <c r="CU142" s="17" t="s">
        <v>929</v>
      </c>
      <c r="CV142" s="3">
        <v>18.718156345275201</v>
      </c>
      <c r="CW142" s="3">
        <v>15.72799110744487</v>
      </c>
      <c r="CX142" s="3">
        <v>15.135752517221979</v>
      </c>
      <c r="CY142" s="3">
        <v>12.831384156078141</v>
      </c>
      <c r="CZ142" s="3">
        <v>14.43292178260919</v>
      </c>
      <c r="DA142" s="3">
        <v>12.772236855140489</v>
      </c>
      <c r="DB142" s="3">
        <v>12.315355530065419</v>
      </c>
      <c r="DC142" s="3">
        <v>12.08505029299921</v>
      </c>
      <c r="DD142" s="3">
        <v>11.88364692995445</v>
      </c>
      <c r="DE142" s="3">
        <v>11.66484073767055</v>
      </c>
      <c r="DF142" s="3">
        <v>11.66484073767055</v>
      </c>
      <c r="DG142" s="3">
        <v>11.66484073767055</v>
      </c>
      <c r="DH142" s="3">
        <v>11.66484073767055</v>
      </c>
      <c r="DI142" s="3">
        <v>11.66484073767055</v>
      </c>
      <c r="DJ142" s="3">
        <v>11.66484073767055</v>
      </c>
      <c r="DK142" s="3">
        <v>11.66484073767055</v>
      </c>
      <c r="DL142" s="3">
        <v>11.66484073767055</v>
      </c>
      <c r="DM142" s="3">
        <v>11.66484073767055</v>
      </c>
      <c r="DN142" s="3">
        <v>11.66484073767055</v>
      </c>
      <c r="DO142" s="3">
        <v>11.66484073767055</v>
      </c>
    </row>
    <row r="143" spans="1:230" x14ac:dyDescent="0.45">
      <c r="A143" s="16" t="s">
        <v>930</v>
      </c>
      <c r="B143" s="3" t="s">
        <v>89</v>
      </c>
      <c r="C143" s="16" t="s">
        <v>931</v>
      </c>
      <c r="H143" s="3" t="s">
        <v>932</v>
      </c>
      <c r="I143" s="3" t="s">
        <v>651</v>
      </c>
      <c r="K143" s="17" t="s">
        <v>933</v>
      </c>
      <c r="L143" s="3">
        <v>28.181472015810471</v>
      </c>
      <c r="M143" s="3">
        <v>22.836244644824671</v>
      </c>
      <c r="N143" s="3">
        <v>21.54840057076045</v>
      </c>
      <c r="O143" s="3">
        <v>18.604617244993982</v>
      </c>
      <c r="P143" s="3">
        <v>20.65054872021588</v>
      </c>
      <c r="Q143" s="3">
        <v>18.529057780977599</v>
      </c>
      <c r="R143" s="3">
        <v>17.945401257442249</v>
      </c>
      <c r="S143" s="3">
        <v>17.651191039950941</v>
      </c>
      <c r="T143" s="3">
        <v>17.393902373832411</v>
      </c>
      <c r="U143" s="3">
        <v>17.114381950240041</v>
      </c>
      <c r="V143" s="3">
        <v>17.114381950240041</v>
      </c>
      <c r="W143" s="3">
        <v>17.114381950240041</v>
      </c>
      <c r="X143" s="3">
        <v>17.114381950240041</v>
      </c>
      <c r="Y143" s="3">
        <v>17.114381950240041</v>
      </c>
      <c r="Z143" s="3">
        <v>17.114381950240041</v>
      </c>
      <c r="AA143" s="3">
        <v>17.114381950240041</v>
      </c>
      <c r="AB143" s="3">
        <v>17.114381950240041</v>
      </c>
      <c r="AC143" s="3">
        <v>17.114381950240041</v>
      </c>
      <c r="AD143" s="3">
        <v>17.114381950240041</v>
      </c>
      <c r="AE143" s="3">
        <v>17.114381950240041</v>
      </c>
      <c r="AG143" s="17" t="s">
        <v>934</v>
      </c>
      <c r="AH143" s="3">
        <v>28.181472015810471</v>
      </c>
      <c r="AI143" s="3">
        <v>22.836244644824671</v>
      </c>
      <c r="AJ143" s="3">
        <v>21.54840057076045</v>
      </c>
      <c r="AK143" s="3">
        <v>18.604617244993982</v>
      </c>
      <c r="AL143" s="3">
        <v>20.65054872021588</v>
      </c>
      <c r="AM143" s="3">
        <v>18.529057780977599</v>
      </c>
      <c r="AN143" s="3">
        <v>17.945401257442249</v>
      </c>
      <c r="AO143" s="3">
        <v>17.651191039950941</v>
      </c>
      <c r="AP143" s="3">
        <v>17.393902373832411</v>
      </c>
      <c r="AQ143" s="3">
        <v>17.114381950240041</v>
      </c>
      <c r="AR143" s="3">
        <v>17.114381950240041</v>
      </c>
      <c r="AS143" s="3">
        <v>17.114381950240041</v>
      </c>
      <c r="AT143" s="3">
        <v>17.114381950240041</v>
      </c>
      <c r="AU143" s="3">
        <v>17.114381950240041</v>
      </c>
      <c r="AV143" s="3">
        <v>17.114381950240041</v>
      </c>
      <c r="AW143" s="3">
        <v>17.114381950240041</v>
      </c>
      <c r="AX143" s="3">
        <v>17.114381950240041</v>
      </c>
      <c r="AY143" s="3">
        <v>17.114381950240041</v>
      </c>
      <c r="AZ143" s="3">
        <v>17.114381950240041</v>
      </c>
      <c r="BA143" s="3">
        <v>17.114381950240041</v>
      </c>
      <c r="BC143" s="17" t="s">
        <v>935</v>
      </c>
      <c r="BD143" s="3">
        <v>28.181472015810471</v>
      </c>
      <c r="BE143" s="3">
        <v>22.836244644824671</v>
      </c>
      <c r="BF143" s="3">
        <v>21.54840057076045</v>
      </c>
      <c r="BG143" s="3">
        <v>18.604617244993982</v>
      </c>
      <c r="BH143" s="3">
        <v>20.65054872021588</v>
      </c>
      <c r="BI143" s="3">
        <v>18.529057780977599</v>
      </c>
      <c r="BJ143" s="3">
        <v>17.945401257442249</v>
      </c>
      <c r="BK143" s="3">
        <v>17.651191039950941</v>
      </c>
      <c r="BL143" s="3">
        <v>17.393902373832411</v>
      </c>
      <c r="BM143" s="3">
        <v>17.114381950240041</v>
      </c>
      <c r="BN143" s="3">
        <v>17.114381950240041</v>
      </c>
      <c r="BO143" s="3">
        <v>17.114381950240041</v>
      </c>
      <c r="BP143" s="3">
        <v>17.114381950240041</v>
      </c>
      <c r="BQ143" s="3">
        <v>17.114381950240041</v>
      </c>
      <c r="BR143" s="3">
        <v>17.114381950240041</v>
      </c>
      <c r="BS143" s="3">
        <v>17.114381950240041</v>
      </c>
      <c r="BT143" s="3">
        <v>17.114381950240041</v>
      </c>
      <c r="BU143" s="3">
        <v>17.114381950240041</v>
      </c>
      <c r="BV143" s="3">
        <v>17.114381950240041</v>
      </c>
      <c r="BW143" s="3">
        <v>17.114381950240041</v>
      </c>
      <c r="BY143" s="17" t="s">
        <v>936</v>
      </c>
      <c r="BZ143" s="3">
        <v>28.181472015810471</v>
      </c>
      <c r="CA143" s="3">
        <v>22.836244644824671</v>
      </c>
      <c r="CB143" s="3">
        <v>21.54840057076045</v>
      </c>
      <c r="CC143" s="3">
        <v>18.604617244993982</v>
      </c>
      <c r="CD143" s="3">
        <v>20.65054872021588</v>
      </c>
      <c r="CE143" s="3">
        <v>18.529057780977599</v>
      </c>
      <c r="CF143" s="3">
        <v>17.945401257442249</v>
      </c>
      <c r="CG143" s="3">
        <v>17.651191039950941</v>
      </c>
      <c r="CH143" s="3">
        <v>17.393902373832411</v>
      </c>
      <c r="CI143" s="3">
        <v>17.114381950240041</v>
      </c>
      <c r="CJ143" s="3">
        <v>17.114381950240041</v>
      </c>
      <c r="CK143" s="3">
        <v>17.114381950240041</v>
      </c>
      <c r="CL143" s="3">
        <v>17.114381950240041</v>
      </c>
      <c r="CM143" s="3">
        <v>17.114381950240041</v>
      </c>
      <c r="CN143" s="3">
        <v>17.114381950240041</v>
      </c>
      <c r="CO143" s="3">
        <v>17.114381950240041</v>
      </c>
      <c r="CP143" s="3">
        <v>17.114381950240041</v>
      </c>
      <c r="CQ143" s="3">
        <v>17.114381950240041</v>
      </c>
      <c r="CR143" s="3">
        <v>17.114381950240041</v>
      </c>
      <c r="CS143" s="3">
        <v>17.114381950240041</v>
      </c>
      <c r="CU143" s="17" t="s">
        <v>937</v>
      </c>
      <c r="CV143" s="3">
        <v>28.181472015810471</v>
      </c>
      <c r="CW143" s="3">
        <v>22.836244644824671</v>
      </c>
      <c r="CX143" s="3">
        <v>21.54840057076045</v>
      </c>
      <c r="CY143" s="3">
        <v>18.604617244993982</v>
      </c>
      <c r="CZ143" s="3">
        <v>20.65054872021588</v>
      </c>
      <c r="DA143" s="3">
        <v>18.529057780977599</v>
      </c>
      <c r="DB143" s="3">
        <v>17.945401257442249</v>
      </c>
      <c r="DC143" s="3">
        <v>17.651191039950941</v>
      </c>
      <c r="DD143" s="3">
        <v>17.393902373832411</v>
      </c>
      <c r="DE143" s="3">
        <v>17.114381950240041</v>
      </c>
      <c r="DF143" s="3">
        <v>17.114381950240041</v>
      </c>
      <c r="DG143" s="3">
        <v>17.114381950240041</v>
      </c>
      <c r="DH143" s="3">
        <v>17.114381950240041</v>
      </c>
      <c r="DI143" s="3">
        <v>17.114381950240041</v>
      </c>
      <c r="DJ143" s="3">
        <v>17.114381950240041</v>
      </c>
      <c r="DK143" s="3">
        <v>17.114381950240041</v>
      </c>
      <c r="DL143" s="3">
        <v>17.114381950240041</v>
      </c>
      <c r="DM143" s="3">
        <v>17.114381950240041</v>
      </c>
      <c r="DN143" s="3">
        <v>17.114381950240041</v>
      </c>
      <c r="DO143" s="3">
        <v>17.114381950240041</v>
      </c>
    </row>
    <row r="144" spans="1:230" x14ac:dyDescent="0.45">
      <c r="A144" s="16" t="s">
        <v>938</v>
      </c>
      <c r="B144" s="3" t="s">
        <v>89</v>
      </c>
      <c r="C144" s="16" t="s">
        <v>939</v>
      </c>
      <c r="H144" s="3" t="s">
        <v>940</v>
      </c>
      <c r="I144" s="3" t="s">
        <v>651</v>
      </c>
      <c r="K144" s="17" t="s">
        <v>941</v>
      </c>
      <c r="L144" s="3">
        <v>28.757772364151879</v>
      </c>
      <c r="M144" s="3">
        <v>23.106730441487269</v>
      </c>
      <c r="N144" s="3">
        <v>21.012185592229109</v>
      </c>
      <c r="O144" s="3">
        <v>18.118650018670269</v>
      </c>
      <c r="P144" s="3">
        <v>20.12965927088041</v>
      </c>
      <c r="Q144" s="3">
        <v>18.04438028722069</v>
      </c>
      <c r="R144" s="3">
        <v>17.4706862592645</v>
      </c>
      <c r="S144" s="3">
        <v>17.18149794741959</v>
      </c>
      <c r="T144" s="3">
        <v>16.928600969041049</v>
      </c>
      <c r="U144" s="3">
        <v>16.653851709433031</v>
      </c>
      <c r="V144" s="3">
        <v>16.653851709433031</v>
      </c>
      <c r="W144" s="3">
        <v>16.653851709433031</v>
      </c>
      <c r="X144" s="3">
        <v>16.653851709433031</v>
      </c>
      <c r="Y144" s="3">
        <v>16.653851709433031</v>
      </c>
      <c r="Z144" s="3">
        <v>16.653851709433031</v>
      </c>
      <c r="AA144" s="3">
        <v>16.653851709433031</v>
      </c>
      <c r="AB144" s="3">
        <v>16.653851709433031</v>
      </c>
      <c r="AC144" s="3">
        <v>16.653851709433031</v>
      </c>
      <c r="AD144" s="3">
        <v>16.653851709433031</v>
      </c>
      <c r="AE144" s="3">
        <v>16.653851709433031</v>
      </c>
      <c r="AG144" s="17" t="s">
        <v>942</v>
      </c>
      <c r="AH144" s="3">
        <v>28.757772364151879</v>
      </c>
      <c r="AI144" s="3">
        <v>23.106730441487269</v>
      </c>
      <c r="AJ144" s="3">
        <v>21.012185592229109</v>
      </c>
      <c r="AK144" s="3">
        <v>18.118650018670269</v>
      </c>
      <c r="AL144" s="3">
        <v>20.12965927088041</v>
      </c>
      <c r="AM144" s="3">
        <v>18.04438028722069</v>
      </c>
      <c r="AN144" s="3">
        <v>17.4706862592645</v>
      </c>
      <c r="AO144" s="3">
        <v>17.18149794741959</v>
      </c>
      <c r="AP144" s="3">
        <v>16.928600969041049</v>
      </c>
      <c r="AQ144" s="3">
        <v>16.653851709433031</v>
      </c>
      <c r="AR144" s="3">
        <v>16.653851709433031</v>
      </c>
      <c r="AS144" s="3">
        <v>16.653851709433031</v>
      </c>
      <c r="AT144" s="3">
        <v>16.653851709433031</v>
      </c>
      <c r="AU144" s="3">
        <v>16.653851709433031</v>
      </c>
      <c r="AV144" s="3">
        <v>16.653851709433031</v>
      </c>
      <c r="AW144" s="3">
        <v>16.653851709433031</v>
      </c>
      <c r="AX144" s="3">
        <v>16.653851709433031</v>
      </c>
      <c r="AY144" s="3">
        <v>16.653851709433031</v>
      </c>
      <c r="AZ144" s="3">
        <v>16.653851709433031</v>
      </c>
      <c r="BA144" s="3">
        <v>16.653851709433031</v>
      </c>
      <c r="BC144" s="17" t="s">
        <v>943</v>
      </c>
      <c r="BD144" s="3">
        <v>28.757772364151879</v>
      </c>
      <c r="BE144" s="3">
        <v>23.106730441487269</v>
      </c>
      <c r="BF144" s="3">
        <v>21.012185592229109</v>
      </c>
      <c r="BG144" s="3">
        <v>18.118650018670269</v>
      </c>
      <c r="BH144" s="3">
        <v>20.12965927088041</v>
      </c>
      <c r="BI144" s="3">
        <v>18.04438028722069</v>
      </c>
      <c r="BJ144" s="3">
        <v>17.4706862592645</v>
      </c>
      <c r="BK144" s="3">
        <v>17.18149794741959</v>
      </c>
      <c r="BL144" s="3">
        <v>16.928600969041049</v>
      </c>
      <c r="BM144" s="3">
        <v>16.653851709433031</v>
      </c>
      <c r="BN144" s="3">
        <v>16.653851709433031</v>
      </c>
      <c r="BO144" s="3">
        <v>16.653851709433031</v>
      </c>
      <c r="BP144" s="3">
        <v>16.653851709433031</v>
      </c>
      <c r="BQ144" s="3">
        <v>16.653851709433031</v>
      </c>
      <c r="BR144" s="3">
        <v>16.653851709433031</v>
      </c>
      <c r="BS144" s="3">
        <v>16.653851709433031</v>
      </c>
      <c r="BT144" s="3">
        <v>16.653851709433031</v>
      </c>
      <c r="BU144" s="3">
        <v>16.653851709433031</v>
      </c>
      <c r="BV144" s="3">
        <v>16.653851709433031</v>
      </c>
      <c r="BW144" s="3">
        <v>16.653851709433031</v>
      </c>
      <c r="BY144" s="17" t="s">
        <v>944</v>
      </c>
      <c r="BZ144" s="3">
        <v>28.757772364151879</v>
      </c>
      <c r="CA144" s="3">
        <v>23.106730441487269</v>
      </c>
      <c r="CB144" s="3">
        <v>21.012185592229109</v>
      </c>
      <c r="CC144" s="3">
        <v>18.118650018670269</v>
      </c>
      <c r="CD144" s="3">
        <v>20.12965927088041</v>
      </c>
      <c r="CE144" s="3">
        <v>18.04438028722069</v>
      </c>
      <c r="CF144" s="3">
        <v>17.4706862592645</v>
      </c>
      <c r="CG144" s="3">
        <v>17.18149794741959</v>
      </c>
      <c r="CH144" s="3">
        <v>16.928600969041049</v>
      </c>
      <c r="CI144" s="3">
        <v>16.653851709433031</v>
      </c>
      <c r="CJ144" s="3">
        <v>16.653851709433031</v>
      </c>
      <c r="CK144" s="3">
        <v>16.653851709433031</v>
      </c>
      <c r="CL144" s="3">
        <v>16.653851709433031</v>
      </c>
      <c r="CM144" s="3">
        <v>16.653851709433031</v>
      </c>
      <c r="CN144" s="3">
        <v>16.653851709433031</v>
      </c>
      <c r="CO144" s="3">
        <v>16.653851709433031</v>
      </c>
      <c r="CP144" s="3">
        <v>16.653851709433031</v>
      </c>
      <c r="CQ144" s="3">
        <v>16.653851709433031</v>
      </c>
      <c r="CR144" s="3">
        <v>16.653851709433031</v>
      </c>
      <c r="CS144" s="3">
        <v>16.653851709433031</v>
      </c>
      <c r="CU144" s="17" t="s">
        <v>945</v>
      </c>
      <c r="CV144" s="3">
        <v>28.757772364151879</v>
      </c>
      <c r="CW144" s="3">
        <v>23.106730441487269</v>
      </c>
      <c r="CX144" s="3">
        <v>21.012185592229109</v>
      </c>
      <c r="CY144" s="3">
        <v>18.118650018670269</v>
      </c>
      <c r="CZ144" s="3">
        <v>20.12965927088041</v>
      </c>
      <c r="DA144" s="3">
        <v>18.04438028722069</v>
      </c>
      <c r="DB144" s="3">
        <v>17.4706862592645</v>
      </c>
      <c r="DC144" s="3">
        <v>17.18149794741959</v>
      </c>
      <c r="DD144" s="3">
        <v>16.928600969041049</v>
      </c>
      <c r="DE144" s="3">
        <v>16.653851709433031</v>
      </c>
      <c r="DF144" s="3">
        <v>16.653851709433031</v>
      </c>
      <c r="DG144" s="3">
        <v>16.653851709433031</v>
      </c>
      <c r="DH144" s="3">
        <v>16.653851709433031</v>
      </c>
      <c r="DI144" s="3">
        <v>16.653851709433031</v>
      </c>
      <c r="DJ144" s="3">
        <v>16.653851709433031</v>
      </c>
      <c r="DK144" s="3">
        <v>16.653851709433031</v>
      </c>
      <c r="DL144" s="3">
        <v>16.653851709433031</v>
      </c>
      <c r="DM144" s="3">
        <v>16.653851709433031</v>
      </c>
      <c r="DN144" s="3">
        <v>16.653851709433031</v>
      </c>
      <c r="DO144" s="3">
        <v>16.653851709433031</v>
      </c>
    </row>
    <row r="145" spans="1:119" x14ac:dyDescent="0.45">
      <c r="A145" s="16" t="s">
        <v>946</v>
      </c>
      <c r="B145" s="3" t="s">
        <v>89</v>
      </c>
      <c r="C145" s="16" t="s">
        <v>947</v>
      </c>
      <c r="H145" s="3" t="s">
        <v>948</v>
      </c>
      <c r="I145" s="3" t="s">
        <v>651</v>
      </c>
      <c r="K145" s="17" t="s">
        <v>949</v>
      </c>
      <c r="L145" s="3">
        <v>25.363721355821021</v>
      </c>
      <c r="M145" s="3">
        <v>22.16828174127977</v>
      </c>
      <c r="N145" s="3">
        <v>21.27543767141362</v>
      </c>
      <c r="O145" s="3">
        <v>18.626412971559851</v>
      </c>
      <c r="P145" s="3">
        <v>20.467486995124389</v>
      </c>
      <c r="Q145" s="3">
        <v>18.558419215112099</v>
      </c>
      <c r="R145" s="3">
        <v>18.033203743734511</v>
      </c>
      <c r="S145" s="3">
        <v>17.768452555607951</v>
      </c>
      <c r="T145" s="3">
        <v>17.536925993997649</v>
      </c>
      <c r="U145" s="3">
        <v>17.285393722675678</v>
      </c>
      <c r="V145" s="3">
        <v>17.285393722675678</v>
      </c>
      <c r="W145" s="3">
        <v>17.285393722675678</v>
      </c>
      <c r="X145" s="3">
        <v>17.285393722675689</v>
      </c>
      <c r="Y145" s="3">
        <v>17.285393722675689</v>
      </c>
      <c r="Z145" s="3">
        <v>17.285393722675689</v>
      </c>
      <c r="AA145" s="3">
        <v>17.285393722675678</v>
      </c>
      <c r="AB145" s="3">
        <v>17.285393722675678</v>
      </c>
      <c r="AC145" s="3">
        <v>17.285393722675678</v>
      </c>
      <c r="AD145" s="3">
        <v>17.285393722675678</v>
      </c>
      <c r="AE145" s="3">
        <v>17.285393722675678</v>
      </c>
      <c r="AG145" s="17" t="s">
        <v>950</v>
      </c>
      <c r="AH145" s="3">
        <v>25.363721355821021</v>
      </c>
      <c r="AI145" s="3">
        <v>22.16828174127977</v>
      </c>
      <c r="AJ145" s="3">
        <v>21.27543767141362</v>
      </c>
      <c r="AK145" s="3">
        <v>18.626412971559851</v>
      </c>
      <c r="AL145" s="3">
        <v>20.467486995124389</v>
      </c>
      <c r="AM145" s="3">
        <v>18.558419215112099</v>
      </c>
      <c r="AN145" s="3">
        <v>18.033203743734511</v>
      </c>
      <c r="AO145" s="3">
        <v>17.768452555607951</v>
      </c>
      <c r="AP145" s="3">
        <v>17.536925993997649</v>
      </c>
      <c r="AQ145" s="3">
        <v>17.285393722675678</v>
      </c>
      <c r="AR145" s="3">
        <v>17.285393722675678</v>
      </c>
      <c r="AS145" s="3">
        <v>17.285393722675678</v>
      </c>
      <c r="AT145" s="3">
        <v>17.285393722675689</v>
      </c>
      <c r="AU145" s="3">
        <v>17.285393722675689</v>
      </c>
      <c r="AV145" s="3">
        <v>17.285393722675689</v>
      </c>
      <c r="AW145" s="3">
        <v>17.285393722675678</v>
      </c>
      <c r="AX145" s="3">
        <v>17.285393722675678</v>
      </c>
      <c r="AY145" s="3">
        <v>17.285393722675678</v>
      </c>
      <c r="AZ145" s="3">
        <v>17.285393722675678</v>
      </c>
      <c r="BA145" s="3">
        <v>17.285393722675678</v>
      </c>
      <c r="BC145" s="17" t="s">
        <v>951</v>
      </c>
      <c r="BD145" s="3">
        <v>25.363721355821021</v>
      </c>
      <c r="BE145" s="3">
        <v>22.16828174127977</v>
      </c>
      <c r="BF145" s="3">
        <v>21.27543767141362</v>
      </c>
      <c r="BG145" s="3">
        <v>18.626412971559851</v>
      </c>
      <c r="BH145" s="3">
        <v>20.467486995124389</v>
      </c>
      <c r="BI145" s="3">
        <v>18.558419215112099</v>
      </c>
      <c r="BJ145" s="3">
        <v>18.033203743734511</v>
      </c>
      <c r="BK145" s="3">
        <v>17.768452555607951</v>
      </c>
      <c r="BL145" s="3">
        <v>17.536925993997649</v>
      </c>
      <c r="BM145" s="3">
        <v>17.285393722675678</v>
      </c>
      <c r="BN145" s="3">
        <v>17.285393722675678</v>
      </c>
      <c r="BO145" s="3">
        <v>17.285393722675678</v>
      </c>
      <c r="BP145" s="3">
        <v>17.285393722675689</v>
      </c>
      <c r="BQ145" s="3">
        <v>17.285393722675689</v>
      </c>
      <c r="BR145" s="3">
        <v>17.285393722675689</v>
      </c>
      <c r="BS145" s="3">
        <v>17.285393722675678</v>
      </c>
      <c r="BT145" s="3">
        <v>17.285393722675678</v>
      </c>
      <c r="BU145" s="3">
        <v>17.285393722675678</v>
      </c>
      <c r="BV145" s="3">
        <v>17.285393722675678</v>
      </c>
      <c r="BW145" s="3">
        <v>17.285393722675678</v>
      </c>
      <c r="BY145" s="17" t="s">
        <v>952</v>
      </c>
      <c r="BZ145" s="3">
        <v>25.363721355821021</v>
      </c>
      <c r="CA145" s="3">
        <v>22.16828174127977</v>
      </c>
      <c r="CB145" s="3">
        <v>21.27543767141362</v>
      </c>
      <c r="CC145" s="3">
        <v>18.626412971559851</v>
      </c>
      <c r="CD145" s="3">
        <v>20.467486995124389</v>
      </c>
      <c r="CE145" s="3">
        <v>18.558419215112099</v>
      </c>
      <c r="CF145" s="3">
        <v>18.033203743734511</v>
      </c>
      <c r="CG145" s="3">
        <v>17.768452555607951</v>
      </c>
      <c r="CH145" s="3">
        <v>17.536925993997649</v>
      </c>
      <c r="CI145" s="3">
        <v>17.285393722675678</v>
      </c>
      <c r="CJ145" s="3">
        <v>17.285393722675678</v>
      </c>
      <c r="CK145" s="3">
        <v>17.285393722675678</v>
      </c>
      <c r="CL145" s="3">
        <v>17.285393722675689</v>
      </c>
      <c r="CM145" s="3">
        <v>17.285393722675689</v>
      </c>
      <c r="CN145" s="3">
        <v>17.285393722675689</v>
      </c>
      <c r="CO145" s="3">
        <v>17.285393722675678</v>
      </c>
      <c r="CP145" s="3">
        <v>17.285393722675678</v>
      </c>
      <c r="CQ145" s="3">
        <v>17.285393722675678</v>
      </c>
      <c r="CR145" s="3">
        <v>17.285393722675678</v>
      </c>
      <c r="CS145" s="3">
        <v>17.285393722675678</v>
      </c>
      <c r="CU145" s="17" t="s">
        <v>953</v>
      </c>
      <c r="CV145" s="3">
        <v>25.363721355821021</v>
      </c>
      <c r="CW145" s="3">
        <v>22.16828174127977</v>
      </c>
      <c r="CX145" s="3">
        <v>21.27543767141362</v>
      </c>
      <c r="CY145" s="3">
        <v>18.626412971559851</v>
      </c>
      <c r="CZ145" s="3">
        <v>20.467486995124389</v>
      </c>
      <c r="DA145" s="3">
        <v>18.558419215112099</v>
      </c>
      <c r="DB145" s="3">
        <v>18.033203743734511</v>
      </c>
      <c r="DC145" s="3">
        <v>17.768452555607951</v>
      </c>
      <c r="DD145" s="3">
        <v>17.536925993997649</v>
      </c>
      <c r="DE145" s="3">
        <v>17.285393722675678</v>
      </c>
      <c r="DF145" s="3">
        <v>17.285393722675678</v>
      </c>
      <c r="DG145" s="3">
        <v>17.285393722675678</v>
      </c>
      <c r="DH145" s="3">
        <v>17.285393722675689</v>
      </c>
      <c r="DI145" s="3">
        <v>17.285393722675689</v>
      </c>
      <c r="DJ145" s="3">
        <v>17.285393722675689</v>
      </c>
      <c r="DK145" s="3">
        <v>17.285393722675678</v>
      </c>
      <c r="DL145" s="3">
        <v>17.285393722675678</v>
      </c>
      <c r="DM145" s="3">
        <v>17.285393722675678</v>
      </c>
      <c r="DN145" s="3">
        <v>17.285393722675678</v>
      </c>
      <c r="DO145" s="3">
        <v>17.285393722675678</v>
      </c>
    </row>
    <row r="146" spans="1:119" x14ac:dyDescent="0.45">
      <c r="A146" s="16" t="s">
        <v>954</v>
      </c>
      <c r="B146" s="3" t="s">
        <v>89</v>
      </c>
      <c r="C146" s="16" t="s">
        <v>955</v>
      </c>
      <c r="H146" s="3" t="s">
        <v>956</v>
      </c>
      <c r="I146" s="3" t="s">
        <v>651</v>
      </c>
      <c r="K146" s="17" t="s">
        <v>957</v>
      </c>
      <c r="L146" s="3">
        <v>20.185229092594511</v>
      </c>
      <c r="M146" s="3">
        <v>18.533803429834471</v>
      </c>
      <c r="N146" s="3">
        <v>18.687516334514999</v>
      </c>
      <c r="O146" s="3">
        <v>16.16582277566372</v>
      </c>
      <c r="P146" s="3">
        <v>17.918401566962789</v>
      </c>
      <c r="Q146" s="3">
        <v>16.101097287190221</v>
      </c>
      <c r="R146" s="3">
        <v>15.60112744121068</v>
      </c>
      <c r="S146" s="3">
        <v>15.34910209549237</v>
      </c>
      <c r="T146" s="3">
        <v>15.12870436226328</v>
      </c>
      <c r="U146" s="3">
        <v>14.889262537326401</v>
      </c>
      <c r="V146" s="3">
        <v>14.889262537326401</v>
      </c>
      <c r="W146" s="3">
        <v>14.889262537326401</v>
      </c>
      <c r="X146" s="3">
        <v>14.889262537326401</v>
      </c>
      <c r="Y146" s="3">
        <v>14.889262537326401</v>
      </c>
      <c r="Z146" s="3">
        <v>14.889262537326401</v>
      </c>
      <c r="AA146" s="3">
        <v>14.889262537326401</v>
      </c>
      <c r="AB146" s="3">
        <v>14.889262537326401</v>
      </c>
      <c r="AC146" s="3">
        <v>14.889262537326401</v>
      </c>
      <c r="AD146" s="3">
        <v>14.889262537326401</v>
      </c>
      <c r="AE146" s="3">
        <v>14.889262537326401</v>
      </c>
      <c r="AG146" s="17" t="s">
        <v>958</v>
      </c>
      <c r="AH146" s="3">
        <v>20.185229092594511</v>
      </c>
      <c r="AI146" s="3">
        <v>18.533803429834471</v>
      </c>
      <c r="AJ146" s="3">
        <v>18.687516334514999</v>
      </c>
      <c r="AK146" s="3">
        <v>16.16582277566372</v>
      </c>
      <c r="AL146" s="3">
        <v>17.918401566962789</v>
      </c>
      <c r="AM146" s="3">
        <v>16.101097287190221</v>
      </c>
      <c r="AN146" s="3">
        <v>15.60112744121068</v>
      </c>
      <c r="AO146" s="3">
        <v>15.34910209549237</v>
      </c>
      <c r="AP146" s="3">
        <v>15.12870436226328</v>
      </c>
      <c r="AQ146" s="3">
        <v>14.889262537326401</v>
      </c>
      <c r="AR146" s="3">
        <v>14.889262537326401</v>
      </c>
      <c r="AS146" s="3">
        <v>14.889262537326401</v>
      </c>
      <c r="AT146" s="3">
        <v>14.889262537326401</v>
      </c>
      <c r="AU146" s="3">
        <v>14.889262537326401</v>
      </c>
      <c r="AV146" s="3">
        <v>14.889262537326401</v>
      </c>
      <c r="AW146" s="3">
        <v>14.889262537326401</v>
      </c>
      <c r="AX146" s="3">
        <v>14.889262537326401</v>
      </c>
      <c r="AY146" s="3">
        <v>14.889262537326401</v>
      </c>
      <c r="AZ146" s="3">
        <v>14.889262537326401</v>
      </c>
      <c r="BA146" s="3">
        <v>14.889262537326401</v>
      </c>
      <c r="BC146" s="17" t="s">
        <v>959</v>
      </c>
      <c r="BD146" s="3">
        <v>20.185229092594511</v>
      </c>
      <c r="BE146" s="3">
        <v>18.533803429834471</v>
      </c>
      <c r="BF146" s="3">
        <v>18.687516334514999</v>
      </c>
      <c r="BG146" s="3">
        <v>16.16582277566372</v>
      </c>
      <c r="BH146" s="3">
        <v>17.918401566962789</v>
      </c>
      <c r="BI146" s="3">
        <v>16.101097287190221</v>
      </c>
      <c r="BJ146" s="3">
        <v>15.60112744121068</v>
      </c>
      <c r="BK146" s="3">
        <v>15.34910209549237</v>
      </c>
      <c r="BL146" s="3">
        <v>15.12870436226328</v>
      </c>
      <c r="BM146" s="3">
        <v>14.889262537326401</v>
      </c>
      <c r="BN146" s="3">
        <v>14.889262537326401</v>
      </c>
      <c r="BO146" s="3">
        <v>14.889262537326401</v>
      </c>
      <c r="BP146" s="3">
        <v>14.889262537326401</v>
      </c>
      <c r="BQ146" s="3">
        <v>14.889262537326401</v>
      </c>
      <c r="BR146" s="3">
        <v>14.889262537326401</v>
      </c>
      <c r="BS146" s="3">
        <v>14.889262537326401</v>
      </c>
      <c r="BT146" s="3">
        <v>14.889262537326401</v>
      </c>
      <c r="BU146" s="3">
        <v>14.889262537326401</v>
      </c>
      <c r="BV146" s="3">
        <v>14.889262537326401</v>
      </c>
      <c r="BW146" s="3">
        <v>14.889262537326401</v>
      </c>
      <c r="BY146" s="17" t="s">
        <v>960</v>
      </c>
      <c r="BZ146" s="3">
        <v>20.185229092594511</v>
      </c>
      <c r="CA146" s="3">
        <v>18.533803429834471</v>
      </c>
      <c r="CB146" s="3">
        <v>18.687516334514999</v>
      </c>
      <c r="CC146" s="3">
        <v>16.16582277566372</v>
      </c>
      <c r="CD146" s="3">
        <v>17.918401566962789</v>
      </c>
      <c r="CE146" s="3">
        <v>16.101097287190221</v>
      </c>
      <c r="CF146" s="3">
        <v>15.60112744121068</v>
      </c>
      <c r="CG146" s="3">
        <v>15.34910209549237</v>
      </c>
      <c r="CH146" s="3">
        <v>15.12870436226328</v>
      </c>
      <c r="CI146" s="3">
        <v>14.889262537326401</v>
      </c>
      <c r="CJ146" s="3">
        <v>14.889262537326401</v>
      </c>
      <c r="CK146" s="3">
        <v>14.889262537326401</v>
      </c>
      <c r="CL146" s="3">
        <v>14.889262537326401</v>
      </c>
      <c r="CM146" s="3">
        <v>14.889262537326401</v>
      </c>
      <c r="CN146" s="3">
        <v>14.889262537326401</v>
      </c>
      <c r="CO146" s="3">
        <v>14.889262537326401</v>
      </c>
      <c r="CP146" s="3">
        <v>14.889262537326401</v>
      </c>
      <c r="CQ146" s="3">
        <v>14.889262537326401</v>
      </c>
      <c r="CR146" s="3">
        <v>14.889262537326401</v>
      </c>
      <c r="CS146" s="3">
        <v>14.889262537326401</v>
      </c>
      <c r="CU146" s="17" t="s">
        <v>961</v>
      </c>
      <c r="CV146" s="3">
        <v>20.185229092594511</v>
      </c>
      <c r="CW146" s="3">
        <v>18.533803429834471</v>
      </c>
      <c r="CX146" s="3">
        <v>18.687516334514999</v>
      </c>
      <c r="CY146" s="3">
        <v>16.16582277566372</v>
      </c>
      <c r="CZ146" s="3">
        <v>17.918401566962789</v>
      </c>
      <c r="DA146" s="3">
        <v>16.101097287190221</v>
      </c>
      <c r="DB146" s="3">
        <v>15.60112744121068</v>
      </c>
      <c r="DC146" s="3">
        <v>15.34910209549237</v>
      </c>
      <c r="DD146" s="3">
        <v>15.12870436226328</v>
      </c>
      <c r="DE146" s="3">
        <v>14.889262537326401</v>
      </c>
      <c r="DF146" s="3">
        <v>14.889262537326401</v>
      </c>
      <c r="DG146" s="3">
        <v>14.889262537326401</v>
      </c>
      <c r="DH146" s="3">
        <v>14.889262537326401</v>
      </c>
      <c r="DI146" s="3">
        <v>14.889262537326401</v>
      </c>
      <c r="DJ146" s="3">
        <v>14.889262537326401</v>
      </c>
      <c r="DK146" s="3">
        <v>14.889262537326401</v>
      </c>
      <c r="DL146" s="3">
        <v>14.889262537326401</v>
      </c>
      <c r="DM146" s="3">
        <v>14.889262537326401</v>
      </c>
      <c r="DN146" s="3">
        <v>14.889262537326401</v>
      </c>
      <c r="DO146" s="3">
        <v>14.889262537326401</v>
      </c>
    </row>
    <row r="147" spans="1:119" x14ac:dyDescent="0.45">
      <c r="A147" s="16" t="s">
        <v>962</v>
      </c>
      <c r="B147" s="3" t="s">
        <v>89</v>
      </c>
      <c r="C147" s="16" t="s">
        <v>963</v>
      </c>
      <c r="H147" s="3" t="s">
        <v>964</v>
      </c>
      <c r="I147" s="3" t="s">
        <v>794</v>
      </c>
      <c r="K147" s="17" t="s">
        <v>965</v>
      </c>
      <c r="L147" s="3">
        <v>4.2212142932163691E-6</v>
      </c>
      <c r="M147" s="3">
        <v>2.5007644074650732E-6</v>
      </c>
      <c r="N147" s="3">
        <v>-5.396046500914186E-2</v>
      </c>
      <c r="O147" s="3">
        <v>-5.396046500914186E-2</v>
      </c>
      <c r="P147" s="3">
        <v>-5.396046500914186E-2</v>
      </c>
      <c r="Q147" s="3">
        <v>-5.396046500914186E-2</v>
      </c>
      <c r="R147" s="3">
        <v>-5.396046500914186E-2</v>
      </c>
      <c r="S147" s="3">
        <v>-5.396046500914186E-2</v>
      </c>
      <c r="T147" s="3">
        <v>-5.396046500914186E-2</v>
      </c>
      <c r="U147" s="3">
        <v>-5.396046500914186E-2</v>
      </c>
      <c r="V147" s="3">
        <v>-5.396046500914186E-2</v>
      </c>
      <c r="W147" s="3">
        <v>-5.396046500914186E-2</v>
      </c>
      <c r="X147" s="3">
        <v>-5.396046500914186E-2</v>
      </c>
      <c r="Y147" s="3">
        <v>-5.396046500914186E-2</v>
      </c>
      <c r="Z147" s="3">
        <v>-5.396046500914186E-2</v>
      </c>
      <c r="AA147" s="3">
        <v>-5.396046500914186E-2</v>
      </c>
      <c r="AB147" s="3">
        <v>-5.396046500914186E-2</v>
      </c>
      <c r="AC147" s="3">
        <v>-5.396046500914186E-2</v>
      </c>
      <c r="AD147" s="3">
        <v>-5.396046500914186E-2</v>
      </c>
      <c r="AE147" s="3">
        <v>-5.396046500914186E-2</v>
      </c>
      <c r="AG147" s="17" t="s">
        <v>966</v>
      </c>
      <c r="AH147" s="3">
        <v>4.2212142932163691E-6</v>
      </c>
      <c r="AI147" s="3">
        <v>2.5007644074650732E-6</v>
      </c>
      <c r="AJ147" s="3">
        <v>-5.396046500914186E-2</v>
      </c>
      <c r="AK147" s="3">
        <v>-5.396046500914186E-2</v>
      </c>
      <c r="AL147" s="3">
        <v>-5.396046500914186E-2</v>
      </c>
      <c r="AM147" s="3">
        <v>-5.396046500914186E-2</v>
      </c>
      <c r="AN147" s="3">
        <v>-5.396046500914186E-2</v>
      </c>
      <c r="AO147" s="3">
        <v>-5.396046500914186E-2</v>
      </c>
      <c r="AP147" s="3">
        <v>-5.396046500914186E-2</v>
      </c>
      <c r="AQ147" s="3">
        <v>-5.396046500914186E-2</v>
      </c>
      <c r="AR147" s="3">
        <v>-5.396046500914186E-2</v>
      </c>
      <c r="AS147" s="3">
        <v>-5.396046500914186E-2</v>
      </c>
      <c r="AT147" s="3">
        <v>-5.396046500914186E-2</v>
      </c>
      <c r="AU147" s="3">
        <v>-5.396046500914186E-2</v>
      </c>
      <c r="AV147" s="3">
        <v>-5.396046500914186E-2</v>
      </c>
      <c r="AW147" s="3">
        <v>-5.396046500914186E-2</v>
      </c>
      <c r="AX147" s="3">
        <v>-5.396046500914186E-2</v>
      </c>
      <c r="AY147" s="3">
        <v>-5.396046500914186E-2</v>
      </c>
      <c r="AZ147" s="3">
        <v>-5.396046500914186E-2</v>
      </c>
      <c r="BA147" s="3">
        <v>-5.396046500914186E-2</v>
      </c>
      <c r="BC147" s="17" t="s">
        <v>967</v>
      </c>
      <c r="BD147" s="3">
        <v>4.2212142932163691E-6</v>
      </c>
      <c r="BE147" s="3">
        <v>2.5007644074650732E-6</v>
      </c>
      <c r="BF147" s="3">
        <v>-5.396046500914186E-2</v>
      </c>
      <c r="BG147" s="3">
        <v>-5.396046500914186E-2</v>
      </c>
      <c r="BH147" s="3">
        <v>-5.396046500914186E-2</v>
      </c>
      <c r="BI147" s="3">
        <v>-5.396046500914186E-2</v>
      </c>
      <c r="BJ147" s="3">
        <v>-5.396046500914186E-2</v>
      </c>
      <c r="BK147" s="3">
        <v>-5.396046500914186E-2</v>
      </c>
      <c r="BL147" s="3">
        <v>-5.396046500914186E-2</v>
      </c>
      <c r="BM147" s="3">
        <v>-5.396046500914186E-2</v>
      </c>
      <c r="BN147" s="3">
        <v>-5.396046500914186E-2</v>
      </c>
      <c r="BO147" s="3">
        <v>-5.396046500914186E-2</v>
      </c>
      <c r="BP147" s="3">
        <v>-5.396046500914186E-2</v>
      </c>
      <c r="BQ147" s="3">
        <v>-5.396046500914186E-2</v>
      </c>
      <c r="BR147" s="3">
        <v>-5.396046500914186E-2</v>
      </c>
      <c r="BS147" s="3">
        <v>-5.396046500914186E-2</v>
      </c>
      <c r="BT147" s="3">
        <v>-5.396046500914186E-2</v>
      </c>
      <c r="BU147" s="3">
        <v>-5.396046500914186E-2</v>
      </c>
      <c r="BV147" s="3">
        <v>-5.396046500914186E-2</v>
      </c>
      <c r="BW147" s="3">
        <v>-5.396046500914186E-2</v>
      </c>
      <c r="BY147" s="17" t="s">
        <v>968</v>
      </c>
      <c r="BZ147" s="3">
        <v>4.2212142932163691E-6</v>
      </c>
      <c r="CA147" s="3">
        <v>2.5007644074650732E-6</v>
      </c>
      <c r="CB147" s="3">
        <v>-5.396046500914186E-2</v>
      </c>
      <c r="CC147" s="3">
        <v>-5.396046500914186E-2</v>
      </c>
      <c r="CD147" s="3">
        <v>-5.396046500914186E-2</v>
      </c>
      <c r="CE147" s="3">
        <v>-5.396046500914186E-2</v>
      </c>
      <c r="CF147" s="3">
        <v>-5.396046500914186E-2</v>
      </c>
      <c r="CG147" s="3">
        <v>-5.396046500914186E-2</v>
      </c>
      <c r="CH147" s="3">
        <v>-5.396046500914186E-2</v>
      </c>
      <c r="CI147" s="3">
        <v>-5.396046500914186E-2</v>
      </c>
      <c r="CJ147" s="3">
        <v>-5.396046500914186E-2</v>
      </c>
      <c r="CK147" s="3">
        <v>-5.396046500914186E-2</v>
      </c>
      <c r="CL147" s="3">
        <v>-5.396046500914186E-2</v>
      </c>
      <c r="CM147" s="3">
        <v>-5.396046500914186E-2</v>
      </c>
      <c r="CN147" s="3">
        <v>-5.396046500914186E-2</v>
      </c>
      <c r="CO147" s="3">
        <v>-5.396046500914186E-2</v>
      </c>
      <c r="CP147" s="3">
        <v>-5.396046500914186E-2</v>
      </c>
      <c r="CQ147" s="3">
        <v>-5.396046500914186E-2</v>
      </c>
      <c r="CR147" s="3">
        <v>-5.396046500914186E-2</v>
      </c>
      <c r="CS147" s="3">
        <v>-5.396046500914186E-2</v>
      </c>
      <c r="CU147" s="17" t="s">
        <v>969</v>
      </c>
      <c r="CV147" s="3">
        <v>4.2212142932163691E-6</v>
      </c>
      <c r="CW147" s="3">
        <v>2.5007644074650732E-6</v>
      </c>
      <c r="CX147" s="3">
        <v>-5.396046500914186E-2</v>
      </c>
      <c r="CY147" s="3">
        <v>-5.396046500914186E-2</v>
      </c>
      <c r="CZ147" s="3">
        <v>-5.396046500914186E-2</v>
      </c>
      <c r="DA147" s="3">
        <v>-5.396046500914186E-2</v>
      </c>
      <c r="DB147" s="3">
        <v>-5.396046500914186E-2</v>
      </c>
      <c r="DC147" s="3">
        <v>-5.396046500914186E-2</v>
      </c>
      <c r="DD147" s="3">
        <v>-5.396046500914186E-2</v>
      </c>
      <c r="DE147" s="3">
        <v>-5.396046500914186E-2</v>
      </c>
      <c r="DF147" s="3">
        <v>-5.396046500914186E-2</v>
      </c>
      <c r="DG147" s="3">
        <v>-5.396046500914186E-2</v>
      </c>
      <c r="DH147" s="3">
        <v>-5.396046500914186E-2</v>
      </c>
      <c r="DI147" s="3">
        <v>-5.396046500914186E-2</v>
      </c>
      <c r="DJ147" s="3">
        <v>-5.396046500914186E-2</v>
      </c>
      <c r="DK147" s="3">
        <v>-5.396046500914186E-2</v>
      </c>
      <c r="DL147" s="3">
        <v>-5.396046500914186E-2</v>
      </c>
      <c r="DM147" s="3">
        <v>-5.396046500914186E-2</v>
      </c>
      <c r="DN147" s="3">
        <v>-5.396046500914186E-2</v>
      </c>
      <c r="DO147" s="3">
        <v>-5.396046500914186E-2</v>
      </c>
    </row>
    <row r="148" spans="1:119" x14ac:dyDescent="0.45">
      <c r="A148" s="16" t="s">
        <v>970</v>
      </c>
      <c r="B148" s="3" t="s">
        <v>89</v>
      </c>
      <c r="C148" s="16" t="s">
        <v>971</v>
      </c>
      <c r="H148" s="3" t="s">
        <v>972</v>
      </c>
      <c r="I148" s="3" t="s">
        <v>794</v>
      </c>
      <c r="K148" s="17" t="s">
        <v>973</v>
      </c>
      <c r="L148" s="3">
        <v>2.0833662255335421E-3</v>
      </c>
      <c r="M148" s="3">
        <v>1.236501605245988E-3</v>
      </c>
      <c r="N148" s="3">
        <v>-5.5615181167683311E-2</v>
      </c>
      <c r="O148" s="3">
        <v>-5.5615181167683311E-2</v>
      </c>
      <c r="P148" s="3">
        <v>-5.5615181167683311E-2</v>
      </c>
      <c r="Q148" s="3">
        <v>-5.5615181167683311E-2</v>
      </c>
      <c r="R148" s="3">
        <v>-5.5615181167683311E-2</v>
      </c>
      <c r="S148" s="3">
        <v>-5.5615181167683311E-2</v>
      </c>
      <c r="T148" s="3">
        <v>-5.5615181167683311E-2</v>
      </c>
      <c r="U148" s="3">
        <v>-5.5615181167683311E-2</v>
      </c>
      <c r="V148" s="3">
        <v>-5.5615181167683311E-2</v>
      </c>
      <c r="W148" s="3">
        <v>-5.5615181167683311E-2</v>
      </c>
      <c r="X148" s="3">
        <v>-5.5615181167683311E-2</v>
      </c>
      <c r="Y148" s="3">
        <v>-5.5615181167683311E-2</v>
      </c>
      <c r="Z148" s="3">
        <v>-5.5615181167683311E-2</v>
      </c>
      <c r="AA148" s="3">
        <v>-5.5615181167683311E-2</v>
      </c>
      <c r="AB148" s="3">
        <v>-5.5615181167683311E-2</v>
      </c>
      <c r="AC148" s="3">
        <v>-5.5615181167683311E-2</v>
      </c>
      <c r="AD148" s="3">
        <v>-5.5615181167683311E-2</v>
      </c>
      <c r="AE148" s="3">
        <v>-5.5615181167683311E-2</v>
      </c>
      <c r="AG148" s="17" t="s">
        <v>974</v>
      </c>
      <c r="AH148" s="3">
        <v>2.0833662255335421E-3</v>
      </c>
      <c r="AI148" s="3">
        <v>1.236501605245988E-3</v>
      </c>
      <c r="AJ148" s="3">
        <v>-5.5615181167683311E-2</v>
      </c>
      <c r="AK148" s="3">
        <v>-5.5615181167683311E-2</v>
      </c>
      <c r="AL148" s="3">
        <v>-5.5615181167683311E-2</v>
      </c>
      <c r="AM148" s="3">
        <v>-5.5615181167683311E-2</v>
      </c>
      <c r="AN148" s="3">
        <v>-5.5615181167683311E-2</v>
      </c>
      <c r="AO148" s="3">
        <v>-5.5615181167683311E-2</v>
      </c>
      <c r="AP148" s="3">
        <v>-5.5615181167683311E-2</v>
      </c>
      <c r="AQ148" s="3">
        <v>-5.5615181167683311E-2</v>
      </c>
      <c r="AR148" s="3">
        <v>-5.5615181167683311E-2</v>
      </c>
      <c r="AS148" s="3">
        <v>-5.5615181167683311E-2</v>
      </c>
      <c r="AT148" s="3">
        <v>-5.5615181167683311E-2</v>
      </c>
      <c r="AU148" s="3">
        <v>-5.5615181167683311E-2</v>
      </c>
      <c r="AV148" s="3">
        <v>-5.5615181167683311E-2</v>
      </c>
      <c r="AW148" s="3">
        <v>-5.5615181167683311E-2</v>
      </c>
      <c r="AX148" s="3">
        <v>-5.5615181167683311E-2</v>
      </c>
      <c r="AY148" s="3">
        <v>-5.5615181167683311E-2</v>
      </c>
      <c r="AZ148" s="3">
        <v>-5.5615181167683311E-2</v>
      </c>
      <c r="BA148" s="3">
        <v>-5.5615181167683311E-2</v>
      </c>
      <c r="BC148" s="17" t="s">
        <v>975</v>
      </c>
      <c r="BD148" s="3">
        <v>2.0833662255335421E-3</v>
      </c>
      <c r="BE148" s="3">
        <v>1.236501605245988E-3</v>
      </c>
      <c r="BF148" s="3">
        <v>-5.5615181167683311E-2</v>
      </c>
      <c r="BG148" s="3">
        <v>-5.5615181167683311E-2</v>
      </c>
      <c r="BH148" s="3">
        <v>-5.5615181167683311E-2</v>
      </c>
      <c r="BI148" s="3">
        <v>-5.5615181167683311E-2</v>
      </c>
      <c r="BJ148" s="3">
        <v>-5.5615181167683311E-2</v>
      </c>
      <c r="BK148" s="3">
        <v>-5.5615181167683311E-2</v>
      </c>
      <c r="BL148" s="3">
        <v>-5.5615181167683311E-2</v>
      </c>
      <c r="BM148" s="3">
        <v>-5.5615181167683311E-2</v>
      </c>
      <c r="BN148" s="3">
        <v>-5.5615181167683311E-2</v>
      </c>
      <c r="BO148" s="3">
        <v>-5.5615181167683311E-2</v>
      </c>
      <c r="BP148" s="3">
        <v>-5.5615181167683311E-2</v>
      </c>
      <c r="BQ148" s="3">
        <v>-5.5615181167683311E-2</v>
      </c>
      <c r="BR148" s="3">
        <v>-5.5615181167683311E-2</v>
      </c>
      <c r="BS148" s="3">
        <v>-5.5615181167683311E-2</v>
      </c>
      <c r="BT148" s="3">
        <v>-5.5615181167683311E-2</v>
      </c>
      <c r="BU148" s="3">
        <v>-5.5615181167683311E-2</v>
      </c>
      <c r="BV148" s="3">
        <v>-5.5615181167683311E-2</v>
      </c>
      <c r="BW148" s="3">
        <v>-5.5615181167683311E-2</v>
      </c>
      <c r="BY148" s="17" t="s">
        <v>976</v>
      </c>
      <c r="BZ148" s="3">
        <v>2.0833662255335421E-3</v>
      </c>
      <c r="CA148" s="3">
        <v>1.236501605245988E-3</v>
      </c>
      <c r="CB148" s="3">
        <v>-5.5615181167683311E-2</v>
      </c>
      <c r="CC148" s="3">
        <v>-5.5615181167683311E-2</v>
      </c>
      <c r="CD148" s="3">
        <v>-5.5615181167683311E-2</v>
      </c>
      <c r="CE148" s="3">
        <v>-5.5615181167683311E-2</v>
      </c>
      <c r="CF148" s="3">
        <v>-5.5615181167683311E-2</v>
      </c>
      <c r="CG148" s="3">
        <v>-5.5615181167683311E-2</v>
      </c>
      <c r="CH148" s="3">
        <v>-5.5615181167683311E-2</v>
      </c>
      <c r="CI148" s="3">
        <v>-5.5615181167683311E-2</v>
      </c>
      <c r="CJ148" s="3">
        <v>-5.5615181167683311E-2</v>
      </c>
      <c r="CK148" s="3">
        <v>-5.5615181167683311E-2</v>
      </c>
      <c r="CL148" s="3">
        <v>-5.5615181167683311E-2</v>
      </c>
      <c r="CM148" s="3">
        <v>-5.5615181167683311E-2</v>
      </c>
      <c r="CN148" s="3">
        <v>-5.5615181167683311E-2</v>
      </c>
      <c r="CO148" s="3">
        <v>-5.5615181167683311E-2</v>
      </c>
      <c r="CP148" s="3">
        <v>-5.5615181167683311E-2</v>
      </c>
      <c r="CQ148" s="3">
        <v>-5.5615181167683311E-2</v>
      </c>
      <c r="CR148" s="3">
        <v>-5.5615181167683311E-2</v>
      </c>
      <c r="CS148" s="3">
        <v>-5.5615181167683311E-2</v>
      </c>
      <c r="CU148" s="17" t="s">
        <v>977</v>
      </c>
      <c r="CV148" s="3">
        <v>2.0833662255335421E-3</v>
      </c>
      <c r="CW148" s="3">
        <v>1.236501605245988E-3</v>
      </c>
      <c r="CX148" s="3">
        <v>-5.5615181167683311E-2</v>
      </c>
      <c r="CY148" s="3">
        <v>-5.5615181167683311E-2</v>
      </c>
      <c r="CZ148" s="3">
        <v>-5.5615181167683311E-2</v>
      </c>
      <c r="DA148" s="3">
        <v>-5.5615181167683311E-2</v>
      </c>
      <c r="DB148" s="3">
        <v>-5.5615181167683311E-2</v>
      </c>
      <c r="DC148" s="3">
        <v>-5.5615181167683311E-2</v>
      </c>
      <c r="DD148" s="3">
        <v>-5.5615181167683311E-2</v>
      </c>
      <c r="DE148" s="3">
        <v>-5.5615181167683311E-2</v>
      </c>
      <c r="DF148" s="3">
        <v>-5.5615181167683311E-2</v>
      </c>
      <c r="DG148" s="3">
        <v>-5.5615181167683311E-2</v>
      </c>
      <c r="DH148" s="3">
        <v>-5.5615181167683311E-2</v>
      </c>
      <c r="DI148" s="3">
        <v>-5.5615181167683311E-2</v>
      </c>
      <c r="DJ148" s="3">
        <v>-5.5615181167683311E-2</v>
      </c>
      <c r="DK148" s="3">
        <v>-5.5615181167683311E-2</v>
      </c>
      <c r="DL148" s="3">
        <v>-5.5615181167683311E-2</v>
      </c>
      <c r="DM148" s="3">
        <v>-5.5615181167683311E-2</v>
      </c>
      <c r="DN148" s="3">
        <v>-5.5615181167683311E-2</v>
      </c>
      <c r="DO148" s="3">
        <v>-5.5615181167683311E-2</v>
      </c>
    </row>
    <row r="149" spans="1:119" x14ac:dyDescent="0.45">
      <c r="A149" s="16" t="s">
        <v>978</v>
      </c>
      <c r="B149" s="3" t="s">
        <v>89</v>
      </c>
      <c r="C149" s="16" t="s">
        <v>979</v>
      </c>
      <c r="H149" s="3" t="s">
        <v>980</v>
      </c>
      <c r="I149" s="3" t="s">
        <v>651</v>
      </c>
      <c r="K149" s="17" t="s">
        <v>981</v>
      </c>
      <c r="L149" s="3">
        <v>0.3513080422852588</v>
      </c>
      <c r="M149" s="3">
        <v>0.2168850913754605</v>
      </c>
      <c r="N149" s="3">
        <v>0.16639243739366541</v>
      </c>
      <c r="O149" s="3">
        <v>0.16639243739366541</v>
      </c>
      <c r="P149" s="3">
        <v>0.16639243739366541</v>
      </c>
      <c r="Q149" s="3">
        <v>0.16639243739366541</v>
      </c>
      <c r="R149" s="3">
        <v>0.16639243739366541</v>
      </c>
      <c r="S149" s="3">
        <v>0.16639243739366541</v>
      </c>
      <c r="T149" s="3">
        <v>0.16639243739366541</v>
      </c>
      <c r="U149" s="3">
        <v>0.16639243739366541</v>
      </c>
      <c r="V149" s="3">
        <v>0.16639243739366541</v>
      </c>
      <c r="W149" s="3">
        <v>0.16639243739366541</v>
      </c>
      <c r="X149" s="3">
        <v>0.16639243739366541</v>
      </c>
      <c r="Y149" s="3">
        <v>0.16639243739366541</v>
      </c>
      <c r="Z149" s="3">
        <v>0.16639243739366541</v>
      </c>
      <c r="AA149" s="3">
        <v>0.16639243739366541</v>
      </c>
      <c r="AB149" s="3">
        <v>0.16639243739366541</v>
      </c>
      <c r="AC149" s="3">
        <v>0.16639243739366541</v>
      </c>
      <c r="AD149" s="3">
        <v>0.16639243739366541</v>
      </c>
      <c r="AE149" s="3">
        <v>0.16639243739366541</v>
      </c>
      <c r="AG149" s="17" t="s">
        <v>982</v>
      </c>
      <c r="AH149" s="3">
        <v>0.3513080422852588</v>
      </c>
      <c r="AI149" s="3">
        <v>0.2168850913754605</v>
      </c>
      <c r="AJ149" s="3">
        <v>0.16639243739366541</v>
      </c>
      <c r="AK149" s="3">
        <v>0.16639243739366541</v>
      </c>
      <c r="AL149" s="3">
        <v>0.16639243739366541</v>
      </c>
      <c r="AM149" s="3">
        <v>0.16639243739366541</v>
      </c>
      <c r="AN149" s="3">
        <v>0.16639243739366541</v>
      </c>
      <c r="AO149" s="3">
        <v>0.16639243739366541</v>
      </c>
      <c r="AP149" s="3">
        <v>0.16639243739366541</v>
      </c>
      <c r="AQ149" s="3">
        <v>0.16639243739366541</v>
      </c>
      <c r="AR149" s="3">
        <v>0.16639243739366541</v>
      </c>
      <c r="AS149" s="3">
        <v>0.16639243739366541</v>
      </c>
      <c r="AT149" s="3">
        <v>0.16639243739366541</v>
      </c>
      <c r="AU149" s="3">
        <v>0.16639243739366541</v>
      </c>
      <c r="AV149" s="3">
        <v>0.16639243739366541</v>
      </c>
      <c r="AW149" s="3">
        <v>0.16639243739366541</v>
      </c>
      <c r="AX149" s="3">
        <v>0.16639243739366541</v>
      </c>
      <c r="AY149" s="3">
        <v>0.16639243739366541</v>
      </c>
      <c r="AZ149" s="3">
        <v>0.16639243739366541</v>
      </c>
      <c r="BA149" s="3">
        <v>0.16639243739366541</v>
      </c>
      <c r="BC149" s="17" t="s">
        <v>983</v>
      </c>
      <c r="BD149" s="3">
        <v>0.3513080422852588</v>
      </c>
      <c r="BE149" s="3">
        <v>0.2168850913754605</v>
      </c>
      <c r="BF149" s="3">
        <v>0.16639243739366541</v>
      </c>
      <c r="BG149" s="3">
        <v>0.16639243739366541</v>
      </c>
      <c r="BH149" s="3">
        <v>0.16639243739366541</v>
      </c>
      <c r="BI149" s="3">
        <v>0.16639243739366541</v>
      </c>
      <c r="BJ149" s="3">
        <v>0.16639243739366541</v>
      </c>
      <c r="BK149" s="3">
        <v>0.16639243739366541</v>
      </c>
      <c r="BL149" s="3">
        <v>0.16639243739366541</v>
      </c>
      <c r="BM149" s="3">
        <v>0.16639243739366541</v>
      </c>
      <c r="BN149" s="3">
        <v>0.16639243739366541</v>
      </c>
      <c r="BO149" s="3">
        <v>0.16639243739366541</v>
      </c>
      <c r="BP149" s="3">
        <v>0.16639243739366541</v>
      </c>
      <c r="BQ149" s="3">
        <v>0.16639243739366541</v>
      </c>
      <c r="BR149" s="3">
        <v>0.16639243739366541</v>
      </c>
      <c r="BS149" s="3">
        <v>0.16639243739366541</v>
      </c>
      <c r="BT149" s="3">
        <v>0.16639243739366541</v>
      </c>
      <c r="BU149" s="3">
        <v>0.16639243739366541</v>
      </c>
      <c r="BV149" s="3">
        <v>0.16639243739366541</v>
      </c>
      <c r="BW149" s="3">
        <v>0.16639243739366541</v>
      </c>
      <c r="BY149" s="17" t="s">
        <v>984</v>
      </c>
      <c r="BZ149" s="3">
        <v>0.3513080422852588</v>
      </c>
      <c r="CA149" s="3">
        <v>0.2168850913754605</v>
      </c>
      <c r="CB149" s="3">
        <v>0.16639243739366541</v>
      </c>
      <c r="CC149" s="3">
        <v>0.16639243739366541</v>
      </c>
      <c r="CD149" s="3">
        <v>0.16639243739366541</v>
      </c>
      <c r="CE149" s="3">
        <v>0.16639243739366541</v>
      </c>
      <c r="CF149" s="3">
        <v>0.16639243739366541</v>
      </c>
      <c r="CG149" s="3">
        <v>0.16639243739366541</v>
      </c>
      <c r="CH149" s="3">
        <v>0.16639243739366541</v>
      </c>
      <c r="CI149" s="3">
        <v>0.16639243739366541</v>
      </c>
      <c r="CJ149" s="3">
        <v>0.16639243739366541</v>
      </c>
      <c r="CK149" s="3">
        <v>0.16639243739366541</v>
      </c>
      <c r="CL149" s="3">
        <v>0.16639243739366541</v>
      </c>
      <c r="CM149" s="3">
        <v>0.16639243739366541</v>
      </c>
      <c r="CN149" s="3">
        <v>0.16639243739366541</v>
      </c>
      <c r="CO149" s="3">
        <v>0.16639243739366541</v>
      </c>
      <c r="CP149" s="3">
        <v>0.16639243739366541</v>
      </c>
      <c r="CQ149" s="3">
        <v>0.16639243739366541</v>
      </c>
      <c r="CR149" s="3">
        <v>0.16639243739366541</v>
      </c>
      <c r="CS149" s="3">
        <v>0.16639243739366541</v>
      </c>
      <c r="CU149" s="17" t="s">
        <v>985</v>
      </c>
      <c r="CV149" s="3">
        <v>0.3513080422852588</v>
      </c>
      <c r="CW149" s="3">
        <v>0.2168850913754605</v>
      </c>
      <c r="CX149" s="3">
        <v>0.16639243739366541</v>
      </c>
      <c r="CY149" s="3">
        <v>0.16639243739366541</v>
      </c>
      <c r="CZ149" s="3">
        <v>0.16639243739366541</v>
      </c>
      <c r="DA149" s="3">
        <v>0.16639243739366541</v>
      </c>
      <c r="DB149" s="3">
        <v>0.16639243739366541</v>
      </c>
      <c r="DC149" s="3">
        <v>0.16639243739366541</v>
      </c>
      <c r="DD149" s="3">
        <v>0.16639243739366541</v>
      </c>
      <c r="DE149" s="3">
        <v>0.16639243739366541</v>
      </c>
      <c r="DF149" s="3">
        <v>0.16639243739366541</v>
      </c>
      <c r="DG149" s="3">
        <v>0.16639243739366541</v>
      </c>
      <c r="DH149" s="3">
        <v>0.16639243739366541</v>
      </c>
      <c r="DI149" s="3">
        <v>0.16639243739366541</v>
      </c>
      <c r="DJ149" s="3">
        <v>0.16639243739366541</v>
      </c>
      <c r="DK149" s="3">
        <v>0.16639243739366541</v>
      </c>
      <c r="DL149" s="3">
        <v>0.16639243739366541</v>
      </c>
      <c r="DM149" s="3">
        <v>0.16639243739366541</v>
      </c>
      <c r="DN149" s="3">
        <v>0.16639243739366541</v>
      </c>
      <c r="DO149" s="3">
        <v>0.16639243739366541</v>
      </c>
    </row>
    <row r="150" spans="1:119" x14ac:dyDescent="0.45">
      <c r="A150" s="16" t="s">
        <v>986</v>
      </c>
      <c r="B150" s="3" t="s">
        <v>89</v>
      </c>
      <c r="C150" s="16" t="s">
        <v>987</v>
      </c>
      <c r="H150" s="3" t="s">
        <v>988</v>
      </c>
      <c r="I150" s="3" t="s">
        <v>651</v>
      </c>
      <c r="K150" s="17" t="s">
        <v>989</v>
      </c>
      <c r="L150" s="3">
        <v>-7.083825529503021</v>
      </c>
      <c r="M150" s="3">
        <v>-5.1366471845249269</v>
      </c>
      <c r="N150" s="3">
        <v>-4.5359593350077274</v>
      </c>
      <c r="O150" s="3">
        <v>-4.5123786275725912</v>
      </c>
      <c r="P150" s="3">
        <v>-4.4563678253278667</v>
      </c>
      <c r="Q150" s="3">
        <v>-4.5230786320188408</v>
      </c>
      <c r="R150" s="3">
        <v>-4.6015528959366438</v>
      </c>
      <c r="S150" s="3">
        <v>-4.6295064404917881</v>
      </c>
      <c r="T150" s="3">
        <v>-4.6374366109586127</v>
      </c>
      <c r="U150" s="3">
        <v>-4.6419305471942494</v>
      </c>
      <c r="V150" s="3">
        <v>-4.6419305471942494</v>
      </c>
      <c r="W150" s="3">
        <v>-4.6419305471942494</v>
      </c>
      <c r="X150" s="3">
        <v>-4.6419305471942494</v>
      </c>
      <c r="Y150" s="3">
        <v>-4.6419305471942494</v>
      </c>
      <c r="Z150" s="3">
        <v>-4.6419305471942494</v>
      </c>
      <c r="AA150" s="3">
        <v>-4.6419305471942494</v>
      </c>
      <c r="AB150" s="3">
        <v>-4.6419305471942494</v>
      </c>
      <c r="AC150" s="3">
        <v>-4.6419305471942494</v>
      </c>
      <c r="AD150" s="3">
        <v>-4.6419305471942494</v>
      </c>
      <c r="AE150" s="3">
        <v>-4.6419305471942494</v>
      </c>
      <c r="AG150" s="17" t="s">
        <v>990</v>
      </c>
      <c r="AH150" s="3">
        <v>-7.083825529503021</v>
      </c>
      <c r="AI150" s="3">
        <v>-5.1366471845249269</v>
      </c>
      <c r="AJ150" s="3">
        <v>-4.5359593350077274</v>
      </c>
      <c r="AK150" s="3">
        <v>-4.5123786275725912</v>
      </c>
      <c r="AL150" s="3">
        <v>-4.4563678253278667</v>
      </c>
      <c r="AM150" s="3">
        <v>-4.5230786320188408</v>
      </c>
      <c r="AN150" s="3">
        <v>-4.6015528959366438</v>
      </c>
      <c r="AO150" s="3">
        <v>-4.6295064404917881</v>
      </c>
      <c r="AP150" s="3">
        <v>-4.6374366109586127</v>
      </c>
      <c r="AQ150" s="3">
        <v>-4.6419305471942494</v>
      </c>
      <c r="AR150" s="3">
        <v>-4.6419305471942494</v>
      </c>
      <c r="AS150" s="3">
        <v>-4.6419305471942494</v>
      </c>
      <c r="AT150" s="3">
        <v>-4.6419305471942494</v>
      </c>
      <c r="AU150" s="3">
        <v>-4.6419305471942494</v>
      </c>
      <c r="AV150" s="3">
        <v>-4.6419305471942494</v>
      </c>
      <c r="AW150" s="3">
        <v>-4.6419305471942494</v>
      </c>
      <c r="AX150" s="3">
        <v>-4.6419305471942494</v>
      </c>
      <c r="AY150" s="3">
        <v>-4.6419305471942494</v>
      </c>
      <c r="AZ150" s="3">
        <v>-4.6419305471942494</v>
      </c>
      <c r="BA150" s="3">
        <v>-4.6419305471942494</v>
      </c>
      <c r="BC150" s="17" t="s">
        <v>991</v>
      </c>
      <c r="BD150" s="3">
        <v>-7.083825529503021</v>
      </c>
      <c r="BE150" s="3">
        <v>-5.1366471845249269</v>
      </c>
      <c r="BF150" s="3">
        <v>-4.5359593350077274</v>
      </c>
      <c r="BG150" s="3">
        <v>-4.5123786275725912</v>
      </c>
      <c r="BH150" s="3">
        <v>-4.4563678253278667</v>
      </c>
      <c r="BI150" s="3">
        <v>-4.5230786320188408</v>
      </c>
      <c r="BJ150" s="3">
        <v>-4.6015528959366438</v>
      </c>
      <c r="BK150" s="3">
        <v>-4.6295064404917881</v>
      </c>
      <c r="BL150" s="3">
        <v>-4.6374366109586127</v>
      </c>
      <c r="BM150" s="3">
        <v>-4.6419305471942494</v>
      </c>
      <c r="BN150" s="3">
        <v>-4.6419305471942494</v>
      </c>
      <c r="BO150" s="3">
        <v>-4.6419305471942494</v>
      </c>
      <c r="BP150" s="3">
        <v>-4.6419305471942494</v>
      </c>
      <c r="BQ150" s="3">
        <v>-4.6419305471942494</v>
      </c>
      <c r="BR150" s="3">
        <v>-4.6419305471942494</v>
      </c>
      <c r="BS150" s="3">
        <v>-4.6419305471942494</v>
      </c>
      <c r="BT150" s="3">
        <v>-4.6419305471942494</v>
      </c>
      <c r="BU150" s="3">
        <v>-4.6419305471942494</v>
      </c>
      <c r="BV150" s="3">
        <v>-4.6419305471942494</v>
      </c>
      <c r="BW150" s="3">
        <v>-4.6419305471942494</v>
      </c>
      <c r="BY150" s="17" t="s">
        <v>992</v>
      </c>
      <c r="BZ150" s="3">
        <v>-7.083825529503021</v>
      </c>
      <c r="CA150" s="3">
        <v>-5.1366471845249269</v>
      </c>
      <c r="CB150" s="3">
        <v>-4.5359593350077274</v>
      </c>
      <c r="CC150" s="3">
        <v>-4.5123786275725912</v>
      </c>
      <c r="CD150" s="3">
        <v>-4.4563678253278667</v>
      </c>
      <c r="CE150" s="3">
        <v>-4.5230786320188408</v>
      </c>
      <c r="CF150" s="3">
        <v>-4.6015528959366438</v>
      </c>
      <c r="CG150" s="3">
        <v>-4.6295064404917881</v>
      </c>
      <c r="CH150" s="3">
        <v>-4.6374366109586127</v>
      </c>
      <c r="CI150" s="3">
        <v>-4.6419305471942494</v>
      </c>
      <c r="CJ150" s="3">
        <v>-4.6419305471942494</v>
      </c>
      <c r="CK150" s="3">
        <v>-4.6419305471942494</v>
      </c>
      <c r="CL150" s="3">
        <v>-4.6419305471942494</v>
      </c>
      <c r="CM150" s="3">
        <v>-4.6419305471942494</v>
      </c>
      <c r="CN150" s="3">
        <v>-4.6419305471942494</v>
      </c>
      <c r="CO150" s="3">
        <v>-4.6419305471942494</v>
      </c>
      <c r="CP150" s="3">
        <v>-4.6419305471942494</v>
      </c>
      <c r="CQ150" s="3">
        <v>-4.6419305471942494</v>
      </c>
      <c r="CR150" s="3">
        <v>-4.6419305471942494</v>
      </c>
      <c r="CS150" s="3">
        <v>-4.6419305471942494</v>
      </c>
      <c r="CU150" s="17" t="s">
        <v>993</v>
      </c>
      <c r="CV150" s="3">
        <v>-7.083825529503021</v>
      </c>
      <c r="CW150" s="3">
        <v>-5.1366471845249269</v>
      </c>
      <c r="CX150" s="3">
        <v>-4.5359593350077274</v>
      </c>
      <c r="CY150" s="3">
        <v>-4.5123786275725912</v>
      </c>
      <c r="CZ150" s="3">
        <v>-4.4563678253278667</v>
      </c>
      <c r="DA150" s="3">
        <v>-4.5230786320188408</v>
      </c>
      <c r="DB150" s="3">
        <v>-4.6015528959366438</v>
      </c>
      <c r="DC150" s="3">
        <v>-4.6295064404917881</v>
      </c>
      <c r="DD150" s="3">
        <v>-4.6374366109586127</v>
      </c>
      <c r="DE150" s="3">
        <v>-4.6419305471942494</v>
      </c>
      <c r="DF150" s="3">
        <v>-4.6419305471942494</v>
      </c>
      <c r="DG150" s="3">
        <v>-4.6419305471942494</v>
      </c>
      <c r="DH150" s="3">
        <v>-4.6419305471942494</v>
      </c>
      <c r="DI150" s="3">
        <v>-4.6419305471942494</v>
      </c>
      <c r="DJ150" s="3">
        <v>-4.6419305471942494</v>
      </c>
      <c r="DK150" s="3">
        <v>-4.6419305471942494</v>
      </c>
      <c r="DL150" s="3">
        <v>-4.6419305471942494</v>
      </c>
      <c r="DM150" s="3">
        <v>-4.6419305471942494</v>
      </c>
      <c r="DN150" s="3">
        <v>-4.6419305471942494</v>
      </c>
      <c r="DO150" s="3">
        <v>-4.6419305471942494</v>
      </c>
    </row>
    <row r="151" spans="1:119" x14ac:dyDescent="0.45">
      <c r="A151" s="16" t="s">
        <v>994</v>
      </c>
      <c r="B151" s="3" t="s">
        <v>89</v>
      </c>
      <c r="C151" s="16" t="s">
        <v>995</v>
      </c>
      <c r="H151" s="3" t="s">
        <v>996</v>
      </c>
      <c r="I151" s="3" t="s">
        <v>651</v>
      </c>
      <c r="K151" s="17" t="s">
        <v>997</v>
      </c>
      <c r="L151" s="3">
        <v>0.1785826785295595</v>
      </c>
      <c r="M151" s="3">
        <v>0.1909610589681689</v>
      </c>
      <c r="N151" s="3">
        <v>3.0189629972428452E-3</v>
      </c>
      <c r="O151" s="3">
        <v>3.0189629972428452E-3</v>
      </c>
      <c r="P151" s="3">
        <v>3.0189629972428452E-3</v>
      </c>
      <c r="Q151" s="3">
        <v>3.0189629972428452E-3</v>
      </c>
      <c r="R151" s="3">
        <v>3.0189629972428452E-3</v>
      </c>
      <c r="S151" s="3">
        <v>3.0189629972428452E-3</v>
      </c>
      <c r="T151" s="3">
        <v>3.0189629972428452E-3</v>
      </c>
      <c r="U151" s="3">
        <v>3.0189629972428452E-3</v>
      </c>
      <c r="V151" s="3">
        <v>3.0189629972428452E-3</v>
      </c>
      <c r="W151" s="3">
        <v>3.0189629972428452E-3</v>
      </c>
      <c r="X151" s="3">
        <v>3.0189629972428452E-3</v>
      </c>
      <c r="Y151" s="3">
        <v>3.0189629972428452E-3</v>
      </c>
      <c r="Z151" s="3">
        <v>3.0189629972428452E-3</v>
      </c>
      <c r="AA151" s="3">
        <v>3.0189629972428452E-3</v>
      </c>
      <c r="AB151" s="3">
        <v>3.0189629972428452E-3</v>
      </c>
      <c r="AC151" s="3">
        <v>3.0189629972428452E-3</v>
      </c>
      <c r="AD151" s="3">
        <v>3.0189629972428452E-3</v>
      </c>
      <c r="AE151" s="3">
        <v>3.0189629972428452E-3</v>
      </c>
      <c r="AG151" s="17" t="s">
        <v>998</v>
      </c>
      <c r="AH151" s="3">
        <v>0.1785826785295595</v>
      </c>
      <c r="AI151" s="3">
        <v>0.1909610589681689</v>
      </c>
      <c r="AJ151" s="3">
        <v>3.0189629972428452E-3</v>
      </c>
      <c r="AK151" s="3">
        <v>3.0189629972428452E-3</v>
      </c>
      <c r="AL151" s="3">
        <v>3.0189629972428452E-3</v>
      </c>
      <c r="AM151" s="3">
        <v>3.0189629972428452E-3</v>
      </c>
      <c r="AN151" s="3">
        <v>3.0189629972428452E-3</v>
      </c>
      <c r="AO151" s="3">
        <v>3.0189629972428452E-3</v>
      </c>
      <c r="AP151" s="3">
        <v>3.0189629972428452E-3</v>
      </c>
      <c r="AQ151" s="3">
        <v>3.0189629972428452E-3</v>
      </c>
      <c r="AR151" s="3">
        <v>3.0189629972428452E-3</v>
      </c>
      <c r="AS151" s="3">
        <v>3.0189629972428452E-3</v>
      </c>
      <c r="AT151" s="3">
        <v>3.0189629972428452E-3</v>
      </c>
      <c r="AU151" s="3">
        <v>3.0189629972428452E-3</v>
      </c>
      <c r="AV151" s="3">
        <v>3.0189629972428452E-3</v>
      </c>
      <c r="AW151" s="3">
        <v>3.0189629972428452E-3</v>
      </c>
      <c r="AX151" s="3">
        <v>3.0189629972428452E-3</v>
      </c>
      <c r="AY151" s="3">
        <v>3.0189629972428452E-3</v>
      </c>
      <c r="AZ151" s="3">
        <v>3.0189629972428452E-3</v>
      </c>
      <c r="BA151" s="3">
        <v>3.0189629972428452E-3</v>
      </c>
      <c r="BC151" s="17" t="s">
        <v>999</v>
      </c>
      <c r="BD151" s="3">
        <v>0.1785826785295595</v>
      </c>
      <c r="BE151" s="3">
        <v>0.1909610589681689</v>
      </c>
      <c r="BF151" s="3">
        <v>3.0189629972428452E-3</v>
      </c>
      <c r="BG151" s="3">
        <v>3.0189629972428452E-3</v>
      </c>
      <c r="BH151" s="3">
        <v>3.0189629972428452E-3</v>
      </c>
      <c r="BI151" s="3">
        <v>3.0189629972428452E-3</v>
      </c>
      <c r="BJ151" s="3">
        <v>3.0189629972428452E-3</v>
      </c>
      <c r="BK151" s="3">
        <v>3.0189629972428452E-3</v>
      </c>
      <c r="BL151" s="3">
        <v>3.0189629972428452E-3</v>
      </c>
      <c r="BM151" s="3">
        <v>3.0189629972428452E-3</v>
      </c>
      <c r="BN151" s="3">
        <v>3.0189629972428452E-3</v>
      </c>
      <c r="BO151" s="3">
        <v>3.0189629972428452E-3</v>
      </c>
      <c r="BP151" s="3">
        <v>3.0189629972428452E-3</v>
      </c>
      <c r="BQ151" s="3">
        <v>3.0189629972428452E-3</v>
      </c>
      <c r="BR151" s="3">
        <v>3.0189629972428452E-3</v>
      </c>
      <c r="BS151" s="3">
        <v>3.0189629972428452E-3</v>
      </c>
      <c r="BT151" s="3">
        <v>3.0189629972428452E-3</v>
      </c>
      <c r="BU151" s="3">
        <v>3.0189629972428452E-3</v>
      </c>
      <c r="BV151" s="3">
        <v>3.0189629972428452E-3</v>
      </c>
      <c r="BW151" s="3">
        <v>3.0189629972428452E-3</v>
      </c>
      <c r="BY151" s="17" t="s">
        <v>1000</v>
      </c>
      <c r="BZ151" s="3">
        <v>0.1785826785295595</v>
      </c>
      <c r="CA151" s="3">
        <v>0.1909610589681689</v>
      </c>
      <c r="CB151" s="3">
        <v>3.0189629972428452E-3</v>
      </c>
      <c r="CC151" s="3">
        <v>3.0189629972428452E-3</v>
      </c>
      <c r="CD151" s="3">
        <v>3.0189629972428452E-3</v>
      </c>
      <c r="CE151" s="3">
        <v>3.0189629972428452E-3</v>
      </c>
      <c r="CF151" s="3">
        <v>3.0189629972428452E-3</v>
      </c>
      <c r="CG151" s="3">
        <v>3.0189629972428452E-3</v>
      </c>
      <c r="CH151" s="3">
        <v>3.0189629972428452E-3</v>
      </c>
      <c r="CI151" s="3">
        <v>3.0189629972428452E-3</v>
      </c>
      <c r="CJ151" s="3">
        <v>3.0189629972428452E-3</v>
      </c>
      <c r="CK151" s="3">
        <v>3.0189629972428452E-3</v>
      </c>
      <c r="CL151" s="3">
        <v>3.0189629972428452E-3</v>
      </c>
      <c r="CM151" s="3">
        <v>3.0189629972428452E-3</v>
      </c>
      <c r="CN151" s="3">
        <v>3.0189629972428452E-3</v>
      </c>
      <c r="CO151" s="3">
        <v>3.0189629972428452E-3</v>
      </c>
      <c r="CP151" s="3">
        <v>3.0189629972428452E-3</v>
      </c>
      <c r="CQ151" s="3">
        <v>3.0189629972428452E-3</v>
      </c>
      <c r="CR151" s="3">
        <v>3.0189629972428452E-3</v>
      </c>
      <c r="CS151" s="3">
        <v>3.0189629972428452E-3</v>
      </c>
      <c r="CU151" s="17" t="s">
        <v>1001</v>
      </c>
      <c r="CV151" s="3">
        <v>0.1785826785295595</v>
      </c>
      <c r="CW151" s="3">
        <v>0.1909610589681689</v>
      </c>
      <c r="CX151" s="3">
        <v>3.0189629972428452E-3</v>
      </c>
      <c r="CY151" s="3">
        <v>3.0189629972428452E-3</v>
      </c>
      <c r="CZ151" s="3">
        <v>3.0189629972428452E-3</v>
      </c>
      <c r="DA151" s="3">
        <v>3.0189629972428452E-3</v>
      </c>
      <c r="DB151" s="3">
        <v>3.0189629972428452E-3</v>
      </c>
      <c r="DC151" s="3">
        <v>3.0189629972428452E-3</v>
      </c>
      <c r="DD151" s="3">
        <v>3.0189629972428452E-3</v>
      </c>
      <c r="DE151" s="3">
        <v>3.0189629972428452E-3</v>
      </c>
      <c r="DF151" s="3">
        <v>3.0189629972428452E-3</v>
      </c>
      <c r="DG151" s="3">
        <v>3.0189629972428452E-3</v>
      </c>
      <c r="DH151" s="3">
        <v>3.0189629972428452E-3</v>
      </c>
      <c r="DI151" s="3">
        <v>3.0189629972428452E-3</v>
      </c>
      <c r="DJ151" s="3">
        <v>3.0189629972428452E-3</v>
      </c>
      <c r="DK151" s="3">
        <v>3.0189629972428452E-3</v>
      </c>
      <c r="DL151" s="3">
        <v>3.0189629972428452E-3</v>
      </c>
      <c r="DM151" s="3">
        <v>3.0189629972428452E-3</v>
      </c>
      <c r="DN151" s="3">
        <v>3.0189629972428452E-3</v>
      </c>
      <c r="DO151" s="3">
        <v>3.0189629972428452E-3</v>
      </c>
    </row>
    <row r="152" spans="1:119" x14ac:dyDescent="0.45">
      <c r="A152" s="16" t="s">
        <v>1002</v>
      </c>
      <c r="B152" s="3" t="s">
        <v>89</v>
      </c>
      <c r="C152" s="16" t="s">
        <v>1003</v>
      </c>
      <c r="H152" s="3" t="s">
        <v>1004</v>
      </c>
      <c r="I152" s="3" t="s">
        <v>651</v>
      </c>
      <c r="K152" s="17" t="s">
        <v>1005</v>
      </c>
      <c r="L152" s="3">
        <v>-12.01507647581756</v>
      </c>
      <c r="M152" s="3">
        <v>-12.00075317803916</v>
      </c>
      <c r="N152" s="3">
        <v>-12.393378681504309</v>
      </c>
      <c r="O152" s="3">
        <v>-12.329606163489959</v>
      </c>
      <c r="P152" s="3">
        <v>-12.178128524196239</v>
      </c>
      <c r="Q152" s="3">
        <v>-12.35854364249389</v>
      </c>
      <c r="R152" s="3">
        <v>-12.570772279956421</v>
      </c>
      <c r="S152" s="3">
        <v>-12.64637085682744</v>
      </c>
      <c r="T152" s="3">
        <v>-12.66781749664279</v>
      </c>
      <c r="U152" s="3">
        <v>-12.67997106032746</v>
      </c>
      <c r="V152" s="3">
        <v>-12.67997106032746</v>
      </c>
      <c r="W152" s="3">
        <v>-12.67997106032746</v>
      </c>
      <c r="X152" s="3">
        <v>-12.67997106032746</v>
      </c>
      <c r="Y152" s="3">
        <v>-12.67997106032746</v>
      </c>
      <c r="Z152" s="3">
        <v>-12.67997106032746</v>
      </c>
      <c r="AA152" s="3">
        <v>-12.67997106032746</v>
      </c>
      <c r="AB152" s="3">
        <v>-12.67997106032746</v>
      </c>
      <c r="AC152" s="3">
        <v>-12.67997106032746</v>
      </c>
      <c r="AD152" s="3">
        <v>-12.67997106032746</v>
      </c>
      <c r="AE152" s="3">
        <v>-12.67997106032746</v>
      </c>
      <c r="AG152" s="17" t="s">
        <v>1006</v>
      </c>
      <c r="AH152" s="3">
        <v>-12.01507647581756</v>
      </c>
      <c r="AI152" s="3">
        <v>-12.00075317803916</v>
      </c>
      <c r="AJ152" s="3">
        <v>-12.393378681504309</v>
      </c>
      <c r="AK152" s="3">
        <v>-12.329606163489959</v>
      </c>
      <c r="AL152" s="3">
        <v>-12.178128524196239</v>
      </c>
      <c r="AM152" s="3">
        <v>-12.35854364249389</v>
      </c>
      <c r="AN152" s="3">
        <v>-12.570772279956421</v>
      </c>
      <c r="AO152" s="3">
        <v>-12.64637085682744</v>
      </c>
      <c r="AP152" s="3">
        <v>-12.66781749664279</v>
      </c>
      <c r="AQ152" s="3">
        <v>-12.67997106032746</v>
      </c>
      <c r="AR152" s="3">
        <v>-12.67997106032746</v>
      </c>
      <c r="AS152" s="3">
        <v>-12.67997106032746</v>
      </c>
      <c r="AT152" s="3">
        <v>-12.67997106032746</v>
      </c>
      <c r="AU152" s="3">
        <v>-12.67997106032746</v>
      </c>
      <c r="AV152" s="3">
        <v>-12.67997106032746</v>
      </c>
      <c r="AW152" s="3">
        <v>-12.67997106032746</v>
      </c>
      <c r="AX152" s="3">
        <v>-12.67997106032746</v>
      </c>
      <c r="AY152" s="3">
        <v>-12.67997106032746</v>
      </c>
      <c r="AZ152" s="3">
        <v>-12.67997106032746</v>
      </c>
      <c r="BA152" s="3">
        <v>-12.67997106032746</v>
      </c>
      <c r="BC152" s="17" t="s">
        <v>1007</v>
      </c>
      <c r="BD152" s="3">
        <v>-12.01507647581756</v>
      </c>
      <c r="BE152" s="3">
        <v>-12.00075317803916</v>
      </c>
      <c r="BF152" s="3">
        <v>-12.393378681504309</v>
      </c>
      <c r="BG152" s="3">
        <v>-12.329606163489959</v>
      </c>
      <c r="BH152" s="3">
        <v>-12.178128524196239</v>
      </c>
      <c r="BI152" s="3">
        <v>-12.35854364249389</v>
      </c>
      <c r="BJ152" s="3">
        <v>-12.570772279956421</v>
      </c>
      <c r="BK152" s="3">
        <v>-12.64637085682744</v>
      </c>
      <c r="BL152" s="3">
        <v>-12.66781749664279</v>
      </c>
      <c r="BM152" s="3">
        <v>-12.67997106032746</v>
      </c>
      <c r="BN152" s="3">
        <v>-12.67997106032746</v>
      </c>
      <c r="BO152" s="3">
        <v>-12.67997106032746</v>
      </c>
      <c r="BP152" s="3">
        <v>-12.67997106032746</v>
      </c>
      <c r="BQ152" s="3">
        <v>-12.67997106032746</v>
      </c>
      <c r="BR152" s="3">
        <v>-12.67997106032746</v>
      </c>
      <c r="BS152" s="3">
        <v>-12.67997106032746</v>
      </c>
      <c r="BT152" s="3">
        <v>-12.67997106032746</v>
      </c>
      <c r="BU152" s="3">
        <v>-12.67997106032746</v>
      </c>
      <c r="BV152" s="3">
        <v>-12.67997106032746</v>
      </c>
      <c r="BW152" s="3">
        <v>-12.67997106032746</v>
      </c>
      <c r="BY152" s="17" t="s">
        <v>1008</v>
      </c>
      <c r="BZ152" s="3">
        <v>-12.01507647581756</v>
      </c>
      <c r="CA152" s="3">
        <v>-12.00075317803916</v>
      </c>
      <c r="CB152" s="3">
        <v>-12.393378681504309</v>
      </c>
      <c r="CC152" s="3">
        <v>-12.329606163489959</v>
      </c>
      <c r="CD152" s="3">
        <v>-12.178128524196239</v>
      </c>
      <c r="CE152" s="3">
        <v>-12.35854364249389</v>
      </c>
      <c r="CF152" s="3">
        <v>-12.570772279956421</v>
      </c>
      <c r="CG152" s="3">
        <v>-12.64637085682744</v>
      </c>
      <c r="CH152" s="3">
        <v>-12.66781749664279</v>
      </c>
      <c r="CI152" s="3">
        <v>-12.67997106032746</v>
      </c>
      <c r="CJ152" s="3">
        <v>-12.67997106032746</v>
      </c>
      <c r="CK152" s="3">
        <v>-12.67997106032746</v>
      </c>
      <c r="CL152" s="3">
        <v>-12.67997106032746</v>
      </c>
      <c r="CM152" s="3">
        <v>-12.67997106032746</v>
      </c>
      <c r="CN152" s="3">
        <v>-12.67997106032746</v>
      </c>
      <c r="CO152" s="3">
        <v>-12.67997106032746</v>
      </c>
      <c r="CP152" s="3">
        <v>-12.67997106032746</v>
      </c>
      <c r="CQ152" s="3">
        <v>-12.67997106032746</v>
      </c>
      <c r="CR152" s="3">
        <v>-12.67997106032746</v>
      </c>
      <c r="CS152" s="3">
        <v>-12.67997106032746</v>
      </c>
      <c r="CU152" s="17" t="s">
        <v>1009</v>
      </c>
      <c r="CV152" s="3">
        <v>-12.01507647581756</v>
      </c>
      <c r="CW152" s="3">
        <v>-12.00075317803916</v>
      </c>
      <c r="CX152" s="3">
        <v>-12.393378681504309</v>
      </c>
      <c r="CY152" s="3">
        <v>-12.329606163489959</v>
      </c>
      <c r="CZ152" s="3">
        <v>-12.178128524196239</v>
      </c>
      <c r="DA152" s="3">
        <v>-12.35854364249389</v>
      </c>
      <c r="DB152" s="3">
        <v>-12.570772279956421</v>
      </c>
      <c r="DC152" s="3">
        <v>-12.64637085682744</v>
      </c>
      <c r="DD152" s="3">
        <v>-12.66781749664279</v>
      </c>
      <c r="DE152" s="3">
        <v>-12.67997106032746</v>
      </c>
      <c r="DF152" s="3">
        <v>-12.67997106032746</v>
      </c>
      <c r="DG152" s="3">
        <v>-12.67997106032746</v>
      </c>
      <c r="DH152" s="3">
        <v>-12.67997106032746</v>
      </c>
      <c r="DI152" s="3">
        <v>-12.67997106032746</v>
      </c>
      <c r="DJ152" s="3">
        <v>-12.67997106032746</v>
      </c>
      <c r="DK152" s="3">
        <v>-12.67997106032746</v>
      </c>
      <c r="DL152" s="3">
        <v>-12.67997106032746</v>
      </c>
      <c r="DM152" s="3">
        <v>-12.67997106032746</v>
      </c>
      <c r="DN152" s="3">
        <v>-12.67997106032746</v>
      </c>
      <c r="DO152" s="3">
        <v>-12.67997106032746</v>
      </c>
    </row>
    <row r="153" spans="1:119" x14ac:dyDescent="0.45">
      <c r="A153" s="16" t="s">
        <v>1010</v>
      </c>
      <c r="B153" s="3" t="s">
        <v>89</v>
      </c>
      <c r="C153" s="16" t="s">
        <v>1011</v>
      </c>
      <c r="H153" s="3" t="s">
        <v>1012</v>
      </c>
      <c r="I153" s="3" t="s">
        <v>651</v>
      </c>
      <c r="K153" s="17" t="s">
        <v>1013</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G153" s="17" t="s">
        <v>1014</v>
      </c>
      <c r="AH153" s="3">
        <v>0</v>
      </c>
      <c r="AI153" s="3">
        <v>0</v>
      </c>
      <c r="AJ153" s="3">
        <v>0</v>
      </c>
      <c r="AK153" s="3">
        <v>0</v>
      </c>
      <c r="AL153" s="3">
        <v>0</v>
      </c>
      <c r="AM153" s="3">
        <v>0</v>
      </c>
      <c r="AN153" s="3">
        <v>0</v>
      </c>
      <c r="AO153" s="3">
        <v>0</v>
      </c>
      <c r="AP153" s="3">
        <v>0</v>
      </c>
      <c r="AQ153" s="3">
        <v>0</v>
      </c>
      <c r="AR153" s="3">
        <v>0</v>
      </c>
      <c r="AS153" s="3">
        <v>0</v>
      </c>
      <c r="AT153" s="3">
        <v>0</v>
      </c>
      <c r="AU153" s="3">
        <v>0</v>
      </c>
      <c r="AV153" s="3">
        <v>0</v>
      </c>
      <c r="AW153" s="3">
        <v>0</v>
      </c>
      <c r="AX153" s="3">
        <v>0</v>
      </c>
      <c r="AY153" s="3">
        <v>0</v>
      </c>
      <c r="AZ153" s="3">
        <v>0</v>
      </c>
      <c r="BA153" s="3">
        <v>0</v>
      </c>
      <c r="BC153" s="17" t="s">
        <v>1015</v>
      </c>
      <c r="BD153" s="3">
        <v>0</v>
      </c>
      <c r="BE153" s="3">
        <v>0</v>
      </c>
      <c r="BF153" s="3">
        <v>0</v>
      </c>
      <c r="BG153" s="3">
        <v>0</v>
      </c>
      <c r="BH153" s="3">
        <v>0</v>
      </c>
      <c r="BI153" s="3">
        <v>0</v>
      </c>
      <c r="BJ153" s="3">
        <v>0</v>
      </c>
      <c r="BK153" s="3">
        <v>0</v>
      </c>
      <c r="BL153" s="3">
        <v>0</v>
      </c>
      <c r="BM153" s="3">
        <v>0</v>
      </c>
      <c r="BN153" s="3">
        <v>0</v>
      </c>
      <c r="BO153" s="3">
        <v>0</v>
      </c>
      <c r="BP153" s="3">
        <v>0</v>
      </c>
      <c r="BQ153" s="3">
        <v>0</v>
      </c>
      <c r="BR153" s="3">
        <v>0</v>
      </c>
      <c r="BS153" s="3">
        <v>0</v>
      </c>
      <c r="BT153" s="3">
        <v>0</v>
      </c>
      <c r="BU153" s="3">
        <v>0</v>
      </c>
      <c r="BV153" s="3">
        <v>0</v>
      </c>
      <c r="BW153" s="3">
        <v>0</v>
      </c>
      <c r="BY153" s="17" t="s">
        <v>1016</v>
      </c>
      <c r="BZ153" s="3">
        <v>0</v>
      </c>
      <c r="CA153" s="3">
        <v>0</v>
      </c>
      <c r="CB153" s="3">
        <v>0</v>
      </c>
      <c r="CC153" s="3">
        <v>0</v>
      </c>
      <c r="CD153" s="3">
        <v>0</v>
      </c>
      <c r="CE153" s="3">
        <v>0</v>
      </c>
      <c r="CF153" s="3">
        <v>0</v>
      </c>
      <c r="CG153" s="3">
        <v>0</v>
      </c>
      <c r="CH153" s="3">
        <v>0</v>
      </c>
      <c r="CI153" s="3">
        <v>0</v>
      </c>
      <c r="CJ153" s="3">
        <v>0</v>
      </c>
      <c r="CK153" s="3">
        <v>0</v>
      </c>
      <c r="CL153" s="3">
        <v>0</v>
      </c>
      <c r="CM153" s="3">
        <v>0</v>
      </c>
      <c r="CN153" s="3">
        <v>0</v>
      </c>
      <c r="CO153" s="3">
        <v>0</v>
      </c>
      <c r="CP153" s="3">
        <v>0</v>
      </c>
      <c r="CQ153" s="3">
        <v>0</v>
      </c>
      <c r="CR153" s="3">
        <v>0</v>
      </c>
      <c r="CS153" s="3">
        <v>0</v>
      </c>
      <c r="CU153" s="17" t="s">
        <v>1017</v>
      </c>
      <c r="CV153" s="3">
        <v>0</v>
      </c>
      <c r="CW153" s="3">
        <v>0</v>
      </c>
      <c r="CX153" s="3">
        <v>0</v>
      </c>
      <c r="CY153" s="3">
        <v>0</v>
      </c>
      <c r="CZ153" s="3">
        <v>0</v>
      </c>
      <c r="DA153" s="3">
        <v>0</v>
      </c>
      <c r="DB153" s="3">
        <v>0</v>
      </c>
      <c r="DC153" s="3">
        <v>0</v>
      </c>
      <c r="DD153" s="3">
        <v>0</v>
      </c>
      <c r="DE153" s="3">
        <v>0</v>
      </c>
      <c r="DF153" s="3">
        <v>0</v>
      </c>
      <c r="DG153" s="3">
        <v>0</v>
      </c>
      <c r="DH153" s="3">
        <v>0</v>
      </c>
      <c r="DI153" s="3">
        <v>0</v>
      </c>
      <c r="DJ153" s="3">
        <v>0</v>
      </c>
      <c r="DK153" s="3">
        <v>0</v>
      </c>
      <c r="DL153" s="3">
        <v>0</v>
      </c>
      <c r="DM153" s="3">
        <v>0</v>
      </c>
      <c r="DN153" s="3">
        <v>0</v>
      </c>
      <c r="DO153" s="3">
        <v>0</v>
      </c>
    </row>
    <row r="154" spans="1:119" x14ac:dyDescent="0.45">
      <c r="A154" s="16" t="s">
        <v>1018</v>
      </c>
      <c r="B154" s="3" t="s">
        <v>89</v>
      </c>
      <c r="C154" s="16" t="s">
        <v>1019</v>
      </c>
      <c r="H154" s="3" t="s">
        <v>1020</v>
      </c>
      <c r="I154" s="3" t="s">
        <v>651</v>
      </c>
      <c r="K154" s="17" t="s">
        <v>1021</v>
      </c>
      <c r="L154" s="3">
        <v>-8.4481828247746282</v>
      </c>
      <c r="M154" s="3">
        <v>-6.8874835126506708</v>
      </c>
      <c r="N154" s="3">
        <v>-6.1132522836772738</v>
      </c>
      <c r="O154" s="3">
        <v>-6.1258112282741672</v>
      </c>
      <c r="P154" s="3">
        <v>-6.155642248575572</v>
      </c>
      <c r="Q154" s="3">
        <v>-6.1201124695156954</v>
      </c>
      <c r="R154" s="3">
        <v>-6.0783175430684446</v>
      </c>
      <c r="S154" s="3">
        <v>-6.0634296514171639</v>
      </c>
      <c r="T154" s="3">
        <v>-6.0592060897699698</v>
      </c>
      <c r="U154" s="3">
        <v>-6.0568126460465121</v>
      </c>
      <c r="V154" s="3">
        <v>-6.0568126460465121</v>
      </c>
      <c r="W154" s="3">
        <v>-6.0568126460465121</v>
      </c>
      <c r="X154" s="3">
        <v>-6.0568126460465121</v>
      </c>
      <c r="Y154" s="3">
        <v>-6.0568126460465121</v>
      </c>
      <c r="Z154" s="3">
        <v>-6.0568126460465121</v>
      </c>
      <c r="AA154" s="3">
        <v>-6.0568126460465121</v>
      </c>
      <c r="AB154" s="3">
        <v>-6.0568126460465121</v>
      </c>
      <c r="AC154" s="3">
        <v>-6.0568126460465121</v>
      </c>
      <c r="AD154" s="3">
        <v>-6.0568126460465121</v>
      </c>
      <c r="AE154" s="3">
        <v>-6.0568126460465121</v>
      </c>
      <c r="AG154" s="17" t="s">
        <v>1022</v>
      </c>
      <c r="AH154" s="3">
        <v>-8.4481828247746282</v>
      </c>
      <c r="AI154" s="3">
        <v>-6.8874835126506708</v>
      </c>
      <c r="AJ154" s="3">
        <v>-6.1132522836772738</v>
      </c>
      <c r="AK154" s="3">
        <v>-6.1258112282741672</v>
      </c>
      <c r="AL154" s="3">
        <v>-6.155642248575572</v>
      </c>
      <c r="AM154" s="3">
        <v>-6.1201124695156954</v>
      </c>
      <c r="AN154" s="3">
        <v>-6.0783175430684446</v>
      </c>
      <c r="AO154" s="3">
        <v>-6.0634296514171639</v>
      </c>
      <c r="AP154" s="3">
        <v>-6.0592060897699698</v>
      </c>
      <c r="AQ154" s="3">
        <v>-6.0568126460465121</v>
      </c>
      <c r="AR154" s="3">
        <v>-6.0568126460465121</v>
      </c>
      <c r="AS154" s="3">
        <v>-6.0568126460465121</v>
      </c>
      <c r="AT154" s="3">
        <v>-6.0568126460465121</v>
      </c>
      <c r="AU154" s="3">
        <v>-6.0568126460465121</v>
      </c>
      <c r="AV154" s="3">
        <v>-6.0568126460465121</v>
      </c>
      <c r="AW154" s="3">
        <v>-6.0568126460465121</v>
      </c>
      <c r="AX154" s="3">
        <v>-6.0568126460465121</v>
      </c>
      <c r="AY154" s="3">
        <v>-6.0568126460465121</v>
      </c>
      <c r="AZ154" s="3">
        <v>-6.0568126460465121</v>
      </c>
      <c r="BA154" s="3">
        <v>-6.0568126460465121</v>
      </c>
      <c r="BC154" s="17" t="s">
        <v>1023</v>
      </c>
      <c r="BD154" s="3">
        <v>-8.4481828247746282</v>
      </c>
      <c r="BE154" s="3">
        <v>-6.8874835126506708</v>
      </c>
      <c r="BF154" s="3">
        <v>-6.1132522836772738</v>
      </c>
      <c r="BG154" s="3">
        <v>-6.1258112282741672</v>
      </c>
      <c r="BH154" s="3">
        <v>-6.155642248575572</v>
      </c>
      <c r="BI154" s="3">
        <v>-6.1201124695156954</v>
      </c>
      <c r="BJ154" s="3">
        <v>-6.0783175430684446</v>
      </c>
      <c r="BK154" s="3">
        <v>-6.0634296514171639</v>
      </c>
      <c r="BL154" s="3">
        <v>-6.0592060897699698</v>
      </c>
      <c r="BM154" s="3">
        <v>-6.0568126460465121</v>
      </c>
      <c r="BN154" s="3">
        <v>-6.0568126460465121</v>
      </c>
      <c r="BO154" s="3">
        <v>-6.0568126460465121</v>
      </c>
      <c r="BP154" s="3">
        <v>-6.0568126460465121</v>
      </c>
      <c r="BQ154" s="3">
        <v>-6.0568126460465121</v>
      </c>
      <c r="BR154" s="3">
        <v>-6.0568126460465121</v>
      </c>
      <c r="BS154" s="3">
        <v>-6.0568126460465121</v>
      </c>
      <c r="BT154" s="3">
        <v>-6.0568126460465121</v>
      </c>
      <c r="BU154" s="3">
        <v>-6.0568126460465121</v>
      </c>
      <c r="BV154" s="3">
        <v>-6.0568126460465121</v>
      </c>
      <c r="BW154" s="3">
        <v>-6.0568126460465121</v>
      </c>
      <c r="BY154" s="17" t="s">
        <v>1024</v>
      </c>
      <c r="BZ154" s="3">
        <v>-8.4481828247746282</v>
      </c>
      <c r="CA154" s="3">
        <v>-6.8874835126506708</v>
      </c>
      <c r="CB154" s="3">
        <v>-6.1132522836772738</v>
      </c>
      <c r="CC154" s="3">
        <v>-6.1258112282741672</v>
      </c>
      <c r="CD154" s="3">
        <v>-6.155642248575572</v>
      </c>
      <c r="CE154" s="3">
        <v>-6.1201124695156954</v>
      </c>
      <c r="CF154" s="3">
        <v>-6.0783175430684446</v>
      </c>
      <c r="CG154" s="3">
        <v>-6.0634296514171639</v>
      </c>
      <c r="CH154" s="3">
        <v>-6.0592060897699698</v>
      </c>
      <c r="CI154" s="3">
        <v>-6.0568126460465121</v>
      </c>
      <c r="CJ154" s="3">
        <v>-6.0568126460465121</v>
      </c>
      <c r="CK154" s="3">
        <v>-6.0568126460465121</v>
      </c>
      <c r="CL154" s="3">
        <v>-6.0568126460465121</v>
      </c>
      <c r="CM154" s="3">
        <v>-6.0568126460465121</v>
      </c>
      <c r="CN154" s="3">
        <v>-6.0568126460465121</v>
      </c>
      <c r="CO154" s="3">
        <v>-6.0568126460465121</v>
      </c>
      <c r="CP154" s="3">
        <v>-6.0568126460465121</v>
      </c>
      <c r="CQ154" s="3">
        <v>-6.0568126460465121</v>
      </c>
      <c r="CR154" s="3">
        <v>-6.0568126460465121</v>
      </c>
      <c r="CS154" s="3">
        <v>-6.0568126460465121</v>
      </c>
      <c r="CU154" s="17" t="s">
        <v>1025</v>
      </c>
      <c r="CV154" s="3">
        <v>-8.4481828247746282</v>
      </c>
      <c r="CW154" s="3">
        <v>-6.8874835126506708</v>
      </c>
      <c r="CX154" s="3">
        <v>-6.1132522836772738</v>
      </c>
      <c r="CY154" s="3">
        <v>-6.1258112282741672</v>
      </c>
      <c r="CZ154" s="3">
        <v>-6.155642248575572</v>
      </c>
      <c r="DA154" s="3">
        <v>-6.1201124695156954</v>
      </c>
      <c r="DB154" s="3">
        <v>-6.0783175430684446</v>
      </c>
      <c r="DC154" s="3">
        <v>-6.0634296514171639</v>
      </c>
      <c r="DD154" s="3">
        <v>-6.0592060897699698</v>
      </c>
      <c r="DE154" s="3">
        <v>-6.0568126460465121</v>
      </c>
      <c r="DF154" s="3">
        <v>-6.0568126460465121</v>
      </c>
      <c r="DG154" s="3">
        <v>-6.0568126460465121</v>
      </c>
      <c r="DH154" s="3">
        <v>-6.0568126460465121</v>
      </c>
      <c r="DI154" s="3">
        <v>-6.0568126460465121</v>
      </c>
      <c r="DJ154" s="3">
        <v>-6.0568126460465121</v>
      </c>
      <c r="DK154" s="3">
        <v>-6.0568126460465121</v>
      </c>
      <c r="DL154" s="3">
        <v>-6.0568126460465121</v>
      </c>
      <c r="DM154" s="3">
        <v>-6.0568126460465121</v>
      </c>
      <c r="DN154" s="3">
        <v>-6.0568126460465121</v>
      </c>
      <c r="DO154" s="3">
        <v>-6.0568126460465121</v>
      </c>
    </row>
    <row r="155" spans="1:119" x14ac:dyDescent="0.45">
      <c r="A155" s="16" t="s">
        <v>1026</v>
      </c>
      <c r="B155" s="3" t="s">
        <v>89</v>
      </c>
      <c r="C155" s="16" t="s">
        <v>1027</v>
      </c>
      <c r="H155" s="3" t="s">
        <v>1028</v>
      </c>
      <c r="I155" s="3" t="s">
        <v>651</v>
      </c>
      <c r="K155" s="17" t="s">
        <v>1029</v>
      </c>
      <c r="L155" s="3">
        <v>-13.854714758473699</v>
      </c>
      <c r="M155" s="3">
        <v>-11.329546833760171</v>
      </c>
      <c r="N155" s="3">
        <v>-10.9501344727272</v>
      </c>
      <c r="O155" s="3">
        <v>-8.6457661115833506</v>
      </c>
      <c r="P155" s="3">
        <v>-10.2473037381144</v>
      </c>
      <c r="Q155" s="3">
        <v>-8.5866188106457031</v>
      </c>
      <c r="R155" s="3">
        <v>-8.1297374855706366</v>
      </c>
      <c r="S155" s="3">
        <v>-7.8994322485044179</v>
      </c>
      <c r="T155" s="3">
        <v>-7.6980288854596584</v>
      </c>
      <c r="U155" s="3">
        <v>-7.4792226931757604</v>
      </c>
      <c r="V155" s="3">
        <v>-7.4792226931757604</v>
      </c>
      <c r="W155" s="3">
        <v>-7.4792226931757604</v>
      </c>
      <c r="X155" s="3">
        <v>-7.4792226931757604</v>
      </c>
      <c r="Y155" s="3">
        <v>-7.4792226931757604</v>
      </c>
      <c r="Z155" s="3">
        <v>-7.4792226931757604</v>
      </c>
      <c r="AA155" s="3">
        <v>-7.4792226931757604</v>
      </c>
      <c r="AB155" s="3">
        <v>-7.4792226931757604</v>
      </c>
      <c r="AC155" s="3">
        <v>-7.4792226931757604</v>
      </c>
      <c r="AD155" s="3">
        <v>-7.4792226931757604</v>
      </c>
      <c r="AE155" s="3">
        <v>-7.4792226931757604</v>
      </c>
      <c r="AG155" s="17" t="s">
        <v>1030</v>
      </c>
      <c r="AH155" s="3">
        <v>-13.854714758473699</v>
      </c>
      <c r="AI155" s="3">
        <v>-11.329546833760171</v>
      </c>
      <c r="AJ155" s="3">
        <v>-10.9501344727272</v>
      </c>
      <c r="AK155" s="3">
        <v>-8.6457661115833506</v>
      </c>
      <c r="AL155" s="3">
        <v>-10.2473037381144</v>
      </c>
      <c r="AM155" s="3">
        <v>-8.5866188106457031</v>
      </c>
      <c r="AN155" s="3">
        <v>-8.1297374855706366</v>
      </c>
      <c r="AO155" s="3">
        <v>-7.8994322485044179</v>
      </c>
      <c r="AP155" s="3">
        <v>-7.6980288854596584</v>
      </c>
      <c r="AQ155" s="3">
        <v>-7.4792226931757604</v>
      </c>
      <c r="AR155" s="3">
        <v>-7.4792226931757604</v>
      </c>
      <c r="AS155" s="3">
        <v>-7.4792226931757604</v>
      </c>
      <c r="AT155" s="3">
        <v>-7.4792226931757604</v>
      </c>
      <c r="AU155" s="3">
        <v>-7.4792226931757604</v>
      </c>
      <c r="AV155" s="3">
        <v>-7.4792226931757604</v>
      </c>
      <c r="AW155" s="3">
        <v>-7.4792226931757604</v>
      </c>
      <c r="AX155" s="3">
        <v>-7.4792226931757604</v>
      </c>
      <c r="AY155" s="3">
        <v>-7.4792226931757604</v>
      </c>
      <c r="AZ155" s="3">
        <v>-7.4792226931757604</v>
      </c>
      <c r="BA155" s="3">
        <v>-7.4792226931757604</v>
      </c>
      <c r="BC155" s="17" t="s">
        <v>1031</v>
      </c>
      <c r="BD155" s="3">
        <v>-13.854714758473699</v>
      </c>
      <c r="BE155" s="3">
        <v>-11.329546833760171</v>
      </c>
      <c r="BF155" s="3">
        <v>-10.9501344727272</v>
      </c>
      <c r="BG155" s="3">
        <v>-8.6457661115833506</v>
      </c>
      <c r="BH155" s="3">
        <v>-10.2473037381144</v>
      </c>
      <c r="BI155" s="3">
        <v>-8.5866188106457031</v>
      </c>
      <c r="BJ155" s="3">
        <v>-8.1297374855706366</v>
      </c>
      <c r="BK155" s="3">
        <v>-7.8994322485044179</v>
      </c>
      <c r="BL155" s="3">
        <v>-7.6980288854596584</v>
      </c>
      <c r="BM155" s="3">
        <v>-7.4792226931757604</v>
      </c>
      <c r="BN155" s="3">
        <v>-7.4792226931757604</v>
      </c>
      <c r="BO155" s="3">
        <v>-7.4792226931757604</v>
      </c>
      <c r="BP155" s="3">
        <v>-7.4792226931757604</v>
      </c>
      <c r="BQ155" s="3">
        <v>-7.4792226931757604</v>
      </c>
      <c r="BR155" s="3">
        <v>-7.4792226931757604</v>
      </c>
      <c r="BS155" s="3">
        <v>-7.4792226931757604</v>
      </c>
      <c r="BT155" s="3">
        <v>-7.4792226931757604</v>
      </c>
      <c r="BU155" s="3">
        <v>-7.4792226931757604</v>
      </c>
      <c r="BV155" s="3">
        <v>-7.4792226931757604</v>
      </c>
      <c r="BW155" s="3">
        <v>-7.4792226931757604</v>
      </c>
      <c r="BY155" s="17" t="s">
        <v>1032</v>
      </c>
      <c r="BZ155" s="3">
        <v>-13.854714758473699</v>
      </c>
      <c r="CA155" s="3">
        <v>-11.329546833760171</v>
      </c>
      <c r="CB155" s="3">
        <v>-10.9501344727272</v>
      </c>
      <c r="CC155" s="3">
        <v>-8.6457661115833506</v>
      </c>
      <c r="CD155" s="3">
        <v>-10.2473037381144</v>
      </c>
      <c r="CE155" s="3">
        <v>-8.5866188106457031</v>
      </c>
      <c r="CF155" s="3">
        <v>-8.1297374855706366</v>
      </c>
      <c r="CG155" s="3">
        <v>-7.8994322485044179</v>
      </c>
      <c r="CH155" s="3">
        <v>-7.6980288854596584</v>
      </c>
      <c r="CI155" s="3">
        <v>-7.4792226931757604</v>
      </c>
      <c r="CJ155" s="3">
        <v>-7.4792226931757604</v>
      </c>
      <c r="CK155" s="3">
        <v>-7.4792226931757604</v>
      </c>
      <c r="CL155" s="3">
        <v>-7.4792226931757604</v>
      </c>
      <c r="CM155" s="3">
        <v>-7.4792226931757604</v>
      </c>
      <c r="CN155" s="3">
        <v>-7.4792226931757604</v>
      </c>
      <c r="CO155" s="3">
        <v>-7.4792226931757604</v>
      </c>
      <c r="CP155" s="3">
        <v>-7.4792226931757604</v>
      </c>
      <c r="CQ155" s="3">
        <v>-7.4792226931757604</v>
      </c>
      <c r="CR155" s="3">
        <v>-7.4792226931757604</v>
      </c>
      <c r="CS155" s="3">
        <v>-7.4792226931757604</v>
      </c>
      <c r="CU155" s="17" t="s">
        <v>1033</v>
      </c>
      <c r="CV155" s="3">
        <v>-13.854714758473699</v>
      </c>
      <c r="CW155" s="3">
        <v>-11.329546833760171</v>
      </c>
      <c r="CX155" s="3">
        <v>-10.9501344727272</v>
      </c>
      <c r="CY155" s="3">
        <v>-8.6457661115833506</v>
      </c>
      <c r="CZ155" s="3">
        <v>-10.2473037381144</v>
      </c>
      <c r="DA155" s="3">
        <v>-8.5866188106457031</v>
      </c>
      <c r="DB155" s="3">
        <v>-8.1297374855706366</v>
      </c>
      <c r="DC155" s="3">
        <v>-7.8994322485044179</v>
      </c>
      <c r="DD155" s="3">
        <v>-7.6980288854596584</v>
      </c>
      <c r="DE155" s="3">
        <v>-7.4792226931757604</v>
      </c>
      <c r="DF155" s="3">
        <v>-7.4792226931757604</v>
      </c>
      <c r="DG155" s="3">
        <v>-7.4792226931757604</v>
      </c>
      <c r="DH155" s="3">
        <v>-7.4792226931757604</v>
      </c>
      <c r="DI155" s="3">
        <v>-7.4792226931757604</v>
      </c>
      <c r="DJ155" s="3">
        <v>-7.4792226931757604</v>
      </c>
      <c r="DK155" s="3">
        <v>-7.4792226931757604</v>
      </c>
      <c r="DL155" s="3">
        <v>-7.4792226931757604</v>
      </c>
      <c r="DM155" s="3">
        <v>-7.4792226931757604</v>
      </c>
      <c r="DN155" s="3">
        <v>-7.4792226931757604</v>
      </c>
      <c r="DO155" s="3">
        <v>-7.4792226931757604</v>
      </c>
    </row>
    <row r="156" spans="1:119" x14ac:dyDescent="0.45">
      <c r="A156" s="16" t="s">
        <v>1034</v>
      </c>
      <c r="B156" s="3" t="s">
        <v>89</v>
      </c>
      <c r="C156" s="16" t="s">
        <v>1035</v>
      </c>
      <c r="H156" s="3" t="s">
        <v>1036</v>
      </c>
      <c r="I156" s="3" t="s">
        <v>651</v>
      </c>
      <c r="K156" s="17" t="s">
        <v>1037</v>
      </c>
      <c r="L156" s="3">
        <v>-10.074341016629241</v>
      </c>
      <c r="M156" s="3">
        <v>-11.5075692809627</v>
      </c>
      <c r="N156" s="3">
        <v>-12.403359811849359</v>
      </c>
      <c r="O156" s="3">
        <v>-9.459576486082895</v>
      </c>
      <c r="P156" s="3">
        <v>-11.50550796130479</v>
      </c>
      <c r="Q156" s="3">
        <v>-9.3840170220665122</v>
      </c>
      <c r="R156" s="3">
        <v>-8.8003604985311625</v>
      </c>
      <c r="S156" s="3">
        <v>-8.5061502810398544</v>
      </c>
      <c r="T156" s="3">
        <v>-8.2488616149213208</v>
      </c>
      <c r="U156" s="3">
        <v>-7.9693411913289509</v>
      </c>
      <c r="V156" s="3">
        <v>-7.9693411913289509</v>
      </c>
      <c r="W156" s="3">
        <v>-7.9693411913289509</v>
      </c>
      <c r="X156" s="3">
        <v>-7.9693411913289509</v>
      </c>
      <c r="Y156" s="3">
        <v>-7.9693411913289509</v>
      </c>
      <c r="Z156" s="3">
        <v>-7.9693411913289509</v>
      </c>
      <c r="AA156" s="3">
        <v>-7.9693411913289509</v>
      </c>
      <c r="AB156" s="3">
        <v>-7.9693411913289509</v>
      </c>
      <c r="AC156" s="3">
        <v>-7.9693411913289509</v>
      </c>
      <c r="AD156" s="3">
        <v>-7.9693411913289509</v>
      </c>
      <c r="AE156" s="3">
        <v>-7.9693411913289509</v>
      </c>
      <c r="AG156" s="17" t="s">
        <v>1038</v>
      </c>
      <c r="AH156" s="3">
        <v>-10.074341016629241</v>
      </c>
      <c r="AI156" s="3">
        <v>-11.5075692809627</v>
      </c>
      <c r="AJ156" s="3">
        <v>-12.403359811849359</v>
      </c>
      <c r="AK156" s="3">
        <v>-9.459576486082895</v>
      </c>
      <c r="AL156" s="3">
        <v>-11.50550796130479</v>
      </c>
      <c r="AM156" s="3">
        <v>-9.3840170220665122</v>
      </c>
      <c r="AN156" s="3">
        <v>-8.8003604985311625</v>
      </c>
      <c r="AO156" s="3">
        <v>-8.5061502810398544</v>
      </c>
      <c r="AP156" s="3">
        <v>-8.2488616149213208</v>
      </c>
      <c r="AQ156" s="3">
        <v>-7.9693411913289509</v>
      </c>
      <c r="AR156" s="3">
        <v>-7.9693411913289509</v>
      </c>
      <c r="AS156" s="3">
        <v>-7.9693411913289509</v>
      </c>
      <c r="AT156" s="3">
        <v>-7.9693411913289509</v>
      </c>
      <c r="AU156" s="3">
        <v>-7.9693411913289509</v>
      </c>
      <c r="AV156" s="3">
        <v>-7.9693411913289509</v>
      </c>
      <c r="AW156" s="3">
        <v>-7.9693411913289509</v>
      </c>
      <c r="AX156" s="3">
        <v>-7.9693411913289509</v>
      </c>
      <c r="AY156" s="3">
        <v>-7.9693411913289509</v>
      </c>
      <c r="AZ156" s="3">
        <v>-7.9693411913289509</v>
      </c>
      <c r="BA156" s="3">
        <v>-7.9693411913289509</v>
      </c>
      <c r="BC156" s="17" t="s">
        <v>1039</v>
      </c>
      <c r="BD156" s="3">
        <v>-10.074341016629241</v>
      </c>
      <c r="BE156" s="3">
        <v>-11.5075692809627</v>
      </c>
      <c r="BF156" s="3">
        <v>-12.403359811849359</v>
      </c>
      <c r="BG156" s="3">
        <v>-9.459576486082895</v>
      </c>
      <c r="BH156" s="3">
        <v>-11.50550796130479</v>
      </c>
      <c r="BI156" s="3">
        <v>-9.3840170220665122</v>
      </c>
      <c r="BJ156" s="3">
        <v>-8.8003604985311625</v>
      </c>
      <c r="BK156" s="3">
        <v>-8.5061502810398544</v>
      </c>
      <c r="BL156" s="3">
        <v>-8.2488616149213208</v>
      </c>
      <c r="BM156" s="3">
        <v>-7.9693411913289509</v>
      </c>
      <c r="BN156" s="3">
        <v>-7.9693411913289509</v>
      </c>
      <c r="BO156" s="3">
        <v>-7.9693411913289509</v>
      </c>
      <c r="BP156" s="3">
        <v>-7.9693411913289509</v>
      </c>
      <c r="BQ156" s="3">
        <v>-7.9693411913289509</v>
      </c>
      <c r="BR156" s="3">
        <v>-7.9693411913289509</v>
      </c>
      <c r="BS156" s="3">
        <v>-7.9693411913289509</v>
      </c>
      <c r="BT156" s="3">
        <v>-7.9693411913289509</v>
      </c>
      <c r="BU156" s="3">
        <v>-7.9693411913289509</v>
      </c>
      <c r="BV156" s="3">
        <v>-7.9693411913289509</v>
      </c>
      <c r="BW156" s="3">
        <v>-7.9693411913289509</v>
      </c>
      <c r="BY156" s="17" t="s">
        <v>1040</v>
      </c>
      <c r="BZ156" s="3">
        <v>-10.074341016629241</v>
      </c>
      <c r="CA156" s="3">
        <v>-11.5075692809627</v>
      </c>
      <c r="CB156" s="3">
        <v>-12.403359811849359</v>
      </c>
      <c r="CC156" s="3">
        <v>-9.459576486082895</v>
      </c>
      <c r="CD156" s="3">
        <v>-11.50550796130479</v>
      </c>
      <c r="CE156" s="3">
        <v>-9.3840170220665122</v>
      </c>
      <c r="CF156" s="3">
        <v>-8.8003604985311625</v>
      </c>
      <c r="CG156" s="3">
        <v>-8.5061502810398544</v>
      </c>
      <c r="CH156" s="3">
        <v>-8.2488616149213208</v>
      </c>
      <c r="CI156" s="3">
        <v>-7.9693411913289509</v>
      </c>
      <c r="CJ156" s="3">
        <v>-7.9693411913289509</v>
      </c>
      <c r="CK156" s="3">
        <v>-7.9693411913289509</v>
      </c>
      <c r="CL156" s="3">
        <v>-7.9693411913289509</v>
      </c>
      <c r="CM156" s="3">
        <v>-7.9693411913289509</v>
      </c>
      <c r="CN156" s="3">
        <v>-7.9693411913289509</v>
      </c>
      <c r="CO156" s="3">
        <v>-7.9693411913289509</v>
      </c>
      <c r="CP156" s="3">
        <v>-7.9693411913289509</v>
      </c>
      <c r="CQ156" s="3">
        <v>-7.9693411913289509</v>
      </c>
      <c r="CR156" s="3">
        <v>-7.9693411913289509</v>
      </c>
      <c r="CS156" s="3">
        <v>-7.9693411913289509</v>
      </c>
      <c r="CU156" s="17" t="s">
        <v>1041</v>
      </c>
      <c r="CV156" s="3">
        <v>-10.074341016629241</v>
      </c>
      <c r="CW156" s="3">
        <v>-11.5075692809627</v>
      </c>
      <c r="CX156" s="3">
        <v>-12.403359811849359</v>
      </c>
      <c r="CY156" s="3">
        <v>-9.459576486082895</v>
      </c>
      <c r="CZ156" s="3">
        <v>-11.50550796130479</v>
      </c>
      <c r="DA156" s="3">
        <v>-9.3840170220665122</v>
      </c>
      <c r="DB156" s="3">
        <v>-8.8003604985311625</v>
      </c>
      <c r="DC156" s="3">
        <v>-8.5061502810398544</v>
      </c>
      <c r="DD156" s="3">
        <v>-8.2488616149213208</v>
      </c>
      <c r="DE156" s="3">
        <v>-7.9693411913289509</v>
      </c>
      <c r="DF156" s="3">
        <v>-7.9693411913289509</v>
      </c>
      <c r="DG156" s="3">
        <v>-7.9693411913289509</v>
      </c>
      <c r="DH156" s="3">
        <v>-7.9693411913289509</v>
      </c>
      <c r="DI156" s="3">
        <v>-7.9693411913289509</v>
      </c>
      <c r="DJ156" s="3">
        <v>-7.9693411913289509</v>
      </c>
      <c r="DK156" s="3">
        <v>-7.9693411913289509</v>
      </c>
      <c r="DL156" s="3">
        <v>-7.9693411913289509</v>
      </c>
      <c r="DM156" s="3">
        <v>-7.9693411913289509</v>
      </c>
      <c r="DN156" s="3">
        <v>-7.9693411913289509</v>
      </c>
      <c r="DO156" s="3">
        <v>-7.9693411913289509</v>
      </c>
    </row>
    <row r="157" spans="1:119" x14ac:dyDescent="0.45">
      <c r="A157" s="16" t="s">
        <v>1042</v>
      </c>
      <c r="B157" s="3" t="s">
        <v>89</v>
      </c>
      <c r="C157" s="16" t="s">
        <v>1043</v>
      </c>
      <c r="H157" s="3" t="s">
        <v>1044</v>
      </c>
      <c r="I157" s="3" t="s">
        <v>651</v>
      </c>
      <c r="K157" s="17" t="s">
        <v>1045</v>
      </c>
      <c r="L157" s="3">
        <v>-17.529477324599188</v>
      </c>
      <c r="M157" s="3">
        <v>-15.357560023508981</v>
      </c>
      <c r="N157" s="3">
        <v>-14.18549639093265</v>
      </c>
      <c r="O157" s="3">
        <v>-11.291960817373811</v>
      </c>
      <c r="P157" s="3">
        <v>-13.302970069583941</v>
      </c>
      <c r="Q157" s="3">
        <v>-11.217691085924219</v>
      </c>
      <c r="R157" s="3">
        <v>-10.64399705796804</v>
      </c>
      <c r="S157" s="3">
        <v>-10.35480874612313</v>
      </c>
      <c r="T157" s="3">
        <v>-10.10191176774458</v>
      </c>
      <c r="U157" s="3">
        <v>-9.8271625081365652</v>
      </c>
      <c r="V157" s="3">
        <v>-9.8271625081365652</v>
      </c>
      <c r="W157" s="3">
        <v>-9.8271625081365652</v>
      </c>
      <c r="X157" s="3">
        <v>-9.8271625081365652</v>
      </c>
      <c r="Y157" s="3">
        <v>-9.8271625081365652</v>
      </c>
      <c r="Z157" s="3">
        <v>-9.8271625081365652</v>
      </c>
      <c r="AA157" s="3">
        <v>-9.8271625081365652</v>
      </c>
      <c r="AB157" s="3">
        <v>-9.8271625081365652</v>
      </c>
      <c r="AC157" s="3">
        <v>-9.8271625081365652</v>
      </c>
      <c r="AD157" s="3">
        <v>-9.8271625081365652</v>
      </c>
      <c r="AE157" s="3">
        <v>-9.8271625081365652</v>
      </c>
      <c r="AG157" s="17" t="s">
        <v>1046</v>
      </c>
      <c r="AH157" s="3">
        <v>-17.529477324599188</v>
      </c>
      <c r="AI157" s="3">
        <v>-15.357560023508981</v>
      </c>
      <c r="AJ157" s="3">
        <v>-14.18549639093265</v>
      </c>
      <c r="AK157" s="3">
        <v>-11.291960817373811</v>
      </c>
      <c r="AL157" s="3">
        <v>-13.302970069583941</v>
      </c>
      <c r="AM157" s="3">
        <v>-11.217691085924219</v>
      </c>
      <c r="AN157" s="3">
        <v>-10.64399705796804</v>
      </c>
      <c r="AO157" s="3">
        <v>-10.35480874612313</v>
      </c>
      <c r="AP157" s="3">
        <v>-10.10191176774458</v>
      </c>
      <c r="AQ157" s="3">
        <v>-9.8271625081365652</v>
      </c>
      <c r="AR157" s="3">
        <v>-9.8271625081365652</v>
      </c>
      <c r="AS157" s="3">
        <v>-9.8271625081365652</v>
      </c>
      <c r="AT157" s="3">
        <v>-9.8271625081365652</v>
      </c>
      <c r="AU157" s="3">
        <v>-9.8271625081365652</v>
      </c>
      <c r="AV157" s="3">
        <v>-9.8271625081365652</v>
      </c>
      <c r="AW157" s="3">
        <v>-9.8271625081365652</v>
      </c>
      <c r="AX157" s="3">
        <v>-9.8271625081365652</v>
      </c>
      <c r="AY157" s="3">
        <v>-9.8271625081365652</v>
      </c>
      <c r="AZ157" s="3">
        <v>-9.8271625081365652</v>
      </c>
      <c r="BA157" s="3">
        <v>-9.8271625081365652</v>
      </c>
      <c r="BC157" s="17" t="s">
        <v>1047</v>
      </c>
      <c r="BD157" s="3">
        <v>-17.529477324599188</v>
      </c>
      <c r="BE157" s="3">
        <v>-15.357560023508981</v>
      </c>
      <c r="BF157" s="3">
        <v>-14.18549639093265</v>
      </c>
      <c r="BG157" s="3">
        <v>-11.291960817373811</v>
      </c>
      <c r="BH157" s="3">
        <v>-13.302970069583941</v>
      </c>
      <c r="BI157" s="3">
        <v>-11.217691085924219</v>
      </c>
      <c r="BJ157" s="3">
        <v>-10.64399705796804</v>
      </c>
      <c r="BK157" s="3">
        <v>-10.35480874612313</v>
      </c>
      <c r="BL157" s="3">
        <v>-10.10191176774458</v>
      </c>
      <c r="BM157" s="3">
        <v>-9.8271625081365652</v>
      </c>
      <c r="BN157" s="3">
        <v>-9.8271625081365652</v>
      </c>
      <c r="BO157" s="3">
        <v>-9.8271625081365652</v>
      </c>
      <c r="BP157" s="3">
        <v>-9.8271625081365652</v>
      </c>
      <c r="BQ157" s="3">
        <v>-9.8271625081365652</v>
      </c>
      <c r="BR157" s="3">
        <v>-9.8271625081365652</v>
      </c>
      <c r="BS157" s="3">
        <v>-9.8271625081365652</v>
      </c>
      <c r="BT157" s="3">
        <v>-9.8271625081365652</v>
      </c>
      <c r="BU157" s="3">
        <v>-9.8271625081365652</v>
      </c>
      <c r="BV157" s="3">
        <v>-9.8271625081365652</v>
      </c>
      <c r="BW157" s="3">
        <v>-9.8271625081365652</v>
      </c>
      <c r="BY157" s="17" t="s">
        <v>1048</v>
      </c>
      <c r="BZ157" s="3">
        <v>-17.529477324599188</v>
      </c>
      <c r="CA157" s="3">
        <v>-15.357560023508981</v>
      </c>
      <c r="CB157" s="3">
        <v>-14.18549639093265</v>
      </c>
      <c r="CC157" s="3">
        <v>-11.291960817373811</v>
      </c>
      <c r="CD157" s="3">
        <v>-13.302970069583941</v>
      </c>
      <c r="CE157" s="3">
        <v>-11.217691085924219</v>
      </c>
      <c r="CF157" s="3">
        <v>-10.64399705796804</v>
      </c>
      <c r="CG157" s="3">
        <v>-10.35480874612313</v>
      </c>
      <c r="CH157" s="3">
        <v>-10.10191176774458</v>
      </c>
      <c r="CI157" s="3">
        <v>-9.8271625081365652</v>
      </c>
      <c r="CJ157" s="3">
        <v>-9.8271625081365652</v>
      </c>
      <c r="CK157" s="3">
        <v>-9.8271625081365652</v>
      </c>
      <c r="CL157" s="3">
        <v>-9.8271625081365652</v>
      </c>
      <c r="CM157" s="3">
        <v>-9.8271625081365652</v>
      </c>
      <c r="CN157" s="3">
        <v>-9.8271625081365652</v>
      </c>
      <c r="CO157" s="3">
        <v>-9.8271625081365652</v>
      </c>
      <c r="CP157" s="3">
        <v>-9.8271625081365652</v>
      </c>
      <c r="CQ157" s="3">
        <v>-9.8271625081365652</v>
      </c>
      <c r="CR157" s="3">
        <v>-9.8271625081365652</v>
      </c>
      <c r="CS157" s="3">
        <v>-9.8271625081365652</v>
      </c>
      <c r="CU157" s="17" t="s">
        <v>1049</v>
      </c>
      <c r="CV157" s="3">
        <v>-17.529477324599188</v>
      </c>
      <c r="CW157" s="3">
        <v>-15.357560023508981</v>
      </c>
      <c r="CX157" s="3">
        <v>-14.18549639093265</v>
      </c>
      <c r="CY157" s="3">
        <v>-11.291960817373811</v>
      </c>
      <c r="CZ157" s="3">
        <v>-13.302970069583941</v>
      </c>
      <c r="DA157" s="3">
        <v>-11.217691085924219</v>
      </c>
      <c r="DB157" s="3">
        <v>-10.64399705796804</v>
      </c>
      <c r="DC157" s="3">
        <v>-10.35480874612313</v>
      </c>
      <c r="DD157" s="3">
        <v>-10.10191176774458</v>
      </c>
      <c r="DE157" s="3">
        <v>-9.8271625081365652</v>
      </c>
      <c r="DF157" s="3">
        <v>-9.8271625081365652</v>
      </c>
      <c r="DG157" s="3">
        <v>-9.8271625081365652</v>
      </c>
      <c r="DH157" s="3">
        <v>-9.8271625081365652</v>
      </c>
      <c r="DI157" s="3">
        <v>-9.8271625081365652</v>
      </c>
      <c r="DJ157" s="3">
        <v>-9.8271625081365652</v>
      </c>
      <c r="DK157" s="3">
        <v>-9.8271625081365652</v>
      </c>
      <c r="DL157" s="3">
        <v>-9.8271625081365652</v>
      </c>
      <c r="DM157" s="3">
        <v>-9.8271625081365652</v>
      </c>
      <c r="DN157" s="3">
        <v>-9.8271625081365652</v>
      </c>
      <c r="DO157" s="3">
        <v>-9.8271625081365652</v>
      </c>
    </row>
    <row r="158" spans="1:119" x14ac:dyDescent="0.45">
      <c r="A158" s="16" t="s">
        <v>1050</v>
      </c>
      <c r="B158" s="3" t="s">
        <v>89</v>
      </c>
      <c r="C158" s="16" t="s">
        <v>1051</v>
      </c>
      <c r="H158" s="3" t="s">
        <v>1052</v>
      </c>
      <c r="I158" s="3" t="s">
        <v>651</v>
      </c>
      <c r="K158" s="17" t="s">
        <v>1053</v>
      </c>
      <c r="L158" s="3">
        <v>-19.436956220916741</v>
      </c>
      <c r="M158" s="3">
        <v>-18.694947499028348</v>
      </c>
      <c r="N158" s="3">
        <v>-17.207169243681271</v>
      </c>
      <c r="O158" s="3">
        <v>-14.55814454382751</v>
      </c>
      <c r="P158" s="3">
        <v>-16.39921856739204</v>
      </c>
      <c r="Q158" s="3">
        <v>-14.490150787379751</v>
      </c>
      <c r="R158" s="3">
        <v>-13.964935316002171</v>
      </c>
      <c r="S158" s="3">
        <v>-13.7001841278756</v>
      </c>
      <c r="T158" s="3">
        <v>-13.468657566265311</v>
      </c>
      <c r="U158" s="3">
        <v>-13.21712529494334</v>
      </c>
      <c r="V158" s="3">
        <v>-13.21712529494334</v>
      </c>
      <c r="W158" s="3">
        <v>-13.21712529494334</v>
      </c>
      <c r="X158" s="3">
        <v>-13.21712529494334</v>
      </c>
      <c r="Y158" s="3">
        <v>-13.21712529494334</v>
      </c>
      <c r="Z158" s="3">
        <v>-13.21712529494334</v>
      </c>
      <c r="AA158" s="3">
        <v>-13.21712529494334</v>
      </c>
      <c r="AB158" s="3">
        <v>-13.21712529494334</v>
      </c>
      <c r="AC158" s="3">
        <v>-13.21712529494334</v>
      </c>
      <c r="AD158" s="3">
        <v>-13.21712529494334</v>
      </c>
      <c r="AE158" s="3">
        <v>-13.21712529494334</v>
      </c>
      <c r="AG158" s="17" t="s">
        <v>1054</v>
      </c>
      <c r="AH158" s="3">
        <v>-19.436956220916741</v>
      </c>
      <c r="AI158" s="3">
        <v>-18.694947499028348</v>
      </c>
      <c r="AJ158" s="3">
        <v>-17.207169243681271</v>
      </c>
      <c r="AK158" s="3">
        <v>-14.55814454382751</v>
      </c>
      <c r="AL158" s="3">
        <v>-16.39921856739204</v>
      </c>
      <c r="AM158" s="3">
        <v>-14.490150787379751</v>
      </c>
      <c r="AN158" s="3">
        <v>-13.964935316002171</v>
      </c>
      <c r="AO158" s="3">
        <v>-13.7001841278756</v>
      </c>
      <c r="AP158" s="3">
        <v>-13.468657566265311</v>
      </c>
      <c r="AQ158" s="3">
        <v>-13.21712529494334</v>
      </c>
      <c r="AR158" s="3">
        <v>-13.21712529494334</v>
      </c>
      <c r="AS158" s="3">
        <v>-13.21712529494334</v>
      </c>
      <c r="AT158" s="3">
        <v>-13.21712529494334</v>
      </c>
      <c r="AU158" s="3">
        <v>-13.21712529494334</v>
      </c>
      <c r="AV158" s="3">
        <v>-13.21712529494334</v>
      </c>
      <c r="AW158" s="3">
        <v>-13.21712529494334</v>
      </c>
      <c r="AX158" s="3">
        <v>-13.21712529494334</v>
      </c>
      <c r="AY158" s="3">
        <v>-13.21712529494334</v>
      </c>
      <c r="AZ158" s="3">
        <v>-13.21712529494334</v>
      </c>
      <c r="BA158" s="3">
        <v>-13.21712529494334</v>
      </c>
      <c r="BC158" s="17" t="s">
        <v>1055</v>
      </c>
      <c r="BD158" s="3">
        <v>-19.436956220916741</v>
      </c>
      <c r="BE158" s="3">
        <v>-18.694947499028348</v>
      </c>
      <c r="BF158" s="3">
        <v>-17.207169243681271</v>
      </c>
      <c r="BG158" s="3">
        <v>-14.55814454382751</v>
      </c>
      <c r="BH158" s="3">
        <v>-16.39921856739204</v>
      </c>
      <c r="BI158" s="3">
        <v>-14.490150787379751</v>
      </c>
      <c r="BJ158" s="3">
        <v>-13.964935316002171</v>
      </c>
      <c r="BK158" s="3">
        <v>-13.7001841278756</v>
      </c>
      <c r="BL158" s="3">
        <v>-13.468657566265311</v>
      </c>
      <c r="BM158" s="3">
        <v>-13.21712529494334</v>
      </c>
      <c r="BN158" s="3">
        <v>-13.21712529494334</v>
      </c>
      <c r="BO158" s="3">
        <v>-13.21712529494334</v>
      </c>
      <c r="BP158" s="3">
        <v>-13.21712529494334</v>
      </c>
      <c r="BQ158" s="3">
        <v>-13.21712529494334</v>
      </c>
      <c r="BR158" s="3">
        <v>-13.21712529494334</v>
      </c>
      <c r="BS158" s="3">
        <v>-13.21712529494334</v>
      </c>
      <c r="BT158" s="3">
        <v>-13.21712529494334</v>
      </c>
      <c r="BU158" s="3">
        <v>-13.21712529494334</v>
      </c>
      <c r="BV158" s="3">
        <v>-13.21712529494334</v>
      </c>
      <c r="BW158" s="3">
        <v>-13.21712529494334</v>
      </c>
      <c r="BY158" s="17" t="s">
        <v>1056</v>
      </c>
      <c r="BZ158" s="3">
        <v>-19.436956220916741</v>
      </c>
      <c r="CA158" s="3">
        <v>-18.694947499028348</v>
      </c>
      <c r="CB158" s="3">
        <v>-17.207169243681271</v>
      </c>
      <c r="CC158" s="3">
        <v>-14.55814454382751</v>
      </c>
      <c r="CD158" s="3">
        <v>-16.39921856739204</v>
      </c>
      <c r="CE158" s="3">
        <v>-14.490150787379751</v>
      </c>
      <c r="CF158" s="3">
        <v>-13.964935316002171</v>
      </c>
      <c r="CG158" s="3">
        <v>-13.7001841278756</v>
      </c>
      <c r="CH158" s="3">
        <v>-13.468657566265311</v>
      </c>
      <c r="CI158" s="3">
        <v>-13.21712529494334</v>
      </c>
      <c r="CJ158" s="3">
        <v>-13.21712529494334</v>
      </c>
      <c r="CK158" s="3">
        <v>-13.21712529494334</v>
      </c>
      <c r="CL158" s="3">
        <v>-13.21712529494334</v>
      </c>
      <c r="CM158" s="3">
        <v>-13.21712529494334</v>
      </c>
      <c r="CN158" s="3">
        <v>-13.21712529494334</v>
      </c>
      <c r="CO158" s="3">
        <v>-13.21712529494334</v>
      </c>
      <c r="CP158" s="3">
        <v>-13.21712529494334</v>
      </c>
      <c r="CQ158" s="3">
        <v>-13.21712529494334</v>
      </c>
      <c r="CR158" s="3">
        <v>-13.21712529494334</v>
      </c>
      <c r="CS158" s="3">
        <v>-13.21712529494334</v>
      </c>
      <c r="CU158" s="17" t="s">
        <v>1057</v>
      </c>
      <c r="CV158" s="3">
        <v>-19.436956220916741</v>
      </c>
      <c r="CW158" s="3">
        <v>-18.694947499028348</v>
      </c>
      <c r="CX158" s="3">
        <v>-17.207169243681271</v>
      </c>
      <c r="CY158" s="3">
        <v>-14.55814454382751</v>
      </c>
      <c r="CZ158" s="3">
        <v>-16.39921856739204</v>
      </c>
      <c r="DA158" s="3">
        <v>-14.490150787379751</v>
      </c>
      <c r="DB158" s="3">
        <v>-13.964935316002171</v>
      </c>
      <c r="DC158" s="3">
        <v>-13.7001841278756</v>
      </c>
      <c r="DD158" s="3">
        <v>-13.468657566265311</v>
      </c>
      <c r="DE158" s="3">
        <v>-13.21712529494334</v>
      </c>
      <c r="DF158" s="3">
        <v>-13.21712529494334</v>
      </c>
      <c r="DG158" s="3">
        <v>-13.21712529494334</v>
      </c>
      <c r="DH158" s="3">
        <v>-13.21712529494334</v>
      </c>
      <c r="DI158" s="3">
        <v>-13.21712529494334</v>
      </c>
      <c r="DJ158" s="3">
        <v>-13.21712529494334</v>
      </c>
      <c r="DK158" s="3">
        <v>-13.21712529494334</v>
      </c>
      <c r="DL158" s="3">
        <v>-13.21712529494334</v>
      </c>
      <c r="DM158" s="3">
        <v>-13.21712529494334</v>
      </c>
      <c r="DN158" s="3">
        <v>-13.21712529494334</v>
      </c>
      <c r="DO158" s="3">
        <v>-13.21712529494334</v>
      </c>
    </row>
    <row r="159" spans="1:119" x14ac:dyDescent="0.45">
      <c r="A159" s="16" t="s">
        <v>1058</v>
      </c>
      <c r="B159" s="3" t="s">
        <v>89</v>
      </c>
      <c r="C159" s="16" t="s">
        <v>1059</v>
      </c>
      <c r="H159" s="3" t="s">
        <v>1060</v>
      </c>
      <c r="I159" s="3" t="s">
        <v>651</v>
      </c>
      <c r="K159" s="17" t="s">
        <v>1061</v>
      </c>
      <c r="L159" s="3">
        <v>-9.6316403124464234</v>
      </c>
      <c r="M159" s="3">
        <v>-11.687287948794699</v>
      </c>
      <c r="N159" s="3">
        <v>-11.611318898048671</v>
      </c>
      <c r="O159" s="3">
        <v>-9.0896253391973936</v>
      </c>
      <c r="P159" s="3">
        <v>-10.842204130496469</v>
      </c>
      <c r="Q159" s="3">
        <v>-9.024899850723898</v>
      </c>
      <c r="R159" s="3">
        <v>-8.5249300047443501</v>
      </c>
      <c r="S159" s="3">
        <v>-8.2729046590260467</v>
      </c>
      <c r="T159" s="3">
        <v>-8.0525069257969495</v>
      </c>
      <c r="U159" s="3">
        <v>-7.813065100860074</v>
      </c>
      <c r="V159" s="3">
        <v>-7.813065100860074</v>
      </c>
      <c r="W159" s="3">
        <v>-7.813065100860074</v>
      </c>
      <c r="X159" s="3">
        <v>-7.813065100860074</v>
      </c>
      <c r="Y159" s="3">
        <v>-7.813065100860074</v>
      </c>
      <c r="Z159" s="3">
        <v>-7.813065100860074</v>
      </c>
      <c r="AA159" s="3">
        <v>-7.813065100860074</v>
      </c>
      <c r="AB159" s="3">
        <v>-7.813065100860074</v>
      </c>
      <c r="AC159" s="3">
        <v>-7.813065100860074</v>
      </c>
      <c r="AD159" s="3">
        <v>-7.813065100860074</v>
      </c>
      <c r="AE159" s="3">
        <v>-7.813065100860074</v>
      </c>
      <c r="AG159" s="17" t="s">
        <v>1062</v>
      </c>
      <c r="AH159" s="3">
        <v>-9.6316403124464234</v>
      </c>
      <c r="AI159" s="3">
        <v>-11.687287948794699</v>
      </c>
      <c r="AJ159" s="3">
        <v>-11.611318898048671</v>
      </c>
      <c r="AK159" s="3">
        <v>-9.0896253391973936</v>
      </c>
      <c r="AL159" s="3">
        <v>-10.842204130496469</v>
      </c>
      <c r="AM159" s="3">
        <v>-9.024899850723898</v>
      </c>
      <c r="AN159" s="3">
        <v>-8.5249300047443501</v>
      </c>
      <c r="AO159" s="3">
        <v>-8.2729046590260467</v>
      </c>
      <c r="AP159" s="3">
        <v>-8.0525069257969495</v>
      </c>
      <c r="AQ159" s="3">
        <v>-7.813065100860074</v>
      </c>
      <c r="AR159" s="3">
        <v>-7.813065100860074</v>
      </c>
      <c r="AS159" s="3">
        <v>-7.813065100860074</v>
      </c>
      <c r="AT159" s="3">
        <v>-7.813065100860074</v>
      </c>
      <c r="AU159" s="3">
        <v>-7.813065100860074</v>
      </c>
      <c r="AV159" s="3">
        <v>-7.813065100860074</v>
      </c>
      <c r="AW159" s="3">
        <v>-7.813065100860074</v>
      </c>
      <c r="AX159" s="3">
        <v>-7.813065100860074</v>
      </c>
      <c r="AY159" s="3">
        <v>-7.813065100860074</v>
      </c>
      <c r="AZ159" s="3">
        <v>-7.813065100860074</v>
      </c>
      <c r="BA159" s="3">
        <v>-7.813065100860074</v>
      </c>
      <c r="BC159" s="17" t="s">
        <v>1063</v>
      </c>
      <c r="BD159" s="3">
        <v>-9.6316403124464234</v>
      </c>
      <c r="BE159" s="3">
        <v>-11.687287948794699</v>
      </c>
      <c r="BF159" s="3">
        <v>-11.611318898048671</v>
      </c>
      <c r="BG159" s="3">
        <v>-9.0896253391973936</v>
      </c>
      <c r="BH159" s="3">
        <v>-10.842204130496469</v>
      </c>
      <c r="BI159" s="3">
        <v>-9.024899850723898</v>
      </c>
      <c r="BJ159" s="3">
        <v>-8.5249300047443501</v>
      </c>
      <c r="BK159" s="3">
        <v>-8.2729046590260467</v>
      </c>
      <c r="BL159" s="3">
        <v>-8.0525069257969495</v>
      </c>
      <c r="BM159" s="3">
        <v>-7.813065100860074</v>
      </c>
      <c r="BN159" s="3">
        <v>-7.813065100860074</v>
      </c>
      <c r="BO159" s="3">
        <v>-7.813065100860074</v>
      </c>
      <c r="BP159" s="3">
        <v>-7.813065100860074</v>
      </c>
      <c r="BQ159" s="3">
        <v>-7.813065100860074</v>
      </c>
      <c r="BR159" s="3">
        <v>-7.813065100860074</v>
      </c>
      <c r="BS159" s="3">
        <v>-7.813065100860074</v>
      </c>
      <c r="BT159" s="3">
        <v>-7.813065100860074</v>
      </c>
      <c r="BU159" s="3">
        <v>-7.813065100860074</v>
      </c>
      <c r="BV159" s="3">
        <v>-7.813065100860074</v>
      </c>
      <c r="BW159" s="3">
        <v>-7.813065100860074</v>
      </c>
      <c r="BY159" s="17" t="s">
        <v>1064</v>
      </c>
      <c r="BZ159" s="3">
        <v>-9.6316403124464234</v>
      </c>
      <c r="CA159" s="3">
        <v>-11.687287948794699</v>
      </c>
      <c r="CB159" s="3">
        <v>-11.611318898048671</v>
      </c>
      <c r="CC159" s="3">
        <v>-9.0896253391973936</v>
      </c>
      <c r="CD159" s="3">
        <v>-10.842204130496469</v>
      </c>
      <c r="CE159" s="3">
        <v>-9.024899850723898</v>
      </c>
      <c r="CF159" s="3">
        <v>-8.5249300047443501</v>
      </c>
      <c r="CG159" s="3">
        <v>-8.2729046590260467</v>
      </c>
      <c r="CH159" s="3">
        <v>-8.0525069257969495</v>
      </c>
      <c r="CI159" s="3">
        <v>-7.813065100860074</v>
      </c>
      <c r="CJ159" s="3">
        <v>-7.813065100860074</v>
      </c>
      <c r="CK159" s="3">
        <v>-7.813065100860074</v>
      </c>
      <c r="CL159" s="3">
        <v>-7.813065100860074</v>
      </c>
      <c r="CM159" s="3">
        <v>-7.813065100860074</v>
      </c>
      <c r="CN159" s="3">
        <v>-7.813065100860074</v>
      </c>
      <c r="CO159" s="3">
        <v>-7.813065100860074</v>
      </c>
      <c r="CP159" s="3">
        <v>-7.813065100860074</v>
      </c>
      <c r="CQ159" s="3">
        <v>-7.813065100860074</v>
      </c>
      <c r="CR159" s="3">
        <v>-7.813065100860074</v>
      </c>
      <c r="CS159" s="3">
        <v>-7.813065100860074</v>
      </c>
      <c r="CU159" s="17" t="s">
        <v>1065</v>
      </c>
      <c r="CV159" s="3">
        <v>-9.6316403124464234</v>
      </c>
      <c r="CW159" s="3">
        <v>-11.687287948794699</v>
      </c>
      <c r="CX159" s="3">
        <v>-11.611318898048671</v>
      </c>
      <c r="CY159" s="3">
        <v>-9.0896253391973936</v>
      </c>
      <c r="CZ159" s="3">
        <v>-10.842204130496469</v>
      </c>
      <c r="DA159" s="3">
        <v>-9.024899850723898</v>
      </c>
      <c r="DB159" s="3">
        <v>-8.5249300047443501</v>
      </c>
      <c r="DC159" s="3">
        <v>-8.2729046590260467</v>
      </c>
      <c r="DD159" s="3">
        <v>-8.0525069257969495</v>
      </c>
      <c r="DE159" s="3">
        <v>-7.813065100860074</v>
      </c>
      <c r="DF159" s="3">
        <v>-7.813065100860074</v>
      </c>
      <c r="DG159" s="3">
        <v>-7.813065100860074</v>
      </c>
      <c r="DH159" s="3">
        <v>-7.813065100860074</v>
      </c>
      <c r="DI159" s="3">
        <v>-7.813065100860074</v>
      </c>
      <c r="DJ159" s="3">
        <v>-7.813065100860074</v>
      </c>
      <c r="DK159" s="3">
        <v>-7.813065100860074</v>
      </c>
      <c r="DL159" s="3">
        <v>-7.813065100860074</v>
      </c>
      <c r="DM159" s="3">
        <v>-7.813065100860074</v>
      </c>
      <c r="DN159" s="3">
        <v>-7.813065100860074</v>
      </c>
      <c r="DO159" s="3">
        <v>-7.813065100860074</v>
      </c>
    </row>
    <row r="160" spans="1:119" x14ac:dyDescent="0.45">
      <c r="A160" s="11"/>
      <c r="B160" s="3" t="s">
        <v>1066</v>
      </c>
      <c r="C160" s="16" t="s">
        <v>1067</v>
      </c>
      <c r="H160" s="11" t="s">
        <v>1068</v>
      </c>
      <c r="I160" s="11" t="s">
        <v>1069</v>
      </c>
    </row>
    <row r="161" spans="1:119" x14ac:dyDescent="0.45">
      <c r="A161" s="11"/>
      <c r="B161" s="3" t="s">
        <v>89</v>
      </c>
      <c r="C161" s="16" t="s">
        <v>1070</v>
      </c>
      <c r="H161" s="11" t="s">
        <v>1071</v>
      </c>
      <c r="I161" s="11" t="s">
        <v>1069</v>
      </c>
    </row>
    <row r="162" spans="1:119" x14ac:dyDescent="0.45">
      <c r="A162" s="16" t="s">
        <v>1072</v>
      </c>
      <c r="B162" s="3" t="s">
        <v>89</v>
      </c>
      <c r="C162" s="16" t="s">
        <v>1073</v>
      </c>
      <c r="H162" s="3" t="s">
        <v>1074</v>
      </c>
      <c r="I162" s="3" t="s">
        <v>651</v>
      </c>
      <c r="K162" s="17" t="s">
        <v>1075</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G162" s="17" t="s">
        <v>1076</v>
      </c>
      <c r="AH162" s="3">
        <v>0</v>
      </c>
      <c r="AI162" s="3">
        <v>0</v>
      </c>
      <c r="AJ162" s="3">
        <v>0</v>
      </c>
      <c r="AK162" s="3">
        <v>0</v>
      </c>
      <c r="AL162" s="3">
        <v>0</v>
      </c>
      <c r="AM162" s="3">
        <v>0</v>
      </c>
      <c r="AN162" s="3">
        <v>0</v>
      </c>
      <c r="AO162" s="3">
        <v>0</v>
      </c>
      <c r="AP162" s="3">
        <v>0</v>
      </c>
      <c r="AQ162" s="3">
        <v>0</v>
      </c>
      <c r="AR162" s="3">
        <v>0</v>
      </c>
      <c r="AS162" s="3">
        <v>0</v>
      </c>
      <c r="AT162" s="3">
        <v>0</v>
      </c>
      <c r="AU162" s="3">
        <v>0</v>
      </c>
      <c r="AV162" s="3">
        <v>0</v>
      </c>
      <c r="AW162" s="3">
        <v>0</v>
      </c>
      <c r="AX162" s="3">
        <v>0</v>
      </c>
      <c r="AY162" s="3">
        <v>0</v>
      </c>
      <c r="AZ162" s="3">
        <v>0</v>
      </c>
      <c r="BA162" s="3">
        <v>0</v>
      </c>
      <c r="BC162" s="17" t="s">
        <v>1077</v>
      </c>
      <c r="BD162" s="3">
        <v>0</v>
      </c>
      <c r="BE162" s="3">
        <v>0</v>
      </c>
      <c r="BF162" s="3">
        <v>0</v>
      </c>
      <c r="BG162" s="3">
        <v>0</v>
      </c>
      <c r="BH162" s="3">
        <v>0</v>
      </c>
      <c r="BI162" s="3">
        <v>0</v>
      </c>
      <c r="BJ162" s="3">
        <v>0</v>
      </c>
      <c r="BK162" s="3">
        <v>0</v>
      </c>
      <c r="BL162" s="3">
        <v>0</v>
      </c>
      <c r="BM162" s="3">
        <v>0</v>
      </c>
      <c r="BN162" s="3">
        <v>0</v>
      </c>
      <c r="BO162" s="3">
        <v>0</v>
      </c>
      <c r="BP162" s="3">
        <v>0</v>
      </c>
      <c r="BQ162" s="3">
        <v>0</v>
      </c>
      <c r="BR162" s="3">
        <v>0</v>
      </c>
      <c r="BS162" s="3">
        <v>0</v>
      </c>
      <c r="BT162" s="3">
        <v>0</v>
      </c>
      <c r="BU162" s="3">
        <v>0</v>
      </c>
      <c r="BV162" s="3">
        <v>0</v>
      </c>
      <c r="BW162" s="3">
        <v>0</v>
      </c>
      <c r="BY162" s="17" t="s">
        <v>1078</v>
      </c>
      <c r="BZ162" s="3">
        <v>0</v>
      </c>
      <c r="CA162" s="3">
        <v>0</v>
      </c>
      <c r="CB162" s="3">
        <v>0</v>
      </c>
      <c r="CC162" s="3">
        <v>0</v>
      </c>
      <c r="CD162" s="3">
        <v>0</v>
      </c>
      <c r="CE162" s="3">
        <v>0</v>
      </c>
      <c r="CF162" s="3">
        <v>0</v>
      </c>
      <c r="CG162" s="3">
        <v>0</v>
      </c>
      <c r="CH162" s="3">
        <v>0</v>
      </c>
      <c r="CI162" s="3">
        <v>0</v>
      </c>
      <c r="CJ162" s="3">
        <v>0</v>
      </c>
      <c r="CK162" s="3">
        <v>0</v>
      </c>
      <c r="CL162" s="3">
        <v>0</v>
      </c>
      <c r="CM162" s="3">
        <v>0</v>
      </c>
      <c r="CN162" s="3">
        <v>0</v>
      </c>
      <c r="CO162" s="3">
        <v>0</v>
      </c>
      <c r="CP162" s="3">
        <v>0</v>
      </c>
      <c r="CQ162" s="3">
        <v>0</v>
      </c>
      <c r="CR162" s="3">
        <v>0</v>
      </c>
      <c r="CS162" s="3">
        <v>0</v>
      </c>
      <c r="CU162" s="17" t="s">
        <v>1079</v>
      </c>
      <c r="CV162" s="3">
        <v>0</v>
      </c>
      <c r="CW162" s="3">
        <v>0</v>
      </c>
      <c r="CX162" s="3">
        <v>0</v>
      </c>
      <c r="CY162" s="3">
        <v>0</v>
      </c>
      <c r="CZ162" s="3">
        <v>0</v>
      </c>
      <c r="DA162" s="3">
        <v>0</v>
      </c>
      <c r="DB162" s="3">
        <v>0</v>
      </c>
      <c r="DC162" s="3">
        <v>0</v>
      </c>
      <c r="DD162" s="3">
        <v>0</v>
      </c>
      <c r="DE162" s="3">
        <v>0</v>
      </c>
      <c r="DF162" s="3">
        <v>0</v>
      </c>
      <c r="DG162" s="3">
        <v>0</v>
      </c>
      <c r="DH162" s="3">
        <v>0</v>
      </c>
      <c r="DI162" s="3">
        <v>0</v>
      </c>
      <c r="DJ162" s="3">
        <v>0</v>
      </c>
      <c r="DK162" s="3">
        <v>0</v>
      </c>
      <c r="DL162" s="3">
        <v>0</v>
      </c>
      <c r="DM162" s="3">
        <v>0</v>
      </c>
      <c r="DN162" s="3">
        <v>0</v>
      </c>
      <c r="DO162" s="3">
        <v>0</v>
      </c>
    </row>
    <row r="163" spans="1:119" x14ac:dyDescent="0.45">
      <c r="A163" s="16" t="s">
        <v>1080</v>
      </c>
      <c r="B163" s="3" t="s">
        <v>89</v>
      </c>
      <c r="C163" s="16" t="s">
        <v>1081</v>
      </c>
      <c r="H163" s="3" t="s">
        <v>1082</v>
      </c>
      <c r="I163" s="3" t="s">
        <v>651</v>
      </c>
      <c r="K163" s="17" t="s">
        <v>1083</v>
      </c>
      <c r="L163" s="3">
        <v>0</v>
      </c>
      <c r="M163" s="3">
        <v>0</v>
      </c>
      <c r="N163" s="3">
        <v>0</v>
      </c>
      <c r="O163" s="3">
        <v>0</v>
      </c>
      <c r="P163" s="3">
        <v>0</v>
      </c>
      <c r="Q163" s="3">
        <v>0</v>
      </c>
      <c r="R163" s="3">
        <v>0</v>
      </c>
      <c r="S163" s="3">
        <v>0</v>
      </c>
      <c r="T163" s="3">
        <v>0</v>
      </c>
      <c r="U163" s="3">
        <v>0</v>
      </c>
      <c r="V163" s="3">
        <v>0</v>
      </c>
      <c r="W163" s="3">
        <v>0</v>
      </c>
      <c r="X163" s="3">
        <v>0</v>
      </c>
      <c r="Y163" s="3">
        <v>0</v>
      </c>
      <c r="Z163" s="3">
        <v>0</v>
      </c>
      <c r="AA163" s="3">
        <v>0</v>
      </c>
      <c r="AB163" s="3">
        <v>0</v>
      </c>
      <c r="AC163" s="3">
        <v>0</v>
      </c>
      <c r="AD163" s="3">
        <v>0</v>
      </c>
      <c r="AE163" s="3">
        <v>0</v>
      </c>
      <c r="AG163" s="17" t="s">
        <v>1084</v>
      </c>
      <c r="AH163" s="3">
        <v>0</v>
      </c>
      <c r="AI163" s="3">
        <v>0</v>
      </c>
      <c r="AJ163" s="3">
        <v>0</v>
      </c>
      <c r="AK163" s="3">
        <v>0</v>
      </c>
      <c r="AL163" s="3">
        <v>0</v>
      </c>
      <c r="AM163" s="3">
        <v>0</v>
      </c>
      <c r="AN163" s="3">
        <v>0</v>
      </c>
      <c r="AO163" s="3">
        <v>0</v>
      </c>
      <c r="AP163" s="3">
        <v>0</v>
      </c>
      <c r="AQ163" s="3">
        <v>0</v>
      </c>
      <c r="AR163" s="3">
        <v>0</v>
      </c>
      <c r="AS163" s="3">
        <v>0</v>
      </c>
      <c r="AT163" s="3">
        <v>0</v>
      </c>
      <c r="AU163" s="3">
        <v>0</v>
      </c>
      <c r="AV163" s="3">
        <v>0</v>
      </c>
      <c r="AW163" s="3">
        <v>0</v>
      </c>
      <c r="AX163" s="3">
        <v>0</v>
      </c>
      <c r="AY163" s="3">
        <v>0</v>
      </c>
      <c r="AZ163" s="3">
        <v>0</v>
      </c>
      <c r="BA163" s="3">
        <v>0</v>
      </c>
      <c r="BC163" s="17" t="s">
        <v>1085</v>
      </c>
      <c r="BD163" s="3">
        <v>0</v>
      </c>
      <c r="BE163" s="3">
        <v>0</v>
      </c>
      <c r="BF163" s="3">
        <v>0</v>
      </c>
      <c r="BG163" s="3">
        <v>0</v>
      </c>
      <c r="BH163" s="3">
        <v>0</v>
      </c>
      <c r="BI163" s="3">
        <v>0</v>
      </c>
      <c r="BJ163" s="3">
        <v>0</v>
      </c>
      <c r="BK163" s="3">
        <v>0</v>
      </c>
      <c r="BL163" s="3">
        <v>0</v>
      </c>
      <c r="BM163" s="3">
        <v>0</v>
      </c>
      <c r="BN163" s="3">
        <v>0</v>
      </c>
      <c r="BO163" s="3">
        <v>0</v>
      </c>
      <c r="BP163" s="3">
        <v>0</v>
      </c>
      <c r="BQ163" s="3">
        <v>0</v>
      </c>
      <c r="BR163" s="3">
        <v>0</v>
      </c>
      <c r="BS163" s="3">
        <v>0</v>
      </c>
      <c r="BT163" s="3">
        <v>0</v>
      </c>
      <c r="BU163" s="3">
        <v>0</v>
      </c>
      <c r="BV163" s="3">
        <v>0</v>
      </c>
      <c r="BW163" s="3">
        <v>0</v>
      </c>
      <c r="BY163" s="17" t="s">
        <v>1086</v>
      </c>
      <c r="BZ163" s="3">
        <v>0</v>
      </c>
      <c r="CA163" s="3">
        <v>0</v>
      </c>
      <c r="CB163" s="3">
        <v>0</v>
      </c>
      <c r="CC163" s="3">
        <v>0</v>
      </c>
      <c r="CD163" s="3">
        <v>0</v>
      </c>
      <c r="CE163" s="3">
        <v>0</v>
      </c>
      <c r="CF163" s="3">
        <v>0</v>
      </c>
      <c r="CG163" s="3">
        <v>0</v>
      </c>
      <c r="CH163" s="3">
        <v>0</v>
      </c>
      <c r="CI163" s="3">
        <v>0</v>
      </c>
      <c r="CJ163" s="3">
        <v>0</v>
      </c>
      <c r="CK163" s="3">
        <v>0</v>
      </c>
      <c r="CL163" s="3">
        <v>0</v>
      </c>
      <c r="CM163" s="3">
        <v>0</v>
      </c>
      <c r="CN163" s="3">
        <v>0</v>
      </c>
      <c r="CO163" s="3">
        <v>0</v>
      </c>
      <c r="CP163" s="3">
        <v>0</v>
      </c>
      <c r="CQ163" s="3">
        <v>0</v>
      </c>
      <c r="CR163" s="3">
        <v>0</v>
      </c>
      <c r="CS163" s="3">
        <v>0</v>
      </c>
      <c r="CU163" s="17" t="s">
        <v>1087</v>
      </c>
      <c r="CV163" s="3">
        <v>0</v>
      </c>
      <c r="CW163" s="3">
        <v>0</v>
      </c>
      <c r="CX163" s="3">
        <v>0</v>
      </c>
      <c r="CY163" s="3">
        <v>0</v>
      </c>
      <c r="CZ163" s="3">
        <v>0</v>
      </c>
      <c r="DA163" s="3">
        <v>0</v>
      </c>
      <c r="DB163" s="3">
        <v>0</v>
      </c>
      <c r="DC163" s="3">
        <v>0</v>
      </c>
      <c r="DD163" s="3">
        <v>0</v>
      </c>
      <c r="DE163" s="3">
        <v>0</v>
      </c>
      <c r="DF163" s="3">
        <v>0</v>
      </c>
      <c r="DG163" s="3">
        <v>0</v>
      </c>
      <c r="DH163" s="3">
        <v>0</v>
      </c>
      <c r="DI163" s="3">
        <v>0</v>
      </c>
      <c r="DJ163" s="3">
        <v>0</v>
      </c>
      <c r="DK163" s="3">
        <v>0</v>
      </c>
      <c r="DL163" s="3">
        <v>0</v>
      </c>
      <c r="DM163" s="3">
        <v>0</v>
      </c>
      <c r="DN163" s="3">
        <v>0</v>
      </c>
      <c r="DO163" s="3">
        <v>0</v>
      </c>
    </row>
    <row r="164" spans="1:119" x14ac:dyDescent="0.45">
      <c r="A164" s="16" t="s">
        <v>1088</v>
      </c>
      <c r="B164" s="3" t="s">
        <v>89</v>
      </c>
      <c r="C164" s="16" t="s">
        <v>1089</v>
      </c>
      <c r="H164" s="3" t="s">
        <v>1090</v>
      </c>
      <c r="I164" s="3" t="s">
        <v>651</v>
      </c>
      <c r="K164" s="17" t="s">
        <v>1091</v>
      </c>
      <c r="L164" s="3">
        <v>2.895369424672483</v>
      </c>
      <c r="M164" s="3">
        <v>1.8977335291338251</v>
      </c>
      <c r="N164" s="3">
        <v>1.7786418670740709</v>
      </c>
      <c r="O164" s="3">
        <v>1.632502985626596</v>
      </c>
      <c r="P164" s="3">
        <v>1.713024754328049</v>
      </c>
      <c r="Q164" s="3">
        <v>1.7311884348790121</v>
      </c>
      <c r="R164" s="3">
        <v>1.7225759001651539</v>
      </c>
      <c r="S164" s="3">
        <v>1.713339987958056</v>
      </c>
      <c r="T164" s="3">
        <v>1.7034551614486511</v>
      </c>
      <c r="U164" s="3">
        <v>1.693915901536639</v>
      </c>
      <c r="V164" s="3">
        <v>1.693915901536639</v>
      </c>
      <c r="W164" s="3">
        <v>1.693915901536639</v>
      </c>
      <c r="X164" s="3">
        <v>1.693915901536639</v>
      </c>
      <c r="Y164" s="3">
        <v>1.693915901536639</v>
      </c>
      <c r="Z164" s="3">
        <v>1.693915901536639</v>
      </c>
      <c r="AA164" s="3">
        <v>1.693915901536639</v>
      </c>
      <c r="AB164" s="3">
        <v>1.693915901536639</v>
      </c>
      <c r="AC164" s="3">
        <v>1.693915901536639</v>
      </c>
      <c r="AD164" s="3">
        <v>1.693915901536639</v>
      </c>
      <c r="AE164" s="3">
        <v>1.693915901536639</v>
      </c>
      <c r="AG164" s="17" t="s">
        <v>1092</v>
      </c>
      <c r="AH164" s="3">
        <v>2.895369424672483</v>
      </c>
      <c r="AI164" s="3">
        <v>1.8977335291338251</v>
      </c>
      <c r="AJ164" s="3">
        <v>1.7786418670740709</v>
      </c>
      <c r="AK164" s="3">
        <v>1.632502985626596</v>
      </c>
      <c r="AL164" s="3">
        <v>1.713024754328049</v>
      </c>
      <c r="AM164" s="3">
        <v>1.7311884348790121</v>
      </c>
      <c r="AN164" s="3">
        <v>1.7225759001651539</v>
      </c>
      <c r="AO164" s="3">
        <v>1.713339987958056</v>
      </c>
      <c r="AP164" s="3">
        <v>1.7034551614486511</v>
      </c>
      <c r="AQ164" s="3">
        <v>1.693915901536639</v>
      </c>
      <c r="AR164" s="3">
        <v>1.693915901536639</v>
      </c>
      <c r="AS164" s="3">
        <v>1.693915901536639</v>
      </c>
      <c r="AT164" s="3">
        <v>1.693915901536639</v>
      </c>
      <c r="AU164" s="3">
        <v>1.693915901536639</v>
      </c>
      <c r="AV164" s="3">
        <v>1.693915901536639</v>
      </c>
      <c r="AW164" s="3">
        <v>1.693915901536639</v>
      </c>
      <c r="AX164" s="3">
        <v>1.693915901536639</v>
      </c>
      <c r="AY164" s="3">
        <v>1.693915901536639</v>
      </c>
      <c r="AZ164" s="3">
        <v>1.693915901536639</v>
      </c>
      <c r="BA164" s="3">
        <v>1.693915901536639</v>
      </c>
      <c r="BC164" s="17" t="s">
        <v>1093</v>
      </c>
      <c r="BD164" s="3">
        <v>2.895369424672483</v>
      </c>
      <c r="BE164" s="3">
        <v>1.8977335291338251</v>
      </c>
      <c r="BF164" s="3">
        <v>1.7786418670740709</v>
      </c>
      <c r="BG164" s="3">
        <v>1.632502985626596</v>
      </c>
      <c r="BH164" s="3">
        <v>1.713024754328049</v>
      </c>
      <c r="BI164" s="3">
        <v>1.7311884348790121</v>
      </c>
      <c r="BJ164" s="3">
        <v>1.7225759001651539</v>
      </c>
      <c r="BK164" s="3">
        <v>1.713339987958056</v>
      </c>
      <c r="BL164" s="3">
        <v>1.7034551614486511</v>
      </c>
      <c r="BM164" s="3">
        <v>1.693915901536639</v>
      </c>
      <c r="BN164" s="3">
        <v>1.693915901536639</v>
      </c>
      <c r="BO164" s="3">
        <v>1.693915901536639</v>
      </c>
      <c r="BP164" s="3">
        <v>1.693915901536639</v>
      </c>
      <c r="BQ164" s="3">
        <v>1.693915901536639</v>
      </c>
      <c r="BR164" s="3">
        <v>1.693915901536639</v>
      </c>
      <c r="BS164" s="3">
        <v>1.693915901536639</v>
      </c>
      <c r="BT164" s="3">
        <v>1.693915901536639</v>
      </c>
      <c r="BU164" s="3">
        <v>1.693915901536639</v>
      </c>
      <c r="BV164" s="3">
        <v>1.693915901536639</v>
      </c>
      <c r="BW164" s="3">
        <v>1.693915901536639</v>
      </c>
      <c r="BY164" s="17" t="s">
        <v>1094</v>
      </c>
      <c r="BZ164" s="3">
        <v>2.895369424672483</v>
      </c>
      <c r="CA164" s="3">
        <v>1.8977335291338251</v>
      </c>
      <c r="CB164" s="3">
        <v>1.7786418670740709</v>
      </c>
      <c r="CC164" s="3">
        <v>1.632502985626596</v>
      </c>
      <c r="CD164" s="3">
        <v>1.713024754328049</v>
      </c>
      <c r="CE164" s="3">
        <v>1.7311884348790121</v>
      </c>
      <c r="CF164" s="3">
        <v>1.7225759001651539</v>
      </c>
      <c r="CG164" s="3">
        <v>1.713339987958056</v>
      </c>
      <c r="CH164" s="3">
        <v>1.7034551614486511</v>
      </c>
      <c r="CI164" s="3">
        <v>1.693915901536639</v>
      </c>
      <c r="CJ164" s="3">
        <v>1.693915901536639</v>
      </c>
      <c r="CK164" s="3">
        <v>1.693915901536639</v>
      </c>
      <c r="CL164" s="3">
        <v>1.693915901536639</v>
      </c>
      <c r="CM164" s="3">
        <v>1.693915901536639</v>
      </c>
      <c r="CN164" s="3">
        <v>1.693915901536639</v>
      </c>
      <c r="CO164" s="3">
        <v>1.693915901536639</v>
      </c>
      <c r="CP164" s="3">
        <v>1.693915901536639</v>
      </c>
      <c r="CQ164" s="3">
        <v>1.693915901536639</v>
      </c>
      <c r="CR164" s="3">
        <v>1.693915901536639</v>
      </c>
      <c r="CS164" s="3">
        <v>1.693915901536639</v>
      </c>
      <c r="CU164" s="17" t="s">
        <v>1095</v>
      </c>
      <c r="CV164" s="3">
        <v>2.895369424672483</v>
      </c>
      <c r="CW164" s="3">
        <v>1.8977335291338251</v>
      </c>
      <c r="CX164" s="3">
        <v>1.7786418670740709</v>
      </c>
      <c r="CY164" s="3">
        <v>1.632502985626596</v>
      </c>
      <c r="CZ164" s="3">
        <v>1.713024754328049</v>
      </c>
      <c r="DA164" s="3">
        <v>1.7311884348790121</v>
      </c>
      <c r="DB164" s="3">
        <v>1.7225759001651539</v>
      </c>
      <c r="DC164" s="3">
        <v>1.713339987958056</v>
      </c>
      <c r="DD164" s="3">
        <v>1.7034551614486511</v>
      </c>
      <c r="DE164" s="3">
        <v>1.693915901536639</v>
      </c>
      <c r="DF164" s="3">
        <v>1.693915901536639</v>
      </c>
      <c r="DG164" s="3">
        <v>1.693915901536639</v>
      </c>
      <c r="DH164" s="3">
        <v>1.693915901536639</v>
      </c>
      <c r="DI164" s="3">
        <v>1.693915901536639</v>
      </c>
      <c r="DJ164" s="3">
        <v>1.693915901536639</v>
      </c>
      <c r="DK164" s="3">
        <v>1.693915901536639</v>
      </c>
      <c r="DL164" s="3">
        <v>1.693915901536639</v>
      </c>
      <c r="DM164" s="3">
        <v>1.693915901536639</v>
      </c>
      <c r="DN164" s="3">
        <v>1.693915901536639</v>
      </c>
      <c r="DO164" s="3">
        <v>1.693915901536639</v>
      </c>
    </row>
    <row r="165" spans="1:119" x14ac:dyDescent="0.45">
      <c r="A165" s="16" t="s">
        <v>1096</v>
      </c>
      <c r="B165" s="3" t="s">
        <v>89</v>
      </c>
      <c r="C165" s="16" t="s">
        <v>1097</v>
      </c>
      <c r="H165" s="3" t="s">
        <v>1098</v>
      </c>
      <c r="I165" s="3" t="s">
        <v>651</v>
      </c>
      <c r="K165" s="17" t="s">
        <v>1099</v>
      </c>
      <c r="L165" s="3">
        <v>0</v>
      </c>
      <c r="M165" s="3">
        <v>0</v>
      </c>
      <c r="N165" s="3">
        <v>0</v>
      </c>
      <c r="O165" s="3">
        <v>0</v>
      </c>
      <c r="P165" s="3">
        <v>0</v>
      </c>
      <c r="Q165" s="3">
        <v>0</v>
      </c>
      <c r="R165" s="3">
        <v>0</v>
      </c>
      <c r="S165" s="3">
        <v>0</v>
      </c>
      <c r="T165" s="3">
        <v>0</v>
      </c>
      <c r="U165" s="3">
        <v>0</v>
      </c>
      <c r="V165" s="3">
        <v>0</v>
      </c>
      <c r="W165" s="3">
        <v>0</v>
      </c>
      <c r="X165" s="3">
        <v>0</v>
      </c>
      <c r="Y165" s="3">
        <v>0</v>
      </c>
      <c r="Z165" s="3">
        <v>0</v>
      </c>
      <c r="AA165" s="3">
        <v>0</v>
      </c>
      <c r="AB165" s="3">
        <v>0</v>
      </c>
      <c r="AC165" s="3">
        <v>0</v>
      </c>
      <c r="AD165" s="3">
        <v>0</v>
      </c>
      <c r="AE165" s="3">
        <v>0</v>
      </c>
      <c r="AG165" s="17" t="s">
        <v>1100</v>
      </c>
      <c r="AH165" s="3">
        <v>0</v>
      </c>
      <c r="AI165" s="3">
        <v>0</v>
      </c>
      <c r="AJ165" s="3">
        <v>0</v>
      </c>
      <c r="AK165" s="3">
        <v>0</v>
      </c>
      <c r="AL165" s="3">
        <v>0</v>
      </c>
      <c r="AM165" s="3">
        <v>0</v>
      </c>
      <c r="AN165" s="3">
        <v>0</v>
      </c>
      <c r="AO165" s="3">
        <v>0</v>
      </c>
      <c r="AP165" s="3">
        <v>0</v>
      </c>
      <c r="AQ165" s="3">
        <v>0</v>
      </c>
      <c r="AR165" s="3">
        <v>0</v>
      </c>
      <c r="AS165" s="3">
        <v>0</v>
      </c>
      <c r="AT165" s="3">
        <v>0</v>
      </c>
      <c r="AU165" s="3">
        <v>0</v>
      </c>
      <c r="AV165" s="3">
        <v>0</v>
      </c>
      <c r="AW165" s="3">
        <v>0</v>
      </c>
      <c r="AX165" s="3">
        <v>0</v>
      </c>
      <c r="AY165" s="3">
        <v>0</v>
      </c>
      <c r="AZ165" s="3">
        <v>0</v>
      </c>
      <c r="BA165" s="3">
        <v>0</v>
      </c>
      <c r="BC165" s="17" t="s">
        <v>1101</v>
      </c>
      <c r="BD165" s="3">
        <v>0</v>
      </c>
      <c r="BE165" s="3">
        <v>0</v>
      </c>
      <c r="BF165" s="3">
        <v>0</v>
      </c>
      <c r="BG165" s="3">
        <v>0</v>
      </c>
      <c r="BH165" s="3">
        <v>0</v>
      </c>
      <c r="BI165" s="3">
        <v>0</v>
      </c>
      <c r="BJ165" s="3">
        <v>0</v>
      </c>
      <c r="BK165" s="3">
        <v>0</v>
      </c>
      <c r="BL165" s="3">
        <v>0</v>
      </c>
      <c r="BM165" s="3">
        <v>0</v>
      </c>
      <c r="BN165" s="3">
        <v>0</v>
      </c>
      <c r="BO165" s="3">
        <v>0</v>
      </c>
      <c r="BP165" s="3">
        <v>0</v>
      </c>
      <c r="BQ165" s="3">
        <v>0</v>
      </c>
      <c r="BR165" s="3">
        <v>0</v>
      </c>
      <c r="BS165" s="3">
        <v>0</v>
      </c>
      <c r="BT165" s="3">
        <v>0</v>
      </c>
      <c r="BU165" s="3">
        <v>0</v>
      </c>
      <c r="BV165" s="3">
        <v>0</v>
      </c>
      <c r="BW165" s="3">
        <v>0</v>
      </c>
      <c r="BY165" s="17" t="s">
        <v>1102</v>
      </c>
      <c r="BZ165" s="3">
        <v>0</v>
      </c>
      <c r="CA165" s="3">
        <v>0</v>
      </c>
      <c r="CB165" s="3">
        <v>0</v>
      </c>
      <c r="CC165" s="3">
        <v>0</v>
      </c>
      <c r="CD165" s="3">
        <v>0</v>
      </c>
      <c r="CE165" s="3">
        <v>0</v>
      </c>
      <c r="CF165" s="3">
        <v>0</v>
      </c>
      <c r="CG165" s="3">
        <v>0</v>
      </c>
      <c r="CH165" s="3">
        <v>0</v>
      </c>
      <c r="CI165" s="3">
        <v>0</v>
      </c>
      <c r="CJ165" s="3">
        <v>0</v>
      </c>
      <c r="CK165" s="3">
        <v>0</v>
      </c>
      <c r="CL165" s="3">
        <v>0</v>
      </c>
      <c r="CM165" s="3">
        <v>0</v>
      </c>
      <c r="CN165" s="3">
        <v>0</v>
      </c>
      <c r="CO165" s="3">
        <v>0</v>
      </c>
      <c r="CP165" s="3">
        <v>0</v>
      </c>
      <c r="CQ165" s="3">
        <v>0</v>
      </c>
      <c r="CR165" s="3">
        <v>0</v>
      </c>
      <c r="CS165" s="3">
        <v>0</v>
      </c>
      <c r="CU165" s="17" t="s">
        <v>1103</v>
      </c>
      <c r="CV165" s="3">
        <v>0</v>
      </c>
      <c r="CW165" s="3">
        <v>0</v>
      </c>
      <c r="CX165" s="3">
        <v>0</v>
      </c>
      <c r="CY165" s="3">
        <v>0</v>
      </c>
      <c r="CZ165" s="3">
        <v>0</v>
      </c>
      <c r="DA165" s="3">
        <v>0</v>
      </c>
      <c r="DB165" s="3">
        <v>0</v>
      </c>
      <c r="DC165" s="3">
        <v>0</v>
      </c>
      <c r="DD165" s="3">
        <v>0</v>
      </c>
      <c r="DE165" s="3">
        <v>0</v>
      </c>
      <c r="DF165" s="3">
        <v>0</v>
      </c>
      <c r="DG165" s="3">
        <v>0</v>
      </c>
      <c r="DH165" s="3">
        <v>0</v>
      </c>
      <c r="DI165" s="3">
        <v>0</v>
      </c>
      <c r="DJ165" s="3">
        <v>0</v>
      </c>
      <c r="DK165" s="3">
        <v>0</v>
      </c>
      <c r="DL165" s="3">
        <v>0</v>
      </c>
      <c r="DM165" s="3">
        <v>0</v>
      </c>
      <c r="DN165" s="3">
        <v>0</v>
      </c>
      <c r="DO165" s="3">
        <v>0</v>
      </c>
    </row>
    <row r="166" spans="1:119" x14ac:dyDescent="0.45">
      <c r="A166" s="16" t="s">
        <v>1104</v>
      </c>
      <c r="B166" s="3" t="s">
        <v>89</v>
      </c>
      <c r="C166" s="16" t="s">
        <v>1105</v>
      </c>
      <c r="H166" s="3" t="s">
        <v>1106</v>
      </c>
      <c r="I166" s="3" t="s">
        <v>651</v>
      </c>
      <c r="K166" s="17" t="s">
        <v>1107</v>
      </c>
      <c r="L166" s="3">
        <v>0</v>
      </c>
      <c r="M166" s="3">
        <v>0</v>
      </c>
      <c r="N166" s="3">
        <v>0</v>
      </c>
      <c r="O166" s="3">
        <v>0</v>
      </c>
      <c r="P166" s="3">
        <v>0</v>
      </c>
      <c r="Q166" s="3">
        <v>0</v>
      </c>
      <c r="R166" s="3">
        <v>0</v>
      </c>
      <c r="S166" s="3">
        <v>0</v>
      </c>
      <c r="T166" s="3">
        <v>0</v>
      </c>
      <c r="U166" s="3">
        <v>0</v>
      </c>
      <c r="V166" s="3">
        <v>0</v>
      </c>
      <c r="W166" s="3">
        <v>0</v>
      </c>
      <c r="X166" s="3">
        <v>0</v>
      </c>
      <c r="Y166" s="3">
        <v>0</v>
      </c>
      <c r="Z166" s="3">
        <v>0</v>
      </c>
      <c r="AA166" s="3">
        <v>0</v>
      </c>
      <c r="AB166" s="3">
        <v>0</v>
      </c>
      <c r="AC166" s="3">
        <v>0</v>
      </c>
      <c r="AD166" s="3">
        <v>0</v>
      </c>
      <c r="AE166" s="3">
        <v>0</v>
      </c>
      <c r="AG166" s="17" t="s">
        <v>1108</v>
      </c>
      <c r="AH166" s="3">
        <v>0</v>
      </c>
      <c r="AI166" s="3">
        <v>0</v>
      </c>
      <c r="AJ166" s="3">
        <v>0</v>
      </c>
      <c r="AK166" s="3">
        <v>0</v>
      </c>
      <c r="AL166" s="3">
        <v>0</v>
      </c>
      <c r="AM166" s="3">
        <v>0</v>
      </c>
      <c r="AN166" s="3">
        <v>0</v>
      </c>
      <c r="AO166" s="3">
        <v>0</v>
      </c>
      <c r="AP166" s="3">
        <v>0</v>
      </c>
      <c r="AQ166" s="3">
        <v>0</v>
      </c>
      <c r="AR166" s="3">
        <v>0</v>
      </c>
      <c r="AS166" s="3">
        <v>0</v>
      </c>
      <c r="AT166" s="3">
        <v>0</v>
      </c>
      <c r="AU166" s="3">
        <v>0</v>
      </c>
      <c r="AV166" s="3">
        <v>0</v>
      </c>
      <c r="AW166" s="3">
        <v>0</v>
      </c>
      <c r="AX166" s="3">
        <v>0</v>
      </c>
      <c r="AY166" s="3">
        <v>0</v>
      </c>
      <c r="AZ166" s="3">
        <v>0</v>
      </c>
      <c r="BA166" s="3">
        <v>0</v>
      </c>
      <c r="BC166" s="17" t="s">
        <v>1109</v>
      </c>
      <c r="BD166" s="3">
        <v>0</v>
      </c>
      <c r="BE166" s="3">
        <v>0</v>
      </c>
      <c r="BF166" s="3">
        <v>0</v>
      </c>
      <c r="BG166" s="3">
        <v>0</v>
      </c>
      <c r="BH166" s="3">
        <v>0</v>
      </c>
      <c r="BI166" s="3">
        <v>0</v>
      </c>
      <c r="BJ166" s="3">
        <v>0</v>
      </c>
      <c r="BK166" s="3">
        <v>0</v>
      </c>
      <c r="BL166" s="3">
        <v>0</v>
      </c>
      <c r="BM166" s="3">
        <v>0</v>
      </c>
      <c r="BN166" s="3">
        <v>0</v>
      </c>
      <c r="BO166" s="3">
        <v>0</v>
      </c>
      <c r="BP166" s="3">
        <v>0</v>
      </c>
      <c r="BQ166" s="3">
        <v>0</v>
      </c>
      <c r="BR166" s="3">
        <v>0</v>
      </c>
      <c r="BS166" s="3">
        <v>0</v>
      </c>
      <c r="BT166" s="3">
        <v>0</v>
      </c>
      <c r="BU166" s="3">
        <v>0</v>
      </c>
      <c r="BV166" s="3">
        <v>0</v>
      </c>
      <c r="BW166" s="3">
        <v>0</v>
      </c>
      <c r="BY166" s="17" t="s">
        <v>1110</v>
      </c>
      <c r="BZ166" s="3">
        <v>0</v>
      </c>
      <c r="CA166" s="3">
        <v>0</v>
      </c>
      <c r="CB166" s="3">
        <v>0</v>
      </c>
      <c r="CC166" s="3">
        <v>0</v>
      </c>
      <c r="CD166" s="3">
        <v>0</v>
      </c>
      <c r="CE166" s="3">
        <v>0</v>
      </c>
      <c r="CF166" s="3">
        <v>0</v>
      </c>
      <c r="CG166" s="3">
        <v>0</v>
      </c>
      <c r="CH166" s="3">
        <v>0</v>
      </c>
      <c r="CI166" s="3">
        <v>0</v>
      </c>
      <c r="CJ166" s="3">
        <v>0</v>
      </c>
      <c r="CK166" s="3">
        <v>0</v>
      </c>
      <c r="CL166" s="3">
        <v>0</v>
      </c>
      <c r="CM166" s="3">
        <v>0</v>
      </c>
      <c r="CN166" s="3">
        <v>0</v>
      </c>
      <c r="CO166" s="3">
        <v>0</v>
      </c>
      <c r="CP166" s="3">
        <v>0</v>
      </c>
      <c r="CQ166" s="3">
        <v>0</v>
      </c>
      <c r="CR166" s="3">
        <v>0</v>
      </c>
      <c r="CS166" s="3">
        <v>0</v>
      </c>
      <c r="CU166" s="17" t="s">
        <v>1111</v>
      </c>
      <c r="CV166" s="3">
        <v>0</v>
      </c>
      <c r="CW166" s="3">
        <v>0</v>
      </c>
      <c r="CX166" s="3">
        <v>0</v>
      </c>
      <c r="CY166" s="3">
        <v>0</v>
      </c>
      <c r="CZ166" s="3">
        <v>0</v>
      </c>
      <c r="DA166" s="3">
        <v>0</v>
      </c>
      <c r="DB166" s="3">
        <v>0</v>
      </c>
      <c r="DC166" s="3">
        <v>0</v>
      </c>
      <c r="DD166" s="3">
        <v>0</v>
      </c>
      <c r="DE166" s="3">
        <v>0</v>
      </c>
      <c r="DF166" s="3">
        <v>0</v>
      </c>
      <c r="DG166" s="3">
        <v>0</v>
      </c>
      <c r="DH166" s="3">
        <v>0</v>
      </c>
      <c r="DI166" s="3">
        <v>0</v>
      </c>
      <c r="DJ166" s="3">
        <v>0</v>
      </c>
      <c r="DK166" s="3">
        <v>0</v>
      </c>
      <c r="DL166" s="3">
        <v>0</v>
      </c>
      <c r="DM166" s="3">
        <v>0</v>
      </c>
      <c r="DN166" s="3">
        <v>0</v>
      </c>
      <c r="DO166" s="3">
        <v>0</v>
      </c>
    </row>
    <row r="167" spans="1:119" x14ac:dyDescent="0.45">
      <c r="A167" s="16" t="s">
        <v>1112</v>
      </c>
      <c r="B167" s="3" t="s">
        <v>89</v>
      </c>
      <c r="C167" s="16" t="s">
        <v>1113</v>
      </c>
      <c r="H167" s="3" t="s">
        <v>1114</v>
      </c>
      <c r="I167" s="3" t="s">
        <v>651</v>
      </c>
      <c r="K167" s="17" t="s">
        <v>1115</v>
      </c>
      <c r="L167" s="3">
        <v>0</v>
      </c>
      <c r="M167" s="3">
        <v>0</v>
      </c>
      <c r="N167" s="3">
        <v>0</v>
      </c>
      <c r="O167" s="3">
        <v>0</v>
      </c>
      <c r="P167" s="3">
        <v>0</v>
      </c>
      <c r="Q167" s="3">
        <v>0</v>
      </c>
      <c r="R167" s="3">
        <v>0</v>
      </c>
      <c r="S167" s="3">
        <v>0</v>
      </c>
      <c r="T167" s="3">
        <v>0</v>
      </c>
      <c r="U167" s="3">
        <v>0</v>
      </c>
      <c r="V167" s="3">
        <v>0</v>
      </c>
      <c r="W167" s="3">
        <v>0</v>
      </c>
      <c r="X167" s="3">
        <v>0</v>
      </c>
      <c r="Y167" s="3">
        <v>0</v>
      </c>
      <c r="Z167" s="3">
        <v>0</v>
      </c>
      <c r="AA167" s="3">
        <v>0</v>
      </c>
      <c r="AB167" s="3">
        <v>0</v>
      </c>
      <c r="AC167" s="3">
        <v>0</v>
      </c>
      <c r="AD167" s="3">
        <v>0</v>
      </c>
      <c r="AE167" s="3">
        <v>0</v>
      </c>
      <c r="AG167" s="17" t="s">
        <v>1116</v>
      </c>
      <c r="AH167" s="3">
        <v>0</v>
      </c>
      <c r="AI167" s="3">
        <v>0</v>
      </c>
      <c r="AJ167" s="3">
        <v>0</v>
      </c>
      <c r="AK167" s="3">
        <v>0</v>
      </c>
      <c r="AL167" s="3">
        <v>0</v>
      </c>
      <c r="AM167" s="3">
        <v>0</v>
      </c>
      <c r="AN167" s="3">
        <v>0</v>
      </c>
      <c r="AO167" s="3">
        <v>0</v>
      </c>
      <c r="AP167" s="3">
        <v>0</v>
      </c>
      <c r="AQ167" s="3">
        <v>0</v>
      </c>
      <c r="AR167" s="3">
        <v>0</v>
      </c>
      <c r="AS167" s="3">
        <v>0</v>
      </c>
      <c r="AT167" s="3">
        <v>0</v>
      </c>
      <c r="AU167" s="3">
        <v>0</v>
      </c>
      <c r="AV167" s="3">
        <v>0</v>
      </c>
      <c r="AW167" s="3">
        <v>0</v>
      </c>
      <c r="AX167" s="3">
        <v>0</v>
      </c>
      <c r="AY167" s="3">
        <v>0</v>
      </c>
      <c r="AZ167" s="3">
        <v>0</v>
      </c>
      <c r="BA167" s="3">
        <v>0</v>
      </c>
      <c r="BC167" s="17" t="s">
        <v>1117</v>
      </c>
      <c r="BD167" s="3">
        <v>0</v>
      </c>
      <c r="BE167" s="3">
        <v>0</v>
      </c>
      <c r="BF167" s="3">
        <v>0</v>
      </c>
      <c r="BG167" s="3">
        <v>0</v>
      </c>
      <c r="BH167" s="3">
        <v>0</v>
      </c>
      <c r="BI167" s="3">
        <v>0</v>
      </c>
      <c r="BJ167" s="3">
        <v>0</v>
      </c>
      <c r="BK167" s="3">
        <v>0</v>
      </c>
      <c r="BL167" s="3">
        <v>0</v>
      </c>
      <c r="BM167" s="3">
        <v>0</v>
      </c>
      <c r="BN167" s="3">
        <v>0</v>
      </c>
      <c r="BO167" s="3">
        <v>0</v>
      </c>
      <c r="BP167" s="3">
        <v>0</v>
      </c>
      <c r="BQ167" s="3">
        <v>0</v>
      </c>
      <c r="BR167" s="3">
        <v>0</v>
      </c>
      <c r="BS167" s="3">
        <v>0</v>
      </c>
      <c r="BT167" s="3">
        <v>0</v>
      </c>
      <c r="BU167" s="3">
        <v>0</v>
      </c>
      <c r="BV167" s="3">
        <v>0</v>
      </c>
      <c r="BW167" s="3">
        <v>0</v>
      </c>
      <c r="BY167" s="17" t="s">
        <v>1118</v>
      </c>
      <c r="BZ167" s="3">
        <v>0</v>
      </c>
      <c r="CA167" s="3">
        <v>0</v>
      </c>
      <c r="CB167" s="3">
        <v>0</v>
      </c>
      <c r="CC167" s="3">
        <v>0</v>
      </c>
      <c r="CD167" s="3">
        <v>0</v>
      </c>
      <c r="CE167" s="3">
        <v>0</v>
      </c>
      <c r="CF167" s="3">
        <v>0</v>
      </c>
      <c r="CG167" s="3">
        <v>0</v>
      </c>
      <c r="CH167" s="3">
        <v>0</v>
      </c>
      <c r="CI167" s="3">
        <v>0</v>
      </c>
      <c r="CJ167" s="3">
        <v>0</v>
      </c>
      <c r="CK167" s="3">
        <v>0</v>
      </c>
      <c r="CL167" s="3">
        <v>0</v>
      </c>
      <c r="CM167" s="3">
        <v>0</v>
      </c>
      <c r="CN167" s="3">
        <v>0</v>
      </c>
      <c r="CO167" s="3">
        <v>0</v>
      </c>
      <c r="CP167" s="3">
        <v>0</v>
      </c>
      <c r="CQ167" s="3">
        <v>0</v>
      </c>
      <c r="CR167" s="3">
        <v>0</v>
      </c>
      <c r="CS167" s="3">
        <v>0</v>
      </c>
      <c r="CU167" s="17" t="s">
        <v>1119</v>
      </c>
      <c r="CV167" s="3">
        <v>0</v>
      </c>
      <c r="CW167" s="3">
        <v>0</v>
      </c>
      <c r="CX167" s="3">
        <v>0</v>
      </c>
      <c r="CY167" s="3">
        <v>0</v>
      </c>
      <c r="CZ167" s="3">
        <v>0</v>
      </c>
      <c r="DA167" s="3">
        <v>0</v>
      </c>
      <c r="DB167" s="3">
        <v>0</v>
      </c>
      <c r="DC167" s="3">
        <v>0</v>
      </c>
      <c r="DD167" s="3">
        <v>0</v>
      </c>
      <c r="DE167" s="3">
        <v>0</v>
      </c>
      <c r="DF167" s="3">
        <v>0</v>
      </c>
      <c r="DG167" s="3">
        <v>0</v>
      </c>
      <c r="DH167" s="3">
        <v>0</v>
      </c>
      <c r="DI167" s="3">
        <v>0</v>
      </c>
      <c r="DJ167" s="3">
        <v>0</v>
      </c>
      <c r="DK167" s="3">
        <v>0</v>
      </c>
      <c r="DL167" s="3">
        <v>0</v>
      </c>
      <c r="DM167" s="3">
        <v>0</v>
      </c>
      <c r="DN167" s="3">
        <v>0</v>
      </c>
      <c r="DO167" s="3">
        <v>0</v>
      </c>
    </row>
    <row r="168" spans="1:119" x14ac:dyDescent="0.45">
      <c r="A168" s="16" t="s">
        <v>1120</v>
      </c>
      <c r="B168" s="3" t="s">
        <v>89</v>
      </c>
      <c r="C168" s="16" t="s">
        <v>1121</v>
      </c>
      <c r="H168" s="3" t="s">
        <v>1122</v>
      </c>
      <c r="I168" s="3" t="s">
        <v>651</v>
      </c>
      <c r="K168" s="17" t="s">
        <v>1123</v>
      </c>
      <c r="L168" s="3">
        <v>0</v>
      </c>
      <c r="M168" s="3">
        <v>0</v>
      </c>
      <c r="N168" s="3">
        <v>0</v>
      </c>
      <c r="O168" s="3">
        <v>0</v>
      </c>
      <c r="P168" s="3">
        <v>0</v>
      </c>
      <c r="Q168" s="3">
        <v>0</v>
      </c>
      <c r="R168" s="3">
        <v>0</v>
      </c>
      <c r="S168" s="3">
        <v>0</v>
      </c>
      <c r="T168" s="3">
        <v>0</v>
      </c>
      <c r="U168" s="3">
        <v>0</v>
      </c>
      <c r="V168" s="3">
        <v>0</v>
      </c>
      <c r="W168" s="3">
        <v>0</v>
      </c>
      <c r="X168" s="3">
        <v>0</v>
      </c>
      <c r="Y168" s="3">
        <v>0</v>
      </c>
      <c r="Z168" s="3">
        <v>0</v>
      </c>
      <c r="AA168" s="3">
        <v>0</v>
      </c>
      <c r="AB168" s="3">
        <v>0</v>
      </c>
      <c r="AC168" s="3">
        <v>0</v>
      </c>
      <c r="AD168" s="3">
        <v>0</v>
      </c>
      <c r="AE168" s="3">
        <v>0</v>
      </c>
      <c r="AG168" s="17" t="s">
        <v>1124</v>
      </c>
      <c r="AH168" s="3">
        <v>0</v>
      </c>
      <c r="AI168" s="3">
        <v>0</v>
      </c>
      <c r="AJ168" s="3">
        <v>0</v>
      </c>
      <c r="AK168" s="3">
        <v>0</v>
      </c>
      <c r="AL168" s="3">
        <v>0</v>
      </c>
      <c r="AM168" s="3">
        <v>0</v>
      </c>
      <c r="AN168" s="3">
        <v>0</v>
      </c>
      <c r="AO168" s="3">
        <v>0</v>
      </c>
      <c r="AP168" s="3">
        <v>0</v>
      </c>
      <c r="AQ168" s="3">
        <v>0</v>
      </c>
      <c r="AR168" s="3">
        <v>0</v>
      </c>
      <c r="AS168" s="3">
        <v>0</v>
      </c>
      <c r="AT168" s="3">
        <v>0</v>
      </c>
      <c r="AU168" s="3">
        <v>0</v>
      </c>
      <c r="AV168" s="3">
        <v>0</v>
      </c>
      <c r="AW168" s="3">
        <v>0</v>
      </c>
      <c r="AX168" s="3">
        <v>0</v>
      </c>
      <c r="AY168" s="3">
        <v>0</v>
      </c>
      <c r="AZ168" s="3">
        <v>0</v>
      </c>
      <c r="BA168" s="3">
        <v>0</v>
      </c>
      <c r="BC168" s="17" t="s">
        <v>1125</v>
      </c>
      <c r="BD168" s="3">
        <v>0</v>
      </c>
      <c r="BE168" s="3">
        <v>0</v>
      </c>
      <c r="BF168" s="3">
        <v>0</v>
      </c>
      <c r="BG168" s="3">
        <v>0</v>
      </c>
      <c r="BH168" s="3">
        <v>0</v>
      </c>
      <c r="BI168" s="3">
        <v>0</v>
      </c>
      <c r="BJ168" s="3">
        <v>0</v>
      </c>
      <c r="BK168" s="3">
        <v>0</v>
      </c>
      <c r="BL168" s="3">
        <v>0</v>
      </c>
      <c r="BM168" s="3">
        <v>0</v>
      </c>
      <c r="BN168" s="3">
        <v>0</v>
      </c>
      <c r="BO168" s="3">
        <v>0</v>
      </c>
      <c r="BP168" s="3">
        <v>0</v>
      </c>
      <c r="BQ168" s="3">
        <v>0</v>
      </c>
      <c r="BR168" s="3">
        <v>0</v>
      </c>
      <c r="BS168" s="3">
        <v>0</v>
      </c>
      <c r="BT168" s="3">
        <v>0</v>
      </c>
      <c r="BU168" s="3">
        <v>0</v>
      </c>
      <c r="BV168" s="3">
        <v>0</v>
      </c>
      <c r="BW168" s="3">
        <v>0</v>
      </c>
      <c r="BY168" s="17" t="s">
        <v>1126</v>
      </c>
      <c r="BZ168" s="3">
        <v>0</v>
      </c>
      <c r="CA168" s="3">
        <v>0</v>
      </c>
      <c r="CB168" s="3">
        <v>0</v>
      </c>
      <c r="CC168" s="3">
        <v>0</v>
      </c>
      <c r="CD168" s="3">
        <v>0</v>
      </c>
      <c r="CE168" s="3">
        <v>0</v>
      </c>
      <c r="CF168" s="3">
        <v>0</v>
      </c>
      <c r="CG168" s="3">
        <v>0</v>
      </c>
      <c r="CH168" s="3">
        <v>0</v>
      </c>
      <c r="CI168" s="3">
        <v>0</v>
      </c>
      <c r="CJ168" s="3">
        <v>0</v>
      </c>
      <c r="CK168" s="3">
        <v>0</v>
      </c>
      <c r="CL168" s="3">
        <v>0</v>
      </c>
      <c r="CM168" s="3">
        <v>0</v>
      </c>
      <c r="CN168" s="3">
        <v>0</v>
      </c>
      <c r="CO168" s="3">
        <v>0</v>
      </c>
      <c r="CP168" s="3">
        <v>0</v>
      </c>
      <c r="CQ168" s="3">
        <v>0</v>
      </c>
      <c r="CR168" s="3">
        <v>0</v>
      </c>
      <c r="CS168" s="3">
        <v>0</v>
      </c>
      <c r="CU168" s="17" t="s">
        <v>1127</v>
      </c>
      <c r="CV168" s="3">
        <v>0</v>
      </c>
      <c r="CW168" s="3">
        <v>0</v>
      </c>
      <c r="CX168" s="3">
        <v>0</v>
      </c>
      <c r="CY168" s="3">
        <v>0</v>
      </c>
      <c r="CZ168" s="3">
        <v>0</v>
      </c>
      <c r="DA168" s="3">
        <v>0</v>
      </c>
      <c r="DB168" s="3">
        <v>0</v>
      </c>
      <c r="DC168" s="3">
        <v>0</v>
      </c>
      <c r="DD168" s="3">
        <v>0</v>
      </c>
      <c r="DE168" s="3">
        <v>0</v>
      </c>
      <c r="DF168" s="3">
        <v>0</v>
      </c>
      <c r="DG168" s="3">
        <v>0</v>
      </c>
      <c r="DH168" s="3">
        <v>0</v>
      </c>
      <c r="DI168" s="3">
        <v>0</v>
      </c>
      <c r="DJ168" s="3">
        <v>0</v>
      </c>
      <c r="DK168" s="3">
        <v>0</v>
      </c>
      <c r="DL168" s="3">
        <v>0</v>
      </c>
      <c r="DM168" s="3">
        <v>0</v>
      </c>
      <c r="DN168" s="3">
        <v>0</v>
      </c>
      <c r="DO168" s="3">
        <v>0</v>
      </c>
    </row>
    <row r="169" spans="1:119" x14ac:dyDescent="0.45">
      <c r="A169" s="16" t="s">
        <v>1128</v>
      </c>
      <c r="B169" s="3" t="s">
        <v>89</v>
      </c>
      <c r="C169" s="16" t="s">
        <v>1129</v>
      </c>
      <c r="H169" s="3" t="s">
        <v>1130</v>
      </c>
      <c r="I169" s="3" t="s">
        <v>651</v>
      </c>
      <c r="K169" s="17" t="s">
        <v>1131</v>
      </c>
      <c r="L169" s="3">
        <v>0</v>
      </c>
      <c r="M169" s="3">
        <v>0</v>
      </c>
      <c r="N169" s="3">
        <v>0</v>
      </c>
      <c r="O169" s="3">
        <v>0</v>
      </c>
      <c r="P169" s="3">
        <v>0</v>
      </c>
      <c r="Q169" s="3">
        <v>0</v>
      </c>
      <c r="R169" s="3">
        <v>0</v>
      </c>
      <c r="S169" s="3">
        <v>0</v>
      </c>
      <c r="T169" s="3">
        <v>0</v>
      </c>
      <c r="U169" s="3">
        <v>0</v>
      </c>
      <c r="V169" s="3">
        <v>0</v>
      </c>
      <c r="W169" s="3">
        <v>0</v>
      </c>
      <c r="X169" s="3">
        <v>0</v>
      </c>
      <c r="Y169" s="3">
        <v>0</v>
      </c>
      <c r="Z169" s="3">
        <v>0</v>
      </c>
      <c r="AA169" s="3">
        <v>0</v>
      </c>
      <c r="AB169" s="3">
        <v>0</v>
      </c>
      <c r="AC169" s="3">
        <v>0</v>
      </c>
      <c r="AD169" s="3">
        <v>0</v>
      </c>
      <c r="AE169" s="3">
        <v>0</v>
      </c>
      <c r="AG169" s="17" t="s">
        <v>1132</v>
      </c>
      <c r="AH169" s="3">
        <v>0</v>
      </c>
      <c r="AI169" s="3">
        <v>0</v>
      </c>
      <c r="AJ169" s="3">
        <v>0</v>
      </c>
      <c r="AK169" s="3">
        <v>0</v>
      </c>
      <c r="AL169" s="3">
        <v>0</v>
      </c>
      <c r="AM169" s="3">
        <v>0</v>
      </c>
      <c r="AN169" s="3">
        <v>0</v>
      </c>
      <c r="AO169" s="3">
        <v>0</v>
      </c>
      <c r="AP169" s="3">
        <v>0</v>
      </c>
      <c r="AQ169" s="3">
        <v>0</v>
      </c>
      <c r="AR169" s="3">
        <v>0</v>
      </c>
      <c r="AS169" s="3">
        <v>0</v>
      </c>
      <c r="AT169" s="3">
        <v>0</v>
      </c>
      <c r="AU169" s="3">
        <v>0</v>
      </c>
      <c r="AV169" s="3">
        <v>0</v>
      </c>
      <c r="AW169" s="3">
        <v>0</v>
      </c>
      <c r="AX169" s="3">
        <v>0</v>
      </c>
      <c r="AY169" s="3">
        <v>0</v>
      </c>
      <c r="AZ169" s="3">
        <v>0</v>
      </c>
      <c r="BA169" s="3">
        <v>0</v>
      </c>
      <c r="BC169" s="17" t="s">
        <v>1133</v>
      </c>
      <c r="BD169" s="3">
        <v>0</v>
      </c>
      <c r="BE169" s="3">
        <v>0</v>
      </c>
      <c r="BF169" s="3">
        <v>0</v>
      </c>
      <c r="BG169" s="3">
        <v>0</v>
      </c>
      <c r="BH169" s="3">
        <v>0</v>
      </c>
      <c r="BI169" s="3">
        <v>0</v>
      </c>
      <c r="BJ169" s="3">
        <v>0</v>
      </c>
      <c r="BK169" s="3">
        <v>0</v>
      </c>
      <c r="BL169" s="3">
        <v>0</v>
      </c>
      <c r="BM169" s="3">
        <v>0</v>
      </c>
      <c r="BN169" s="3">
        <v>0</v>
      </c>
      <c r="BO169" s="3">
        <v>0</v>
      </c>
      <c r="BP169" s="3">
        <v>0</v>
      </c>
      <c r="BQ169" s="3">
        <v>0</v>
      </c>
      <c r="BR169" s="3">
        <v>0</v>
      </c>
      <c r="BS169" s="3">
        <v>0</v>
      </c>
      <c r="BT169" s="3">
        <v>0</v>
      </c>
      <c r="BU169" s="3">
        <v>0</v>
      </c>
      <c r="BV169" s="3">
        <v>0</v>
      </c>
      <c r="BW169" s="3">
        <v>0</v>
      </c>
      <c r="BY169" s="17" t="s">
        <v>1134</v>
      </c>
      <c r="BZ169" s="3">
        <v>0</v>
      </c>
      <c r="CA169" s="3">
        <v>0</v>
      </c>
      <c r="CB169" s="3">
        <v>0</v>
      </c>
      <c r="CC169" s="3">
        <v>0</v>
      </c>
      <c r="CD169" s="3">
        <v>0</v>
      </c>
      <c r="CE169" s="3">
        <v>0</v>
      </c>
      <c r="CF169" s="3">
        <v>0</v>
      </c>
      <c r="CG169" s="3">
        <v>0</v>
      </c>
      <c r="CH169" s="3">
        <v>0</v>
      </c>
      <c r="CI169" s="3">
        <v>0</v>
      </c>
      <c r="CJ169" s="3">
        <v>0</v>
      </c>
      <c r="CK169" s="3">
        <v>0</v>
      </c>
      <c r="CL169" s="3">
        <v>0</v>
      </c>
      <c r="CM169" s="3">
        <v>0</v>
      </c>
      <c r="CN169" s="3">
        <v>0</v>
      </c>
      <c r="CO169" s="3">
        <v>0</v>
      </c>
      <c r="CP169" s="3">
        <v>0</v>
      </c>
      <c r="CQ169" s="3">
        <v>0</v>
      </c>
      <c r="CR169" s="3">
        <v>0</v>
      </c>
      <c r="CS169" s="3">
        <v>0</v>
      </c>
      <c r="CU169" s="17" t="s">
        <v>1135</v>
      </c>
      <c r="CV169" s="3">
        <v>0</v>
      </c>
      <c r="CW169" s="3">
        <v>0</v>
      </c>
      <c r="CX169" s="3">
        <v>0</v>
      </c>
      <c r="CY169" s="3">
        <v>0</v>
      </c>
      <c r="CZ169" s="3">
        <v>0</v>
      </c>
      <c r="DA169" s="3">
        <v>0</v>
      </c>
      <c r="DB169" s="3">
        <v>0</v>
      </c>
      <c r="DC169" s="3">
        <v>0</v>
      </c>
      <c r="DD169" s="3">
        <v>0</v>
      </c>
      <c r="DE169" s="3">
        <v>0</v>
      </c>
      <c r="DF169" s="3">
        <v>0</v>
      </c>
      <c r="DG169" s="3">
        <v>0</v>
      </c>
      <c r="DH169" s="3">
        <v>0</v>
      </c>
      <c r="DI169" s="3">
        <v>0</v>
      </c>
      <c r="DJ169" s="3">
        <v>0</v>
      </c>
      <c r="DK169" s="3">
        <v>0</v>
      </c>
      <c r="DL169" s="3">
        <v>0</v>
      </c>
      <c r="DM169" s="3">
        <v>0</v>
      </c>
      <c r="DN169" s="3">
        <v>0</v>
      </c>
      <c r="DO169" s="3">
        <v>0</v>
      </c>
    </row>
    <row r="170" spans="1:119" x14ac:dyDescent="0.45">
      <c r="A170" s="16" t="s">
        <v>1136</v>
      </c>
      <c r="B170" s="3" t="s">
        <v>89</v>
      </c>
      <c r="C170" s="16" t="s">
        <v>1137</v>
      </c>
      <c r="H170" s="3" t="s">
        <v>1138</v>
      </c>
      <c r="I170" s="3" t="s">
        <v>651</v>
      </c>
      <c r="K170" s="17" t="s">
        <v>1139</v>
      </c>
      <c r="L170" s="3">
        <v>0</v>
      </c>
      <c r="M170" s="3">
        <v>0</v>
      </c>
      <c r="N170" s="3">
        <v>0</v>
      </c>
      <c r="O170" s="3">
        <v>0</v>
      </c>
      <c r="P170" s="3">
        <v>0</v>
      </c>
      <c r="Q170" s="3">
        <v>0</v>
      </c>
      <c r="R170" s="3">
        <v>0</v>
      </c>
      <c r="S170" s="3">
        <v>0</v>
      </c>
      <c r="T170" s="3">
        <v>0</v>
      </c>
      <c r="U170" s="3">
        <v>0</v>
      </c>
      <c r="V170" s="3">
        <v>0</v>
      </c>
      <c r="W170" s="3">
        <v>0</v>
      </c>
      <c r="X170" s="3">
        <v>0</v>
      </c>
      <c r="Y170" s="3">
        <v>0</v>
      </c>
      <c r="Z170" s="3">
        <v>0</v>
      </c>
      <c r="AA170" s="3">
        <v>0</v>
      </c>
      <c r="AB170" s="3">
        <v>0</v>
      </c>
      <c r="AC170" s="3">
        <v>0</v>
      </c>
      <c r="AD170" s="3">
        <v>0</v>
      </c>
      <c r="AE170" s="3">
        <v>0</v>
      </c>
      <c r="AG170" s="17" t="s">
        <v>1140</v>
      </c>
      <c r="AH170" s="3">
        <v>0</v>
      </c>
      <c r="AI170" s="3">
        <v>0</v>
      </c>
      <c r="AJ170" s="3">
        <v>0</v>
      </c>
      <c r="AK170" s="3">
        <v>0</v>
      </c>
      <c r="AL170" s="3">
        <v>0</v>
      </c>
      <c r="AM170" s="3">
        <v>0</v>
      </c>
      <c r="AN170" s="3">
        <v>0</v>
      </c>
      <c r="AO170" s="3">
        <v>0</v>
      </c>
      <c r="AP170" s="3">
        <v>0</v>
      </c>
      <c r="AQ170" s="3">
        <v>0</v>
      </c>
      <c r="AR170" s="3">
        <v>0</v>
      </c>
      <c r="AS170" s="3">
        <v>0</v>
      </c>
      <c r="AT170" s="3">
        <v>0</v>
      </c>
      <c r="AU170" s="3">
        <v>0</v>
      </c>
      <c r="AV170" s="3">
        <v>0</v>
      </c>
      <c r="AW170" s="3">
        <v>0</v>
      </c>
      <c r="AX170" s="3">
        <v>0</v>
      </c>
      <c r="AY170" s="3">
        <v>0</v>
      </c>
      <c r="AZ170" s="3">
        <v>0</v>
      </c>
      <c r="BA170" s="3">
        <v>0</v>
      </c>
      <c r="BC170" s="17" t="s">
        <v>1141</v>
      </c>
      <c r="BD170" s="3">
        <v>0</v>
      </c>
      <c r="BE170" s="3">
        <v>0</v>
      </c>
      <c r="BF170" s="3">
        <v>0</v>
      </c>
      <c r="BG170" s="3">
        <v>0</v>
      </c>
      <c r="BH170" s="3">
        <v>0</v>
      </c>
      <c r="BI170" s="3">
        <v>0</v>
      </c>
      <c r="BJ170" s="3">
        <v>0</v>
      </c>
      <c r="BK170" s="3">
        <v>0</v>
      </c>
      <c r="BL170" s="3">
        <v>0</v>
      </c>
      <c r="BM170" s="3">
        <v>0</v>
      </c>
      <c r="BN170" s="3">
        <v>0</v>
      </c>
      <c r="BO170" s="3">
        <v>0</v>
      </c>
      <c r="BP170" s="3">
        <v>0</v>
      </c>
      <c r="BQ170" s="3">
        <v>0</v>
      </c>
      <c r="BR170" s="3">
        <v>0</v>
      </c>
      <c r="BS170" s="3">
        <v>0</v>
      </c>
      <c r="BT170" s="3">
        <v>0</v>
      </c>
      <c r="BU170" s="3">
        <v>0</v>
      </c>
      <c r="BV170" s="3">
        <v>0</v>
      </c>
      <c r="BW170" s="3">
        <v>0</v>
      </c>
      <c r="BY170" s="17" t="s">
        <v>1142</v>
      </c>
      <c r="BZ170" s="3">
        <v>0</v>
      </c>
      <c r="CA170" s="3">
        <v>0</v>
      </c>
      <c r="CB170" s="3">
        <v>0</v>
      </c>
      <c r="CC170" s="3">
        <v>0</v>
      </c>
      <c r="CD170" s="3">
        <v>0</v>
      </c>
      <c r="CE170" s="3">
        <v>0</v>
      </c>
      <c r="CF170" s="3">
        <v>0</v>
      </c>
      <c r="CG170" s="3">
        <v>0</v>
      </c>
      <c r="CH170" s="3">
        <v>0</v>
      </c>
      <c r="CI170" s="3">
        <v>0</v>
      </c>
      <c r="CJ170" s="3">
        <v>0</v>
      </c>
      <c r="CK170" s="3">
        <v>0</v>
      </c>
      <c r="CL170" s="3">
        <v>0</v>
      </c>
      <c r="CM170" s="3">
        <v>0</v>
      </c>
      <c r="CN170" s="3">
        <v>0</v>
      </c>
      <c r="CO170" s="3">
        <v>0</v>
      </c>
      <c r="CP170" s="3">
        <v>0</v>
      </c>
      <c r="CQ170" s="3">
        <v>0</v>
      </c>
      <c r="CR170" s="3">
        <v>0</v>
      </c>
      <c r="CS170" s="3">
        <v>0</v>
      </c>
      <c r="CU170" s="17" t="s">
        <v>1143</v>
      </c>
      <c r="CV170" s="3">
        <v>0</v>
      </c>
      <c r="CW170" s="3">
        <v>0</v>
      </c>
      <c r="CX170" s="3">
        <v>0</v>
      </c>
      <c r="CY170" s="3">
        <v>0</v>
      </c>
      <c r="CZ170" s="3">
        <v>0</v>
      </c>
      <c r="DA170" s="3">
        <v>0</v>
      </c>
      <c r="DB170" s="3">
        <v>0</v>
      </c>
      <c r="DC170" s="3">
        <v>0</v>
      </c>
      <c r="DD170" s="3">
        <v>0</v>
      </c>
      <c r="DE170" s="3">
        <v>0</v>
      </c>
      <c r="DF170" s="3">
        <v>0</v>
      </c>
      <c r="DG170" s="3">
        <v>0</v>
      </c>
      <c r="DH170" s="3">
        <v>0</v>
      </c>
      <c r="DI170" s="3">
        <v>0</v>
      </c>
      <c r="DJ170" s="3">
        <v>0</v>
      </c>
      <c r="DK170" s="3">
        <v>0</v>
      </c>
      <c r="DL170" s="3">
        <v>0</v>
      </c>
      <c r="DM170" s="3">
        <v>0</v>
      </c>
      <c r="DN170" s="3">
        <v>0</v>
      </c>
      <c r="DO170" s="3">
        <v>0</v>
      </c>
    </row>
    <row r="171" spans="1:119" x14ac:dyDescent="0.45">
      <c r="A171" s="16" t="s">
        <v>1144</v>
      </c>
      <c r="B171" s="3" t="s">
        <v>89</v>
      </c>
      <c r="C171" s="16" t="s">
        <v>1145</v>
      </c>
      <c r="H171" s="3" t="s">
        <v>1146</v>
      </c>
      <c r="I171" s="3" t="s">
        <v>651</v>
      </c>
      <c r="K171" s="17" t="s">
        <v>1147</v>
      </c>
      <c r="L171" s="3">
        <v>0</v>
      </c>
      <c r="M171" s="3">
        <v>0</v>
      </c>
      <c r="N171" s="3">
        <v>0</v>
      </c>
      <c r="O171" s="3">
        <v>0</v>
      </c>
      <c r="P171" s="3">
        <v>0</v>
      </c>
      <c r="Q171" s="3">
        <v>0</v>
      </c>
      <c r="R171" s="3">
        <v>0</v>
      </c>
      <c r="S171" s="3">
        <v>0</v>
      </c>
      <c r="T171" s="3">
        <v>0</v>
      </c>
      <c r="U171" s="3">
        <v>0</v>
      </c>
      <c r="V171" s="3">
        <v>0</v>
      </c>
      <c r="W171" s="3">
        <v>0</v>
      </c>
      <c r="X171" s="3">
        <v>0</v>
      </c>
      <c r="Y171" s="3">
        <v>0</v>
      </c>
      <c r="Z171" s="3">
        <v>0</v>
      </c>
      <c r="AA171" s="3">
        <v>0</v>
      </c>
      <c r="AB171" s="3">
        <v>0</v>
      </c>
      <c r="AC171" s="3">
        <v>0</v>
      </c>
      <c r="AD171" s="3">
        <v>0</v>
      </c>
      <c r="AE171" s="3">
        <v>0</v>
      </c>
      <c r="AG171" s="17" t="s">
        <v>1148</v>
      </c>
      <c r="AH171" s="3">
        <v>0</v>
      </c>
      <c r="AI171" s="3">
        <v>0</v>
      </c>
      <c r="AJ171" s="3">
        <v>0</v>
      </c>
      <c r="AK171" s="3">
        <v>0</v>
      </c>
      <c r="AL171" s="3">
        <v>0</v>
      </c>
      <c r="AM171" s="3">
        <v>0</v>
      </c>
      <c r="AN171" s="3">
        <v>0</v>
      </c>
      <c r="AO171" s="3">
        <v>0</v>
      </c>
      <c r="AP171" s="3">
        <v>0</v>
      </c>
      <c r="AQ171" s="3">
        <v>0</v>
      </c>
      <c r="AR171" s="3">
        <v>0</v>
      </c>
      <c r="AS171" s="3">
        <v>0</v>
      </c>
      <c r="AT171" s="3">
        <v>0</v>
      </c>
      <c r="AU171" s="3">
        <v>0</v>
      </c>
      <c r="AV171" s="3">
        <v>0</v>
      </c>
      <c r="AW171" s="3">
        <v>0</v>
      </c>
      <c r="AX171" s="3">
        <v>0</v>
      </c>
      <c r="AY171" s="3">
        <v>0</v>
      </c>
      <c r="AZ171" s="3">
        <v>0</v>
      </c>
      <c r="BA171" s="3">
        <v>0</v>
      </c>
      <c r="BC171" s="17" t="s">
        <v>1149</v>
      </c>
      <c r="BD171" s="3">
        <v>0</v>
      </c>
      <c r="BE171" s="3">
        <v>0</v>
      </c>
      <c r="BF171" s="3">
        <v>0</v>
      </c>
      <c r="BG171" s="3">
        <v>0</v>
      </c>
      <c r="BH171" s="3">
        <v>0</v>
      </c>
      <c r="BI171" s="3">
        <v>0</v>
      </c>
      <c r="BJ171" s="3">
        <v>0</v>
      </c>
      <c r="BK171" s="3">
        <v>0</v>
      </c>
      <c r="BL171" s="3">
        <v>0</v>
      </c>
      <c r="BM171" s="3">
        <v>0</v>
      </c>
      <c r="BN171" s="3">
        <v>0</v>
      </c>
      <c r="BO171" s="3">
        <v>0</v>
      </c>
      <c r="BP171" s="3">
        <v>0</v>
      </c>
      <c r="BQ171" s="3">
        <v>0</v>
      </c>
      <c r="BR171" s="3">
        <v>0</v>
      </c>
      <c r="BS171" s="3">
        <v>0</v>
      </c>
      <c r="BT171" s="3">
        <v>0</v>
      </c>
      <c r="BU171" s="3">
        <v>0</v>
      </c>
      <c r="BV171" s="3">
        <v>0</v>
      </c>
      <c r="BW171" s="3">
        <v>0</v>
      </c>
      <c r="BY171" s="17" t="s">
        <v>1150</v>
      </c>
      <c r="BZ171" s="3">
        <v>0</v>
      </c>
      <c r="CA171" s="3">
        <v>0</v>
      </c>
      <c r="CB171" s="3">
        <v>0</v>
      </c>
      <c r="CC171" s="3">
        <v>0</v>
      </c>
      <c r="CD171" s="3">
        <v>0</v>
      </c>
      <c r="CE171" s="3">
        <v>0</v>
      </c>
      <c r="CF171" s="3">
        <v>0</v>
      </c>
      <c r="CG171" s="3">
        <v>0</v>
      </c>
      <c r="CH171" s="3">
        <v>0</v>
      </c>
      <c r="CI171" s="3">
        <v>0</v>
      </c>
      <c r="CJ171" s="3">
        <v>0</v>
      </c>
      <c r="CK171" s="3">
        <v>0</v>
      </c>
      <c r="CL171" s="3">
        <v>0</v>
      </c>
      <c r="CM171" s="3">
        <v>0</v>
      </c>
      <c r="CN171" s="3">
        <v>0</v>
      </c>
      <c r="CO171" s="3">
        <v>0</v>
      </c>
      <c r="CP171" s="3">
        <v>0</v>
      </c>
      <c r="CQ171" s="3">
        <v>0</v>
      </c>
      <c r="CR171" s="3">
        <v>0</v>
      </c>
      <c r="CS171" s="3">
        <v>0</v>
      </c>
      <c r="CU171" s="17" t="s">
        <v>1151</v>
      </c>
      <c r="CV171" s="3">
        <v>0</v>
      </c>
      <c r="CW171" s="3">
        <v>0</v>
      </c>
      <c r="CX171" s="3">
        <v>0</v>
      </c>
      <c r="CY171" s="3">
        <v>0</v>
      </c>
      <c r="CZ171" s="3">
        <v>0</v>
      </c>
      <c r="DA171" s="3">
        <v>0</v>
      </c>
      <c r="DB171" s="3">
        <v>0</v>
      </c>
      <c r="DC171" s="3">
        <v>0</v>
      </c>
      <c r="DD171" s="3">
        <v>0</v>
      </c>
      <c r="DE171" s="3">
        <v>0</v>
      </c>
      <c r="DF171" s="3">
        <v>0</v>
      </c>
      <c r="DG171" s="3">
        <v>0</v>
      </c>
      <c r="DH171" s="3">
        <v>0</v>
      </c>
      <c r="DI171" s="3">
        <v>0</v>
      </c>
      <c r="DJ171" s="3">
        <v>0</v>
      </c>
      <c r="DK171" s="3">
        <v>0</v>
      </c>
      <c r="DL171" s="3">
        <v>0</v>
      </c>
      <c r="DM171" s="3">
        <v>0</v>
      </c>
      <c r="DN171" s="3">
        <v>0</v>
      </c>
      <c r="DO171" s="3">
        <v>0</v>
      </c>
    </row>
    <row r="172" spans="1:119" x14ac:dyDescent="0.45">
      <c r="A172" s="16" t="s">
        <v>1152</v>
      </c>
      <c r="B172" s="3" t="s">
        <v>89</v>
      </c>
      <c r="C172" s="16" t="s">
        <v>1153</v>
      </c>
      <c r="H172" s="3" t="s">
        <v>1154</v>
      </c>
      <c r="I172" s="3" t="s">
        <v>651</v>
      </c>
      <c r="K172" s="17" t="s">
        <v>1155</v>
      </c>
      <c r="L172" s="3">
        <v>0</v>
      </c>
      <c r="M172" s="3">
        <v>0</v>
      </c>
      <c r="N172" s="3">
        <v>0</v>
      </c>
      <c r="O172" s="3">
        <v>0</v>
      </c>
      <c r="P172" s="3">
        <v>0</v>
      </c>
      <c r="Q172" s="3">
        <v>0</v>
      </c>
      <c r="R172" s="3">
        <v>0</v>
      </c>
      <c r="S172" s="3">
        <v>0</v>
      </c>
      <c r="T172" s="3">
        <v>0</v>
      </c>
      <c r="U172" s="3">
        <v>0</v>
      </c>
      <c r="V172" s="3">
        <v>0</v>
      </c>
      <c r="W172" s="3">
        <v>0</v>
      </c>
      <c r="X172" s="3">
        <v>0</v>
      </c>
      <c r="Y172" s="3">
        <v>0</v>
      </c>
      <c r="Z172" s="3">
        <v>0</v>
      </c>
      <c r="AA172" s="3">
        <v>0</v>
      </c>
      <c r="AB172" s="3">
        <v>0</v>
      </c>
      <c r="AC172" s="3">
        <v>0</v>
      </c>
      <c r="AD172" s="3">
        <v>0</v>
      </c>
      <c r="AE172" s="3">
        <v>0</v>
      </c>
      <c r="AG172" s="17" t="s">
        <v>1156</v>
      </c>
      <c r="AH172" s="3">
        <v>0</v>
      </c>
      <c r="AI172" s="3">
        <v>0</v>
      </c>
      <c r="AJ172" s="3">
        <v>0</v>
      </c>
      <c r="AK172" s="3">
        <v>0</v>
      </c>
      <c r="AL172" s="3">
        <v>0</v>
      </c>
      <c r="AM172" s="3">
        <v>0</v>
      </c>
      <c r="AN172" s="3">
        <v>0</v>
      </c>
      <c r="AO172" s="3">
        <v>0</v>
      </c>
      <c r="AP172" s="3">
        <v>0</v>
      </c>
      <c r="AQ172" s="3">
        <v>0</v>
      </c>
      <c r="AR172" s="3">
        <v>0</v>
      </c>
      <c r="AS172" s="3">
        <v>0</v>
      </c>
      <c r="AT172" s="3">
        <v>0</v>
      </c>
      <c r="AU172" s="3">
        <v>0</v>
      </c>
      <c r="AV172" s="3">
        <v>0</v>
      </c>
      <c r="AW172" s="3">
        <v>0</v>
      </c>
      <c r="AX172" s="3">
        <v>0</v>
      </c>
      <c r="AY172" s="3">
        <v>0</v>
      </c>
      <c r="AZ172" s="3">
        <v>0</v>
      </c>
      <c r="BA172" s="3">
        <v>0</v>
      </c>
      <c r="BC172" s="17" t="s">
        <v>1157</v>
      </c>
      <c r="BD172" s="3">
        <v>0</v>
      </c>
      <c r="BE172" s="3">
        <v>0</v>
      </c>
      <c r="BF172" s="3">
        <v>0</v>
      </c>
      <c r="BG172" s="3">
        <v>0</v>
      </c>
      <c r="BH172" s="3">
        <v>0</v>
      </c>
      <c r="BI172" s="3">
        <v>0</v>
      </c>
      <c r="BJ172" s="3">
        <v>0</v>
      </c>
      <c r="BK172" s="3">
        <v>0</v>
      </c>
      <c r="BL172" s="3">
        <v>0</v>
      </c>
      <c r="BM172" s="3">
        <v>0</v>
      </c>
      <c r="BN172" s="3">
        <v>0</v>
      </c>
      <c r="BO172" s="3">
        <v>0</v>
      </c>
      <c r="BP172" s="3">
        <v>0</v>
      </c>
      <c r="BQ172" s="3">
        <v>0</v>
      </c>
      <c r="BR172" s="3">
        <v>0</v>
      </c>
      <c r="BS172" s="3">
        <v>0</v>
      </c>
      <c r="BT172" s="3">
        <v>0</v>
      </c>
      <c r="BU172" s="3">
        <v>0</v>
      </c>
      <c r="BV172" s="3">
        <v>0</v>
      </c>
      <c r="BW172" s="3">
        <v>0</v>
      </c>
      <c r="BY172" s="17" t="s">
        <v>1158</v>
      </c>
      <c r="BZ172" s="3">
        <v>0</v>
      </c>
      <c r="CA172" s="3">
        <v>0</v>
      </c>
      <c r="CB172" s="3">
        <v>0</v>
      </c>
      <c r="CC172" s="3">
        <v>0</v>
      </c>
      <c r="CD172" s="3">
        <v>0</v>
      </c>
      <c r="CE172" s="3">
        <v>0</v>
      </c>
      <c r="CF172" s="3">
        <v>0</v>
      </c>
      <c r="CG172" s="3">
        <v>0</v>
      </c>
      <c r="CH172" s="3">
        <v>0</v>
      </c>
      <c r="CI172" s="3">
        <v>0</v>
      </c>
      <c r="CJ172" s="3">
        <v>0</v>
      </c>
      <c r="CK172" s="3">
        <v>0</v>
      </c>
      <c r="CL172" s="3">
        <v>0</v>
      </c>
      <c r="CM172" s="3">
        <v>0</v>
      </c>
      <c r="CN172" s="3">
        <v>0</v>
      </c>
      <c r="CO172" s="3">
        <v>0</v>
      </c>
      <c r="CP172" s="3">
        <v>0</v>
      </c>
      <c r="CQ172" s="3">
        <v>0</v>
      </c>
      <c r="CR172" s="3">
        <v>0</v>
      </c>
      <c r="CS172" s="3">
        <v>0</v>
      </c>
      <c r="CU172" s="17" t="s">
        <v>1159</v>
      </c>
      <c r="CV172" s="3">
        <v>0</v>
      </c>
      <c r="CW172" s="3">
        <v>0</v>
      </c>
      <c r="CX172" s="3">
        <v>0</v>
      </c>
      <c r="CY172" s="3">
        <v>0</v>
      </c>
      <c r="CZ172" s="3">
        <v>0</v>
      </c>
      <c r="DA172" s="3">
        <v>0</v>
      </c>
      <c r="DB172" s="3">
        <v>0</v>
      </c>
      <c r="DC172" s="3">
        <v>0</v>
      </c>
      <c r="DD172" s="3">
        <v>0</v>
      </c>
      <c r="DE172" s="3">
        <v>0</v>
      </c>
      <c r="DF172" s="3">
        <v>0</v>
      </c>
      <c r="DG172" s="3">
        <v>0</v>
      </c>
      <c r="DH172" s="3">
        <v>0</v>
      </c>
      <c r="DI172" s="3">
        <v>0</v>
      </c>
      <c r="DJ172" s="3">
        <v>0</v>
      </c>
      <c r="DK172" s="3">
        <v>0</v>
      </c>
      <c r="DL172" s="3">
        <v>0</v>
      </c>
      <c r="DM172" s="3">
        <v>0</v>
      </c>
      <c r="DN172" s="3">
        <v>0</v>
      </c>
      <c r="DO172" s="3">
        <v>0</v>
      </c>
    </row>
    <row r="173" spans="1:119" x14ac:dyDescent="0.45">
      <c r="A173" s="11"/>
      <c r="B173" s="3" t="s">
        <v>89</v>
      </c>
      <c r="C173" s="16" t="s">
        <v>1160</v>
      </c>
      <c r="H173" s="11" t="s">
        <v>1161</v>
      </c>
      <c r="I173" s="11" t="s">
        <v>1069</v>
      </c>
    </row>
    <row r="174" spans="1:119" x14ac:dyDescent="0.45">
      <c r="A174" s="11"/>
      <c r="B174" s="3" t="s">
        <v>89</v>
      </c>
      <c r="C174" s="16" t="s">
        <v>1162</v>
      </c>
      <c r="H174" s="11" t="s">
        <v>1163</v>
      </c>
      <c r="I174" s="11" t="s">
        <v>1069</v>
      </c>
    </row>
    <row r="175" spans="1:119" x14ac:dyDescent="0.45">
      <c r="A175" s="11"/>
      <c r="B175" s="3" t="s">
        <v>89</v>
      </c>
      <c r="C175" s="16" t="s">
        <v>1164</v>
      </c>
      <c r="H175" s="11" t="s">
        <v>1165</v>
      </c>
      <c r="I175" s="11" t="s">
        <v>1166</v>
      </c>
    </row>
    <row r="176" spans="1:119" x14ac:dyDescent="0.45">
      <c r="A176" s="11"/>
      <c r="B176" s="3" t="s">
        <v>89</v>
      </c>
      <c r="C176" s="16" t="s">
        <v>1167</v>
      </c>
      <c r="H176" s="11" t="s">
        <v>1168</v>
      </c>
      <c r="I176" s="11" t="s">
        <v>1166</v>
      </c>
    </row>
    <row r="177" spans="1:9" x14ac:dyDescent="0.45">
      <c r="A177" s="11"/>
      <c r="B177" s="3" t="s">
        <v>89</v>
      </c>
      <c r="C177" s="16" t="s">
        <v>1169</v>
      </c>
      <c r="H177" s="11" t="s">
        <v>1170</v>
      </c>
      <c r="I177" s="11" t="s">
        <v>1166</v>
      </c>
    </row>
    <row r="178" spans="1:9" x14ac:dyDescent="0.45">
      <c r="A178" s="11"/>
      <c r="B178" s="3" t="s">
        <v>89</v>
      </c>
      <c r="C178" s="16" t="s">
        <v>1171</v>
      </c>
      <c r="H178" s="11" t="s">
        <v>1172</v>
      </c>
      <c r="I178" s="11" t="s">
        <v>1166</v>
      </c>
    </row>
    <row r="179" spans="1:9" x14ac:dyDescent="0.45">
      <c r="A179" s="11"/>
      <c r="B179" s="3" t="s">
        <v>89</v>
      </c>
      <c r="C179" s="16" t="s">
        <v>1173</v>
      </c>
      <c r="H179" s="11" t="s">
        <v>1174</v>
      </c>
      <c r="I179" s="11" t="s">
        <v>1166</v>
      </c>
    </row>
    <row r="180" spans="1:9" x14ac:dyDescent="0.45">
      <c r="A180" s="11"/>
      <c r="B180" s="3" t="s">
        <v>89</v>
      </c>
      <c r="C180" s="16" t="s">
        <v>1175</v>
      </c>
      <c r="H180" s="11" t="s">
        <v>1176</v>
      </c>
      <c r="I180" s="11" t="s">
        <v>1166</v>
      </c>
    </row>
    <row r="181" spans="1:9" x14ac:dyDescent="0.45">
      <c r="A181" s="11"/>
      <c r="B181" s="3" t="s">
        <v>89</v>
      </c>
      <c r="C181" s="16" t="s">
        <v>1177</v>
      </c>
      <c r="H181" s="11" t="s">
        <v>1178</v>
      </c>
      <c r="I181" s="11" t="s">
        <v>1179</v>
      </c>
    </row>
    <row r="182" spans="1:9" x14ac:dyDescent="0.45">
      <c r="A182" s="11"/>
      <c r="B182" s="3" t="s">
        <v>89</v>
      </c>
      <c r="C182" s="16" t="s">
        <v>1180</v>
      </c>
      <c r="H182" s="11" t="s">
        <v>1181</v>
      </c>
      <c r="I182" s="11" t="s">
        <v>1182</v>
      </c>
    </row>
    <row r="183" spans="1:9" x14ac:dyDescent="0.45">
      <c r="A183" s="11"/>
      <c r="B183" s="3" t="s">
        <v>89</v>
      </c>
      <c r="C183" s="16" t="s">
        <v>1183</v>
      </c>
      <c r="H183" s="11" t="s">
        <v>1184</v>
      </c>
      <c r="I183" s="11" t="s">
        <v>1182</v>
      </c>
    </row>
    <row r="184" spans="1:9" x14ac:dyDescent="0.45">
      <c r="A184" s="11"/>
      <c r="B184" s="3" t="s">
        <v>89</v>
      </c>
      <c r="C184" s="16" t="s">
        <v>1185</v>
      </c>
      <c r="H184" s="11" t="s">
        <v>1186</v>
      </c>
      <c r="I184" s="11" t="s">
        <v>1182</v>
      </c>
    </row>
    <row r="185" spans="1:9" x14ac:dyDescent="0.45">
      <c r="A185" s="11"/>
      <c r="B185" s="3" t="s">
        <v>89</v>
      </c>
      <c r="C185" s="16" t="s">
        <v>1187</v>
      </c>
      <c r="H185" s="11" t="s">
        <v>1188</v>
      </c>
      <c r="I185" s="11" t="s">
        <v>1182</v>
      </c>
    </row>
    <row r="186" spans="1:9" x14ac:dyDescent="0.45">
      <c r="A186" s="11"/>
      <c r="B186" s="3" t="s">
        <v>89</v>
      </c>
      <c r="C186" s="16" t="s">
        <v>1189</v>
      </c>
      <c r="H186" s="11" t="s">
        <v>1190</v>
      </c>
      <c r="I186" s="11" t="s">
        <v>1069</v>
      </c>
    </row>
    <row r="187" spans="1:9" x14ac:dyDescent="0.45">
      <c r="A187" s="11"/>
      <c r="B187" s="3" t="s">
        <v>89</v>
      </c>
      <c r="C187" s="16" t="s">
        <v>1191</v>
      </c>
      <c r="H187" s="11" t="s">
        <v>1192</v>
      </c>
      <c r="I187" s="11" t="s">
        <v>1069</v>
      </c>
    </row>
    <row r="188" spans="1:9" x14ac:dyDescent="0.45">
      <c r="A188" s="11"/>
      <c r="B188" s="3" t="s">
        <v>89</v>
      </c>
      <c r="C188" s="16" t="s">
        <v>1193</v>
      </c>
      <c r="H188" s="11" t="s">
        <v>1194</v>
      </c>
      <c r="I188" s="11" t="s">
        <v>1166</v>
      </c>
    </row>
    <row r="189" spans="1:9" x14ac:dyDescent="0.45">
      <c r="A189" s="11"/>
      <c r="B189" s="3" t="s">
        <v>89</v>
      </c>
      <c r="C189" s="16" t="s">
        <v>1195</v>
      </c>
      <c r="H189" s="11" t="s">
        <v>1196</v>
      </c>
      <c r="I189" s="11" t="s">
        <v>1166</v>
      </c>
    </row>
    <row r="190" spans="1:9" x14ac:dyDescent="0.45">
      <c r="A190" s="11"/>
      <c r="B190" s="3" t="s">
        <v>89</v>
      </c>
      <c r="C190" s="16" t="s">
        <v>1197</v>
      </c>
      <c r="H190" s="11" t="s">
        <v>1198</v>
      </c>
      <c r="I190" s="11" t="s">
        <v>1166</v>
      </c>
    </row>
    <row r="191" spans="1:9" x14ac:dyDescent="0.45">
      <c r="A191" s="11"/>
      <c r="B191" s="3" t="s">
        <v>89</v>
      </c>
      <c r="C191" s="16" t="s">
        <v>1199</v>
      </c>
      <c r="H191" s="11" t="s">
        <v>1200</v>
      </c>
      <c r="I191" s="11" t="s">
        <v>1166</v>
      </c>
    </row>
    <row r="192" spans="1:9" x14ac:dyDescent="0.45">
      <c r="A192" s="11"/>
      <c r="B192" s="3" t="s">
        <v>89</v>
      </c>
      <c r="C192" s="16" t="s">
        <v>1201</v>
      </c>
      <c r="H192" s="11" t="s">
        <v>1202</v>
      </c>
      <c r="I192" s="11" t="s">
        <v>1166</v>
      </c>
    </row>
    <row r="193" spans="1:230" x14ac:dyDescent="0.45">
      <c r="A193" s="11"/>
      <c r="B193" s="3" t="s">
        <v>89</v>
      </c>
      <c r="C193" s="16" t="s">
        <v>1203</v>
      </c>
      <c r="H193" s="11" t="s">
        <v>1204</v>
      </c>
      <c r="I193" s="11" t="s">
        <v>1166</v>
      </c>
    </row>
    <row r="194" spans="1:230" x14ac:dyDescent="0.45">
      <c r="A194" s="11"/>
      <c r="B194" s="3" t="s">
        <v>89</v>
      </c>
      <c r="C194" s="16" t="s">
        <v>1205</v>
      </c>
      <c r="H194" s="11" t="s">
        <v>1206</v>
      </c>
      <c r="I194" s="11" t="s">
        <v>1179</v>
      </c>
    </row>
    <row r="195" spans="1:230" x14ac:dyDescent="0.45">
      <c r="A195" s="11"/>
      <c r="B195" s="3" t="s">
        <v>89</v>
      </c>
      <c r="C195" s="16" t="s">
        <v>1207</v>
      </c>
      <c r="H195" s="11" t="s">
        <v>1208</v>
      </c>
      <c r="I195" s="11" t="s">
        <v>1182</v>
      </c>
    </row>
    <row r="196" spans="1:230" x14ac:dyDescent="0.45">
      <c r="A196" s="11"/>
      <c r="B196" s="3" t="s">
        <v>89</v>
      </c>
      <c r="C196" s="16" t="s">
        <v>1209</v>
      </c>
      <c r="H196" s="11" t="s">
        <v>1210</v>
      </c>
      <c r="I196" s="11" t="s">
        <v>1182</v>
      </c>
    </row>
    <row r="197" spans="1:230" x14ac:dyDescent="0.45">
      <c r="A197" s="11"/>
      <c r="B197" s="3" t="s">
        <v>89</v>
      </c>
      <c r="C197" s="16" t="s">
        <v>1211</v>
      </c>
      <c r="H197" s="11" t="s">
        <v>1212</v>
      </c>
      <c r="I197" s="11" t="s">
        <v>1182</v>
      </c>
    </row>
    <row r="198" spans="1:230" x14ac:dyDescent="0.45">
      <c r="A198" s="11"/>
      <c r="B198" s="3" t="s">
        <v>89</v>
      </c>
      <c r="C198" s="16" t="s">
        <v>1213</v>
      </c>
      <c r="H198" s="11" t="s">
        <v>1214</v>
      </c>
      <c r="I198" s="11" t="s">
        <v>1182</v>
      </c>
    </row>
    <row r="199" spans="1:230" ht="15.4" x14ac:dyDescent="0.45">
      <c r="A199" s="5"/>
      <c r="B199" s="15" t="s">
        <v>1215</v>
      </c>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row>
    <row r="200" spans="1:230" x14ac:dyDescent="0.45">
      <c r="A200" s="16" t="s">
        <v>1216</v>
      </c>
      <c r="B200" s="3" t="s">
        <v>89</v>
      </c>
      <c r="C200" s="16" t="s">
        <v>1217</v>
      </c>
      <c r="H200" s="3" t="s">
        <v>1218</v>
      </c>
      <c r="I200" s="3" t="s">
        <v>109</v>
      </c>
      <c r="K200" s="17" t="s">
        <v>1219</v>
      </c>
      <c r="L200" s="3">
        <v>3.5562807158661611</v>
      </c>
      <c r="M200" s="3">
        <v>2.1992787948801991</v>
      </c>
      <c r="N200" s="3">
        <v>1.6883182514723341</v>
      </c>
      <c r="O200" s="3">
        <v>1.686489981755767</v>
      </c>
      <c r="P200" s="3">
        <v>1.6872824283493719</v>
      </c>
      <c r="Q200" s="3">
        <v>1.6873384058987839</v>
      </c>
      <c r="R200" s="3">
        <v>1.687072598630095</v>
      </c>
      <c r="S200" s="3">
        <v>1.6868144686826729</v>
      </c>
      <c r="T200" s="3">
        <v>1.686565206015447</v>
      </c>
      <c r="U200" s="3">
        <v>1.6863252771145829</v>
      </c>
      <c r="V200" s="3">
        <v>1.6861929777166</v>
      </c>
      <c r="W200" s="3">
        <v>1.6860636044976141</v>
      </c>
      <c r="X200" s="3">
        <v>1.6859370727324701</v>
      </c>
      <c r="Y200" s="3">
        <v>1.6858133006846121</v>
      </c>
      <c r="Z200" s="3">
        <v>1.685692209524285</v>
      </c>
      <c r="AA200" s="3">
        <v>1.685573723247825</v>
      </c>
      <c r="AB200" s="3">
        <v>1.6854577685982131</v>
      </c>
      <c r="AC200" s="3">
        <v>1.6853442749870531</v>
      </c>
      <c r="AD200" s="3">
        <v>1.685233174418127</v>
      </c>
      <c r="AE200" s="3">
        <v>1.685124401412617</v>
      </c>
      <c r="AG200" s="17" t="s">
        <v>1220</v>
      </c>
      <c r="AH200" s="3">
        <v>3.5562807158661611</v>
      </c>
      <c r="AI200" s="3">
        <v>2.1992787948801991</v>
      </c>
      <c r="AJ200" s="3">
        <v>1.6883182514723341</v>
      </c>
      <c r="AK200" s="3">
        <v>1.686489981755767</v>
      </c>
      <c r="AL200" s="3">
        <v>1.6872824283493719</v>
      </c>
      <c r="AM200" s="3">
        <v>21.691098218677411</v>
      </c>
      <c r="AN200" s="3">
        <v>21.69079228897262</v>
      </c>
      <c r="AO200" s="3">
        <v>21.69049478569584</v>
      </c>
      <c r="AP200" s="3">
        <v>21.69021663926635</v>
      </c>
      <c r="AQ200" s="3">
        <v>21.689942887321209</v>
      </c>
      <c r="AR200" s="3">
        <v>21.689780480017809</v>
      </c>
      <c r="AS200" s="3">
        <v>21.689617317097319</v>
      </c>
      <c r="AT200" s="3">
        <v>21.689455779958241</v>
      </c>
      <c r="AU200" s="3">
        <v>21.68929878975861</v>
      </c>
      <c r="AV200" s="3">
        <v>21.689144442998028</v>
      </c>
      <c r="AW200" s="3">
        <v>21.688991618738271</v>
      </c>
      <c r="AX200" s="3">
        <v>21.688843885323202</v>
      </c>
      <c r="AY200" s="3">
        <v>21.688700262139701</v>
      </c>
      <c r="AZ200" s="3">
        <v>21.688561775243109</v>
      </c>
      <c r="BA200" s="3">
        <v>21.688426774294442</v>
      </c>
      <c r="BC200" s="17" t="s">
        <v>1221</v>
      </c>
      <c r="BD200" s="3">
        <v>3.5562807158661611</v>
      </c>
      <c r="BE200" s="3">
        <v>2.1992787948801991</v>
      </c>
      <c r="BF200" s="3">
        <v>1.6883182514723341</v>
      </c>
      <c r="BG200" s="3">
        <v>1.686489981755767</v>
      </c>
      <c r="BH200" s="3">
        <v>1.6872824283493719</v>
      </c>
      <c r="BI200" s="3">
        <v>11.68951266904001</v>
      </c>
      <c r="BJ200" s="3">
        <v>25.025394200605721</v>
      </c>
      <c r="BK200" s="3">
        <v>38.361204412224573</v>
      </c>
      <c r="BL200" s="3">
        <v>51.696965528448267</v>
      </c>
      <c r="BM200" s="3">
        <v>65.032360834358457</v>
      </c>
      <c r="BN200" s="3">
        <v>78.367825536066036</v>
      </c>
      <c r="BO200" s="3">
        <v>91.70325088279678</v>
      </c>
      <c r="BP200" s="3">
        <v>105.03863536059821</v>
      </c>
      <c r="BQ200" s="3">
        <v>118.37398136037601</v>
      </c>
      <c r="BR200" s="3">
        <v>131.7092898097147</v>
      </c>
      <c r="BS200" s="3">
        <v>145.0445597775942</v>
      </c>
      <c r="BT200" s="3">
        <v>158.3797943546468</v>
      </c>
      <c r="BU200" s="3">
        <v>171.7149960243552</v>
      </c>
      <c r="BV200" s="3">
        <v>185.0501696725587</v>
      </c>
      <c r="BW200" s="3">
        <v>198.38531745270689</v>
      </c>
      <c r="BY200" s="17" t="s">
        <v>1222</v>
      </c>
      <c r="BZ200" s="3">
        <v>3.5562807158661611</v>
      </c>
      <c r="CA200" s="3">
        <v>2.1992787948801991</v>
      </c>
      <c r="CB200" s="3">
        <v>1.6883182514723341</v>
      </c>
      <c r="CC200" s="3">
        <v>1.686489981755767</v>
      </c>
      <c r="CD200" s="3">
        <v>1.6872824283493719</v>
      </c>
      <c r="CE200" s="3">
        <v>1.7144926167001999</v>
      </c>
      <c r="CF200" s="3">
        <v>1.7152870271272711</v>
      </c>
      <c r="CG200" s="3">
        <v>1.7160056276789979</v>
      </c>
      <c r="CH200" s="3">
        <v>1.716683025252153</v>
      </c>
      <c r="CI200" s="3">
        <v>1.7172665053774201</v>
      </c>
      <c r="CJ200" s="3">
        <v>1.7179120013963181</v>
      </c>
      <c r="CK200" s="3">
        <v>1.718513315463513</v>
      </c>
      <c r="CL200" s="3">
        <v>1.7190651618228701</v>
      </c>
      <c r="CM200" s="3">
        <v>1.7195839369946511</v>
      </c>
      <c r="CN200" s="3">
        <v>1.71960154532575</v>
      </c>
      <c r="CO200" s="3">
        <v>1.7196194967161189</v>
      </c>
      <c r="CP200" s="3">
        <v>1.719641255142375</v>
      </c>
      <c r="CQ200" s="3">
        <v>1.719663694594098</v>
      </c>
      <c r="CR200" s="3">
        <v>1.719693012713674</v>
      </c>
      <c r="CS200" s="3">
        <v>1.7197243217709</v>
      </c>
      <c r="CU200" s="17" t="s">
        <v>1223</v>
      </c>
      <c r="CV200" s="3">
        <v>3.5562807158661611</v>
      </c>
      <c r="CW200" s="3">
        <v>2.1992787948801991</v>
      </c>
      <c r="CX200" s="3">
        <v>1.6883182514723341</v>
      </c>
      <c r="CY200" s="3">
        <v>1.686489981755767</v>
      </c>
      <c r="CZ200" s="3">
        <v>1.6872824283493719</v>
      </c>
      <c r="DA200" s="3">
        <v>51.696717000570438</v>
      </c>
      <c r="DB200" s="3">
        <v>51.696351111967289</v>
      </c>
      <c r="DC200" s="3">
        <v>51.695994189296428</v>
      </c>
      <c r="DD200" s="3">
        <v>51.695674405807637</v>
      </c>
      <c r="DE200" s="3">
        <v>51.695349267491252</v>
      </c>
      <c r="DF200" s="3">
        <v>51.695142823465588</v>
      </c>
      <c r="DG200" s="3">
        <v>51.694928076836277</v>
      </c>
      <c r="DH200" s="3">
        <v>51.694713543863088</v>
      </c>
      <c r="DI200" s="3">
        <v>51.69450619978852</v>
      </c>
      <c r="DJ200" s="3">
        <v>51.694301367308867</v>
      </c>
      <c r="DK200" s="3">
        <v>51.694095997736099</v>
      </c>
      <c r="DL200" s="3">
        <v>51.69390017494711</v>
      </c>
      <c r="DM200" s="3">
        <v>51.693710884111823</v>
      </c>
      <c r="DN200" s="3">
        <v>51.693531321108587</v>
      </c>
      <c r="DO200" s="3">
        <v>51.693356922134271</v>
      </c>
    </row>
    <row r="201" spans="1:230" x14ac:dyDescent="0.45">
      <c r="A201" s="16" t="s">
        <v>1224</v>
      </c>
      <c r="B201" s="3" t="s">
        <v>89</v>
      </c>
      <c r="C201" s="16" t="s">
        <v>1225</v>
      </c>
      <c r="H201" s="3" t="s">
        <v>1226</v>
      </c>
      <c r="I201" s="3" t="s">
        <v>109</v>
      </c>
      <c r="K201" s="17" t="s">
        <v>1227</v>
      </c>
      <c r="L201" s="3">
        <v>-149.30965883032641</v>
      </c>
      <c r="M201" s="3">
        <v>-123.7434646265088</v>
      </c>
      <c r="N201" s="3">
        <v>-114.2027432670109</v>
      </c>
      <c r="O201" s="3">
        <v>-113.7254189613968</v>
      </c>
      <c r="P201" s="3">
        <v>-113.4740517130991</v>
      </c>
      <c r="Q201" s="3">
        <v>-113.3755810097319</v>
      </c>
      <c r="R201" s="3">
        <v>-113.30069847592409</v>
      </c>
      <c r="S201" s="3">
        <v>-113.1712599906474</v>
      </c>
      <c r="T201" s="3">
        <v>-113.0625197420179</v>
      </c>
      <c r="U201" s="3">
        <v>-112.88461965684129</v>
      </c>
      <c r="V201" s="3">
        <v>-112.7031680731827</v>
      </c>
      <c r="W201" s="3">
        <v>-112.4334320458666</v>
      </c>
      <c r="X201" s="3">
        <v>-112.1873518777869</v>
      </c>
      <c r="Y201" s="3">
        <v>-111.93407732520571</v>
      </c>
      <c r="Z201" s="3">
        <v>-111.686260100121</v>
      </c>
      <c r="AA201" s="3">
        <v>-111.4424663527591</v>
      </c>
      <c r="AB201" s="3">
        <v>-111.2029826239871</v>
      </c>
      <c r="AC201" s="3">
        <v>-110.9677272714503</v>
      </c>
      <c r="AD201" s="3">
        <v>-110.7365344212724</v>
      </c>
      <c r="AE201" s="3">
        <v>-110.5094063150862</v>
      </c>
      <c r="AG201" s="17" t="s">
        <v>1228</v>
      </c>
      <c r="AH201" s="3">
        <v>-149.30965883032641</v>
      </c>
      <c r="AI201" s="3">
        <v>-123.7433320103117</v>
      </c>
      <c r="AJ201" s="3">
        <v>-114.2045846359287</v>
      </c>
      <c r="AK201" s="3">
        <v>-113.726780153787</v>
      </c>
      <c r="AL201" s="3">
        <v>-113.47509264102359</v>
      </c>
      <c r="AM201" s="3">
        <v>-91.629034772385879</v>
      </c>
      <c r="AN201" s="3">
        <v>-91.625041644191171</v>
      </c>
      <c r="AO201" s="3">
        <v>-91.324032269387274</v>
      </c>
      <c r="AP201" s="3">
        <v>-91.206869560460774</v>
      </c>
      <c r="AQ201" s="3">
        <v>-91.005665138659765</v>
      </c>
      <c r="AR201" s="3">
        <v>-90.831266388479762</v>
      </c>
      <c r="AS201" s="3">
        <v>-90.596856270668383</v>
      </c>
      <c r="AT201" s="3">
        <v>-90.385345882702836</v>
      </c>
      <c r="AU201" s="3">
        <v>-90.168301980455595</v>
      </c>
      <c r="AV201" s="3">
        <v>-89.954808878706345</v>
      </c>
      <c r="AW201" s="3">
        <v>-89.742643851687745</v>
      </c>
      <c r="AX201" s="3">
        <v>-89.537216025624033</v>
      </c>
      <c r="AY201" s="3">
        <v>-89.336859062833113</v>
      </c>
      <c r="AZ201" s="3">
        <v>-89.143086692593968</v>
      </c>
      <c r="BA201" s="3">
        <v>-88.953554281963775</v>
      </c>
      <c r="BC201" s="17" t="s">
        <v>1229</v>
      </c>
      <c r="BD201" s="3">
        <v>-149.30965883032641</v>
      </c>
      <c r="BE201" s="3">
        <v>-123.7429994632798</v>
      </c>
      <c r="BF201" s="3">
        <v>-114.209200630373</v>
      </c>
      <c r="BG201" s="3">
        <v>-113.7301921044581</v>
      </c>
      <c r="BH201" s="3">
        <v>-113.4776949161384</v>
      </c>
      <c r="BI201" s="3">
        <v>-102.30663588736169</v>
      </c>
      <c r="BJ201" s="3">
        <v>-88.049635639724315</v>
      </c>
      <c r="BK201" s="3">
        <v>-74.061231914593577</v>
      </c>
      <c r="BL201" s="3">
        <v>-60.209888463920933</v>
      </c>
      <c r="BM201" s="3">
        <v>-46.431472085617493</v>
      </c>
      <c r="BN201" s="3">
        <v>-32.758375654148317</v>
      </c>
      <c r="BO201" s="3">
        <v>-19.11725467119701</v>
      </c>
      <c r="BP201" s="3">
        <v>-5.5102935029258946</v>
      </c>
      <c r="BQ201" s="3">
        <v>8.0722769840736444</v>
      </c>
      <c r="BR201" s="3">
        <v>21.646929781038018</v>
      </c>
      <c r="BS201" s="3">
        <v>35.201454979366169</v>
      </c>
      <c r="BT201" s="3">
        <v>48.765070585134723</v>
      </c>
      <c r="BU201" s="3">
        <v>62.300945954804</v>
      </c>
      <c r="BV201" s="3">
        <v>75.865829696501265</v>
      </c>
      <c r="BW201" s="3">
        <v>89.376839133666508</v>
      </c>
      <c r="BY201" s="17" t="s">
        <v>1230</v>
      </c>
      <c r="BZ201" s="3">
        <v>-149.30965883032641</v>
      </c>
      <c r="CA201" s="3">
        <v>-123.74267685371581</v>
      </c>
      <c r="CB201" s="3">
        <v>-114.2136820201825</v>
      </c>
      <c r="CC201" s="3">
        <v>-113.733508237511</v>
      </c>
      <c r="CD201" s="3">
        <v>-113.4802328822506</v>
      </c>
      <c r="CE201" s="3">
        <v>-106.21847919856749</v>
      </c>
      <c r="CF201" s="3">
        <v>-105.86714043045281</v>
      </c>
      <c r="CG201" s="3">
        <v>-105.5566547440752</v>
      </c>
      <c r="CH201" s="3">
        <v>-105.2237392268182</v>
      </c>
      <c r="CI201" s="3">
        <v>-104.8957557618796</v>
      </c>
      <c r="CJ201" s="3">
        <v>-104.4927151602073</v>
      </c>
      <c r="CK201" s="3">
        <v>-104.2391134460464</v>
      </c>
      <c r="CL201" s="3">
        <v>-103.77377516072239</v>
      </c>
      <c r="CM201" s="3">
        <v>-103.3454430754211</v>
      </c>
      <c r="CN201" s="3">
        <v>-102.8987442237835</v>
      </c>
      <c r="CO201" s="3">
        <v>-102.3896022885842</v>
      </c>
      <c r="CP201" s="3">
        <v>-101.8955533036909</v>
      </c>
      <c r="CQ201" s="3">
        <v>-101.39766600571009</v>
      </c>
      <c r="CR201" s="3">
        <v>-100.87189524306049</v>
      </c>
      <c r="CS201" s="3">
        <v>-100.3600621631377</v>
      </c>
      <c r="CU201" s="17" t="s">
        <v>1231</v>
      </c>
      <c r="CV201" s="3">
        <v>-149.30965883032641</v>
      </c>
      <c r="CW201" s="3">
        <v>-123.7431458866606</v>
      </c>
      <c r="CX201" s="3">
        <v>-114.20716841856139</v>
      </c>
      <c r="CY201" s="3">
        <v>-113.72869003834541</v>
      </c>
      <c r="CZ201" s="3">
        <v>-113.47655044614299</v>
      </c>
      <c r="DA201" s="3">
        <v>-60.659430610232008</v>
      </c>
      <c r="DB201" s="3">
        <v>-60.587391979459269</v>
      </c>
      <c r="DC201" s="3">
        <v>-60.312853445873891</v>
      </c>
      <c r="DD201" s="3">
        <v>-60.15191458264259</v>
      </c>
      <c r="DE201" s="3">
        <v>-59.922489837744571</v>
      </c>
      <c r="DF201" s="3">
        <v>-59.778465783847153</v>
      </c>
      <c r="DG201" s="3">
        <v>-59.580558724911477</v>
      </c>
      <c r="DH201" s="3">
        <v>-59.390901510056743</v>
      </c>
      <c r="DI201" s="3">
        <v>-59.187881532778398</v>
      </c>
      <c r="DJ201" s="3">
        <v>-58.977433599411007</v>
      </c>
      <c r="DK201" s="3">
        <v>-58.755661745411231</v>
      </c>
      <c r="DL201" s="3">
        <v>-58.53110647451166</v>
      </c>
      <c r="DM201" s="3">
        <v>-58.3080718853818</v>
      </c>
      <c r="DN201" s="3">
        <v>-58.08221772585263</v>
      </c>
      <c r="DO201" s="3">
        <v>-57.861561964970747</v>
      </c>
    </row>
    <row r="202" spans="1:230" x14ac:dyDescent="0.45">
      <c r="A202" s="16" t="s">
        <v>1232</v>
      </c>
      <c r="B202" s="3" t="s">
        <v>89</v>
      </c>
      <c r="C202" s="16" t="s">
        <v>1233</v>
      </c>
      <c r="H202" s="3" t="s">
        <v>1234</v>
      </c>
      <c r="I202" s="3" t="s">
        <v>109</v>
      </c>
      <c r="K202" s="17" t="s">
        <v>1235</v>
      </c>
      <c r="L202" s="3">
        <v>-152.91289354431871</v>
      </c>
      <c r="M202" s="3">
        <v>-174.66707882025639</v>
      </c>
      <c r="N202" s="3">
        <v>-188.26379168329899</v>
      </c>
      <c r="O202" s="3">
        <v>-143.58172011480249</v>
      </c>
      <c r="P202" s="3">
        <v>-174.63579118041079</v>
      </c>
      <c r="Q202" s="3">
        <v>-142.43484447714721</v>
      </c>
      <c r="R202" s="3">
        <v>-133.57584241413491</v>
      </c>
      <c r="S202" s="3">
        <v>-129.1101869839049</v>
      </c>
      <c r="T202" s="3">
        <v>-125.20494351960269</v>
      </c>
      <c r="U202" s="3">
        <v>-120.9622564092805</v>
      </c>
      <c r="V202" s="3">
        <v>-120.9622564092805</v>
      </c>
      <c r="W202" s="3">
        <v>-120.9622564092805</v>
      </c>
      <c r="X202" s="3">
        <v>-120.9622564092805</v>
      </c>
      <c r="Y202" s="3">
        <v>-120.9622564092805</v>
      </c>
      <c r="Z202" s="3">
        <v>-120.9622564092805</v>
      </c>
      <c r="AA202" s="3">
        <v>-120.9622564092805</v>
      </c>
      <c r="AB202" s="3">
        <v>-120.9622564092805</v>
      </c>
      <c r="AC202" s="3">
        <v>-120.9622564092805</v>
      </c>
      <c r="AD202" s="3">
        <v>-120.9622564092805</v>
      </c>
      <c r="AE202" s="3">
        <v>-120.9622564092805</v>
      </c>
      <c r="AG202" s="17" t="s">
        <v>1236</v>
      </c>
      <c r="AH202" s="3">
        <v>-152.91289354431871</v>
      </c>
      <c r="AI202" s="3">
        <v>-174.66707882025639</v>
      </c>
      <c r="AJ202" s="3">
        <v>-188.26379168329899</v>
      </c>
      <c r="AK202" s="3">
        <v>-143.58172011480249</v>
      </c>
      <c r="AL202" s="3">
        <v>-174.63579118041079</v>
      </c>
      <c r="AM202" s="3">
        <v>-122.43484447714719</v>
      </c>
      <c r="AN202" s="3">
        <v>-113.5758424141349</v>
      </c>
      <c r="AO202" s="3">
        <v>-109.1101869839049</v>
      </c>
      <c r="AP202" s="3">
        <v>-105.20494351960269</v>
      </c>
      <c r="AQ202" s="3">
        <v>-100.9622564092805</v>
      </c>
      <c r="AR202" s="3">
        <v>-100.9622564092805</v>
      </c>
      <c r="AS202" s="3">
        <v>-100.9622564092805</v>
      </c>
      <c r="AT202" s="3">
        <v>-100.9622564092805</v>
      </c>
      <c r="AU202" s="3">
        <v>-100.9622564092805</v>
      </c>
      <c r="AV202" s="3">
        <v>-100.9622564092805</v>
      </c>
      <c r="AW202" s="3">
        <v>-100.9622564092805</v>
      </c>
      <c r="AX202" s="3">
        <v>-100.9622564092805</v>
      </c>
      <c r="AY202" s="3">
        <v>-100.9622564092805</v>
      </c>
      <c r="AZ202" s="3">
        <v>-100.9622564092805</v>
      </c>
      <c r="BA202" s="3">
        <v>-100.9622564092805</v>
      </c>
      <c r="BC202" s="17" t="s">
        <v>1237</v>
      </c>
      <c r="BD202" s="3">
        <v>-152.91289354431871</v>
      </c>
      <c r="BE202" s="3">
        <v>-174.66707882025639</v>
      </c>
      <c r="BF202" s="3">
        <v>-188.26379168329899</v>
      </c>
      <c r="BG202" s="3">
        <v>-143.58172011480249</v>
      </c>
      <c r="BH202" s="3">
        <v>-174.63579118041079</v>
      </c>
      <c r="BI202" s="3">
        <v>-132.43484447714721</v>
      </c>
      <c r="BJ202" s="3">
        <v>-110.2425090808016</v>
      </c>
      <c r="BK202" s="3">
        <v>-92.443520317238253</v>
      </c>
      <c r="BL202" s="3">
        <v>-75.204943519602693</v>
      </c>
      <c r="BM202" s="3">
        <v>-57.628923075947178</v>
      </c>
      <c r="BN202" s="3">
        <v>-44.295589742613849</v>
      </c>
      <c r="BO202" s="3">
        <v>-30.962256409280531</v>
      </c>
      <c r="BP202" s="3">
        <v>-17.628923075947171</v>
      </c>
      <c r="BQ202" s="3">
        <v>-4.295589742613843</v>
      </c>
      <c r="BR202" s="3">
        <v>9.0377435907194901</v>
      </c>
      <c r="BS202" s="3">
        <v>22.371076924052819</v>
      </c>
      <c r="BT202" s="3">
        <v>35.704410257386172</v>
      </c>
      <c r="BU202" s="3">
        <v>49.037743590719487</v>
      </c>
      <c r="BV202" s="3">
        <v>62.371076924052822</v>
      </c>
      <c r="BW202" s="3">
        <v>75.704410257386158</v>
      </c>
      <c r="BY202" s="17" t="s">
        <v>1238</v>
      </c>
      <c r="BZ202" s="3">
        <v>-152.91289354431871</v>
      </c>
      <c r="CA202" s="3">
        <v>-174.66707882025639</v>
      </c>
      <c r="CB202" s="3">
        <v>-188.26379168329899</v>
      </c>
      <c r="CC202" s="3">
        <v>-143.58172011480249</v>
      </c>
      <c r="CD202" s="3">
        <v>-174.63579118041079</v>
      </c>
      <c r="CE202" s="3">
        <v>-117.43484447714719</v>
      </c>
      <c r="CF202" s="3">
        <v>-108.5758424141349</v>
      </c>
      <c r="CG202" s="3">
        <v>-104.1101869839049</v>
      </c>
      <c r="CH202" s="3">
        <v>-100.20494351960269</v>
      </c>
      <c r="CI202" s="3">
        <v>-95.962256409280528</v>
      </c>
      <c r="CJ202" s="3">
        <v>-95.962256409280513</v>
      </c>
      <c r="CK202" s="3">
        <v>-95.962256409280513</v>
      </c>
      <c r="CL202" s="3">
        <v>-95.962256409280513</v>
      </c>
      <c r="CM202" s="3">
        <v>-95.962256409280528</v>
      </c>
      <c r="CN202" s="3">
        <v>-95.962256409280513</v>
      </c>
      <c r="CO202" s="3">
        <v>-95.962256409280513</v>
      </c>
      <c r="CP202" s="3">
        <v>-95.962256409280528</v>
      </c>
      <c r="CQ202" s="3">
        <v>-95.962256409280528</v>
      </c>
      <c r="CR202" s="3">
        <v>-95.962256409280528</v>
      </c>
      <c r="CS202" s="3">
        <v>-95.962256409280528</v>
      </c>
      <c r="CU202" s="17" t="s">
        <v>1239</v>
      </c>
      <c r="CV202" s="3">
        <v>-152.91289354431871</v>
      </c>
      <c r="CW202" s="3">
        <v>-174.66707882025639</v>
      </c>
      <c r="CX202" s="3">
        <v>-188.26379168329899</v>
      </c>
      <c r="CY202" s="3">
        <v>-143.58172011480249</v>
      </c>
      <c r="CZ202" s="3">
        <v>-174.63579118041079</v>
      </c>
      <c r="DA202" s="3">
        <v>-92.434844477147237</v>
      </c>
      <c r="DB202" s="3">
        <v>-83.575842414134925</v>
      </c>
      <c r="DC202" s="3">
        <v>-79.110186983904924</v>
      </c>
      <c r="DD202" s="3">
        <v>-75.204943519602708</v>
      </c>
      <c r="DE202" s="3">
        <v>-70.962256409280528</v>
      </c>
      <c r="DF202" s="3">
        <v>-70.962256409280513</v>
      </c>
      <c r="DG202" s="3">
        <v>-70.962256409280513</v>
      </c>
      <c r="DH202" s="3">
        <v>-70.962256409280528</v>
      </c>
      <c r="DI202" s="3">
        <v>-70.962256409280528</v>
      </c>
      <c r="DJ202" s="3">
        <v>-70.962256409280528</v>
      </c>
      <c r="DK202" s="3">
        <v>-70.962256409280528</v>
      </c>
      <c r="DL202" s="3">
        <v>-70.962256409280513</v>
      </c>
      <c r="DM202" s="3">
        <v>-70.962256409280528</v>
      </c>
      <c r="DN202" s="3">
        <v>-70.962256409280513</v>
      </c>
      <c r="DO202" s="3">
        <v>-70.962256409280528</v>
      </c>
    </row>
    <row r="203" spans="1:230" x14ac:dyDescent="0.45">
      <c r="A203" s="16" t="s">
        <v>1240</v>
      </c>
      <c r="B203" s="3" t="s">
        <v>89</v>
      </c>
      <c r="C203" s="16" t="s">
        <v>1241</v>
      </c>
      <c r="H203" s="3" t="s">
        <v>1242</v>
      </c>
      <c r="I203" s="3" t="s">
        <v>109</v>
      </c>
      <c r="K203" s="17" t="s">
        <v>1243</v>
      </c>
      <c r="L203" s="3">
        <v>-247.1184295067207</v>
      </c>
      <c r="M203" s="3">
        <v>-216.31276693511779</v>
      </c>
      <c r="N203" s="3">
        <v>-199.74087935738049</v>
      </c>
      <c r="O203" s="3">
        <v>-158.99728075867509</v>
      </c>
      <c r="P203" s="3">
        <v>-187.31238882933241</v>
      </c>
      <c r="Q203" s="3">
        <v>-157.95011202899931</v>
      </c>
      <c r="R203" s="3">
        <v>-149.8721610790827</v>
      </c>
      <c r="S203" s="3">
        <v>-145.7999601022041</v>
      </c>
      <c r="T203" s="3">
        <v>-142.2385169448383</v>
      </c>
      <c r="U203" s="3">
        <v>-138.36936758565051</v>
      </c>
      <c r="V203" s="3">
        <v>-138.36874866371809</v>
      </c>
      <c r="W203" s="3">
        <v>-138.36809329645371</v>
      </c>
      <c r="X203" s="3">
        <v>-138.3674020575489</v>
      </c>
      <c r="Y203" s="3">
        <v>-138.3666755093935</v>
      </c>
      <c r="Z203" s="3">
        <v>-138.36591420246339</v>
      </c>
      <c r="AA203" s="3">
        <v>-138.36511867475639</v>
      </c>
      <c r="AB203" s="3">
        <v>-138.36428945127369</v>
      </c>
      <c r="AC203" s="3">
        <v>-138.36342704354271</v>
      </c>
      <c r="AD203" s="3">
        <v>-138.36253194917771</v>
      </c>
      <c r="AE203" s="3">
        <v>-138.36160465147441</v>
      </c>
      <c r="AG203" s="17" t="s">
        <v>1244</v>
      </c>
      <c r="AH203" s="3">
        <v>-247.1184295067207</v>
      </c>
      <c r="AI203" s="3">
        <v>-216.31276693511779</v>
      </c>
      <c r="AJ203" s="3">
        <v>-199.74087935738049</v>
      </c>
      <c r="AK203" s="3">
        <v>-158.99728075867509</v>
      </c>
      <c r="AL203" s="3">
        <v>-187.31238882933241</v>
      </c>
      <c r="AM203" s="3">
        <v>-138.0238929195977</v>
      </c>
      <c r="AN203" s="3">
        <v>-129.94217043177991</v>
      </c>
      <c r="AO203" s="3">
        <v>-125.8681101856609</v>
      </c>
      <c r="AP203" s="3">
        <v>-122.30493477603591</v>
      </c>
      <c r="AQ203" s="3">
        <v>-118.4340047718532</v>
      </c>
      <c r="AR203" s="3">
        <v>-118.4333683269502</v>
      </c>
      <c r="AS203" s="3">
        <v>-118.4327671918969</v>
      </c>
      <c r="AT203" s="3">
        <v>-118.43216295248691</v>
      </c>
      <c r="AU203" s="3">
        <v>-118.4315068146793</v>
      </c>
      <c r="AV203" s="3">
        <v>-118.4308290531457</v>
      </c>
      <c r="AW203" s="3">
        <v>-118.4301478368296</v>
      </c>
      <c r="AX203" s="3">
        <v>-118.4294020477506</v>
      </c>
      <c r="AY203" s="3">
        <v>-118.42860666669669</v>
      </c>
      <c r="AZ203" s="3">
        <v>-118.4277424544637</v>
      </c>
      <c r="BA203" s="3">
        <v>-118.42683636778391</v>
      </c>
      <c r="BC203" s="17" t="s">
        <v>1245</v>
      </c>
      <c r="BD203" s="3">
        <v>-247.1184295067207</v>
      </c>
      <c r="BE203" s="3">
        <v>-216.31276693511779</v>
      </c>
      <c r="BF203" s="3">
        <v>-199.74087935738049</v>
      </c>
      <c r="BG203" s="3">
        <v>-158.99728075867509</v>
      </c>
      <c r="BH203" s="3">
        <v>-187.31238882933241</v>
      </c>
      <c r="BI203" s="3">
        <v>-147.9824929220066</v>
      </c>
      <c r="BJ203" s="3">
        <v>-126.6073805239031</v>
      </c>
      <c r="BK203" s="3">
        <v>-109.2334341702848</v>
      </c>
      <c r="BL203" s="3">
        <v>-92.365854804299843</v>
      </c>
      <c r="BM203" s="3">
        <v>-75.189476697752355</v>
      </c>
      <c r="BN203" s="3">
        <v>-61.88219820608478</v>
      </c>
      <c r="BO203" s="3">
        <v>-48.572494852737243</v>
      </c>
      <c r="BP203" s="3">
        <v>-35.260748614391296</v>
      </c>
      <c r="BQ203" s="3">
        <v>-21.94723286895502</v>
      </c>
      <c r="BR203" s="3">
        <v>-8.6321800620255544</v>
      </c>
      <c r="BS203" s="3">
        <v>4.684206885682145</v>
      </c>
      <c r="BT203" s="3">
        <v>18.001785556022341</v>
      </c>
      <c r="BU203" s="3">
        <v>31.320432164327141</v>
      </c>
      <c r="BV203" s="3">
        <v>44.640055081538158</v>
      </c>
      <c r="BW203" s="3">
        <v>57.960560605105947</v>
      </c>
      <c r="BY203" s="17" t="s">
        <v>1246</v>
      </c>
      <c r="BZ203" s="3">
        <v>-247.1184295067207</v>
      </c>
      <c r="CA203" s="3">
        <v>-216.31276693511779</v>
      </c>
      <c r="CB203" s="3">
        <v>-199.74087935738049</v>
      </c>
      <c r="CC203" s="3">
        <v>-158.99728075867509</v>
      </c>
      <c r="CD203" s="3">
        <v>-187.31238882933241</v>
      </c>
      <c r="CE203" s="3">
        <v>-133.04005099887891</v>
      </c>
      <c r="CF203" s="3">
        <v>-124.9575025461739</v>
      </c>
      <c r="CG203" s="3">
        <v>-120.8830218203159</v>
      </c>
      <c r="CH203" s="3">
        <v>-117.31949051459389</v>
      </c>
      <c r="CI203" s="3">
        <v>-113.4481827915593</v>
      </c>
      <c r="CJ203" s="3">
        <v>-113.4475460510356</v>
      </c>
      <c r="CK203" s="3">
        <v>-113.44695316751729</v>
      </c>
      <c r="CL203" s="3">
        <v>-113.44632793704091</v>
      </c>
      <c r="CM203" s="3">
        <v>-113.44565687098709</v>
      </c>
      <c r="CN203" s="3">
        <v>-113.4449642127511</v>
      </c>
      <c r="CO203" s="3">
        <v>-113.4442606671624</v>
      </c>
      <c r="CP203" s="3">
        <v>-113.4434958006871</v>
      </c>
      <c r="CQ203" s="3">
        <v>-113.44269188772699</v>
      </c>
      <c r="CR203" s="3">
        <v>-113.4418272739934</v>
      </c>
      <c r="CS203" s="3">
        <v>-113.4409343947316</v>
      </c>
      <c r="CU203" s="17" t="s">
        <v>1247</v>
      </c>
      <c r="CV203" s="3">
        <v>-247.1184295067207</v>
      </c>
      <c r="CW203" s="3">
        <v>-216.31276693511779</v>
      </c>
      <c r="CX203" s="3">
        <v>-199.74087935738049</v>
      </c>
      <c r="CY203" s="3">
        <v>-158.99728075867509</v>
      </c>
      <c r="CZ203" s="3">
        <v>-187.31238882933241</v>
      </c>
      <c r="DA203" s="3">
        <v>-108.11056520029049</v>
      </c>
      <c r="DB203" s="3">
        <v>-100.0244127532</v>
      </c>
      <c r="DC203" s="3">
        <v>-95.948166631099937</v>
      </c>
      <c r="DD203" s="3">
        <v>-92.382965721758382</v>
      </c>
      <c r="DE203" s="3">
        <v>-88.509953703497686</v>
      </c>
      <c r="DF203" s="3">
        <v>-88.509298725482239</v>
      </c>
      <c r="DG203" s="3">
        <v>-88.508766651473948</v>
      </c>
      <c r="DH203" s="3">
        <v>-88.508255711224152</v>
      </c>
      <c r="DI203" s="3">
        <v>-88.507679459157714</v>
      </c>
      <c r="DJ203" s="3">
        <v>-88.507094615024101</v>
      </c>
      <c r="DK203" s="3">
        <v>-88.506539389419601</v>
      </c>
      <c r="DL203" s="3">
        <v>-88.505885386008487</v>
      </c>
      <c r="DM203" s="3">
        <v>-88.505168634576577</v>
      </c>
      <c r="DN203" s="3">
        <v>-88.504345695830324</v>
      </c>
      <c r="DO203" s="3">
        <v>-88.503473584519156</v>
      </c>
    </row>
    <row r="204" spans="1:230" x14ac:dyDescent="0.45">
      <c r="A204" s="16" t="s">
        <v>1248</v>
      </c>
      <c r="B204" s="3" t="s">
        <v>89</v>
      </c>
      <c r="C204" s="16" t="s">
        <v>1249</v>
      </c>
      <c r="H204" s="3" t="s">
        <v>1250</v>
      </c>
      <c r="I204" s="3" t="s">
        <v>109</v>
      </c>
      <c r="K204" s="17" t="s">
        <v>1251</v>
      </c>
      <c r="L204" s="3">
        <v>-284.60677723942212</v>
      </c>
      <c r="M204" s="3">
        <v>-273.74187078905197</v>
      </c>
      <c r="N204" s="3">
        <v>-251.95698998320071</v>
      </c>
      <c r="O204" s="3">
        <v>-213.16848966020879</v>
      </c>
      <c r="P204" s="3">
        <v>-240.12652457835321</v>
      </c>
      <c r="Q204" s="3">
        <v>-212.17288707330931</v>
      </c>
      <c r="R204" s="3">
        <v>-204.48238857312751</v>
      </c>
      <c r="S204" s="3">
        <v>-200.60575369436381</v>
      </c>
      <c r="T204" s="3">
        <v>-197.2156123678983</v>
      </c>
      <c r="U204" s="3">
        <v>-193.53253625767789</v>
      </c>
      <c r="V204" s="3">
        <v>-193.532536257678</v>
      </c>
      <c r="W204" s="3">
        <v>-193.53253625767789</v>
      </c>
      <c r="X204" s="3">
        <v>-193.53253625767789</v>
      </c>
      <c r="Y204" s="3">
        <v>-193.53253625767789</v>
      </c>
      <c r="Z204" s="3">
        <v>-193.53253625767789</v>
      </c>
      <c r="AA204" s="3">
        <v>-193.53253625767789</v>
      </c>
      <c r="AB204" s="3">
        <v>-193.53253625767789</v>
      </c>
      <c r="AC204" s="3">
        <v>-193.53253625767789</v>
      </c>
      <c r="AD204" s="3">
        <v>-193.53253625767789</v>
      </c>
      <c r="AE204" s="3">
        <v>-193.53253625767789</v>
      </c>
      <c r="AG204" s="17" t="s">
        <v>1252</v>
      </c>
      <c r="AH204" s="3">
        <v>-284.60677723942212</v>
      </c>
      <c r="AI204" s="3">
        <v>-273.74187078905197</v>
      </c>
      <c r="AJ204" s="3">
        <v>-251.95698998320071</v>
      </c>
      <c r="AK204" s="3">
        <v>-213.16848966020879</v>
      </c>
      <c r="AL204" s="3">
        <v>-240.12652457835321</v>
      </c>
      <c r="AM204" s="3">
        <v>-192.17288707330931</v>
      </c>
      <c r="AN204" s="3">
        <v>-184.48238857312751</v>
      </c>
      <c r="AO204" s="3">
        <v>-180.60575369436381</v>
      </c>
      <c r="AP204" s="3">
        <v>-177.2156123678983</v>
      </c>
      <c r="AQ204" s="3">
        <v>-173.53253625767789</v>
      </c>
      <c r="AR204" s="3">
        <v>-173.53253625767789</v>
      </c>
      <c r="AS204" s="3">
        <v>-173.53253625767789</v>
      </c>
      <c r="AT204" s="3">
        <v>-173.53253625767789</v>
      </c>
      <c r="AU204" s="3">
        <v>-173.53253625767789</v>
      </c>
      <c r="AV204" s="3">
        <v>-173.53253625767789</v>
      </c>
      <c r="AW204" s="3">
        <v>-173.53253625767789</v>
      </c>
      <c r="AX204" s="3">
        <v>-173.532536257678</v>
      </c>
      <c r="AY204" s="3">
        <v>-173.53253625767789</v>
      </c>
      <c r="AZ204" s="3">
        <v>-173.53253625767789</v>
      </c>
      <c r="BA204" s="3">
        <v>-173.53253625767789</v>
      </c>
      <c r="BC204" s="17" t="s">
        <v>1253</v>
      </c>
      <c r="BD204" s="3">
        <v>-284.60677723942212</v>
      </c>
      <c r="BE204" s="3">
        <v>-273.74187078905197</v>
      </c>
      <c r="BF204" s="3">
        <v>-251.95698998320071</v>
      </c>
      <c r="BG204" s="3">
        <v>-213.16848966020879</v>
      </c>
      <c r="BH204" s="3">
        <v>-240.12652457835321</v>
      </c>
      <c r="BI204" s="3">
        <v>-202.1728870733094</v>
      </c>
      <c r="BJ204" s="3">
        <v>-181.14905523979419</v>
      </c>
      <c r="BK204" s="3">
        <v>-163.9390870276971</v>
      </c>
      <c r="BL204" s="3">
        <v>-147.2156123678983</v>
      </c>
      <c r="BM204" s="3">
        <v>-130.1992029243446</v>
      </c>
      <c r="BN204" s="3">
        <v>-116.8658695910113</v>
      </c>
      <c r="BO204" s="3">
        <v>-103.5325362576779</v>
      </c>
      <c r="BP204" s="3">
        <v>-90.199202924344604</v>
      </c>
      <c r="BQ204" s="3">
        <v>-76.865869591011247</v>
      </c>
      <c r="BR204" s="3">
        <v>-63.532536257677947</v>
      </c>
      <c r="BS204" s="3">
        <v>-50.199202924344597</v>
      </c>
      <c r="BT204" s="3">
        <v>-36.865869591011247</v>
      </c>
      <c r="BU204" s="3">
        <v>-23.532536257677911</v>
      </c>
      <c r="BV204" s="3">
        <v>-10.199202924344609</v>
      </c>
      <c r="BW204" s="3">
        <v>3.134130408988749</v>
      </c>
      <c r="BY204" s="17" t="s">
        <v>1254</v>
      </c>
      <c r="BZ204" s="3">
        <v>-284.60677723942212</v>
      </c>
      <c r="CA204" s="3">
        <v>-273.74187078905197</v>
      </c>
      <c r="CB204" s="3">
        <v>-251.95698998320071</v>
      </c>
      <c r="CC204" s="3">
        <v>-213.16848966020879</v>
      </c>
      <c r="CD204" s="3">
        <v>-240.12652457835321</v>
      </c>
      <c r="CE204" s="3">
        <v>-187.17288707330931</v>
      </c>
      <c r="CF204" s="3">
        <v>-179.48238857312751</v>
      </c>
      <c r="CG204" s="3">
        <v>-175.60575369436381</v>
      </c>
      <c r="CH204" s="3">
        <v>-172.2156123678983</v>
      </c>
      <c r="CI204" s="3">
        <v>-168.53253625767789</v>
      </c>
      <c r="CJ204" s="3">
        <v>-168.53253625767789</v>
      </c>
      <c r="CK204" s="3">
        <v>-168.53253625767789</v>
      </c>
      <c r="CL204" s="3">
        <v>-168.53253625767789</v>
      </c>
      <c r="CM204" s="3">
        <v>-168.53253625767789</v>
      </c>
      <c r="CN204" s="3">
        <v>-168.53253625767789</v>
      </c>
      <c r="CO204" s="3">
        <v>-168.53253625767789</v>
      </c>
      <c r="CP204" s="3">
        <v>-168.53253625767789</v>
      </c>
      <c r="CQ204" s="3">
        <v>-168.53253625767789</v>
      </c>
      <c r="CR204" s="3">
        <v>-168.53253625767789</v>
      </c>
      <c r="CS204" s="3">
        <v>-168.53253625767789</v>
      </c>
      <c r="CU204" s="17" t="s">
        <v>1255</v>
      </c>
      <c r="CV204" s="3">
        <v>-284.60677723942212</v>
      </c>
      <c r="CW204" s="3">
        <v>-273.74187078905197</v>
      </c>
      <c r="CX204" s="3">
        <v>-251.95698998320071</v>
      </c>
      <c r="CY204" s="3">
        <v>-213.16848966020879</v>
      </c>
      <c r="CZ204" s="3">
        <v>-240.12652457835321</v>
      </c>
      <c r="DA204" s="3">
        <v>-162.17288707330931</v>
      </c>
      <c r="DB204" s="3">
        <v>-154.48238857312751</v>
      </c>
      <c r="DC204" s="3">
        <v>-150.60575369436381</v>
      </c>
      <c r="DD204" s="3">
        <v>-147.2156123678983</v>
      </c>
      <c r="DE204" s="3">
        <v>-143.53253625767789</v>
      </c>
      <c r="DF204" s="3">
        <v>-143.53253625767789</v>
      </c>
      <c r="DG204" s="3">
        <v>-143.53253625767789</v>
      </c>
      <c r="DH204" s="3">
        <v>-143.53253625767789</v>
      </c>
      <c r="DI204" s="3">
        <v>-143.53253625767789</v>
      </c>
      <c r="DJ204" s="3">
        <v>-143.53253625767789</v>
      </c>
      <c r="DK204" s="3">
        <v>-143.53253625767789</v>
      </c>
      <c r="DL204" s="3">
        <v>-143.53253625767789</v>
      </c>
      <c r="DM204" s="3">
        <v>-143.53253625767789</v>
      </c>
      <c r="DN204" s="3">
        <v>-143.53253625767789</v>
      </c>
      <c r="DO204" s="3">
        <v>-143.53253625767789</v>
      </c>
    </row>
    <row r="205" spans="1:230" x14ac:dyDescent="0.45">
      <c r="A205" s="16" t="s">
        <v>1256</v>
      </c>
      <c r="B205" s="3" t="s">
        <v>89</v>
      </c>
      <c r="C205" s="16" t="s">
        <v>1257</v>
      </c>
      <c r="H205" s="3" t="s">
        <v>1258</v>
      </c>
      <c r="I205" s="3" t="s">
        <v>109</v>
      </c>
      <c r="K205" s="17" t="s">
        <v>1259</v>
      </c>
      <c r="L205" s="3">
        <v>-142.02399197098231</v>
      </c>
      <c r="M205" s="3">
        <v>-172.35156891734019</v>
      </c>
      <c r="N205" s="3">
        <v>-171.23365629591211</v>
      </c>
      <c r="O205" s="3">
        <v>-134.05032125599169</v>
      </c>
      <c r="P205" s="3">
        <v>-159.9017118383635</v>
      </c>
      <c r="Q205" s="3">
        <v>-133.10464374057969</v>
      </c>
      <c r="R205" s="3">
        <v>-125.7357568457775</v>
      </c>
      <c r="S205" s="3">
        <v>-122.0230864261964</v>
      </c>
      <c r="T205" s="3">
        <v>-118.7762944629653</v>
      </c>
      <c r="U205" s="3">
        <v>-115.2482896378398</v>
      </c>
      <c r="V205" s="3">
        <v>-115.2520406703695</v>
      </c>
      <c r="W205" s="3">
        <v>-115.2557277558098</v>
      </c>
      <c r="X205" s="3">
        <v>-115.2593520355443</v>
      </c>
      <c r="Y205" s="3">
        <v>-115.2629146394912</v>
      </c>
      <c r="Z205" s="3">
        <v>-115.26641668427411</v>
      </c>
      <c r="AA205" s="3">
        <v>-115.26985927156881</v>
      </c>
      <c r="AB205" s="3">
        <v>-115.2732434866126</v>
      </c>
      <c r="AC205" s="3">
        <v>-115.2765703968674</v>
      </c>
      <c r="AD205" s="3">
        <v>-115.2798410508227</v>
      </c>
      <c r="AE205" s="3">
        <v>-115.2830564769294</v>
      </c>
      <c r="AG205" s="17" t="s">
        <v>1260</v>
      </c>
      <c r="AH205" s="3">
        <v>-142.02399197098231</v>
      </c>
      <c r="AI205" s="3">
        <v>-172.35156891734019</v>
      </c>
      <c r="AJ205" s="3">
        <v>-171.23365629591211</v>
      </c>
      <c r="AK205" s="3">
        <v>-134.05032125599169</v>
      </c>
      <c r="AL205" s="3">
        <v>-159.9017118383635</v>
      </c>
      <c r="AM205" s="3">
        <v>-113.1016797477599</v>
      </c>
      <c r="AN205" s="3">
        <v>-105.7329701974996</v>
      </c>
      <c r="AO205" s="3">
        <v>-102.0204450107158</v>
      </c>
      <c r="AP205" s="3">
        <v>-98.773624154885852</v>
      </c>
      <c r="AQ205" s="3">
        <v>-95.24572814364771</v>
      </c>
      <c r="AR205" s="3">
        <v>-95.249448151069217</v>
      </c>
      <c r="AS205" s="3">
        <v>-95.25320142459617</v>
      </c>
      <c r="AT205" s="3">
        <v>-95.256934927021817</v>
      </c>
      <c r="AU205" s="3">
        <v>-95.260582527539313</v>
      </c>
      <c r="AV205" s="3">
        <v>-95.264185652153799</v>
      </c>
      <c r="AW205" s="3">
        <v>-95.267768792247139</v>
      </c>
      <c r="AX205" s="3">
        <v>-95.271250339275866</v>
      </c>
      <c r="AY205" s="3">
        <v>-95.274651153579114</v>
      </c>
      <c r="AZ205" s="3">
        <v>-95.277946554870539</v>
      </c>
      <c r="BA205" s="3">
        <v>-95.28117305802138</v>
      </c>
      <c r="BC205" s="17" t="s">
        <v>1261</v>
      </c>
      <c r="BD205" s="3">
        <v>-142.02399197098231</v>
      </c>
      <c r="BE205" s="3">
        <v>-172.35156891734019</v>
      </c>
      <c r="BF205" s="3">
        <v>-171.23365629591211</v>
      </c>
      <c r="BG205" s="3">
        <v>-134.05032125599169</v>
      </c>
      <c r="BH205" s="3">
        <v>-159.9017118383635</v>
      </c>
      <c r="BI205" s="3">
        <v>-123.09941149981429</v>
      </c>
      <c r="BJ205" s="3">
        <v>-102.3920804607682</v>
      </c>
      <c r="BK205" s="3">
        <v>-85.342116310029141</v>
      </c>
      <c r="BL205" s="3">
        <v>-68.75882399692513</v>
      </c>
      <c r="BM205" s="3">
        <v>-51.897602829956512</v>
      </c>
      <c r="BN205" s="3">
        <v>-38.567575847698727</v>
      </c>
      <c r="BO205" s="3">
        <v>-25.237514799583568</v>
      </c>
      <c r="BP205" s="3">
        <v>-11.907455677654029</v>
      </c>
      <c r="BQ205" s="3">
        <v>1.422619798810894</v>
      </c>
      <c r="BR205" s="3">
        <v>14.75271109871793</v>
      </c>
      <c r="BS205" s="3">
        <v>28.082799644387691</v>
      </c>
      <c r="BT205" s="3">
        <v>41.412910010877987</v>
      </c>
      <c r="BU205" s="3">
        <v>54.743057062017193</v>
      </c>
      <c r="BV205" s="3">
        <v>68.073274675832607</v>
      </c>
      <c r="BW205" s="3">
        <v>81.403568333761257</v>
      </c>
      <c r="BY205" s="17" t="s">
        <v>1262</v>
      </c>
      <c r="BZ205" s="3">
        <v>-142.02399197098231</v>
      </c>
      <c r="CA205" s="3">
        <v>-172.35156891734019</v>
      </c>
      <c r="CB205" s="3">
        <v>-171.23365629591211</v>
      </c>
      <c r="CC205" s="3">
        <v>-134.05032125599169</v>
      </c>
      <c r="CD205" s="3">
        <v>-159.9017118383635</v>
      </c>
      <c r="CE205" s="3">
        <v>-108.101003104931</v>
      </c>
      <c r="CF205" s="3">
        <v>-100.7323339156295</v>
      </c>
      <c r="CG205" s="3">
        <v>-97.019822806953584</v>
      </c>
      <c r="CH205" s="3">
        <v>-93.773027793432917</v>
      </c>
      <c r="CI205" s="3">
        <v>-90.245172855057206</v>
      </c>
      <c r="CJ205" s="3">
        <v>-90.248889960931209</v>
      </c>
      <c r="CK205" s="3">
        <v>-90.25265245043758</v>
      </c>
      <c r="CL205" s="3">
        <v>-90.256355195880758</v>
      </c>
      <c r="CM205" s="3">
        <v>-90.259980192741637</v>
      </c>
      <c r="CN205" s="3">
        <v>-90.263560852602481</v>
      </c>
      <c r="CO205" s="3">
        <v>-90.267111766993153</v>
      </c>
      <c r="CP205" s="3">
        <v>-90.270565283206224</v>
      </c>
      <c r="CQ205" s="3">
        <v>-90.273952067790574</v>
      </c>
      <c r="CR205" s="3">
        <v>-90.277243878985729</v>
      </c>
      <c r="CS205" s="3">
        <v>-90.280484559585091</v>
      </c>
      <c r="CU205" s="17" t="s">
        <v>1263</v>
      </c>
      <c r="CV205" s="3">
        <v>-142.02399197098231</v>
      </c>
      <c r="CW205" s="3">
        <v>-172.35156891734019</v>
      </c>
      <c r="CX205" s="3">
        <v>-171.23365629591211</v>
      </c>
      <c r="CY205" s="3">
        <v>-134.05032125599169</v>
      </c>
      <c r="CZ205" s="3">
        <v>-159.9017118383635</v>
      </c>
      <c r="DA205" s="3">
        <v>-83.097928570353247</v>
      </c>
      <c r="DB205" s="3">
        <v>-75.729442977209018</v>
      </c>
      <c r="DC205" s="3">
        <v>-72.017095194391175</v>
      </c>
      <c r="DD205" s="3">
        <v>-68.770246723172903</v>
      </c>
      <c r="DE205" s="3">
        <v>-65.242496358443887</v>
      </c>
      <c r="DF205" s="3">
        <v>-65.24617397075707</v>
      </c>
      <c r="DG205" s="3">
        <v>-65.250011322616515</v>
      </c>
      <c r="DH205" s="3">
        <v>-65.253862530693453</v>
      </c>
      <c r="DI205" s="3">
        <v>-65.257605743670126</v>
      </c>
      <c r="DJ205" s="3">
        <v>-65.261321086652373</v>
      </c>
      <c r="DK205" s="3">
        <v>-65.265061529713307</v>
      </c>
      <c r="DL205" s="3">
        <v>-65.268648796220035</v>
      </c>
      <c r="DM205" s="3">
        <v>-65.272134154496555</v>
      </c>
      <c r="DN205" s="3">
        <v>-65.275459148865906</v>
      </c>
      <c r="DO205" s="3">
        <v>-65.278703332887034</v>
      </c>
    </row>
    <row r="206" spans="1:230" x14ac:dyDescent="0.45">
      <c r="A206" s="16" t="s">
        <v>1264</v>
      </c>
      <c r="B206" s="3" t="s">
        <v>89</v>
      </c>
      <c r="C206" s="16" t="s">
        <v>1265</v>
      </c>
      <c r="H206" s="3" t="s">
        <v>1266</v>
      </c>
      <c r="I206" s="3" t="s">
        <v>109</v>
      </c>
      <c r="K206" s="17" t="s">
        <v>1267</v>
      </c>
      <c r="L206" s="3">
        <v>-181.93090426979461</v>
      </c>
      <c r="M206" s="3">
        <v>-148.74085744247799</v>
      </c>
      <c r="N206" s="3">
        <v>-143.795587499161</v>
      </c>
      <c r="O206" s="3">
        <v>-113.50505562751999</v>
      </c>
      <c r="P206" s="3">
        <v>-134.5009493708217</v>
      </c>
      <c r="Q206" s="3">
        <v>-112.6832538407148</v>
      </c>
      <c r="R206" s="3">
        <v>-106.6717359187799</v>
      </c>
      <c r="S206" s="3">
        <v>-103.6361772279877</v>
      </c>
      <c r="T206" s="3">
        <v>-100.9817659671086</v>
      </c>
      <c r="U206" s="3">
        <v>-98.118392625667155</v>
      </c>
      <c r="V206" s="3">
        <v>-98.125366909888001</v>
      </c>
      <c r="W206" s="3">
        <v>-98.132430887965867</v>
      </c>
      <c r="X206" s="3">
        <v>-98.139426933604327</v>
      </c>
      <c r="Y206" s="3">
        <v>-98.146557724691618</v>
      </c>
      <c r="Z206" s="3">
        <v>-98.153732095057748</v>
      </c>
      <c r="AA206" s="3">
        <v>-98.160954412429533</v>
      </c>
      <c r="AB206" s="3">
        <v>-98.168212130808456</v>
      </c>
      <c r="AC206" s="3">
        <v>-98.175494534852092</v>
      </c>
      <c r="AD206" s="3">
        <v>-98.182792996886064</v>
      </c>
      <c r="AE206" s="3">
        <v>-98.190097215683124</v>
      </c>
      <c r="AG206" s="17" t="s">
        <v>1268</v>
      </c>
      <c r="AH206" s="3">
        <v>-181.93090426979461</v>
      </c>
      <c r="AI206" s="3">
        <v>-148.74092729858651</v>
      </c>
      <c r="AJ206" s="3">
        <v>-143.79565737461539</v>
      </c>
      <c r="AK206" s="3">
        <v>-113.5050981909235</v>
      </c>
      <c r="AL206" s="3">
        <v>-134.50098902024709</v>
      </c>
      <c r="AM206" s="3">
        <v>-92.86922788094121</v>
      </c>
      <c r="AN206" s="3">
        <v>-86.84485781803204</v>
      </c>
      <c r="AO206" s="3">
        <v>-83.841851896534436</v>
      </c>
      <c r="AP206" s="3">
        <v>-81.171788267021668</v>
      </c>
      <c r="AQ206" s="3">
        <v>-78.317647869131676</v>
      </c>
      <c r="AR206" s="3">
        <v>-78.333740961213778</v>
      </c>
      <c r="AS206" s="3">
        <v>-78.350557707076007</v>
      </c>
      <c r="AT206" s="3">
        <v>-78.367533566575958</v>
      </c>
      <c r="AU206" s="3">
        <v>-78.384804426892345</v>
      </c>
      <c r="AV206" s="3">
        <v>-78.402332855338528</v>
      </c>
      <c r="AW206" s="3">
        <v>-78.420203480529239</v>
      </c>
      <c r="AX206" s="3">
        <v>-78.438125323056099</v>
      </c>
      <c r="AY206" s="3">
        <v>-78.456140507750831</v>
      </c>
      <c r="AZ206" s="3">
        <v>-78.474126982208887</v>
      </c>
      <c r="BA206" s="3">
        <v>-78.492179960565551</v>
      </c>
      <c r="BC206" s="17" t="s">
        <v>1269</v>
      </c>
      <c r="BD206" s="3">
        <v>-181.93090426979461</v>
      </c>
      <c r="BE206" s="3">
        <v>-148.74106642574091</v>
      </c>
      <c r="BF206" s="3">
        <v>-143.79579653552639</v>
      </c>
      <c r="BG206" s="3">
        <v>-113.50518298546891</v>
      </c>
      <c r="BH206" s="3">
        <v>-134.50106807019171</v>
      </c>
      <c r="BI206" s="3">
        <v>-102.7721564992374</v>
      </c>
      <c r="BJ206" s="3">
        <v>-83.535124517225199</v>
      </c>
      <c r="BK206" s="3">
        <v>-67.322927175526061</v>
      </c>
      <c r="BL206" s="3">
        <v>-51.503312880229537</v>
      </c>
      <c r="BM206" s="3">
        <v>-35.481412378493822</v>
      </c>
      <c r="BN206" s="3">
        <v>-22.350131265360659</v>
      </c>
      <c r="BO206" s="3">
        <v>-9.240706764252149</v>
      </c>
      <c r="BP206" s="3">
        <v>3.8453608255713618</v>
      </c>
      <c r="BQ206" s="3">
        <v>16.906837696210101</v>
      </c>
      <c r="BR206" s="3">
        <v>29.942307304995062</v>
      </c>
      <c r="BS206" s="3">
        <v>42.94987817201357</v>
      </c>
      <c r="BT206" s="3">
        <v>55.928343835639893</v>
      </c>
      <c r="BU206" s="3">
        <v>68.876407219084356</v>
      </c>
      <c r="BV206" s="3">
        <v>81.79345577736386</v>
      </c>
      <c r="BW206" s="3">
        <v>94.678382298118237</v>
      </c>
      <c r="BY206" s="17" t="s">
        <v>1270</v>
      </c>
      <c r="BZ206" s="3">
        <v>-181.93090426979461</v>
      </c>
      <c r="CA206" s="3">
        <v>-148.74122716622199</v>
      </c>
      <c r="CB206" s="3">
        <v>-143.79595730709599</v>
      </c>
      <c r="CC206" s="3">
        <v>-113.50528084062999</v>
      </c>
      <c r="CD206" s="3">
        <v>-134.50115910062539</v>
      </c>
      <c r="CE206" s="3">
        <v>-106.5075500712811</v>
      </c>
      <c r="CF206" s="3">
        <v>-100.94852564255849</v>
      </c>
      <c r="CG206" s="3">
        <v>-98.310942650948135</v>
      </c>
      <c r="CH206" s="3">
        <v>-96.021231087295376</v>
      </c>
      <c r="CI206" s="3">
        <v>-92.910174847161414</v>
      </c>
      <c r="CJ206" s="3">
        <v>-92.665490234768299</v>
      </c>
      <c r="CK206" s="3">
        <v>-92.409997241635011</v>
      </c>
      <c r="CL206" s="3">
        <v>-92.148012923435729</v>
      </c>
      <c r="CM206" s="3">
        <v>-91.880630437650069</v>
      </c>
      <c r="CN206" s="3">
        <v>-91.606709976538895</v>
      </c>
      <c r="CO206" s="3">
        <v>-91.325843260800482</v>
      </c>
      <c r="CP206" s="3">
        <v>-91.04160204221526</v>
      </c>
      <c r="CQ206" s="3">
        <v>-90.753012774131591</v>
      </c>
      <c r="CR206" s="3">
        <v>-90.462000194676889</v>
      </c>
      <c r="CS206" s="3">
        <v>-90.166836791651207</v>
      </c>
      <c r="CU206" s="17" t="s">
        <v>1271</v>
      </c>
      <c r="CV206" s="3">
        <v>-181.93090426979461</v>
      </c>
      <c r="CW206" s="3">
        <v>-148.74101108202359</v>
      </c>
      <c r="CX206" s="3">
        <v>-143.7957411791422</v>
      </c>
      <c r="CY206" s="3">
        <v>-113.5051492493987</v>
      </c>
      <c r="CZ206" s="3">
        <v>-134.50103660690641</v>
      </c>
      <c r="DA206" s="3">
        <v>-63.186627354844461</v>
      </c>
      <c r="DB206" s="3">
        <v>-57.138268389605507</v>
      </c>
      <c r="DC206" s="3">
        <v>-54.153018763933609</v>
      </c>
      <c r="DD206" s="3">
        <v>-51.543882274255893</v>
      </c>
      <c r="DE206" s="3">
        <v>-48.708502253024271</v>
      </c>
      <c r="DF206" s="3">
        <v>-48.742853637595658</v>
      </c>
      <c r="DG206" s="3">
        <v>-48.77939334759364</v>
      </c>
      <c r="DH206" s="3">
        <v>-48.816967733161228</v>
      </c>
      <c r="DI206" s="3">
        <v>-48.855026642622647</v>
      </c>
      <c r="DJ206" s="3">
        <v>-48.893916272507461</v>
      </c>
      <c r="DK206" s="3">
        <v>-48.934026032986203</v>
      </c>
      <c r="DL206" s="3">
        <v>-48.974054917454083</v>
      </c>
      <c r="DM206" s="3">
        <v>-49.014315785434142</v>
      </c>
      <c r="DN206" s="3">
        <v>-49.054251283049098</v>
      </c>
      <c r="DO206" s="3">
        <v>-49.094385332078311</v>
      </c>
    </row>
    <row r="207" spans="1:230" x14ac:dyDescent="0.45">
      <c r="A207" s="16" t="s">
        <v>1272</v>
      </c>
      <c r="B207" s="3" t="s">
        <v>89</v>
      </c>
      <c r="C207" s="16" t="s">
        <v>1273</v>
      </c>
      <c r="H207" s="3" t="s">
        <v>1274</v>
      </c>
      <c r="I207" s="3" t="s">
        <v>109</v>
      </c>
      <c r="K207" s="17" t="s">
        <v>1275</v>
      </c>
      <c r="L207" s="19">
        <v>-179.0913656082958</v>
      </c>
      <c r="M207" s="19">
        <v>-161.99688659782061</v>
      </c>
      <c r="N207" s="19">
        <v>-152.3445057861868</v>
      </c>
      <c r="O207" s="19">
        <v>-130.48467945548069</v>
      </c>
      <c r="P207" s="19">
        <v>-144.69121896507119</v>
      </c>
      <c r="Q207" s="19">
        <v>-129.8448828521903</v>
      </c>
      <c r="R207" s="19">
        <v>-125.59950653852989</v>
      </c>
      <c r="S207" s="19">
        <v>-123.3058098127009</v>
      </c>
      <c r="T207" s="19">
        <v>-121.2578103556599</v>
      </c>
      <c r="U207" s="19">
        <v>-119.27660861968209</v>
      </c>
      <c r="V207" s="19">
        <v>-119.3803888682901</v>
      </c>
      <c r="W207" s="19">
        <v>-119.37948105150321</v>
      </c>
      <c r="X207" s="19">
        <v>-119.3942602861033</v>
      </c>
      <c r="Y207" s="19">
        <v>-119.39075671914129</v>
      </c>
      <c r="Z207" s="19">
        <v>-119.3837392769521</v>
      </c>
      <c r="AA207" s="19">
        <v>-119.3717581515171</v>
      </c>
      <c r="AB207" s="19">
        <v>-119.355527912301</v>
      </c>
      <c r="AC207" s="19">
        <v>-119.3352123159228</v>
      </c>
      <c r="AD207" s="19">
        <v>-119.3107191978538</v>
      </c>
      <c r="AE207" s="19">
        <v>-119.28218502715001</v>
      </c>
      <c r="AG207" s="17" t="s">
        <v>1276</v>
      </c>
      <c r="AH207" s="19">
        <v>-179.0913656082958</v>
      </c>
      <c r="AI207" s="19">
        <v>-162.0061922302981</v>
      </c>
      <c r="AJ207" s="19">
        <v>-152.35290867169161</v>
      </c>
      <c r="AK207" s="19">
        <v>-130.48852654213039</v>
      </c>
      <c r="AL207" s="19">
        <v>-144.69722927732369</v>
      </c>
      <c r="AM207" s="19">
        <v>-108.23932882193451</v>
      </c>
      <c r="AN207" s="19">
        <v>-104.6542814757337</v>
      </c>
      <c r="AO207" s="19">
        <v>-102.3108288827714</v>
      </c>
      <c r="AP207" s="19">
        <v>-100.33691955023841</v>
      </c>
      <c r="AQ207" s="19">
        <v>-98.337800641829219</v>
      </c>
      <c r="AR207" s="19">
        <v>-98.445335032993768</v>
      </c>
      <c r="AS207" s="19">
        <v>-98.43014693510861</v>
      </c>
      <c r="AT207" s="19">
        <v>-98.460196769388318</v>
      </c>
      <c r="AU207" s="19">
        <v>-98.458630928697076</v>
      </c>
      <c r="AV207" s="19">
        <v>-98.453649924482733</v>
      </c>
      <c r="AW207" s="19">
        <v>-98.44261203728658</v>
      </c>
      <c r="AX207" s="19">
        <v>-98.429817103887927</v>
      </c>
      <c r="AY207" s="19">
        <v>-98.413548715792984</v>
      </c>
      <c r="AZ207" s="19">
        <v>-98.396050570621156</v>
      </c>
      <c r="BA207" s="19">
        <v>-98.374973660051225</v>
      </c>
      <c r="BC207" s="17" t="s">
        <v>1277</v>
      </c>
      <c r="BD207" s="19">
        <v>-179.0913656082958</v>
      </c>
      <c r="BE207" s="19">
        <v>-162.02935798995929</v>
      </c>
      <c r="BF207" s="19">
        <v>-152.37387724431059</v>
      </c>
      <c r="BG207" s="19">
        <v>-130.49802357968051</v>
      </c>
      <c r="BH207" s="19">
        <v>-144.7121649748419</v>
      </c>
      <c r="BI207" s="19">
        <v>-118.88068144197879</v>
      </c>
      <c r="BJ207" s="19">
        <v>-100.7435147908934</v>
      </c>
      <c r="BK207" s="19">
        <v>-85.023536652836299</v>
      </c>
      <c r="BL207" s="19">
        <v>-69.517172168437043</v>
      </c>
      <c r="BM207" s="19">
        <v>-53.921805136364171</v>
      </c>
      <c r="BN207" s="19">
        <v>-40.512387078727379</v>
      </c>
      <c r="BO207" s="19">
        <v>-27.02845183655484</v>
      </c>
      <c r="BP207" s="19">
        <v>-13.671170264110451</v>
      </c>
      <c r="BQ207" s="19">
        <v>-0.27562940949171277</v>
      </c>
      <c r="BR207" s="19">
        <v>13.04139751685029</v>
      </c>
      <c r="BS207" s="19">
        <v>26.392263203430598</v>
      </c>
      <c r="BT207" s="19">
        <v>39.667862249794929</v>
      </c>
      <c r="BU207" s="19">
        <v>52.995287585010537</v>
      </c>
      <c r="BV207" s="19">
        <v>66.227888838049125</v>
      </c>
      <c r="BW207" s="19">
        <v>79.55543356132722</v>
      </c>
      <c r="BY207" s="17" t="s">
        <v>1278</v>
      </c>
      <c r="BZ207" s="19">
        <v>-179.0913656082958</v>
      </c>
      <c r="CA207" s="19">
        <v>-162.05190426690501</v>
      </c>
      <c r="CB207" s="19">
        <v>-152.39426794090701</v>
      </c>
      <c r="CC207" s="19">
        <v>-130.50734392193681</v>
      </c>
      <c r="CD207" s="19">
        <v>-144.72677247001241</v>
      </c>
      <c r="CE207" s="19">
        <v>-114.7226905068849</v>
      </c>
      <c r="CF207" s="19">
        <v>-110.68758097928161</v>
      </c>
      <c r="CG207" s="19">
        <v>-108.56406361253769</v>
      </c>
      <c r="CH207" s="19">
        <v>-106.6261944133077</v>
      </c>
      <c r="CI207" s="19">
        <v>-104.5779570035277</v>
      </c>
      <c r="CJ207" s="19">
        <v>-104.5228399888844</v>
      </c>
      <c r="CK207" s="19">
        <v>-104.5271702830407</v>
      </c>
      <c r="CL207" s="19">
        <v>-104.4495330164746</v>
      </c>
      <c r="CM207" s="19">
        <v>-104.3873349682079</v>
      </c>
      <c r="CN207" s="19">
        <v>-104.2909542220626</v>
      </c>
      <c r="CO207" s="19">
        <v>-104.1792166682846</v>
      </c>
      <c r="CP207" s="19">
        <v>-104.07481394464619</v>
      </c>
      <c r="CQ207" s="19">
        <v>-103.97150926014881</v>
      </c>
      <c r="CR207" s="19">
        <v>-103.8637547826481</v>
      </c>
      <c r="CS207" s="19">
        <v>-103.7609936402352</v>
      </c>
      <c r="CU207" s="17" t="s">
        <v>1279</v>
      </c>
      <c r="CV207" s="19">
        <v>-179.0913656082958</v>
      </c>
      <c r="CW207" s="19">
        <v>-162.01918594216309</v>
      </c>
      <c r="CX207" s="19">
        <v>-152.36466172541151</v>
      </c>
      <c r="CY207" s="19">
        <v>-130.49386668641171</v>
      </c>
      <c r="CZ207" s="19">
        <v>-144.7056112307236</v>
      </c>
      <c r="DA207" s="19">
        <v>-76.74059663074955</v>
      </c>
      <c r="DB207" s="19">
        <v>-73.992230550535098</v>
      </c>
      <c r="DC207" s="19">
        <v>-71.588763743264451</v>
      </c>
      <c r="DD207" s="19">
        <v>-69.837874274909211</v>
      </c>
      <c r="DE207" s="19">
        <v>-67.691535728413626</v>
      </c>
      <c r="DF207" s="19">
        <v>-67.912362163185904</v>
      </c>
      <c r="DG207" s="19">
        <v>-67.956923519054982</v>
      </c>
      <c r="DH207" s="19">
        <v>-68.118562783786047</v>
      </c>
      <c r="DI207" s="19">
        <v>-68.204154286533679</v>
      </c>
      <c r="DJ207" s="19">
        <v>-68.31617851344825</v>
      </c>
      <c r="DK207" s="19">
        <v>-68.387422845020367</v>
      </c>
      <c r="DL207" s="19">
        <v>-68.481843885004679</v>
      </c>
      <c r="DM207" s="19">
        <v>-68.538024140346351</v>
      </c>
      <c r="DN207" s="19">
        <v>-68.614062887618104</v>
      </c>
      <c r="DO207" s="19">
        <v>-68.655848470380022</v>
      </c>
    </row>
    <row r="208" spans="1:230" ht="15.4" x14ac:dyDescent="0.45">
      <c r="A208" s="5"/>
      <c r="B208" s="15" t="s">
        <v>1280</v>
      </c>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row>
    <row r="209" spans="1:119" x14ac:dyDescent="0.45">
      <c r="A209" s="16" t="s">
        <v>1281</v>
      </c>
      <c r="B209" s="3" t="s">
        <v>89</v>
      </c>
      <c r="C209" s="16" t="s">
        <v>1282</v>
      </c>
      <c r="H209" s="3" t="s">
        <v>1283</v>
      </c>
      <c r="I209" s="3" t="s">
        <v>860</v>
      </c>
      <c r="K209" s="17" t="s">
        <v>1284</v>
      </c>
      <c r="L209" s="3">
        <v>1.4080159053895109</v>
      </c>
      <c r="M209" s="3">
        <v>1.193320305787638</v>
      </c>
      <c r="N209" s="3">
        <v>1.141506778781517</v>
      </c>
      <c r="O209" s="3">
        <v>1.016293705442564</v>
      </c>
      <c r="P209" s="3">
        <v>1.115816927842066</v>
      </c>
      <c r="Q209" s="3">
        <v>1.044176730136666</v>
      </c>
      <c r="R209" s="3">
        <v>1.038720638975577</v>
      </c>
      <c r="S209" s="3">
        <v>1.044719884762652</v>
      </c>
      <c r="T209" s="3">
        <v>1.051967361410431</v>
      </c>
      <c r="U209" s="3">
        <v>1.054841019467152</v>
      </c>
      <c r="V209" s="3">
        <v>1.0714463918000481</v>
      </c>
      <c r="W209" s="3">
        <v>1.088778693249129</v>
      </c>
      <c r="X209" s="3">
        <v>1.106914510340782</v>
      </c>
      <c r="Y209" s="3">
        <v>1.1259065454986279</v>
      </c>
      <c r="Z209" s="3">
        <v>1.1458001349756219</v>
      </c>
      <c r="AA209" s="3">
        <v>1.1666413086741789</v>
      </c>
      <c r="AB209" s="3">
        <v>1.1885269882388929</v>
      </c>
      <c r="AC209" s="3">
        <v>1.2115104381586299</v>
      </c>
      <c r="AD209" s="3">
        <v>1.2356411316347129</v>
      </c>
      <c r="AE209" s="3">
        <v>1.2588259277780181</v>
      </c>
      <c r="AG209" s="17" t="s">
        <v>1285</v>
      </c>
      <c r="AH209" s="3">
        <v>1.4080159053895109</v>
      </c>
      <c r="AI209" s="3">
        <v>1.193320305787638</v>
      </c>
      <c r="AJ209" s="3">
        <v>1.141506778781517</v>
      </c>
      <c r="AK209" s="3">
        <v>1.016293705442564</v>
      </c>
      <c r="AL209" s="3">
        <v>1.1158169279038179</v>
      </c>
      <c r="AM209" s="3">
        <v>1.0441569242160429</v>
      </c>
      <c r="AN209" s="3">
        <v>1.0391446911219351</v>
      </c>
      <c r="AO209" s="3">
        <v>1.0456157921008919</v>
      </c>
      <c r="AP209" s="3">
        <v>1.053358714552725</v>
      </c>
      <c r="AQ209" s="3">
        <v>1.056715094014786</v>
      </c>
      <c r="AR209" s="3">
        <v>1.0738322822701489</v>
      </c>
      <c r="AS209" s="3">
        <v>1.091690945378613</v>
      </c>
      <c r="AT209" s="3">
        <v>1.1103705061054909</v>
      </c>
      <c r="AU209" s="3">
        <v>1.129927923116627</v>
      </c>
      <c r="AV209" s="3">
        <v>1.150410198000577</v>
      </c>
      <c r="AW209" s="3">
        <v>1.171864572287068</v>
      </c>
      <c r="AX209" s="3">
        <v>1.194394351180081</v>
      </c>
      <c r="AY209" s="3">
        <v>1.2180555804247739</v>
      </c>
      <c r="AZ209" s="3">
        <v>1.2429013492526251</v>
      </c>
      <c r="BA209" s="3">
        <v>1.26684067400497</v>
      </c>
      <c r="BC209" s="17" t="s">
        <v>1286</v>
      </c>
      <c r="BD209" s="3">
        <v>1.4080159053895109</v>
      </c>
      <c r="BE209" s="3">
        <v>1.193320305787638</v>
      </c>
      <c r="BF209" s="3">
        <v>1.141506778781517</v>
      </c>
      <c r="BG209" s="3">
        <v>1.016293705442564</v>
      </c>
      <c r="BH209" s="3">
        <v>1.1158169280479511</v>
      </c>
      <c r="BI209" s="3">
        <v>1.044166591154313</v>
      </c>
      <c r="BJ209" s="3">
        <v>1.0389234425477341</v>
      </c>
      <c r="BK209" s="3">
        <v>1.0454617277385549</v>
      </c>
      <c r="BL209" s="3">
        <v>1.0535935447435869</v>
      </c>
      <c r="BM209" s="3">
        <v>1.057667405330921</v>
      </c>
      <c r="BN209" s="3">
        <v>1.0758488403315549</v>
      </c>
      <c r="BO209" s="3">
        <v>1.095134562629791</v>
      </c>
      <c r="BP209" s="3">
        <v>1.115621951148754</v>
      </c>
      <c r="BQ209" s="3">
        <v>1.1373870732597551</v>
      </c>
      <c r="BR209" s="3">
        <v>1.160501615229546</v>
      </c>
      <c r="BS209" s="3">
        <v>1.185039160710615</v>
      </c>
      <c r="BT209" s="3">
        <v>1.2111366342616019</v>
      </c>
      <c r="BU209" s="3">
        <v>1.2388867680755751</v>
      </c>
      <c r="BV209" s="3">
        <v>1.2683825770550221</v>
      </c>
      <c r="BW209" s="3">
        <v>1.2975786010342469</v>
      </c>
      <c r="BY209" s="17" t="s">
        <v>1287</v>
      </c>
      <c r="BZ209" s="3">
        <v>1.4080159053895109</v>
      </c>
      <c r="CA209" s="3">
        <v>1.193320305787638</v>
      </c>
      <c r="CB209" s="3">
        <v>1.141506778781517</v>
      </c>
      <c r="CC209" s="3">
        <v>1.016293705442564</v>
      </c>
      <c r="CD209" s="3">
        <v>1.1158169281956449</v>
      </c>
      <c r="CE209" s="3">
        <v>1.044152253363579</v>
      </c>
      <c r="CF209" s="3">
        <v>1.0392448445845179</v>
      </c>
      <c r="CG209" s="3">
        <v>1.0458274897155031</v>
      </c>
      <c r="CH209" s="3">
        <v>1.053686129701326</v>
      </c>
      <c r="CI209" s="3">
        <v>1.057154915543727</v>
      </c>
      <c r="CJ209" s="3">
        <v>1.074391328081739</v>
      </c>
      <c r="CK209" s="3">
        <v>1.0923730450628</v>
      </c>
      <c r="CL209" s="3">
        <v>1.1111818944934631</v>
      </c>
      <c r="CM209" s="3">
        <v>1.130874644623036</v>
      </c>
      <c r="CN209" s="3">
        <v>1.1514986889551839</v>
      </c>
      <c r="CO209" s="3">
        <v>1.1731018578989449</v>
      </c>
      <c r="CP209" s="3">
        <v>1.195787917824642</v>
      </c>
      <c r="CQ209" s="3">
        <v>1.2196130353914441</v>
      </c>
      <c r="CR209" s="3">
        <v>1.244630787002992</v>
      </c>
      <c r="CS209" s="3">
        <v>1.2687506548520009</v>
      </c>
      <c r="CU209" s="17" t="s">
        <v>1288</v>
      </c>
      <c r="CV209" s="3">
        <v>1.4080159053895109</v>
      </c>
      <c r="CW209" s="3">
        <v>1.193320305787638</v>
      </c>
      <c r="CX209" s="3">
        <v>1.141506778781517</v>
      </c>
      <c r="CY209" s="3">
        <v>1.016293705442564</v>
      </c>
      <c r="CZ209" s="3">
        <v>1.1158169279862671</v>
      </c>
      <c r="DA209" s="3">
        <v>1.044130303764498</v>
      </c>
      <c r="DB209" s="3">
        <v>1.039725040491978</v>
      </c>
      <c r="DC209" s="3">
        <v>1.0468413774265439</v>
      </c>
      <c r="DD209" s="3">
        <v>1.0552612926865781</v>
      </c>
      <c r="DE209" s="3">
        <v>1.059277380047958</v>
      </c>
      <c r="DF209" s="3">
        <v>1.077094057817698</v>
      </c>
      <c r="DG209" s="3">
        <v>1.0956721555098039</v>
      </c>
      <c r="DH209" s="3">
        <v>1.115095472930965</v>
      </c>
      <c r="DI209" s="3">
        <v>1.135426088435143</v>
      </c>
      <c r="DJ209" s="3">
        <v>1.1567135402670179</v>
      </c>
      <c r="DK209" s="3">
        <v>1.179006715518951</v>
      </c>
      <c r="DL209" s="3">
        <v>1.202417463823729</v>
      </c>
      <c r="DM209" s="3">
        <v>1.227005349338353</v>
      </c>
      <c r="DN209" s="3">
        <v>1.2528284013819511</v>
      </c>
      <c r="DO209" s="3">
        <v>1.2777986098296881</v>
      </c>
    </row>
    <row r="210" spans="1:119" x14ac:dyDescent="0.45">
      <c r="A210" s="16" t="s">
        <v>1289</v>
      </c>
      <c r="B210" s="3" t="s">
        <v>89</v>
      </c>
      <c r="C210" s="16" t="s">
        <v>1290</v>
      </c>
      <c r="H210" s="3" t="s">
        <v>1291</v>
      </c>
      <c r="I210" s="3" t="s">
        <v>860</v>
      </c>
      <c r="K210" s="17" t="s">
        <v>1292</v>
      </c>
      <c r="L210" s="3">
        <v>0.98549874921016845</v>
      </c>
      <c r="M210" s="3">
        <v>0.79857753780591145</v>
      </c>
      <c r="N210" s="3">
        <v>0.75354196537534479</v>
      </c>
      <c r="O210" s="3">
        <v>0.6505986278569561</v>
      </c>
      <c r="P210" s="3">
        <v>0.7221443196032824</v>
      </c>
      <c r="Q210" s="3">
        <v>0.64795633304576383</v>
      </c>
      <c r="R210" s="3">
        <v>0.62754601616842876</v>
      </c>
      <c r="S210" s="3">
        <v>0.61725756135741427</v>
      </c>
      <c r="T210" s="3">
        <v>0.60826024359830233</v>
      </c>
      <c r="U210" s="3">
        <v>0.59848548706058724</v>
      </c>
      <c r="V210" s="3">
        <v>0.59848548706058724</v>
      </c>
      <c r="W210" s="3">
        <v>0.59848548706058724</v>
      </c>
      <c r="X210" s="3">
        <v>0.59848548706058735</v>
      </c>
      <c r="Y210" s="3">
        <v>0.59848548706058735</v>
      </c>
      <c r="Z210" s="3">
        <v>0.59848548706058735</v>
      </c>
      <c r="AA210" s="3">
        <v>0.59848548706058735</v>
      </c>
      <c r="AB210" s="3">
        <v>0.59848548706058735</v>
      </c>
      <c r="AC210" s="3">
        <v>0.59848548706058735</v>
      </c>
      <c r="AD210" s="3">
        <v>0.59848548706058735</v>
      </c>
      <c r="AE210" s="3">
        <v>0.59848548706058757</v>
      </c>
      <c r="AG210" s="17" t="s">
        <v>1293</v>
      </c>
      <c r="AH210" s="3">
        <v>0.98549874921016845</v>
      </c>
      <c r="AI210" s="3">
        <v>0.79857753780591145</v>
      </c>
      <c r="AJ210" s="3">
        <v>0.75354196537534479</v>
      </c>
      <c r="AK210" s="3">
        <v>0.6505986278569561</v>
      </c>
      <c r="AL210" s="3">
        <v>0.7221443196032824</v>
      </c>
      <c r="AM210" s="3">
        <v>0.64795633304576383</v>
      </c>
      <c r="AN210" s="3">
        <v>0.62754601616842876</v>
      </c>
      <c r="AO210" s="3">
        <v>0.61725756135741427</v>
      </c>
      <c r="AP210" s="3">
        <v>0.60826024359830233</v>
      </c>
      <c r="AQ210" s="3">
        <v>0.59848548706058724</v>
      </c>
      <c r="AR210" s="3">
        <v>0.59848548706058724</v>
      </c>
      <c r="AS210" s="3">
        <v>0.59848548706058724</v>
      </c>
      <c r="AT210" s="3">
        <v>0.59848548706058735</v>
      </c>
      <c r="AU210" s="3">
        <v>0.59848548706058735</v>
      </c>
      <c r="AV210" s="3">
        <v>0.59848548706058735</v>
      </c>
      <c r="AW210" s="3">
        <v>0.59848548706058735</v>
      </c>
      <c r="AX210" s="3">
        <v>0.59848548706058735</v>
      </c>
      <c r="AY210" s="3">
        <v>0.59848548706058735</v>
      </c>
      <c r="AZ210" s="3">
        <v>0.59848548706058735</v>
      </c>
      <c r="BA210" s="3">
        <v>0.59848548706058757</v>
      </c>
      <c r="BC210" s="17" t="s">
        <v>1294</v>
      </c>
      <c r="BD210" s="3">
        <v>0.98549874921016845</v>
      </c>
      <c r="BE210" s="3">
        <v>0.79857753780591145</v>
      </c>
      <c r="BF210" s="3">
        <v>0.75354196537534479</v>
      </c>
      <c r="BG210" s="3">
        <v>0.6505986278569561</v>
      </c>
      <c r="BH210" s="3">
        <v>0.7221443196032824</v>
      </c>
      <c r="BI210" s="3">
        <v>0.64795633304576383</v>
      </c>
      <c r="BJ210" s="3">
        <v>0.62754601616842876</v>
      </c>
      <c r="BK210" s="3">
        <v>0.61725756135741427</v>
      </c>
      <c r="BL210" s="3">
        <v>0.60826024359830233</v>
      </c>
      <c r="BM210" s="3">
        <v>0.59848548706058724</v>
      </c>
      <c r="BN210" s="3">
        <v>0.59848548706058724</v>
      </c>
      <c r="BO210" s="3">
        <v>0.59848548706058724</v>
      </c>
      <c r="BP210" s="3">
        <v>0.59848548706058735</v>
      </c>
      <c r="BQ210" s="3">
        <v>0.59848548706058735</v>
      </c>
      <c r="BR210" s="3">
        <v>0.59848548706058735</v>
      </c>
      <c r="BS210" s="3">
        <v>0.59848548706058735</v>
      </c>
      <c r="BT210" s="3">
        <v>0.59848548706058735</v>
      </c>
      <c r="BU210" s="3">
        <v>0.59848548706058735</v>
      </c>
      <c r="BV210" s="3">
        <v>0.59848548706058735</v>
      </c>
      <c r="BW210" s="3">
        <v>0.59848548706058757</v>
      </c>
      <c r="BY210" s="17" t="s">
        <v>1295</v>
      </c>
      <c r="BZ210" s="3">
        <v>0.98549874921016845</v>
      </c>
      <c r="CA210" s="3">
        <v>0.79857753780591145</v>
      </c>
      <c r="CB210" s="3">
        <v>0.75354196537534479</v>
      </c>
      <c r="CC210" s="3">
        <v>0.6505986278569561</v>
      </c>
      <c r="CD210" s="3">
        <v>0.7221443196032824</v>
      </c>
      <c r="CE210" s="3">
        <v>0.64795633304576383</v>
      </c>
      <c r="CF210" s="3">
        <v>0.62754601616842876</v>
      </c>
      <c r="CG210" s="3">
        <v>0.61725756135741427</v>
      </c>
      <c r="CH210" s="3">
        <v>0.60826024359830233</v>
      </c>
      <c r="CI210" s="3">
        <v>0.59848548706058724</v>
      </c>
      <c r="CJ210" s="3">
        <v>0.59848548706058724</v>
      </c>
      <c r="CK210" s="3">
        <v>0.59848548706058724</v>
      </c>
      <c r="CL210" s="3">
        <v>0.59848548706058735</v>
      </c>
      <c r="CM210" s="3">
        <v>0.59848548706058735</v>
      </c>
      <c r="CN210" s="3">
        <v>0.59848548706058735</v>
      </c>
      <c r="CO210" s="3">
        <v>0.59848548706058735</v>
      </c>
      <c r="CP210" s="3">
        <v>0.59848548706058735</v>
      </c>
      <c r="CQ210" s="3">
        <v>0.59848548706058735</v>
      </c>
      <c r="CR210" s="3">
        <v>0.59848548706058735</v>
      </c>
      <c r="CS210" s="3">
        <v>0.59848548706058757</v>
      </c>
      <c r="CU210" s="17" t="s">
        <v>1296</v>
      </c>
      <c r="CV210" s="3">
        <v>0.98549874921016845</v>
      </c>
      <c r="CW210" s="3">
        <v>0.79857753780591145</v>
      </c>
      <c r="CX210" s="3">
        <v>0.75354196537534479</v>
      </c>
      <c r="CY210" s="3">
        <v>0.6505986278569561</v>
      </c>
      <c r="CZ210" s="3">
        <v>0.7221443196032824</v>
      </c>
      <c r="DA210" s="3">
        <v>0.64795633304576383</v>
      </c>
      <c r="DB210" s="3">
        <v>0.62754601616842876</v>
      </c>
      <c r="DC210" s="3">
        <v>0.61725756135741427</v>
      </c>
      <c r="DD210" s="3">
        <v>0.60826024359830233</v>
      </c>
      <c r="DE210" s="3">
        <v>0.59848548706058724</v>
      </c>
      <c r="DF210" s="3">
        <v>0.59848548706058724</v>
      </c>
      <c r="DG210" s="3">
        <v>0.59848548706058724</v>
      </c>
      <c r="DH210" s="3">
        <v>0.59848548706058735</v>
      </c>
      <c r="DI210" s="3">
        <v>0.59848548706058735</v>
      </c>
      <c r="DJ210" s="3">
        <v>0.59848548706058735</v>
      </c>
      <c r="DK210" s="3">
        <v>0.59848548706058735</v>
      </c>
      <c r="DL210" s="3">
        <v>0.59848548706058735</v>
      </c>
      <c r="DM210" s="3">
        <v>0.59848548706058735</v>
      </c>
      <c r="DN210" s="3">
        <v>0.59848548706058735</v>
      </c>
      <c r="DO210" s="3">
        <v>0.59848548706058757</v>
      </c>
    </row>
    <row r="211" spans="1:119" x14ac:dyDescent="0.45">
      <c r="A211" s="16" t="s">
        <v>1297</v>
      </c>
      <c r="B211" s="3" t="s">
        <v>89</v>
      </c>
      <c r="C211" s="16" t="s">
        <v>1298</v>
      </c>
      <c r="H211" s="3" t="s">
        <v>1299</v>
      </c>
      <c r="I211" s="3" t="s">
        <v>1300</v>
      </c>
      <c r="K211" s="17" t="s">
        <v>1301</v>
      </c>
      <c r="L211" s="3">
        <v>4.2162368812145211E-2</v>
      </c>
      <c r="M211" s="3">
        <v>4.1729596050472773E-2</v>
      </c>
      <c r="N211" s="3">
        <v>3.9253348820689822E-2</v>
      </c>
      <c r="O211" s="3">
        <v>2.760201519464342E-2</v>
      </c>
      <c r="P211" s="3">
        <v>3.1143383406748451E-2</v>
      </c>
      <c r="Q211" s="3">
        <v>3.1973981064677783E-2</v>
      </c>
      <c r="R211" s="3">
        <v>3.4545563187021379E-2</v>
      </c>
      <c r="S211" s="3">
        <v>3.6902679112096749E-2</v>
      </c>
      <c r="T211" s="3">
        <v>3.9017442831679933E-2</v>
      </c>
      <c r="U211" s="3">
        <v>3.9399554809247443E-2</v>
      </c>
      <c r="V211" s="3">
        <v>4.0596020225865961E-2</v>
      </c>
      <c r="W211" s="3">
        <v>4.1807159231561378E-2</v>
      </c>
      <c r="X211" s="3">
        <v>4.3030776948971262E-2</v>
      </c>
      <c r="Y211" s="3">
        <v>4.4266204635792242E-2</v>
      </c>
      <c r="Z211" s="3">
        <v>4.5510484347132348E-2</v>
      </c>
      <c r="AA211" s="3">
        <v>4.6764270369645602E-2</v>
      </c>
      <c r="AB211" s="3">
        <v>4.802203674844796E-2</v>
      </c>
      <c r="AC211" s="3">
        <v>4.928107033080896E-2</v>
      </c>
      <c r="AD211" s="3">
        <v>5.0538469114820163E-2</v>
      </c>
      <c r="AE211" s="3">
        <v>4.9902155233855508E-2</v>
      </c>
      <c r="AG211" s="17" t="s">
        <v>1302</v>
      </c>
      <c r="AH211" s="3">
        <v>4.2162368812145211E-2</v>
      </c>
      <c r="AI211" s="3">
        <v>4.1729596050472773E-2</v>
      </c>
      <c r="AJ211" s="3">
        <v>3.9253348820689822E-2</v>
      </c>
      <c r="AK211" s="3">
        <v>2.760201519464342E-2</v>
      </c>
      <c r="AL211" s="3">
        <v>3.1143383406748451E-2</v>
      </c>
      <c r="AM211" s="3">
        <v>3.1973981064677789E-2</v>
      </c>
      <c r="AN211" s="3">
        <v>3.4545563187021372E-2</v>
      </c>
      <c r="AO211" s="3">
        <v>3.6902679112096749E-2</v>
      </c>
      <c r="AP211" s="3">
        <v>3.9017442831679933E-2</v>
      </c>
      <c r="AQ211" s="3">
        <v>3.9399554809247443E-2</v>
      </c>
      <c r="AR211" s="3">
        <v>4.0596020225865961E-2</v>
      </c>
      <c r="AS211" s="3">
        <v>4.1807159231561378E-2</v>
      </c>
      <c r="AT211" s="3">
        <v>4.3030776948971262E-2</v>
      </c>
      <c r="AU211" s="3">
        <v>4.4266204635792242E-2</v>
      </c>
      <c r="AV211" s="3">
        <v>4.5510484347132348E-2</v>
      </c>
      <c r="AW211" s="3">
        <v>4.6764270369645602E-2</v>
      </c>
      <c r="AX211" s="3">
        <v>4.802203674844796E-2</v>
      </c>
      <c r="AY211" s="3">
        <v>4.928107033080896E-2</v>
      </c>
      <c r="AZ211" s="3">
        <v>5.0538469114820163E-2</v>
      </c>
      <c r="BA211" s="3">
        <v>4.9902155233855508E-2</v>
      </c>
      <c r="BC211" s="17" t="s">
        <v>1303</v>
      </c>
      <c r="BD211" s="3">
        <v>4.2162368812145211E-2</v>
      </c>
      <c r="BE211" s="3">
        <v>4.1729596050472773E-2</v>
      </c>
      <c r="BF211" s="3">
        <v>3.9253348820689822E-2</v>
      </c>
      <c r="BG211" s="3">
        <v>2.760201519464342E-2</v>
      </c>
      <c r="BH211" s="3">
        <v>3.1143383406748451E-2</v>
      </c>
      <c r="BI211" s="3">
        <v>3.1973981064677783E-2</v>
      </c>
      <c r="BJ211" s="3">
        <v>3.4545563187021379E-2</v>
      </c>
      <c r="BK211" s="3">
        <v>3.6902679112096749E-2</v>
      </c>
      <c r="BL211" s="3">
        <v>3.9017442831679933E-2</v>
      </c>
      <c r="BM211" s="3">
        <v>3.9399554809247443E-2</v>
      </c>
      <c r="BN211" s="3">
        <v>4.0596020225865961E-2</v>
      </c>
      <c r="BO211" s="3">
        <v>4.1807159231561378E-2</v>
      </c>
      <c r="BP211" s="3">
        <v>4.3030776948971262E-2</v>
      </c>
      <c r="BQ211" s="3">
        <v>4.4266204635792242E-2</v>
      </c>
      <c r="BR211" s="3">
        <v>4.5510484347132348E-2</v>
      </c>
      <c r="BS211" s="3">
        <v>4.6764270369645602E-2</v>
      </c>
      <c r="BT211" s="3">
        <v>4.802203674844796E-2</v>
      </c>
      <c r="BU211" s="3">
        <v>4.928107033080896E-2</v>
      </c>
      <c r="BV211" s="3">
        <v>5.0538469114820163E-2</v>
      </c>
      <c r="BW211" s="3">
        <v>4.9902155233855508E-2</v>
      </c>
      <c r="BY211" s="17" t="s">
        <v>1304</v>
      </c>
      <c r="BZ211" s="3">
        <v>4.2162368812145211E-2</v>
      </c>
      <c r="CA211" s="3">
        <v>4.1729596050472773E-2</v>
      </c>
      <c r="CB211" s="3">
        <v>3.9253348820689822E-2</v>
      </c>
      <c r="CC211" s="3">
        <v>2.760201519464342E-2</v>
      </c>
      <c r="CD211" s="3">
        <v>3.1143383406748451E-2</v>
      </c>
      <c r="CE211" s="3">
        <v>3.1973981064677783E-2</v>
      </c>
      <c r="CF211" s="3">
        <v>3.4545563187021379E-2</v>
      </c>
      <c r="CG211" s="3">
        <v>3.6902679112096749E-2</v>
      </c>
      <c r="CH211" s="3">
        <v>3.9017442831679933E-2</v>
      </c>
      <c r="CI211" s="3">
        <v>3.9399554809247443E-2</v>
      </c>
      <c r="CJ211" s="3">
        <v>4.0596020225865961E-2</v>
      </c>
      <c r="CK211" s="3">
        <v>4.1807159231561378E-2</v>
      </c>
      <c r="CL211" s="3">
        <v>4.3030776948971262E-2</v>
      </c>
      <c r="CM211" s="3">
        <v>4.4266204635792242E-2</v>
      </c>
      <c r="CN211" s="3">
        <v>4.5510484347132348E-2</v>
      </c>
      <c r="CO211" s="3">
        <v>4.6764270369645602E-2</v>
      </c>
      <c r="CP211" s="3">
        <v>4.802203674844796E-2</v>
      </c>
      <c r="CQ211" s="3">
        <v>4.928107033080896E-2</v>
      </c>
      <c r="CR211" s="3">
        <v>5.0538469114820163E-2</v>
      </c>
      <c r="CS211" s="3">
        <v>4.9902155233855508E-2</v>
      </c>
      <c r="CU211" s="17" t="s">
        <v>1305</v>
      </c>
      <c r="CV211" s="3">
        <v>4.2162368812145211E-2</v>
      </c>
      <c r="CW211" s="3">
        <v>4.1729596050472773E-2</v>
      </c>
      <c r="CX211" s="3">
        <v>3.9253348820689822E-2</v>
      </c>
      <c r="CY211" s="3">
        <v>2.760201519464342E-2</v>
      </c>
      <c r="CZ211" s="3">
        <v>3.1143383406748451E-2</v>
      </c>
      <c r="DA211" s="3">
        <v>3.1973981064677789E-2</v>
      </c>
      <c r="DB211" s="3">
        <v>3.4545563187021372E-2</v>
      </c>
      <c r="DC211" s="3">
        <v>3.6902679112096749E-2</v>
      </c>
      <c r="DD211" s="3">
        <v>3.9017442831679933E-2</v>
      </c>
      <c r="DE211" s="3">
        <v>3.9399554809247443E-2</v>
      </c>
      <c r="DF211" s="3">
        <v>4.0596020225865961E-2</v>
      </c>
      <c r="DG211" s="3">
        <v>4.1807159231561378E-2</v>
      </c>
      <c r="DH211" s="3">
        <v>4.3030776948971262E-2</v>
      </c>
      <c r="DI211" s="3">
        <v>4.4266204635792242E-2</v>
      </c>
      <c r="DJ211" s="3">
        <v>4.5510484347132348E-2</v>
      </c>
      <c r="DK211" s="3">
        <v>4.6764270369645602E-2</v>
      </c>
      <c r="DL211" s="3">
        <v>4.8022036748447967E-2</v>
      </c>
      <c r="DM211" s="3">
        <v>4.928107033080896E-2</v>
      </c>
      <c r="DN211" s="3">
        <v>5.0538469114820163E-2</v>
      </c>
      <c r="DO211" s="3">
        <v>4.9902155233855508E-2</v>
      </c>
    </row>
    <row r="212" spans="1:119" x14ac:dyDescent="0.45">
      <c r="A212" s="16" t="s">
        <v>1306</v>
      </c>
      <c r="B212" s="3" t="s">
        <v>89</v>
      </c>
      <c r="C212" s="16" t="s">
        <v>1307</v>
      </c>
      <c r="H212" s="3" t="s">
        <v>1308</v>
      </c>
      <c r="I212" s="3" t="s">
        <v>1309</v>
      </c>
      <c r="K212" s="17" t="s">
        <v>1310</v>
      </c>
      <c r="L212" s="3">
        <v>4.2386861710291282E-2</v>
      </c>
      <c r="M212" s="3">
        <v>3.4359544700433738E-2</v>
      </c>
      <c r="N212" s="3">
        <v>3.1484726950924462E-2</v>
      </c>
      <c r="O212" s="3">
        <v>2.846435340616282E-2</v>
      </c>
      <c r="P212" s="3">
        <v>3.2210027710325113E-2</v>
      </c>
      <c r="Q212" s="3">
        <v>3.3273877816771207E-2</v>
      </c>
      <c r="R212" s="3">
        <v>3.6029393094686737E-2</v>
      </c>
      <c r="S212" s="3">
        <v>3.857141163834784E-2</v>
      </c>
      <c r="T212" s="3">
        <v>4.0874451103765252E-2</v>
      </c>
      <c r="U212" s="3">
        <v>4.1313120336442612E-2</v>
      </c>
      <c r="V212" s="3">
        <v>4.264546406837974E-2</v>
      </c>
      <c r="W212" s="3">
        <v>4.4010659082495657E-2</v>
      </c>
      <c r="X212" s="3">
        <v>4.5425145343866352E-2</v>
      </c>
      <c r="Y212" s="3">
        <v>4.6894548537343733E-2</v>
      </c>
      <c r="Z212" s="3">
        <v>4.8422934764134423E-2</v>
      </c>
      <c r="AA212" s="3">
        <v>5.0012259538240511E-2</v>
      </c>
      <c r="AB212" s="3">
        <v>5.1677421388614399E-2</v>
      </c>
      <c r="AC212" s="3">
        <v>5.3421681942604181E-2</v>
      </c>
      <c r="AD212" s="3">
        <v>5.5247563197054997E-2</v>
      </c>
      <c r="AE212" s="3">
        <v>5.7161390585512388E-2</v>
      </c>
      <c r="AG212" s="17" t="s">
        <v>1311</v>
      </c>
      <c r="AH212" s="3">
        <v>4.2386861710291282E-2</v>
      </c>
      <c r="AI212" s="3">
        <v>3.4359544700433738E-2</v>
      </c>
      <c r="AJ212" s="3">
        <v>3.1484726950924462E-2</v>
      </c>
      <c r="AK212" s="3">
        <v>2.846435340616282E-2</v>
      </c>
      <c r="AL212" s="3">
        <v>3.2210027733754698E-2</v>
      </c>
      <c r="AM212" s="3">
        <v>3.3266554932296598E-2</v>
      </c>
      <c r="AN212" s="3">
        <v>3.6185753785053447E-2</v>
      </c>
      <c r="AO212" s="3">
        <v>3.8899569674130732E-2</v>
      </c>
      <c r="AP212" s="3">
        <v>4.1379292397905033E-2</v>
      </c>
      <c r="AQ212" s="3">
        <v>4.1968281420263168E-2</v>
      </c>
      <c r="AR212" s="3">
        <v>4.3459198246568263E-2</v>
      </c>
      <c r="AS212" s="3">
        <v>4.4979626158596138E-2</v>
      </c>
      <c r="AT212" s="3">
        <v>4.6546871854320993E-2</v>
      </c>
      <c r="AU212" s="3">
        <v>4.8167783665337957E-2</v>
      </c>
      <c r="AV212" s="3">
        <v>4.9846756476074082E-2</v>
      </c>
      <c r="AW212" s="3">
        <v>5.1585901719707727E-2</v>
      </c>
      <c r="AX212" s="3">
        <v>5.3401663433412218E-2</v>
      </c>
      <c r="AY212" s="3">
        <v>5.5297770297921198E-2</v>
      </c>
      <c r="AZ212" s="3">
        <v>5.727743709245707E-2</v>
      </c>
      <c r="BA212" s="3">
        <v>5.9347277629192743E-2</v>
      </c>
      <c r="BC212" s="17" t="s">
        <v>1312</v>
      </c>
      <c r="BD212" s="3">
        <v>4.2386861710291282E-2</v>
      </c>
      <c r="BE212" s="3">
        <v>3.4359544700433738E-2</v>
      </c>
      <c r="BF212" s="3">
        <v>3.1484726950924462E-2</v>
      </c>
      <c r="BG212" s="3">
        <v>2.846435340616282E-2</v>
      </c>
      <c r="BH212" s="3">
        <v>3.2210027788440627E-2</v>
      </c>
      <c r="BI212" s="3">
        <v>3.3270129109610587E-2</v>
      </c>
      <c r="BJ212" s="3">
        <v>3.6104172828319979E-2</v>
      </c>
      <c r="BK212" s="3">
        <v>3.8843138103173892E-2</v>
      </c>
      <c r="BL212" s="3">
        <v>4.1464498643432213E-2</v>
      </c>
      <c r="BM212" s="3">
        <v>4.2301201642033853E-2</v>
      </c>
      <c r="BN212" s="3">
        <v>4.4146967545885103E-2</v>
      </c>
      <c r="BO212" s="3">
        <v>4.6125389502814557E-2</v>
      </c>
      <c r="BP212" s="3">
        <v>4.8251354592226847E-2</v>
      </c>
      <c r="BQ212" s="3">
        <v>5.0529474829257327E-2</v>
      </c>
      <c r="BR212" s="3">
        <v>5.2963498888720602E-2</v>
      </c>
      <c r="BS212" s="3">
        <v>5.555508451484939E-2</v>
      </c>
      <c r="BT212" s="3">
        <v>5.8321718440136783E-2</v>
      </c>
      <c r="BU212" s="3">
        <v>6.1268786204060711E-2</v>
      </c>
      <c r="BV212" s="3">
        <v>6.4401697253925694E-2</v>
      </c>
      <c r="BW212" s="3">
        <v>6.7730529517684365E-2</v>
      </c>
      <c r="BY212" s="17" t="s">
        <v>1313</v>
      </c>
      <c r="BZ212" s="3">
        <v>4.2386861710291282E-2</v>
      </c>
      <c r="CA212" s="3">
        <v>3.4359544700433738E-2</v>
      </c>
      <c r="CB212" s="3">
        <v>3.1484726950924462E-2</v>
      </c>
      <c r="CC212" s="3">
        <v>2.846435340616282E-2</v>
      </c>
      <c r="CD212" s="3">
        <v>3.22100278444779E-2</v>
      </c>
      <c r="CE212" s="3">
        <v>3.3264827968241872E-2</v>
      </c>
      <c r="CF212" s="3">
        <v>3.6222683357717188E-2</v>
      </c>
      <c r="CG212" s="3">
        <v>3.8977111480549102E-2</v>
      </c>
      <c r="CH212" s="3">
        <v>4.14980923504948E-2</v>
      </c>
      <c r="CI212" s="3">
        <v>4.2122039417751743E-2</v>
      </c>
      <c r="CJ212" s="3">
        <v>4.3649866967435648E-2</v>
      </c>
      <c r="CK212" s="3">
        <v>4.5206574962205787E-2</v>
      </c>
      <c r="CL212" s="3">
        <v>4.681022746209023E-2</v>
      </c>
      <c r="CM212" s="3">
        <v>4.8467531461464132E-2</v>
      </c>
      <c r="CN212" s="3">
        <v>5.0182937792041027E-2</v>
      </c>
      <c r="CO212" s="3">
        <v>5.1958665756461991E-2</v>
      </c>
      <c r="CP212" s="3">
        <v>5.3811190886352021E-2</v>
      </c>
      <c r="CQ212" s="3">
        <v>5.5744196518786773E-2</v>
      </c>
      <c r="CR212" s="3">
        <v>5.776096812801898E-2</v>
      </c>
      <c r="CS212" s="3">
        <v>5.9868192736044358E-2</v>
      </c>
      <c r="CU212" s="17" t="s">
        <v>1314</v>
      </c>
      <c r="CV212" s="3">
        <v>4.2386861710291282E-2</v>
      </c>
      <c r="CW212" s="3">
        <v>3.4359544700433738E-2</v>
      </c>
      <c r="CX212" s="3">
        <v>3.1484726950924462E-2</v>
      </c>
      <c r="CY212" s="3">
        <v>2.846435340616282E-2</v>
      </c>
      <c r="CZ212" s="3">
        <v>3.2210027765036717E-2</v>
      </c>
      <c r="DA212" s="3">
        <v>3.3256712497045413E-2</v>
      </c>
      <c r="DB212" s="3">
        <v>3.6399745929494069E-2</v>
      </c>
      <c r="DC212" s="3">
        <v>3.934848403835562E-2</v>
      </c>
      <c r="DD212" s="3">
        <v>4.2069627567387483E-2</v>
      </c>
      <c r="DE212" s="3">
        <v>4.2864035592193067E-2</v>
      </c>
      <c r="DF212" s="3">
        <v>4.4571662660958758E-2</v>
      </c>
      <c r="DG212" s="3">
        <v>4.6304257876127651E-2</v>
      </c>
      <c r="DH212" s="3">
        <v>4.8080473429668327E-2</v>
      </c>
      <c r="DI212" s="3">
        <v>4.9908594374513907E-2</v>
      </c>
      <c r="DJ212" s="3">
        <v>5.1793548857906102E-2</v>
      </c>
      <c r="DK212" s="3">
        <v>5.3737655620858679E-2</v>
      </c>
      <c r="DL212" s="3">
        <v>5.5759415679010438E-2</v>
      </c>
      <c r="DM212" s="3">
        <v>5.7863116711916907E-2</v>
      </c>
      <c r="DN212" s="3">
        <v>6.0052927447718757E-2</v>
      </c>
      <c r="DO212" s="3">
        <v>6.2335870064493787E-2</v>
      </c>
    </row>
    <row r="213" spans="1:119" x14ac:dyDescent="0.45">
      <c r="A213" s="16" t="s">
        <v>1315</v>
      </c>
      <c r="B213" s="3" t="s">
        <v>89</v>
      </c>
      <c r="C213" s="16" t="s">
        <v>1316</v>
      </c>
      <c r="H213" s="3" t="s">
        <v>1317</v>
      </c>
      <c r="I213" s="3" t="s">
        <v>1309</v>
      </c>
      <c r="K213" s="17" t="s">
        <v>1318</v>
      </c>
      <c r="L213" s="3">
        <v>3.5952296174256992E-2</v>
      </c>
      <c r="M213" s="3">
        <v>3.784006819556944E-2</v>
      </c>
      <c r="N213" s="3">
        <v>3.7405625267079481E-2</v>
      </c>
      <c r="O213" s="3">
        <v>3.9599197937211561E-2</v>
      </c>
      <c r="P213" s="3">
        <v>4.225867546953934E-2</v>
      </c>
      <c r="Q213" s="3">
        <v>4.5668720668977911E-2</v>
      </c>
      <c r="R213" s="3">
        <v>4.968303176695768E-2</v>
      </c>
      <c r="S213" s="3">
        <v>5.3800670372702142E-2</v>
      </c>
      <c r="T213" s="3">
        <v>5.7942075440134362E-2</v>
      </c>
      <c r="U213" s="3">
        <v>6.2349436479808951E-2</v>
      </c>
      <c r="V213" s="3">
        <v>6.7036681764846187E-2</v>
      </c>
      <c r="W213" s="3">
        <v>7.2020056832172469E-2</v>
      </c>
      <c r="X213" s="3">
        <v>7.7340737658933817E-2</v>
      </c>
      <c r="Y213" s="3">
        <v>8.3027766996160324E-2</v>
      </c>
      <c r="Z213" s="3">
        <v>8.9107085607794151E-2</v>
      </c>
      <c r="AA213" s="3">
        <v>9.5603232288968304E-2</v>
      </c>
      <c r="AB213" s="3">
        <v>0.1025780958000428</v>
      </c>
      <c r="AC213" s="3">
        <v>0.1100635429441093</v>
      </c>
      <c r="AD213" s="3">
        <v>0.11808847099478791</v>
      </c>
      <c r="AE213" s="3">
        <v>0.12668706839840199</v>
      </c>
      <c r="AG213" s="17" t="s">
        <v>1319</v>
      </c>
      <c r="AH213" s="3">
        <v>3.5952296174256992E-2</v>
      </c>
      <c r="AI213" s="3">
        <v>3.784006819556944E-2</v>
      </c>
      <c r="AJ213" s="3">
        <v>3.7405625267079481E-2</v>
      </c>
      <c r="AK213" s="3">
        <v>3.9599197937211561E-2</v>
      </c>
      <c r="AL213" s="3">
        <v>4.2258675500278321E-2</v>
      </c>
      <c r="AM213" s="3">
        <v>4.5658669938870543E-2</v>
      </c>
      <c r="AN213" s="3">
        <v>4.9898646643571791E-2</v>
      </c>
      <c r="AO213" s="3">
        <v>5.4258395966954337E-2</v>
      </c>
      <c r="AP213" s="3">
        <v>5.865771935853422E-2</v>
      </c>
      <c r="AQ213" s="3">
        <v>6.3338200437773162E-2</v>
      </c>
      <c r="AR213" s="3">
        <v>6.8315833963939018E-2</v>
      </c>
      <c r="AS213" s="3">
        <v>7.3605696887197591E-2</v>
      </c>
      <c r="AT213" s="3">
        <v>7.9250586380680568E-2</v>
      </c>
      <c r="AU213" s="3">
        <v>8.5282056094481584E-2</v>
      </c>
      <c r="AV213" s="3">
        <v>9.172717883002518E-2</v>
      </c>
      <c r="AW213" s="3">
        <v>9.8611400294245019E-2</v>
      </c>
      <c r="AX213" s="3">
        <v>0.1060006633527787</v>
      </c>
      <c r="AY213" s="3">
        <v>0.1139288074538308</v>
      </c>
      <c r="AZ213" s="3">
        <v>0.1224272090449222</v>
      </c>
      <c r="BA213" s="3">
        <v>0.13153166050117179</v>
      </c>
      <c r="BC213" s="17" t="s">
        <v>1320</v>
      </c>
      <c r="BD213" s="3">
        <v>3.5952296174256992E-2</v>
      </c>
      <c r="BE213" s="3">
        <v>3.784006819556944E-2</v>
      </c>
      <c r="BF213" s="3">
        <v>3.7405625267079481E-2</v>
      </c>
      <c r="BG213" s="3">
        <v>3.9599197937211561E-2</v>
      </c>
      <c r="BH213" s="3">
        <v>4.225867557202477E-2</v>
      </c>
      <c r="BI213" s="3">
        <v>4.5663575531968897E-2</v>
      </c>
      <c r="BJ213" s="3">
        <v>4.9786149903637382E-2</v>
      </c>
      <c r="BK213" s="3">
        <v>5.4179683360422601E-2</v>
      </c>
      <c r="BL213" s="3">
        <v>5.8778504508499238E-2</v>
      </c>
      <c r="BM213" s="3">
        <v>6.3840641019629302E-2</v>
      </c>
      <c r="BN213" s="3">
        <v>6.9396975244803163E-2</v>
      </c>
      <c r="BO213" s="3">
        <v>7.5480650429978105E-2</v>
      </c>
      <c r="BP213" s="3">
        <v>8.2152634382478745E-2</v>
      </c>
      <c r="BQ213" s="3">
        <v>8.9463479091200254E-2</v>
      </c>
      <c r="BR213" s="3">
        <v>9.7462556793668123E-2</v>
      </c>
      <c r="BS213" s="3">
        <v>0.1061988740109875</v>
      </c>
      <c r="BT213" s="3">
        <v>0.1157668215754579</v>
      </c>
      <c r="BU213" s="3">
        <v>0.12623076317120091</v>
      </c>
      <c r="BV213" s="3">
        <v>0.13765490309608269</v>
      </c>
      <c r="BW213" s="3">
        <v>0.15011150249801</v>
      </c>
      <c r="BY213" s="17" t="s">
        <v>1321</v>
      </c>
      <c r="BZ213" s="3">
        <v>3.5952296174256992E-2</v>
      </c>
      <c r="CA213" s="3">
        <v>3.784006819556944E-2</v>
      </c>
      <c r="CB213" s="3">
        <v>3.7405625267079481E-2</v>
      </c>
      <c r="CC213" s="3">
        <v>3.9599197937211561E-2</v>
      </c>
      <c r="CD213" s="3">
        <v>4.2258675645544128E-2</v>
      </c>
      <c r="CE213" s="3">
        <v>4.5656299663922283E-2</v>
      </c>
      <c r="CF213" s="3">
        <v>4.9949570985454862E-2</v>
      </c>
      <c r="CG213" s="3">
        <v>5.4366553822475273E-2</v>
      </c>
      <c r="CH213" s="3">
        <v>5.8826125676646378E-2</v>
      </c>
      <c r="CI213" s="3">
        <v>6.357025079900476E-2</v>
      </c>
      <c r="CJ213" s="3">
        <v>6.861555630586974E-2</v>
      </c>
      <c r="CK213" s="3">
        <v>7.3977081139892445E-2</v>
      </c>
      <c r="CL213" s="3">
        <v>7.9698974972886583E-2</v>
      </c>
      <c r="CM213" s="3">
        <v>8.5812765760116982E-2</v>
      </c>
      <c r="CN213" s="3">
        <v>9.2345814140906729E-2</v>
      </c>
      <c r="CO213" s="3">
        <v>9.9323974513523025E-2</v>
      </c>
      <c r="CP213" s="3">
        <v>0.106813562781032</v>
      </c>
      <c r="CQ213" s="3">
        <v>0.1148485698002205</v>
      </c>
      <c r="CR213" s="3">
        <v>0.1234607286675773</v>
      </c>
      <c r="CS213" s="3">
        <v>0.1326861671899611</v>
      </c>
      <c r="CU213" s="17" t="s">
        <v>1322</v>
      </c>
      <c r="CV213" s="3">
        <v>3.5952296174256992E-2</v>
      </c>
      <c r="CW213" s="3">
        <v>3.784006819556944E-2</v>
      </c>
      <c r="CX213" s="3">
        <v>3.7405625267079481E-2</v>
      </c>
      <c r="CY213" s="3">
        <v>3.9599197937211561E-2</v>
      </c>
      <c r="CZ213" s="3">
        <v>4.2258675541319478E-2</v>
      </c>
      <c r="DA213" s="3">
        <v>4.5645161100836558E-2</v>
      </c>
      <c r="DB213" s="3">
        <v>5.0193732893905843E-2</v>
      </c>
      <c r="DC213" s="3">
        <v>5.488455644979294E-2</v>
      </c>
      <c r="DD213" s="3">
        <v>5.963631237664193E-2</v>
      </c>
      <c r="DE213" s="3">
        <v>6.4690065593187268E-2</v>
      </c>
      <c r="DF213" s="3">
        <v>7.0064576170205881E-2</v>
      </c>
      <c r="DG213" s="3">
        <v>7.5773354758430445E-2</v>
      </c>
      <c r="DH213" s="3">
        <v>8.1861692546976686E-2</v>
      </c>
      <c r="DI213" s="3">
        <v>8.8364197419091711E-2</v>
      </c>
      <c r="DJ213" s="3">
        <v>9.530963405033524E-2</v>
      </c>
      <c r="DK213" s="3">
        <v>0.1027246843157985</v>
      </c>
      <c r="DL213" s="3">
        <v>0.1106807292156437</v>
      </c>
      <c r="DM213" s="3">
        <v>0.11921413552543079</v>
      </c>
      <c r="DN213" s="3">
        <v>0.12835965915398159</v>
      </c>
      <c r="DO213" s="3">
        <v>0.13815529247351729</v>
      </c>
    </row>
    <row r="214" spans="1:119" x14ac:dyDescent="0.45">
      <c r="A214" s="11"/>
      <c r="B214" s="3" t="s">
        <v>89</v>
      </c>
      <c r="C214" s="16" t="s">
        <v>1323</v>
      </c>
      <c r="H214" s="11" t="s">
        <v>1324</v>
      </c>
      <c r="I214" s="11" t="s">
        <v>1325</v>
      </c>
    </row>
    <row r="215" spans="1:119" x14ac:dyDescent="0.45">
      <c r="A215" s="16" t="s">
        <v>1326</v>
      </c>
      <c r="B215" s="3" t="s">
        <v>89</v>
      </c>
      <c r="C215" s="16" t="s">
        <v>1327</v>
      </c>
      <c r="H215" s="3" t="s">
        <v>1328</v>
      </c>
      <c r="I215" s="3" t="s">
        <v>860</v>
      </c>
      <c r="K215" s="17" t="s">
        <v>1329</v>
      </c>
      <c r="L215" s="3">
        <v>0.12910139548744631</v>
      </c>
      <c r="M215" s="3">
        <v>0.13426545130694409</v>
      </c>
      <c r="N215" s="3">
        <v>0.1396360693592219</v>
      </c>
      <c r="O215" s="3">
        <v>0.1452215121335908</v>
      </c>
      <c r="P215" s="3">
        <v>0.1510303726189344</v>
      </c>
      <c r="Q215" s="3">
        <v>0.1570715875236918</v>
      </c>
      <c r="R215" s="3">
        <v>0.1633544510246395</v>
      </c>
      <c r="S215" s="3">
        <v>0.16988862906562499</v>
      </c>
      <c r="T215" s="3">
        <v>0.17668417422825011</v>
      </c>
      <c r="U215" s="3">
        <v>0.1837515411973801</v>
      </c>
      <c r="V215" s="3">
        <v>0.1911016028452753</v>
      </c>
      <c r="W215" s="3">
        <v>0.1987456669590863</v>
      </c>
      <c r="X215" s="3">
        <v>0.20669549363744971</v>
      </c>
      <c r="Y215" s="3">
        <v>0.21496331338294769</v>
      </c>
      <c r="Z215" s="3">
        <v>0.22356184591826569</v>
      </c>
      <c r="AA215" s="3">
        <v>0.2325043197549963</v>
      </c>
      <c r="AB215" s="3">
        <v>0.24180449254519609</v>
      </c>
      <c r="AC215" s="3">
        <v>0.25147667224700399</v>
      </c>
      <c r="AD215" s="3">
        <v>0.26153573913688422</v>
      </c>
      <c r="AE215" s="3">
        <v>0.27199716870235963</v>
      </c>
      <c r="AG215" s="17" t="s">
        <v>1330</v>
      </c>
      <c r="AH215" s="3">
        <v>0.12910139548744631</v>
      </c>
      <c r="AI215" s="3">
        <v>0.13426545130694409</v>
      </c>
      <c r="AJ215" s="3">
        <v>0.1396360693592219</v>
      </c>
      <c r="AK215" s="3">
        <v>0.1452215121335908</v>
      </c>
      <c r="AL215" s="3">
        <v>0.1510303726189344</v>
      </c>
      <c r="AM215" s="3">
        <v>0.1570715875236918</v>
      </c>
      <c r="AN215" s="3">
        <v>0.1633544510246395</v>
      </c>
      <c r="AO215" s="3">
        <v>0.16988862906562499</v>
      </c>
      <c r="AP215" s="3">
        <v>0.17668417422825011</v>
      </c>
      <c r="AQ215" s="3">
        <v>0.1837515411973801</v>
      </c>
      <c r="AR215" s="3">
        <v>0.1911016028452753</v>
      </c>
      <c r="AS215" s="3">
        <v>0.1987456669590863</v>
      </c>
      <c r="AT215" s="3">
        <v>0.20669549363744971</v>
      </c>
      <c r="AU215" s="3">
        <v>0.21496331338294769</v>
      </c>
      <c r="AV215" s="3">
        <v>0.22356184591826569</v>
      </c>
      <c r="AW215" s="3">
        <v>0.2325043197549963</v>
      </c>
      <c r="AX215" s="3">
        <v>0.24180449254519609</v>
      </c>
      <c r="AY215" s="3">
        <v>0.25147667224700399</v>
      </c>
      <c r="AZ215" s="3">
        <v>0.26153573913688422</v>
      </c>
      <c r="BA215" s="3">
        <v>0.27199716870235963</v>
      </c>
      <c r="BC215" s="17" t="s">
        <v>1331</v>
      </c>
      <c r="BD215" s="3">
        <v>0.12910139548744631</v>
      </c>
      <c r="BE215" s="3">
        <v>0.13426545130694409</v>
      </c>
      <c r="BF215" s="3">
        <v>0.1396360693592219</v>
      </c>
      <c r="BG215" s="3">
        <v>0.1452215121335908</v>
      </c>
      <c r="BH215" s="3">
        <v>0.1510303726189344</v>
      </c>
      <c r="BI215" s="3">
        <v>0.1570715875236918</v>
      </c>
      <c r="BJ215" s="3">
        <v>0.1633544510246395</v>
      </c>
      <c r="BK215" s="3">
        <v>0.16988862906562499</v>
      </c>
      <c r="BL215" s="3">
        <v>0.17668417422825011</v>
      </c>
      <c r="BM215" s="3">
        <v>0.1837515411973801</v>
      </c>
      <c r="BN215" s="3">
        <v>0.1911016028452753</v>
      </c>
      <c r="BO215" s="3">
        <v>0.1987456669590863</v>
      </c>
      <c r="BP215" s="3">
        <v>0.20669549363744971</v>
      </c>
      <c r="BQ215" s="3">
        <v>0.21496331338294769</v>
      </c>
      <c r="BR215" s="3">
        <v>0.22356184591826569</v>
      </c>
      <c r="BS215" s="3">
        <v>0.2325043197549963</v>
      </c>
      <c r="BT215" s="3">
        <v>0.24180449254519609</v>
      </c>
      <c r="BU215" s="3">
        <v>0.25147667224700399</v>
      </c>
      <c r="BV215" s="3">
        <v>0.26153573913688422</v>
      </c>
      <c r="BW215" s="3">
        <v>0.27199716870235963</v>
      </c>
      <c r="BY215" s="17" t="s">
        <v>1332</v>
      </c>
      <c r="BZ215" s="3">
        <v>0.12910139548744631</v>
      </c>
      <c r="CA215" s="3">
        <v>0.13426545130694409</v>
      </c>
      <c r="CB215" s="3">
        <v>0.1396360693592219</v>
      </c>
      <c r="CC215" s="3">
        <v>0.1452215121335908</v>
      </c>
      <c r="CD215" s="3">
        <v>0.1510303726189344</v>
      </c>
      <c r="CE215" s="3">
        <v>0.1570715875236918</v>
      </c>
      <c r="CF215" s="3">
        <v>0.1633544510246395</v>
      </c>
      <c r="CG215" s="3">
        <v>0.16988862906562499</v>
      </c>
      <c r="CH215" s="3">
        <v>0.17668417422825011</v>
      </c>
      <c r="CI215" s="3">
        <v>0.1837515411973801</v>
      </c>
      <c r="CJ215" s="3">
        <v>0.1911016028452753</v>
      </c>
      <c r="CK215" s="3">
        <v>0.1987456669590863</v>
      </c>
      <c r="CL215" s="3">
        <v>0.20669549363744971</v>
      </c>
      <c r="CM215" s="3">
        <v>0.21496331338294769</v>
      </c>
      <c r="CN215" s="3">
        <v>0.22356184591826569</v>
      </c>
      <c r="CO215" s="3">
        <v>0.2325043197549963</v>
      </c>
      <c r="CP215" s="3">
        <v>0.24180449254519609</v>
      </c>
      <c r="CQ215" s="3">
        <v>0.25147667224700399</v>
      </c>
      <c r="CR215" s="3">
        <v>0.26153573913688422</v>
      </c>
      <c r="CS215" s="3">
        <v>0.27199716870235963</v>
      </c>
      <c r="CU215" s="17" t="s">
        <v>1333</v>
      </c>
      <c r="CV215" s="3">
        <v>0.12910139548744631</v>
      </c>
      <c r="CW215" s="3">
        <v>0.13426545130694409</v>
      </c>
      <c r="CX215" s="3">
        <v>0.1396360693592219</v>
      </c>
      <c r="CY215" s="3">
        <v>0.1452215121335908</v>
      </c>
      <c r="CZ215" s="3">
        <v>0.1510303726189344</v>
      </c>
      <c r="DA215" s="3">
        <v>0.1570715875236918</v>
      </c>
      <c r="DB215" s="3">
        <v>0.1633544510246395</v>
      </c>
      <c r="DC215" s="3">
        <v>0.16988862906562499</v>
      </c>
      <c r="DD215" s="3">
        <v>0.17668417422825011</v>
      </c>
      <c r="DE215" s="3">
        <v>0.1837515411973801</v>
      </c>
      <c r="DF215" s="3">
        <v>0.1911016028452753</v>
      </c>
      <c r="DG215" s="3">
        <v>0.1987456669590863</v>
      </c>
      <c r="DH215" s="3">
        <v>0.20669549363744971</v>
      </c>
      <c r="DI215" s="3">
        <v>0.21496331338294769</v>
      </c>
      <c r="DJ215" s="3">
        <v>0.22356184591826569</v>
      </c>
      <c r="DK215" s="3">
        <v>0.2325043197549963</v>
      </c>
      <c r="DL215" s="3">
        <v>0.24180449254519609</v>
      </c>
      <c r="DM215" s="3">
        <v>0.25147667224700399</v>
      </c>
      <c r="DN215" s="3">
        <v>0.26153573913688422</v>
      </c>
      <c r="DO215" s="3">
        <v>0.27199716870235963</v>
      </c>
    </row>
    <row r="216" spans="1:119" x14ac:dyDescent="0.45">
      <c r="A216" s="16" t="s">
        <v>1334</v>
      </c>
      <c r="B216" s="3" t="s">
        <v>89</v>
      </c>
      <c r="C216" s="16" t="s">
        <v>1335</v>
      </c>
      <c r="H216" s="3" t="s">
        <v>1336</v>
      </c>
      <c r="I216" s="3" t="s">
        <v>860</v>
      </c>
      <c r="K216" s="17" t="s">
        <v>1337</v>
      </c>
      <c r="L216" s="3">
        <v>0.1729142339952032</v>
      </c>
      <c r="M216" s="3">
        <v>0.1465481077283064</v>
      </c>
      <c r="N216" s="3">
        <v>0.14018504300825649</v>
      </c>
      <c r="O216" s="3">
        <v>0.1248079989139991</v>
      </c>
      <c r="P216" s="3">
        <v>0.13703014903323621</v>
      </c>
      <c r="Q216" s="3">
        <v>0.12823223001678349</v>
      </c>
      <c r="R216" s="3">
        <v>0.12756218373384279</v>
      </c>
      <c r="S216" s="3">
        <v>0.1282989332164661</v>
      </c>
      <c r="T216" s="3">
        <v>0.1291889742082985</v>
      </c>
      <c r="U216" s="3">
        <v>0.12954187958368529</v>
      </c>
      <c r="V216" s="3">
        <v>0.13158113583509359</v>
      </c>
      <c r="W216" s="3">
        <v>0.1337096640832264</v>
      </c>
      <c r="X216" s="3">
        <v>0.13593686969097321</v>
      </c>
      <c r="Y216" s="3">
        <v>0.1382692248857964</v>
      </c>
      <c r="Z216" s="3">
        <v>0.14071229727770801</v>
      </c>
      <c r="AA216" s="3">
        <v>0.14327173966174131</v>
      </c>
      <c r="AB216" s="3">
        <v>0.14595945469600441</v>
      </c>
      <c r="AC216" s="3">
        <v>0.14878198363351591</v>
      </c>
      <c r="AD216" s="3">
        <v>0.15174540213057891</v>
      </c>
      <c r="AE216" s="3">
        <v>0.15459265779730039</v>
      </c>
      <c r="AG216" s="17" t="s">
        <v>1338</v>
      </c>
      <c r="AH216" s="3">
        <v>0.1729142339952032</v>
      </c>
      <c r="AI216" s="3">
        <v>0.1465481077283064</v>
      </c>
      <c r="AJ216" s="3">
        <v>0.14018504300825649</v>
      </c>
      <c r="AK216" s="3">
        <v>0.1248079989139991</v>
      </c>
      <c r="AL216" s="3">
        <v>0.13703014904081981</v>
      </c>
      <c r="AM216" s="3">
        <v>0.12822979771074211</v>
      </c>
      <c r="AN216" s="3">
        <v>0.1276142603132201</v>
      </c>
      <c r="AO216" s="3">
        <v>0.128408956924671</v>
      </c>
      <c r="AP216" s="3">
        <v>0.12935984213805399</v>
      </c>
      <c r="AQ216" s="3">
        <v>0.1297720290895352</v>
      </c>
      <c r="AR216" s="3">
        <v>0.131874139927913</v>
      </c>
      <c r="AS216" s="3">
        <v>0.13406730908158401</v>
      </c>
      <c r="AT216" s="3">
        <v>0.1363612902234814</v>
      </c>
      <c r="AU216" s="3">
        <v>0.13876307827748061</v>
      </c>
      <c r="AV216" s="3">
        <v>0.14127844536849191</v>
      </c>
      <c r="AW216" s="3">
        <v>0.1439131930878855</v>
      </c>
      <c r="AX216" s="3">
        <v>0.14668000803965911</v>
      </c>
      <c r="AY216" s="3">
        <v>0.14958577303462131</v>
      </c>
      <c r="AZ216" s="3">
        <v>0.15263700780295389</v>
      </c>
      <c r="BA216" s="3">
        <v>0.15557692487780339</v>
      </c>
      <c r="BC216" s="17" t="s">
        <v>1339</v>
      </c>
      <c r="BD216" s="3">
        <v>0.1729142339952032</v>
      </c>
      <c r="BE216" s="3">
        <v>0.1465481077283064</v>
      </c>
      <c r="BF216" s="3">
        <v>0.14018504300825649</v>
      </c>
      <c r="BG216" s="3">
        <v>0.1248079989139991</v>
      </c>
      <c r="BH216" s="3">
        <v>0.13703014905852029</v>
      </c>
      <c r="BI216" s="3">
        <v>0.1282309848785998</v>
      </c>
      <c r="BJ216" s="3">
        <v>0.12758708943568661</v>
      </c>
      <c r="BK216" s="3">
        <v>0.12839003673982261</v>
      </c>
      <c r="BL216" s="3">
        <v>0.12938868093342301</v>
      </c>
      <c r="BM216" s="3">
        <v>0.1298889796020429</v>
      </c>
      <c r="BN216" s="3">
        <v>0.13212178740913841</v>
      </c>
      <c r="BO216" s="3">
        <v>0.1344902094457639</v>
      </c>
      <c r="BP216" s="3">
        <v>0.13700620452703999</v>
      </c>
      <c r="BQ216" s="3">
        <v>0.1396791142599699</v>
      </c>
      <c r="BR216" s="3">
        <v>0.14251774222117239</v>
      </c>
      <c r="BS216" s="3">
        <v>0.14553112499954929</v>
      </c>
      <c r="BT216" s="3">
        <v>0.14873607789177559</v>
      </c>
      <c r="BU216" s="3">
        <v>0.1521439890619127</v>
      </c>
      <c r="BV216" s="3">
        <v>0.155766281392722</v>
      </c>
      <c r="BW216" s="3">
        <v>0.15935175802174961</v>
      </c>
      <c r="BY216" s="17" t="s">
        <v>1340</v>
      </c>
      <c r="BZ216" s="3">
        <v>0.1729142339952032</v>
      </c>
      <c r="CA216" s="3">
        <v>0.1465481077283064</v>
      </c>
      <c r="CB216" s="3">
        <v>0.14018504300825649</v>
      </c>
      <c r="CC216" s="3">
        <v>0.1248079989139991</v>
      </c>
      <c r="CD216" s="3">
        <v>0.1370301490766582</v>
      </c>
      <c r="CE216" s="3">
        <v>0.12822922409728171</v>
      </c>
      <c r="CF216" s="3">
        <v>0.12762655986125659</v>
      </c>
      <c r="CG216" s="3">
        <v>0.12843495487734249</v>
      </c>
      <c r="CH216" s="3">
        <v>0.12940005101595231</v>
      </c>
      <c r="CI216" s="3">
        <v>0.129826042259756</v>
      </c>
      <c r="CJ216" s="3">
        <v>0.13194279467670469</v>
      </c>
      <c r="CK216" s="3">
        <v>0.13415107570946669</v>
      </c>
      <c r="CL216" s="3">
        <v>0.13646093441147791</v>
      </c>
      <c r="CM216" s="3">
        <v>0.1388793423221272</v>
      </c>
      <c r="CN216" s="3">
        <v>0.14141211969625059</v>
      </c>
      <c r="CO216" s="3">
        <v>0.14406514044373001</v>
      </c>
      <c r="CP216" s="3">
        <v>0.14685114780302619</v>
      </c>
      <c r="CQ216" s="3">
        <v>0.14977703943403711</v>
      </c>
      <c r="CR216" s="3">
        <v>0.15284939489510441</v>
      </c>
      <c r="CS216" s="3">
        <v>0.1558114839291932</v>
      </c>
      <c r="CU216" s="17" t="s">
        <v>1341</v>
      </c>
      <c r="CV216" s="3">
        <v>0.1729142339952032</v>
      </c>
      <c r="CW216" s="3">
        <v>0.1465481077283064</v>
      </c>
      <c r="CX216" s="3">
        <v>0.14018504300825649</v>
      </c>
      <c r="CY216" s="3">
        <v>0.1248079989139991</v>
      </c>
      <c r="CZ216" s="3">
        <v>0.13703014905094499</v>
      </c>
      <c r="DA216" s="3">
        <v>0.1282265285324822</v>
      </c>
      <c r="DB216" s="3">
        <v>0.12768553128848861</v>
      </c>
      <c r="DC216" s="3">
        <v>0.12855946740325991</v>
      </c>
      <c r="DD216" s="3">
        <v>0.12959349208431661</v>
      </c>
      <c r="DE216" s="3">
        <v>0.13008669579536331</v>
      </c>
      <c r="DF216" s="3">
        <v>0.13227470885480511</v>
      </c>
      <c r="DG216" s="3">
        <v>0.13455622962401101</v>
      </c>
      <c r="DH216" s="3">
        <v>0.13694154930731151</v>
      </c>
      <c r="DI216" s="3">
        <v>0.1394382915622106</v>
      </c>
      <c r="DJ216" s="3">
        <v>0.14205254003279169</v>
      </c>
      <c r="DK216" s="3">
        <v>0.14479029839706409</v>
      </c>
      <c r="DL216" s="3">
        <v>0.147665302574844</v>
      </c>
      <c r="DM216" s="3">
        <v>0.1506848674626047</v>
      </c>
      <c r="DN216" s="3">
        <v>0.15385611946795891</v>
      </c>
      <c r="DO216" s="3">
        <v>0.15692263629487391</v>
      </c>
    </row>
    <row r="217" spans="1:119" x14ac:dyDescent="0.45">
      <c r="A217" s="16" t="s">
        <v>1342</v>
      </c>
      <c r="B217" s="3" t="s">
        <v>89</v>
      </c>
      <c r="C217" s="16" t="s">
        <v>1343</v>
      </c>
      <c r="H217" s="3" t="s">
        <v>1344</v>
      </c>
      <c r="I217" s="3" t="s">
        <v>860</v>
      </c>
      <c r="K217" s="17" t="s">
        <v>1345</v>
      </c>
      <c r="L217" s="3">
        <v>0.63320166318730808</v>
      </c>
      <c r="M217" s="3">
        <v>0.39616083201865893</v>
      </c>
      <c r="N217" s="3">
        <v>0.3197996976285235</v>
      </c>
      <c r="O217" s="3">
        <v>0.3197996976285235</v>
      </c>
      <c r="P217" s="3">
        <v>0.3197996976285235</v>
      </c>
      <c r="Q217" s="3">
        <v>0.3197996976285235</v>
      </c>
      <c r="R217" s="3">
        <v>0.3197996976285235</v>
      </c>
      <c r="S217" s="3">
        <v>0.3197996976285235</v>
      </c>
      <c r="T217" s="3">
        <v>0.3197996976285235</v>
      </c>
      <c r="U217" s="3">
        <v>0.3197996976285235</v>
      </c>
      <c r="V217" s="3">
        <v>0.3197996976285235</v>
      </c>
      <c r="W217" s="3">
        <v>0.3197996976285235</v>
      </c>
      <c r="X217" s="3">
        <v>0.31979969762852362</v>
      </c>
      <c r="Y217" s="3">
        <v>0.31979969762852362</v>
      </c>
      <c r="Z217" s="3">
        <v>0.31979969762852362</v>
      </c>
      <c r="AA217" s="3">
        <v>0.31979969762852362</v>
      </c>
      <c r="AB217" s="3">
        <v>0.31979969762852362</v>
      </c>
      <c r="AC217" s="3">
        <v>0.31979969762852362</v>
      </c>
      <c r="AD217" s="3">
        <v>0.31979969762852362</v>
      </c>
      <c r="AE217" s="3">
        <v>0.31979969762852373</v>
      </c>
      <c r="AG217" s="17" t="s">
        <v>1346</v>
      </c>
      <c r="AH217" s="3">
        <v>0.63320166318730808</v>
      </c>
      <c r="AI217" s="3">
        <v>0.39616083201865893</v>
      </c>
      <c r="AJ217" s="3">
        <v>0.3197996976285235</v>
      </c>
      <c r="AK217" s="3">
        <v>0.3197996976285235</v>
      </c>
      <c r="AL217" s="3">
        <v>0.3197996976285235</v>
      </c>
      <c r="AM217" s="3">
        <v>0.36587783765413928</v>
      </c>
      <c r="AN217" s="3">
        <v>0.36587783765413928</v>
      </c>
      <c r="AO217" s="3">
        <v>0.36587783765413928</v>
      </c>
      <c r="AP217" s="3">
        <v>0.36587783765413928</v>
      </c>
      <c r="AQ217" s="3">
        <v>0.36587783765413928</v>
      </c>
      <c r="AR217" s="3">
        <v>0.36587783765413928</v>
      </c>
      <c r="AS217" s="3">
        <v>0.36587783765413928</v>
      </c>
      <c r="AT217" s="3">
        <v>0.36587783765413939</v>
      </c>
      <c r="AU217" s="3">
        <v>0.36587783765413939</v>
      </c>
      <c r="AV217" s="3">
        <v>0.36587783765413961</v>
      </c>
      <c r="AW217" s="3">
        <v>0.36587783765413939</v>
      </c>
      <c r="AX217" s="3">
        <v>0.36587783765413939</v>
      </c>
      <c r="AY217" s="3">
        <v>0.36587783765413939</v>
      </c>
      <c r="AZ217" s="3">
        <v>0.36587783765413939</v>
      </c>
      <c r="BA217" s="3">
        <v>0.36587783765413961</v>
      </c>
      <c r="BC217" s="17" t="s">
        <v>1347</v>
      </c>
      <c r="BD217" s="3">
        <v>0.63320166318730808</v>
      </c>
      <c r="BE217" s="3">
        <v>0.39616083201865893</v>
      </c>
      <c r="BF217" s="3">
        <v>0.3197996976285235</v>
      </c>
      <c r="BG217" s="3">
        <v>0.3197996976285235</v>
      </c>
      <c r="BH217" s="3">
        <v>0.3197996976285235</v>
      </c>
      <c r="BI217" s="3">
        <v>0.34283876764133142</v>
      </c>
      <c r="BJ217" s="3">
        <v>0.37355752765840872</v>
      </c>
      <c r="BK217" s="3">
        <v>0.4042762876754859</v>
      </c>
      <c r="BL217" s="3">
        <v>0.43499504769256309</v>
      </c>
      <c r="BM217" s="3">
        <v>0.46571380770964033</v>
      </c>
      <c r="BN217" s="3">
        <v>0.49643256772671762</v>
      </c>
      <c r="BO217" s="3">
        <v>0.52715132774379481</v>
      </c>
      <c r="BP217" s="3">
        <v>0.55787008776087221</v>
      </c>
      <c r="BQ217" s="3">
        <v>0.58858884777794951</v>
      </c>
      <c r="BR217" s="3">
        <v>0.61930760779502658</v>
      </c>
      <c r="BS217" s="3">
        <v>0.65002636781210388</v>
      </c>
      <c r="BT217" s="3">
        <v>0.68074512782918106</v>
      </c>
      <c r="BU217" s="3">
        <v>0.71146388784625836</v>
      </c>
      <c r="BV217" s="3">
        <v>0.74218264786333543</v>
      </c>
      <c r="BW217" s="3">
        <v>0.77290140788041295</v>
      </c>
      <c r="BY217" s="17" t="s">
        <v>1348</v>
      </c>
      <c r="BZ217" s="3">
        <v>0.63320166318730808</v>
      </c>
      <c r="CA217" s="3">
        <v>0.39616083201865893</v>
      </c>
      <c r="CB217" s="3">
        <v>0.3197996976285235</v>
      </c>
      <c r="CC217" s="3">
        <v>0.3197996976285235</v>
      </c>
      <c r="CD217" s="3">
        <v>0.3197996976285235</v>
      </c>
      <c r="CE217" s="3">
        <v>0.3773973726605433</v>
      </c>
      <c r="CF217" s="3">
        <v>0.3773973726605433</v>
      </c>
      <c r="CG217" s="3">
        <v>0.3773973726605433</v>
      </c>
      <c r="CH217" s="3">
        <v>0.3773973726605433</v>
      </c>
      <c r="CI217" s="3">
        <v>0.3773973726605433</v>
      </c>
      <c r="CJ217" s="3">
        <v>0.3773973726605433</v>
      </c>
      <c r="CK217" s="3">
        <v>0.3773973726605433</v>
      </c>
      <c r="CL217" s="3">
        <v>0.37739737266054341</v>
      </c>
      <c r="CM217" s="3">
        <v>0.37739737266054341</v>
      </c>
      <c r="CN217" s="3">
        <v>0.37739737266054341</v>
      </c>
      <c r="CO217" s="3">
        <v>0.37739737266054352</v>
      </c>
      <c r="CP217" s="3">
        <v>0.37739737266054341</v>
      </c>
      <c r="CQ217" s="3">
        <v>0.37739737266054341</v>
      </c>
      <c r="CR217" s="3">
        <v>0.37739737266054341</v>
      </c>
      <c r="CS217" s="3">
        <v>0.37739737266054352</v>
      </c>
      <c r="CU217" s="17" t="s">
        <v>1349</v>
      </c>
      <c r="CV217" s="3">
        <v>0.63320166318730808</v>
      </c>
      <c r="CW217" s="3">
        <v>0.39616083201865893</v>
      </c>
      <c r="CX217" s="3">
        <v>0.3197996976285235</v>
      </c>
      <c r="CY217" s="3">
        <v>0.3197996976285235</v>
      </c>
      <c r="CZ217" s="3">
        <v>0.3197996976285235</v>
      </c>
      <c r="DA217" s="3">
        <v>0.43499504769256309</v>
      </c>
      <c r="DB217" s="3">
        <v>0.43499504769256309</v>
      </c>
      <c r="DC217" s="3">
        <v>0.43499504769256309</v>
      </c>
      <c r="DD217" s="3">
        <v>0.43499504769256309</v>
      </c>
      <c r="DE217" s="3">
        <v>0.43499504769256309</v>
      </c>
      <c r="DF217" s="3">
        <v>0.43499504769256309</v>
      </c>
      <c r="DG217" s="3">
        <v>0.43499504769256309</v>
      </c>
      <c r="DH217" s="3">
        <v>0.43499504769256331</v>
      </c>
      <c r="DI217" s="3">
        <v>0.4349950476925632</v>
      </c>
      <c r="DJ217" s="3">
        <v>0.4349950476925632</v>
      </c>
      <c r="DK217" s="3">
        <v>0.4349950476925632</v>
      </c>
      <c r="DL217" s="3">
        <v>0.4349950476925632</v>
      </c>
      <c r="DM217" s="3">
        <v>0.4349950476925632</v>
      </c>
      <c r="DN217" s="3">
        <v>0.4349950476925632</v>
      </c>
      <c r="DO217" s="3">
        <v>0.43499504769256331</v>
      </c>
    </row>
    <row r="218" spans="1:119" x14ac:dyDescent="0.45">
      <c r="A218" s="16" t="s">
        <v>1350</v>
      </c>
      <c r="B218" s="3" t="s">
        <v>89</v>
      </c>
      <c r="C218" s="16" t="s">
        <v>1351</v>
      </c>
      <c r="H218" s="3" t="s">
        <v>1352</v>
      </c>
      <c r="I218" s="3" t="s">
        <v>860</v>
      </c>
      <c r="K218" s="17" t="s">
        <v>1353</v>
      </c>
      <c r="L218" s="3">
        <v>-0.7748142422022033</v>
      </c>
      <c r="M218" s="3">
        <v>-0.79715947376897889</v>
      </c>
      <c r="N218" s="3">
        <v>-0.8217070811529934</v>
      </c>
      <c r="O218" s="3">
        <v>-0.69649400781404003</v>
      </c>
      <c r="P218" s="3">
        <v>-0.79601723021354243</v>
      </c>
      <c r="Q218" s="3">
        <v>-0.72437703250814245</v>
      </c>
      <c r="R218" s="3">
        <v>-0.7189209413470532</v>
      </c>
      <c r="S218" s="3">
        <v>-0.72492018713412865</v>
      </c>
      <c r="T218" s="3">
        <v>-0.73216766378190701</v>
      </c>
      <c r="U218" s="3">
        <v>-0.73504132183862803</v>
      </c>
      <c r="V218" s="3">
        <v>-0.7516466941715243</v>
      </c>
      <c r="W218" s="3">
        <v>-0.7689789956206059</v>
      </c>
      <c r="X218" s="3">
        <v>-0.78711481271225825</v>
      </c>
      <c r="Y218" s="3">
        <v>-0.80610684787010412</v>
      </c>
      <c r="Z218" s="3">
        <v>-0.82600043734709816</v>
      </c>
      <c r="AA218" s="3">
        <v>-0.84684161104565581</v>
      </c>
      <c r="AB218" s="3">
        <v>-0.86872729061036957</v>
      </c>
      <c r="AC218" s="3">
        <v>-0.89171074053010613</v>
      </c>
      <c r="AD218" s="3">
        <v>-0.91584143400618978</v>
      </c>
      <c r="AE218" s="3">
        <v>-0.93902623014949382</v>
      </c>
      <c r="AG218" s="17" t="s">
        <v>1354</v>
      </c>
      <c r="AH218" s="3">
        <v>-0.7748142422022033</v>
      </c>
      <c r="AI218" s="3">
        <v>-0.79715947376897889</v>
      </c>
      <c r="AJ218" s="3">
        <v>-0.8217070811529934</v>
      </c>
      <c r="AK218" s="3">
        <v>-0.69649400781404003</v>
      </c>
      <c r="AL218" s="3">
        <v>-0.79601723027529436</v>
      </c>
      <c r="AM218" s="3">
        <v>-0.67827908656190328</v>
      </c>
      <c r="AN218" s="3">
        <v>-0.67326685346779569</v>
      </c>
      <c r="AO218" s="3">
        <v>-0.67973795444675278</v>
      </c>
      <c r="AP218" s="3">
        <v>-0.68748087689858606</v>
      </c>
      <c r="AQ218" s="3">
        <v>-0.69083725636064686</v>
      </c>
      <c r="AR218" s="3">
        <v>-0.70795444461600932</v>
      </c>
      <c r="AS218" s="3">
        <v>-0.72581310772447316</v>
      </c>
      <c r="AT218" s="3">
        <v>-0.74449266845135198</v>
      </c>
      <c r="AU218" s="3">
        <v>-0.76405008546248809</v>
      </c>
      <c r="AV218" s="3">
        <v>-0.78453236034643692</v>
      </c>
      <c r="AW218" s="3">
        <v>-0.80598673463292814</v>
      </c>
      <c r="AX218" s="3">
        <v>-0.82851651352594202</v>
      </c>
      <c r="AY218" s="3">
        <v>-0.85217774277063429</v>
      </c>
      <c r="AZ218" s="3">
        <v>-0.87702351159848546</v>
      </c>
      <c r="BA218" s="3">
        <v>-0.90096283635083085</v>
      </c>
      <c r="BC218" s="17" t="s">
        <v>1355</v>
      </c>
      <c r="BD218" s="3">
        <v>-0.7748142422022033</v>
      </c>
      <c r="BE218" s="3">
        <v>-0.79715947376897889</v>
      </c>
      <c r="BF218" s="3">
        <v>-0.8217070811529934</v>
      </c>
      <c r="BG218" s="3">
        <v>-0.69649400781404003</v>
      </c>
      <c r="BH218" s="3">
        <v>-0.79601723041942751</v>
      </c>
      <c r="BI218" s="3">
        <v>-0.7013278235129814</v>
      </c>
      <c r="BJ218" s="3">
        <v>-0.66536591488932495</v>
      </c>
      <c r="BK218" s="3">
        <v>-0.64118544006306921</v>
      </c>
      <c r="BL218" s="3">
        <v>-0.61859849705102388</v>
      </c>
      <c r="BM218" s="3">
        <v>-0.59195359762128041</v>
      </c>
      <c r="BN218" s="3">
        <v>-0.5794162726048373</v>
      </c>
      <c r="BO218" s="3">
        <v>-0.56798323488599667</v>
      </c>
      <c r="BP218" s="3">
        <v>-0.55775186338788174</v>
      </c>
      <c r="BQ218" s="3">
        <v>-0.54879822548180535</v>
      </c>
      <c r="BR218" s="3">
        <v>-0.54119400743451984</v>
      </c>
      <c r="BS218" s="3">
        <v>-0.53501279289851156</v>
      </c>
      <c r="BT218" s="3">
        <v>-0.53039150643242061</v>
      </c>
      <c r="BU218" s="3">
        <v>-0.52742288022931627</v>
      </c>
      <c r="BV218" s="3">
        <v>-0.52619992919168668</v>
      </c>
      <c r="BW218" s="3">
        <v>-0.52467719315383377</v>
      </c>
      <c r="BY218" s="17" t="s">
        <v>1356</v>
      </c>
      <c r="BZ218" s="3">
        <v>-0.7748142422022033</v>
      </c>
      <c r="CA218" s="3">
        <v>-0.79715947376897889</v>
      </c>
      <c r="CB218" s="3">
        <v>-0.8217070811529934</v>
      </c>
      <c r="CC218" s="3">
        <v>-0.69649400781404003</v>
      </c>
      <c r="CD218" s="3">
        <v>-0.79601723056712181</v>
      </c>
      <c r="CE218" s="3">
        <v>-0.6667548807030359</v>
      </c>
      <c r="CF218" s="3">
        <v>-0.66184747192397508</v>
      </c>
      <c r="CG218" s="3">
        <v>-0.66843011705495958</v>
      </c>
      <c r="CH218" s="3">
        <v>-0.67628875704078251</v>
      </c>
      <c r="CI218" s="3">
        <v>-0.67975754288318391</v>
      </c>
      <c r="CJ218" s="3">
        <v>-0.69699395542119524</v>
      </c>
      <c r="CK218" s="3">
        <v>-0.71497567240225646</v>
      </c>
      <c r="CL218" s="3">
        <v>-0.73378452183291965</v>
      </c>
      <c r="CM218" s="3">
        <v>-0.75347727196249237</v>
      </c>
      <c r="CN218" s="3">
        <v>-0.7741013162946403</v>
      </c>
      <c r="CO218" s="3">
        <v>-0.79570448523840098</v>
      </c>
      <c r="CP218" s="3">
        <v>-0.81839054516409826</v>
      </c>
      <c r="CQ218" s="3">
        <v>-0.84221566273090109</v>
      </c>
      <c r="CR218" s="3">
        <v>-0.86723341434244905</v>
      </c>
      <c r="CS218" s="3">
        <v>-0.89135328219145782</v>
      </c>
      <c r="CU218" s="17" t="s">
        <v>1357</v>
      </c>
      <c r="CV218" s="3">
        <v>-0.7748142422022033</v>
      </c>
      <c r="CW218" s="3">
        <v>-0.79715947376897889</v>
      </c>
      <c r="CX218" s="3">
        <v>-0.8217070811529934</v>
      </c>
      <c r="CY218" s="3">
        <v>-0.69649400781404003</v>
      </c>
      <c r="CZ218" s="3">
        <v>-0.79601723035774308</v>
      </c>
      <c r="DA218" s="3">
        <v>-0.60913525607193453</v>
      </c>
      <c r="DB218" s="3">
        <v>-0.60472999279941497</v>
      </c>
      <c r="DC218" s="3">
        <v>-0.61184632973398134</v>
      </c>
      <c r="DD218" s="3">
        <v>-0.62026624499401528</v>
      </c>
      <c r="DE218" s="3">
        <v>-0.62428233235539543</v>
      </c>
      <c r="DF218" s="3">
        <v>-0.64209901012513515</v>
      </c>
      <c r="DG218" s="3">
        <v>-0.66067710781724109</v>
      </c>
      <c r="DH218" s="3">
        <v>-0.68010042523840153</v>
      </c>
      <c r="DI218" s="3">
        <v>-0.70043104074258022</v>
      </c>
      <c r="DJ218" s="3">
        <v>-0.72171849257445508</v>
      </c>
      <c r="DK218" s="3">
        <v>-0.74401166782638728</v>
      </c>
      <c r="DL218" s="3">
        <v>-0.76742241613116624</v>
      </c>
      <c r="DM218" s="3">
        <v>-0.79201030164578934</v>
      </c>
      <c r="DN218" s="3">
        <v>-0.81783335368938759</v>
      </c>
      <c r="DO218" s="3">
        <v>-0.84280356213712437</v>
      </c>
    </row>
    <row r="219" spans="1:119" x14ac:dyDescent="0.45">
      <c r="A219" s="16" t="s">
        <v>1034</v>
      </c>
      <c r="B219" s="3" t="s">
        <v>89</v>
      </c>
      <c r="C219" s="16" t="s">
        <v>1035</v>
      </c>
      <c r="H219" s="3" t="s">
        <v>1036</v>
      </c>
      <c r="I219" s="3" t="s">
        <v>651</v>
      </c>
      <c r="K219" s="17" t="s">
        <v>1037</v>
      </c>
      <c r="L219" s="3">
        <v>-10.074341016629241</v>
      </c>
      <c r="M219" s="3">
        <v>-11.5075692809627</v>
      </c>
      <c r="N219" s="3">
        <v>-12.403359811849359</v>
      </c>
      <c r="O219" s="3">
        <v>-9.459576486082895</v>
      </c>
      <c r="P219" s="3">
        <v>-11.50550796130479</v>
      </c>
      <c r="Q219" s="3">
        <v>-9.3840170220665122</v>
      </c>
      <c r="R219" s="3">
        <v>-8.8003604985311625</v>
      </c>
      <c r="S219" s="3">
        <v>-8.5061502810398544</v>
      </c>
      <c r="T219" s="3">
        <v>-8.2488616149213208</v>
      </c>
      <c r="U219" s="3">
        <v>-7.9693411913289509</v>
      </c>
      <c r="V219" s="3">
        <v>-7.9693411913289509</v>
      </c>
      <c r="W219" s="3">
        <v>-7.9693411913289509</v>
      </c>
      <c r="X219" s="3">
        <v>-7.9693411913289509</v>
      </c>
      <c r="Y219" s="3">
        <v>-7.9693411913289509</v>
      </c>
      <c r="Z219" s="3">
        <v>-7.9693411913289509</v>
      </c>
      <c r="AA219" s="3">
        <v>-7.9693411913289509</v>
      </c>
      <c r="AB219" s="3">
        <v>-7.9693411913289509</v>
      </c>
      <c r="AC219" s="3">
        <v>-7.9693411913289509</v>
      </c>
      <c r="AD219" s="3">
        <v>-7.9693411913289509</v>
      </c>
      <c r="AE219" s="3">
        <v>-7.9693411913289509</v>
      </c>
      <c r="AG219" s="17" t="s">
        <v>1038</v>
      </c>
      <c r="AH219" s="3">
        <v>-10.074341016629241</v>
      </c>
      <c r="AI219" s="3">
        <v>-11.5075692809627</v>
      </c>
      <c r="AJ219" s="3">
        <v>-12.403359811849359</v>
      </c>
      <c r="AK219" s="3">
        <v>-9.459576486082895</v>
      </c>
      <c r="AL219" s="3">
        <v>-11.50550796130479</v>
      </c>
      <c r="AM219" s="3">
        <v>-9.3840170220665122</v>
      </c>
      <c r="AN219" s="3">
        <v>-8.8003604985311625</v>
      </c>
      <c r="AO219" s="3">
        <v>-8.5061502810398544</v>
      </c>
      <c r="AP219" s="3">
        <v>-8.2488616149213208</v>
      </c>
      <c r="AQ219" s="3">
        <v>-7.9693411913289509</v>
      </c>
      <c r="AR219" s="3">
        <v>-7.9693411913289509</v>
      </c>
      <c r="AS219" s="3">
        <v>-7.9693411913289509</v>
      </c>
      <c r="AT219" s="3">
        <v>-7.9693411913289509</v>
      </c>
      <c r="AU219" s="3">
        <v>-7.9693411913289509</v>
      </c>
      <c r="AV219" s="3">
        <v>-7.9693411913289509</v>
      </c>
      <c r="AW219" s="3">
        <v>-7.9693411913289509</v>
      </c>
      <c r="AX219" s="3">
        <v>-7.9693411913289509</v>
      </c>
      <c r="AY219" s="3">
        <v>-7.9693411913289509</v>
      </c>
      <c r="AZ219" s="3">
        <v>-7.9693411913289509</v>
      </c>
      <c r="BA219" s="3">
        <v>-7.9693411913289509</v>
      </c>
      <c r="BC219" s="17" t="s">
        <v>1039</v>
      </c>
      <c r="BD219" s="3">
        <v>-10.074341016629241</v>
      </c>
      <c r="BE219" s="3">
        <v>-11.5075692809627</v>
      </c>
      <c r="BF219" s="3">
        <v>-12.403359811849359</v>
      </c>
      <c r="BG219" s="3">
        <v>-9.459576486082895</v>
      </c>
      <c r="BH219" s="3">
        <v>-11.50550796130479</v>
      </c>
      <c r="BI219" s="3">
        <v>-9.3840170220665122</v>
      </c>
      <c r="BJ219" s="3">
        <v>-8.8003604985311625</v>
      </c>
      <c r="BK219" s="3">
        <v>-8.5061502810398544</v>
      </c>
      <c r="BL219" s="3">
        <v>-8.2488616149213208</v>
      </c>
      <c r="BM219" s="3">
        <v>-7.9693411913289509</v>
      </c>
      <c r="BN219" s="3">
        <v>-7.9693411913289509</v>
      </c>
      <c r="BO219" s="3">
        <v>-7.9693411913289509</v>
      </c>
      <c r="BP219" s="3">
        <v>-7.9693411913289509</v>
      </c>
      <c r="BQ219" s="3">
        <v>-7.9693411913289509</v>
      </c>
      <c r="BR219" s="3">
        <v>-7.9693411913289509</v>
      </c>
      <c r="BS219" s="3">
        <v>-7.9693411913289509</v>
      </c>
      <c r="BT219" s="3">
        <v>-7.9693411913289509</v>
      </c>
      <c r="BU219" s="3">
        <v>-7.9693411913289509</v>
      </c>
      <c r="BV219" s="3">
        <v>-7.9693411913289509</v>
      </c>
      <c r="BW219" s="3">
        <v>-7.9693411913289509</v>
      </c>
      <c r="BY219" s="17" t="s">
        <v>1040</v>
      </c>
      <c r="BZ219" s="3">
        <v>-10.074341016629241</v>
      </c>
      <c r="CA219" s="3">
        <v>-11.5075692809627</v>
      </c>
      <c r="CB219" s="3">
        <v>-12.403359811849359</v>
      </c>
      <c r="CC219" s="3">
        <v>-9.459576486082895</v>
      </c>
      <c r="CD219" s="3">
        <v>-11.50550796130479</v>
      </c>
      <c r="CE219" s="3">
        <v>-9.3840170220665122</v>
      </c>
      <c r="CF219" s="3">
        <v>-8.8003604985311625</v>
      </c>
      <c r="CG219" s="3">
        <v>-8.5061502810398544</v>
      </c>
      <c r="CH219" s="3">
        <v>-8.2488616149213208</v>
      </c>
      <c r="CI219" s="3">
        <v>-7.9693411913289509</v>
      </c>
      <c r="CJ219" s="3">
        <v>-7.9693411913289509</v>
      </c>
      <c r="CK219" s="3">
        <v>-7.9693411913289509</v>
      </c>
      <c r="CL219" s="3">
        <v>-7.9693411913289509</v>
      </c>
      <c r="CM219" s="3">
        <v>-7.9693411913289509</v>
      </c>
      <c r="CN219" s="3">
        <v>-7.9693411913289509</v>
      </c>
      <c r="CO219" s="3">
        <v>-7.9693411913289509</v>
      </c>
      <c r="CP219" s="3">
        <v>-7.9693411913289509</v>
      </c>
      <c r="CQ219" s="3">
        <v>-7.9693411913289509</v>
      </c>
      <c r="CR219" s="3">
        <v>-7.9693411913289509</v>
      </c>
      <c r="CS219" s="3">
        <v>-7.9693411913289509</v>
      </c>
      <c r="CU219" s="17" t="s">
        <v>1041</v>
      </c>
      <c r="CV219" s="3">
        <v>-10.074341016629241</v>
      </c>
      <c r="CW219" s="3">
        <v>-11.5075692809627</v>
      </c>
      <c r="CX219" s="3">
        <v>-12.403359811849359</v>
      </c>
      <c r="CY219" s="3">
        <v>-9.459576486082895</v>
      </c>
      <c r="CZ219" s="3">
        <v>-11.50550796130479</v>
      </c>
      <c r="DA219" s="3">
        <v>-9.3840170220665122</v>
      </c>
      <c r="DB219" s="3">
        <v>-8.8003604985311625</v>
      </c>
      <c r="DC219" s="3">
        <v>-8.5061502810398544</v>
      </c>
      <c r="DD219" s="3">
        <v>-8.2488616149213208</v>
      </c>
      <c r="DE219" s="3">
        <v>-7.9693411913289509</v>
      </c>
      <c r="DF219" s="3">
        <v>-7.9693411913289509</v>
      </c>
      <c r="DG219" s="3">
        <v>-7.9693411913289509</v>
      </c>
      <c r="DH219" s="3">
        <v>-7.9693411913289509</v>
      </c>
      <c r="DI219" s="3">
        <v>-7.9693411913289509</v>
      </c>
      <c r="DJ219" s="3">
        <v>-7.9693411913289509</v>
      </c>
      <c r="DK219" s="3">
        <v>-7.9693411913289509</v>
      </c>
      <c r="DL219" s="3">
        <v>-7.9693411913289509</v>
      </c>
      <c r="DM219" s="3">
        <v>-7.9693411913289509</v>
      </c>
      <c r="DN219" s="3">
        <v>-7.9693411913289509</v>
      </c>
      <c r="DO219" s="3">
        <v>-7.9693411913289509</v>
      </c>
    </row>
    <row r="220" spans="1:119" x14ac:dyDescent="0.45">
      <c r="A220" s="16" t="s">
        <v>1358</v>
      </c>
      <c r="B220" s="3" t="s">
        <v>89</v>
      </c>
      <c r="C220" s="16" t="s">
        <v>1359</v>
      </c>
      <c r="H220" s="3" t="s">
        <v>1360</v>
      </c>
      <c r="I220" s="3" t="s">
        <v>109</v>
      </c>
      <c r="K220" s="17" t="s">
        <v>1361</v>
      </c>
      <c r="L220" s="3">
        <v>-149.5452638422546</v>
      </c>
      <c r="M220" s="3">
        <v>-170.82035256340609</v>
      </c>
      <c r="N220" s="3">
        <v>-184.11762243621629</v>
      </c>
      <c r="O220" s="3">
        <v>-140.41959261773869</v>
      </c>
      <c r="P220" s="3">
        <v>-170.78975397719631</v>
      </c>
      <c r="Q220" s="3">
        <v>-139.2979748401136</v>
      </c>
      <c r="R220" s="3">
        <v>-130.63407626240291</v>
      </c>
      <c r="S220" s="3">
        <v>-126.2667688100147</v>
      </c>
      <c r="T220" s="3">
        <v>-122.4475312643721</v>
      </c>
      <c r="U220" s="3">
        <v>-118.298281658227</v>
      </c>
      <c r="V220" s="3">
        <v>-118.298281658227</v>
      </c>
      <c r="W220" s="3">
        <v>-118.298281658227</v>
      </c>
      <c r="X220" s="3">
        <v>-118.298281658227</v>
      </c>
      <c r="Y220" s="3">
        <v>-118.298281658227</v>
      </c>
      <c r="Z220" s="3">
        <v>-118.298281658227</v>
      </c>
      <c r="AA220" s="3">
        <v>-118.298281658227</v>
      </c>
      <c r="AB220" s="3">
        <v>-118.298281658227</v>
      </c>
      <c r="AC220" s="3">
        <v>-118.298281658227</v>
      </c>
      <c r="AD220" s="3">
        <v>-118.2982816582271</v>
      </c>
      <c r="AE220" s="3">
        <v>-118.298281658227</v>
      </c>
      <c r="AG220" s="17" t="s">
        <v>1362</v>
      </c>
      <c r="AH220" s="3">
        <v>-149.5452638422546</v>
      </c>
      <c r="AI220" s="3">
        <v>-170.82035256340609</v>
      </c>
      <c r="AJ220" s="3">
        <v>-184.11762243621629</v>
      </c>
      <c r="AK220" s="3">
        <v>-140.41959261773869</v>
      </c>
      <c r="AL220" s="3">
        <v>-170.78975397719631</v>
      </c>
      <c r="AM220" s="3">
        <v>-139.2979748401136</v>
      </c>
      <c r="AN220" s="3">
        <v>-130.63407626240291</v>
      </c>
      <c r="AO220" s="3">
        <v>-126.2667688100147</v>
      </c>
      <c r="AP220" s="3">
        <v>-122.4475312643721</v>
      </c>
      <c r="AQ220" s="3">
        <v>-118.298281658227</v>
      </c>
      <c r="AR220" s="3">
        <v>-118.298281658227</v>
      </c>
      <c r="AS220" s="3">
        <v>-118.298281658227</v>
      </c>
      <c r="AT220" s="3">
        <v>-118.298281658227</v>
      </c>
      <c r="AU220" s="3">
        <v>-118.298281658227</v>
      </c>
      <c r="AV220" s="3">
        <v>-118.298281658227</v>
      </c>
      <c r="AW220" s="3">
        <v>-118.298281658227</v>
      </c>
      <c r="AX220" s="3">
        <v>-118.298281658227</v>
      </c>
      <c r="AY220" s="3">
        <v>-118.298281658227</v>
      </c>
      <c r="AZ220" s="3">
        <v>-118.2982816582271</v>
      </c>
      <c r="BA220" s="3">
        <v>-118.298281658227</v>
      </c>
      <c r="BC220" s="17" t="s">
        <v>1363</v>
      </c>
      <c r="BD220" s="3">
        <v>-149.5452638422546</v>
      </c>
      <c r="BE220" s="3">
        <v>-170.82035256340609</v>
      </c>
      <c r="BF220" s="3">
        <v>-184.11762243621629</v>
      </c>
      <c r="BG220" s="3">
        <v>-140.41959261773869</v>
      </c>
      <c r="BH220" s="3">
        <v>-170.78975397719631</v>
      </c>
      <c r="BI220" s="3">
        <v>-139.2979748401136</v>
      </c>
      <c r="BJ220" s="3">
        <v>-130.63407626240291</v>
      </c>
      <c r="BK220" s="3">
        <v>-126.2667688100147</v>
      </c>
      <c r="BL220" s="3">
        <v>-122.4475312643721</v>
      </c>
      <c r="BM220" s="3">
        <v>-118.298281658227</v>
      </c>
      <c r="BN220" s="3">
        <v>-118.298281658227</v>
      </c>
      <c r="BO220" s="3">
        <v>-118.298281658227</v>
      </c>
      <c r="BP220" s="3">
        <v>-118.298281658227</v>
      </c>
      <c r="BQ220" s="3">
        <v>-118.298281658227</v>
      </c>
      <c r="BR220" s="3">
        <v>-118.298281658227</v>
      </c>
      <c r="BS220" s="3">
        <v>-118.298281658227</v>
      </c>
      <c r="BT220" s="3">
        <v>-118.298281658227</v>
      </c>
      <c r="BU220" s="3">
        <v>-118.298281658227</v>
      </c>
      <c r="BV220" s="3">
        <v>-118.2982816582271</v>
      </c>
      <c r="BW220" s="3">
        <v>-118.298281658227</v>
      </c>
      <c r="BY220" s="17" t="s">
        <v>1364</v>
      </c>
      <c r="BZ220" s="3">
        <v>-149.5452638422546</v>
      </c>
      <c r="CA220" s="3">
        <v>-170.82035256340609</v>
      </c>
      <c r="CB220" s="3">
        <v>-184.11762243621629</v>
      </c>
      <c r="CC220" s="3">
        <v>-140.41959261773869</v>
      </c>
      <c r="CD220" s="3">
        <v>-170.78975397719631</v>
      </c>
      <c r="CE220" s="3">
        <v>-139.2979748401136</v>
      </c>
      <c r="CF220" s="3">
        <v>-130.63407626240291</v>
      </c>
      <c r="CG220" s="3">
        <v>-126.2667688100147</v>
      </c>
      <c r="CH220" s="3">
        <v>-122.4475312643721</v>
      </c>
      <c r="CI220" s="3">
        <v>-118.298281658227</v>
      </c>
      <c r="CJ220" s="3">
        <v>-118.298281658227</v>
      </c>
      <c r="CK220" s="3">
        <v>-118.298281658227</v>
      </c>
      <c r="CL220" s="3">
        <v>-118.298281658227</v>
      </c>
      <c r="CM220" s="3">
        <v>-118.298281658227</v>
      </c>
      <c r="CN220" s="3">
        <v>-118.298281658227</v>
      </c>
      <c r="CO220" s="3">
        <v>-118.298281658227</v>
      </c>
      <c r="CP220" s="3">
        <v>-118.298281658227</v>
      </c>
      <c r="CQ220" s="3">
        <v>-118.298281658227</v>
      </c>
      <c r="CR220" s="3">
        <v>-118.2982816582271</v>
      </c>
      <c r="CS220" s="3">
        <v>-118.298281658227</v>
      </c>
      <c r="CU220" s="17" t="s">
        <v>1365</v>
      </c>
      <c r="CV220" s="3">
        <v>-149.5452638422546</v>
      </c>
      <c r="CW220" s="3">
        <v>-170.82035256340609</v>
      </c>
      <c r="CX220" s="3">
        <v>-184.11762243621629</v>
      </c>
      <c r="CY220" s="3">
        <v>-140.41959261773869</v>
      </c>
      <c r="CZ220" s="3">
        <v>-170.78975397719631</v>
      </c>
      <c r="DA220" s="3">
        <v>-139.2979748401136</v>
      </c>
      <c r="DB220" s="3">
        <v>-130.63407626240291</v>
      </c>
      <c r="DC220" s="3">
        <v>-126.2667688100147</v>
      </c>
      <c r="DD220" s="3">
        <v>-122.4475312643721</v>
      </c>
      <c r="DE220" s="3">
        <v>-118.298281658227</v>
      </c>
      <c r="DF220" s="3">
        <v>-118.298281658227</v>
      </c>
      <c r="DG220" s="3">
        <v>-118.298281658227</v>
      </c>
      <c r="DH220" s="3">
        <v>-118.298281658227</v>
      </c>
      <c r="DI220" s="3">
        <v>-118.298281658227</v>
      </c>
      <c r="DJ220" s="3">
        <v>-118.298281658227</v>
      </c>
      <c r="DK220" s="3">
        <v>-118.298281658227</v>
      </c>
      <c r="DL220" s="3">
        <v>-118.298281658227</v>
      </c>
      <c r="DM220" s="3">
        <v>-118.298281658227</v>
      </c>
      <c r="DN220" s="3">
        <v>-118.2982816582271</v>
      </c>
      <c r="DO220" s="3">
        <v>-118.298281658227</v>
      </c>
    </row>
    <row r="221" spans="1:119" x14ac:dyDescent="0.45">
      <c r="A221" s="16" t="s">
        <v>1366</v>
      </c>
      <c r="B221" s="3" t="s">
        <v>89</v>
      </c>
      <c r="C221" s="16" t="s">
        <v>1367</v>
      </c>
      <c r="H221" s="3" t="s">
        <v>1368</v>
      </c>
      <c r="I221" s="3" t="s">
        <v>860</v>
      </c>
      <c r="K221" s="17" t="s">
        <v>1369</v>
      </c>
      <c r="L221" s="3">
        <v>0.24960292218413979</v>
      </c>
      <c r="M221" s="3">
        <v>0.2481946602534201</v>
      </c>
      <c r="N221" s="3">
        <v>0.24777977039791571</v>
      </c>
      <c r="O221" s="3">
        <v>0.24088707867160861</v>
      </c>
      <c r="P221" s="3">
        <v>0.25664245920554729</v>
      </c>
      <c r="Q221" s="3">
        <v>0.26798816707411871</v>
      </c>
      <c r="R221" s="3">
        <v>0.28361243907330519</v>
      </c>
      <c r="S221" s="3">
        <v>0.29916339018877181</v>
      </c>
      <c r="T221" s="3">
        <v>0.31451814360382963</v>
      </c>
      <c r="U221" s="3">
        <v>0.32681365282287911</v>
      </c>
      <c r="V221" s="3">
        <v>0.34137976890436711</v>
      </c>
      <c r="W221" s="3">
        <v>0.35658354210531579</v>
      </c>
      <c r="X221" s="3">
        <v>0.37249215358922122</v>
      </c>
      <c r="Y221" s="3">
        <v>0.38915183355224398</v>
      </c>
      <c r="Z221" s="3">
        <v>0.40660235063732653</v>
      </c>
      <c r="AA221" s="3">
        <v>0.42488408195185068</v>
      </c>
      <c r="AB221" s="3">
        <v>0.44408204648230137</v>
      </c>
      <c r="AC221" s="3">
        <v>0.46424296746452642</v>
      </c>
      <c r="AD221" s="3">
        <v>0.48541024244354708</v>
      </c>
      <c r="AE221" s="3">
        <v>0.50574778292012945</v>
      </c>
      <c r="AG221" s="17" t="s">
        <v>1370</v>
      </c>
      <c r="AH221" s="3">
        <v>0.24960292218413979</v>
      </c>
      <c r="AI221" s="3">
        <v>0.2481946602534201</v>
      </c>
      <c r="AJ221" s="3">
        <v>0.24777977039791571</v>
      </c>
      <c r="AK221" s="3">
        <v>0.24088707867160861</v>
      </c>
      <c r="AL221" s="3">
        <v>0.2566424592597159</v>
      </c>
      <c r="AM221" s="3">
        <v>0.26797079345953673</v>
      </c>
      <c r="AN221" s="3">
        <v>0.28398441464028612</v>
      </c>
      <c r="AO221" s="3">
        <v>0.29994927381880693</v>
      </c>
      <c r="AP221" s="3">
        <v>0.31573862881636922</v>
      </c>
      <c r="AQ221" s="3">
        <v>0.32845757786466379</v>
      </c>
      <c r="AR221" s="3">
        <v>0.3434726552816485</v>
      </c>
      <c r="AS221" s="3">
        <v>0.35913814923644138</v>
      </c>
      <c r="AT221" s="3">
        <v>0.37552372882142249</v>
      </c>
      <c r="AU221" s="3">
        <v>0.39267935777855961</v>
      </c>
      <c r="AV221" s="3">
        <v>0.41064626557149719</v>
      </c>
      <c r="AW221" s="3">
        <v>0.42946589213859471</v>
      </c>
      <c r="AX221" s="3">
        <v>0.44922885607983509</v>
      </c>
      <c r="AY221" s="3">
        <v>0.46998432032956489</v>
      </c>
      <c r="AZ221" s="3">
        <v>0.49177885438908348</v>
      </c>
      <c r="BA221" s="3">
        <v>0.51277826206657962</v>
      </c>
      <c r="BC221" s="17" t="s">
        <v>1371</v>
      </c>
      <c r="BD221" s="3">
        <v>0.24960292218413979</v>
      </c>
      <c r="BE221" s="3">
        <v>0.2481946602534201</v>
      </c>
      <c r="BF221" s="3">
        <v>0.24777977039791571</v>
      </c>
      <c r="BG221" s="3">
        <v>0.24088707867160861</v>
      </c>
      <c r="BH221" s="3">
        <v>0.25664245938614832</v>
      </c>
      <c r="BI221" s="3">
        <v>0.26797927322994902</v>
      </c>
      <c r="BJ221" s="3">
        <v>0.28379033694361822</v>
      </c>
      <c r="BK221" s="3">
        <v>0.29981412964131832</v>
      </c>
      <c r="BL221" s="3">
        <v>0.31594462021186148</v>
      </c>
      <c r="BM221" s="3">
        <v>0.32929293866829068</v>
      </c>
      <c r="BN221" s="3">
        <v>0.34524156586182952</v>
      </c>
      <c r="BO221" s="3">
        <v>0.36215886612344028</v>
      </c>
      <c r="BP221" s="3">
        <v>0.38013025956112662</v>
      </c>
      <c r="BQ221" s="3">
        <v>0.39922247193919758</v>
      </c>
      <c r="BR221" s="3">
        <v>0.41949838594778671</v>
      </c>
      <c r="BS221" s="3">
        <v>0.44102254865047869</v>
      </c>
      <c r="BT221" s="3">
        <v>0.46391506930923881</v>
      </c>
      <c r="BU221" s="3">
        <v>0.48825729195307449</v>
      </c>
      <c r="BV221" s="3">
        <v>0.51413080860171267</v>
      </c>
      <c r="BW221" s="3">
        <v>0.53974135595190942</v>
      </c>
      <c r="BY221" s="17" t="s">
        <v>1372</v>
      </c>
      <c r="BZ221" s="3">
        <v>0.24960292218413979</v>
      </c>
      <c r="CA221" s="3">
        <v>0.2481946602534201</v>
      </c>
      <c r="CB221" s="3">
        <v>0.24777977039791571</v>
      </c>
      <c r="CC221" s="3">
        <v>0.24088707867160861</v>
      </c>
      <c r="CD221" s="3">
        <v>0.25664245951570491</v>
      </c>
      <c r="CE221" s="3">
        <v>0.26796669622053371</v>
      </c>
      <c r="CF221" s="3">
        <v>0.28407226855483292</v>
      </c>
      <c r="CG221" s="3">
        <v>0.30013497348074608</v>
      </c>
      <c r="CH221" s="3">
        <v>0.31602583508707122</v>
      </c>
      <c r="CI221" s="3">
        <v>0.32884338622338399</v>
      </c>
      <c r="CJ221" s="3">
        <v>0.34396304634444658</v>
      </c>
      <c r="CK221" s="3">
        <v>0.35973648229274591</v>
      </c>
      <c r="CL221" s="3">
        <v>0.37623547302139781</v>
      </c>
      <c r="CM221" s="3">
        <v>0.39350981524032108</v>
      </c>
      <c r="CN221" s="3">
        <v>0.41160108219834579</v>
      </c>
      <c r="CO221" s="3">
        <v>0.43055123039462689</v>
      </c>
      <c r="CP221" s="3">
        <v>0.4504512829610281</v>
      </c>
      <c r="CQ221" s="3">
        <v>0.47135050889682018</v>
      </c>
      <c r="CR221" s="3">
        <v>0.49329590504730059</v>
      </c>
      <c r="CS221" s="3">
        <v>0.51445368386222057</v>
      </c>
      <c r="CU221" s="17" t="s">
        <v>1373</v>
      </c>
      <c r="CV221" s="3">
        <v>0.24960292218413979</v>
      </c>
      <c r="CW221" s="3">
        <v>0.2481946602534201</v>
      </c>
      <c r="CX221" s="3">
        <v>0.24777977039791571</v>
      </c>
      <c r="CY221" s="3">
        <v>0.24088707867160861</v>
      </c>
      <c r="CZ221" s="3">
        <v>0.25664245933203911</v>
      </c>
      <c r="DA221" s="3">
        <v>0.26794744218625149</v>
      </c>
      <c r="DB221" s="3">
        <v>0.28449349303506077</v>
      </c>
      <c r="DC221" s="3">
        <v>0.30102434866587041</v>
      </c>
      <c r="DD221" s="3">
        <v>0.3174075570039594</v>
      </c>
      <c r="DE221" s="3">
        <v>0.33070519719200792</v>
      </c>
      <c r="DF221" s="3">
        <v>0.34633386190230592</v>
      </c>
      <c r="DG221" s="3">
        <v>0.36263043882520568</v>
      </c>
      <c r="DH221" s="3">
        <v>0.37966843656306598</v>
      </c>
      <c r="DI221" s="3">
        <v>0.39750230981234558</v>
      </c>
      <c r="DJ221" s="3">
        <v>0.41617551317363932</v>
      </c>
      <c r="DK221" s="3">
        <v>0.43573093006129898</v>
      </c>
      <c r="DL221" s="3">
        <v>0.45626667418829819</v>
      </c>
      <c r="DM221" s="3">
        <v>0.47783499481516062</v>
      </c>
      <c r="DN221" s="3">
        <v>0.50048679485340464</v>
      </c>
      <c r="DO221" s="3">
        <v>0.52239048647422615</v>
      </c>
    </row>
    <row r="222" spans="1:119" x14ac:dyDescent="0.45">
      <c r="A222" s="16" t="s">
        <v>1374</v>
      </c>
      <c r="B222" s="3" t="s">
        <v>89</v>
      </c>
      <c r="C222" s="16" t="s">
        <v>1375</v>
      </c>
      <c r="H222" s="3" t="s">
        <v>1376</v>
      </c>
      <c r="I222" s="3" t="s">
        <v>109</v>
      </c>
      <c r="K222" s="17" t="s">
        <v>1377</v>
      </c>
      <c r="L222" s="3">
        <v>105.9530048210583</v>
      </c>
      <c r="M222" s="3">
        <v>105.355217015414</v>
      </c>
      <c r="N222" s="3">
        <v>105.1791019824817</v>
      </c>
      <c r="O222" s="3">
        <v>102.253249218752</v>
      </c>
      <c r="P222" s="3">
        <v>108.94119139131389</v>
      </c>
      <c r="Q222" s="3">
        <v>113.75728821413171</v>
      </c>
      <c r="R222" s="3">
        <v>120.38957661832779</v>
      </c>
      <c r="S222" s="3">
        <v>126.9907413166062</v>
      </c>
      <c r="T222" s="3">
        <v>133.5086227916139</v>
      </c>
      <c r="U222" s="3">
        <v>138.7278972142195</v>
      </c>
      <c r="V222" s="3">
        <v>144.91101299628329</v>
      </c>
      <c r="W222" s="3">
        <v>151.36480544856079</v>
      </c>
      <c r="X222" s="3">
        <v>158.11779205024439</v>
      </c>
      <c r="Y222" s="3">
        <v>165.18959688327129</v>
      </c>
      <c r="Z222" s="3">
        <v>172.59710118917721</v>
      </c>
      <c r="AA222" s="3">
        <v>180.35744449427719</v>
      </c>
      <c r="AB222" s="3">
        <v>188.50671618809471</v>
      </c>
      <c r="AC222" s="3">
        <v>197.06474964112769</v>
      </c>
      <c r="AD222" s="3">
        <v>206.04996651389459</v>
      </c>
      <c r="AE222" s="3">
        <v>214.6829725112126</v>
      </c>
      <c r="AG222" s="17" t="s">
        <v>1378</v>
      </c>
      <c r="AH222" s="3">
        <v>105.9530048210583</v>
      </c>
      <c r="AI222" s="3">
        <v>105.355217015414</v>
      </c>
      <c r="AJ222" s="3">
        <v>105.1791019824817</v>
      </c>
      <c r="AK222" s="3">
        <v>102.253249218752</v>
      </c>
      <c r="AL222" s="3">
        <v>108.9411914143078</v>
      </c>
      <c r="AM222" s="3">
        <v>113.7499133538798</v>
      </c>
      <c r="AN222" s="3">
        <v>120.5474751264733</v>
      </c>
      <c r="AO222" s="3">
        <v>127.3243381003028</v>
      </c>
      <c r="AP222" s="3">
        <v>134.02670196503331</v>
      </c>
      <c r="AQ222" s="3">
        <v>139.42572076673861</v>
      </c>
      <c r="AR222" s="3">
        <v>145.79941445601639</v>
      </c>
      <c r="AS222" s="3">
        <v>152.44920101297001</v>
      </c>
      <c r="AT222" s="3">
        <v>159.40465400835831</v>
      </c>
      <c r="AU222" s="3">
        <v>166.6869823629232</v>
      </c>
      <c r="AV222" s="3">
        <v>174.31368741648129</v>
      </c>
      <c r="AW222" s="3">
        <v>182.30235985246799</v>
      </c>
      <c r="AX222" s="3">
        <v>190.69146601926161</v>
      </c>
      <c r="AY222" s="3">
        <v>199.50187490579131</v>
      </c>
      <c r="AZ222" s="3">
        <v>208.7533546243553</v>
      </c>
      <c r="BA222" s="3">
        <v>217.66731413822549</v>
      </c>
      <c r="BC222" s="17" t="s">
        <v>1379</v>
      </c>
      <c r="BD222" s="3">
        <v>105.9530048210583</v>
      </c>
      <c r="BE222" s="3">
        <v>105.355217015414</v>
      </c>
      <c r="BF222" s="3">
        <v>105.1791019824817</v>
      </c>
      <c r="BG222" s="3">
        <v>102.253249218752</v>
      </c>
      <c r="BH222" s="3">
        <v>108.94119146797659</v>
      </c>
      <c r="BI222" s="3">
        <v>113.7535128997005</v>
      </c>
      <c r="BJ222" s="3">
        <v>120.4650918156099</v>
      </c>
      <c r="BK222" s="3">
        <v>127.26697125714369</v>
      </c>
      <c r="BL222" s="3">
        <v>134.11414247706219</v>
      </c>
      <c r="BM222" s="3">
        <v>139.78031992959899</v>
      </c>
      <c r="BN222" s="3">
        <v>146.55029264922791</v>
      </c>
      <c r="BO222" s="3">
        <v>153.73145375300459</v>
      </c>
      <c r="BP222" s="3">
        <v>161.36006290101599</v>
      </c>
      <c r="BQ222" s="3">
        <v>169.46444426176819</v>
      </c>
      <c r="BR222" s="3">
        <v>178.07129067167739</v>
      </c>
      <c r="BS222" s="3">
        <v>187.20800147078069</v>
      </c>
      <c r="BT222" s="3">
        <v>196.92556138754469</v>
      </c>
      <c r="BU222" s="3">
        <v>207.2584998426278</v>
      </c>
      <c r="BV222" s="3">
        <v>218.2414515253349</v>
      </c>
      <c r="BW222" s="3">
        <v>229.11277636048041</v>
      </c>
      <c r="BY222" s="17" t="s">
        <v>1380</v>
      </c>
      <c r="BZ222" s="3">
        <v>105.9530048210583</v>
      </c>
      <c r="CA222" s="3">
        <v>105.355217015414</v>
      </c>
      <c r="CB222" s="3">
        <v>105.1791019824817</v>
      </c>
      <c r="CC222" s="3">
        <v>102.253249218752</v>
      </c>
      <c r="CD222" s="3">
        <v>108.94119152297159</v>
      </c>
      <c r="CE222" s="3">
        <v>113.74817413231931</v>
      </c>
      <c r="CF222" s="3">
        <v>120.584767903938</v>
      </c>
      <c r="CG222" s="3">
        <v>127.4031650507429</v>
      </c>
      <c r="CH222" s="3">
        <v>134.14861707371091</v>
      </c>
      <c r="CI222" s="3">
        <v>139.58949110457681</v>
      </c>
      <c r="CJ222" s="3">
        <v>146.00757871221259</v>
      </c>
      <c r="CK222" s="3">
        <v>152.7031851596478</v>
      </c>
      <c r="CL222" s="3">
        <v>159.70677962448269</v>
      </c>
      <c r="CM222" s="3">
        <v>167.03950012465361</v>
      </c>
      <c r="CN222" s="3">
        <v>174.71899393205601</v>
      </c>
      <c r="CO222" s="3">
        <v>182.76307100307321</v>
      </c>
      <c r="CP222" s="3">
        <v>191.2103694042984</v>
      </c>
      <c r="CQ222" s="3">
        <v>200.08180314776141</v>
      </c>
      <c r="CR222" s="3">
        <v>209.39732174740561</v>
      </c>
      <c r="CS222" s="3">
        <v>218.3785076292211</v>
      </c>
      <c r="CU222" s="17" t="s">
        <v>1381</v>
      </c>
      <c r="CV222" s="3">
        <v>105.9530048210583</v>
      </c>
      <c r="CW222" s="3">
        <v>105.355217015414</v>
      </c>
      <c r="CX222" s="3">
        <v>105.1791019824817</v>
      </c>
      <c r="CY222" s="3">
        <v>102.253249218752</v>
      </c>
      <c r="CZ222" s="3">
        <v>108.941191445008</v>
      </c>
      <c r="DA222" s="3">
        <v>113.7400010597876</v>
      </c>
      <c r="DB222" s="3">
        <v>120.76357189787279</v>
      </c>
      <c r="DC222" s="3">
        <v>127.7806925750709</v>
      </c>
      <c r="DD222" s="3">
        <v>134.73513900879229</v>
      </c>
      <c r="DE222" s="3">
        <v>140.37980423395979</v>
      </c>
      <c r="DF222" s="3">
        <v>147.01395728355951</v>
      </c>
      <c r="DG222" s="3">
        <v>153.9316298739667</v>
      </c>
      <c r="DH222" s="3">
        <v>161.16402539507729</v>
      </c>
      <c r="DI222" s="3">
        <v>168.73425911599929</v>
      </c>
      <c r="DJ222" s="3">
        <v>176.6607769165569</v>
      </c>
      <c r="DK222" s="3">
        <v>184.96178221587579</v>
      </c>
      <c r="DL222" s="3">
        <v>193.6789229346322</v>
      </c>
      <c r="DM222" s="3">
        <v>202.83437816473639</v>
      </c>
      <c r="DN222" s="3">
        <v>212.44975549147759</v>
      </c>
      <c r="DO222" s="3">
        <v>221.74757109232129</v>
      </c>
    </row>
    <row r="223" spans="1:119" x14ac:dyDescent="0.45">
      <c r="A223" s="16" t="s">
        <v>1382</v>
      </c>
      <c r="B223" s="3" t="s">
        <v>89</v>
      </c>
      <c r="C223" s="16" t="s">
        <v>1383</v>
      </c>
      <c r="H223" s="3" t="s">
        <v>1384</v>
      </c>
      <c r="I223" s="3" t="s">
        <v>860</v>
      </c>
      <c r="K223" s="17" t="s">
        <v>1385</v>
      </c>
      <c r="L223" s="3">
        <v>1.7739212223375911</v>
      </c>
      <c r="M223" s="3">
        <v>1.5293419611796399</v>
      </c>
      <c r="N223" s="3">
        <v>1.431357279419629</v>
      </c>
      <c r="O223" s="3">
        <v>1.262428356959622</v>
      </c>
      <c r="P223" s="3">
        <v>1.375300870295556</v>
      </c>
      <c r="Q223" s="3">
        <v>1.3020536360970609</v>
      </c>
      <c r="R223" s="3">
        <v>1.302733605055604</v>
      </c>
      <c r="S223" s="3">
        <v>1.3151517166865141</v>
      </c>
      <c r="T223" s="3">
        <v>1.328563854989951</v>
      </c>
      <c r="U223" s="3">
        <v>1.332693100287069</v>
      </c>
      <c r="V223" s="3">
        <v>1.353473628684783</v>
      </c>
      <c r="W223" s="3">
        <v>1.3750730816730461</v>
      </c>
      <c r="X223" s="3">
        <v>1.397514319340537</v>
      </c>
      <c r="Y223" s="3">
        <v>1.4208077814176301</v>
      </c>
      <c r="Z223" s="3">
        <v>1.4449593305734449</v>
      </c>
      <c r="AA223" s="3">
        <v>1.470012756600535</v>
      </c>
      <c r="AB223" s="3">
        <v>1.495988508322865</v>
      </c>
      <c r="AC223" s="3">
        <v>1.5229073939674631</v>
      </c>
      <c r="AD223" s="3">
        <v>1.5507886905013479</v>
      </c>
      <c r="AE223" s="3">
        <v>1.5691598454224009</v>
      </c>
      <c r="AG223" s="17" t="s">
        <v>1386</v>
      </c>
      <c r="AH223" s="3">
        <v>1.7739212223375911</v>
      </c>
      <c r="AI223" s="3">
        <v>1.5293419611796399</v>
      </c>
      <c r="AJ223" s="3">
        <v>1.431357279419629</v>
      </c>
      <c r="AK223" s="3">
        <v>1.262428356959622</v>
      </c>
      <c r="AL223" s="3">
        <v>1.375300870295751</v>
      </c>
      <c r="AM223" s="3">
        <v>1.308597542829788</v>
      </c>
      <c r="AN223" s="3">
        <v>1.3104736984584091</v>
      </c>
      <c r="AO223" s="3">
        <v>1.324041241786053</v>
      </c>
      <c r="AP223" s="3">
        <v>1.338550418810504</v>
      </c>
      <c r="AQ223" s="3">
        <v>1.3437570717912459</v>
      </c>
      <c r="AR223" s="3">
        <v>1.365561367909659</v>
      </c>
      <c r="AS223" s="3">
        <v>1.3881538128557469</v>
      </c>
      <c r="AT223" s="3">
        <v>1.4115657283078591</v>
      </c>
      <c r="AU223" s="3">
        <v>1.4358061052718369</v>
      </c>
      <c r="AV223" s="3">
        <v>1.460884464045016</v>
      </c>
      <c r="AW223" s="3">
        <v>1.486850611806011</v>
      </c>
      <c r="AX223" s="3">
        <v>1.5137277858204761</v>
      </c>
      <c r="AY223" s="3">
        <v>1.541539638168389</v>
      </c>
      <c r="AZ223" s="3">
        <v>1.5703070319072781</v>
      </c>
      <c r="BA223" s="3">
        <v>1.5896299436701391</v>
      </c>
      <c r="BC223" s="17" t="s">
        <v>1387</v>
      </c>
      <c r="BD223" s="3">
        <v>1.7739212223375911</v>
      </c>
      <c r="BE223" s="3">
        <v>1.5293419611796399</v>
      </c>
      <c r="BF223" s="3">
        <v>1.431357279419629</v>
      </c>
      <c r="BG223" s="3">
        <v>1.262428356959622</v>
      </c>
      <c r="BH223" s="3">
        <v>1.3753008702962051</v>
      </c>
      <c r="BI223" s="3">
        <v>1.305811529258281</v>
      </c>
      <c r="BJ223" s="3">
        <v>1.311618626701746</v>
      </c>
      <c r="BK223" s="3">
        <v>1.329476907517829</v>
      </c>
      <c r="BL223" s="3">
        <v>1.3486852838517189</v>
      </c>
      <c r="BM223" s="3">
        <v>1.358538584594887</v>
      </c>
      <c r="BN223" s="3">
        <v>1.385535815576207</v>
      </c>
      <c r="BO223" s="3">
        <v>1.413832233715937</v>
      </c>
      <c r="BP223" s="3">
        <v>1.4434762324301169</v>
      </c>
      <c r="BQ223" s="3">
        <v>1.4744737534936869</v>
      </c>
      <c r="BR223" s="3">
        <v>1.506830149102405</v>
      </c>
      <c r="BS223" s="3">
        <v>1.54059894172816</v>
      </c>
      <c r="BT223" s="3">
        <v>1.5758081275349141</v>
      </c>
      <c r="BU223" s="3">
        <v>1.6124810212132019</v>
      </c>
      <c r="BV223" s="3">
        <v>1.650642127922443</v>
      </c>
      <c r="BW223" s="3">
        <v>1.6801192861445831</v>
      </c>
      <c r="BY223" s="17" t="s">
        <v>1388</v>
      </c>
      <c r="BZ223" s="3">
        <v>1.7739212223375911</v>
      </c>
      <c r="CA223" s="3">
        <v>1.5293419611796399</v>
      </c>
      <c r="CB223" s="3">
        <v>1.431357279419629</v>
      </c>
      <c r="CC223" s="3">
        <v>1.262428356959622</v>
      </c>
      <c r="CD223" s="3">
        <v>1.37530087029667</v>
      </c>
      <c r="CE223" s="3">
        <v>1.310031746954095</v>
      </c>
      <c r="CF223" s="3">
        <v>1.3121994241723141</v>
      </c>
      <c r="CG223" s="3">
        <v>1.3260457121133169</v>
      </c>
      <c r="CH223" s="3">
        <v>1.3408224693492821</v>
      </c>
      <c r="CI223" s="3">
        <v>1.34628980740871</v>
      </c>
      <c r="CJ223" s="3">
        <v>1.3683418825869209</v>
      </c>
      <c r="CK223" s="3">
        <v>1.39117458277237</v>
      </c>
      <c r="CL223" s="3">
        <v>1.4148213949623281</v>
      </c>
      <c r="CM223" s="3">
        <v>1.439291968604727</v>
      </c>
      <c r="CN223" s="3">
        <v>1.4645961830416789</v>
      </c>
      <c r="CO223" s="3">
        <v>1.490785020918755</v>
      </c>
      <c r="CP223" s="3">
        <v>1.5178829179288831</v>
      </c>
      <c r="CQ223" s="3">
        <v>1.5459141224677779</v>
      </c>
      <c r="CR223" s="3">
        <v>1.5748999928621941</v>
      </c>
      <c r="CS223" s="3">
        <v>1.594455879065106</v>
      </c>
      <c r="CU223" s="17" t="s">
        <v>1389</v>
      </c>
      <c r="CV223" s="3">
        <v>1.7739212223375911</v>
      </c>
      <c r="CW223" s="3">
        <v>1.5293419611796399</v>
      </c>
      <c r="CX223" s="3">
        <v>1.431357279419629</v>
      </c>
      <c r="CY223" s="3">
        <v>1.262428356959622</v>
      </c>
      <c r="CZ223" s="3">
        <v>1.3753008702960099</v>
      </c>
      <c r="DA223" s="3">
        <v>1.3162872819190581</v>
      </c>
      <c r="DB223" s="3">
        <v>1.3198665103237921</v>
      </c>
      <c r="DC223" s="3">
        <v>1.335065919244232</v>
      </c>
      <c r="DD223" s="3">
        <v>1.3511337161198309</v>
      </c>
      <c r="DE223" s="3">
        <v>1.357856165512537</v>
      </c>
      <c r="DF223" s="3">
        <v>1.381105237060327</v>
      </c>
      <c r="DG223" s="3">
        <v>1.4050968734384439</v>
      </c>
      <c r="DH223" s="3">
        <v>1.4298766171847961</v>
      </c>
      <c r="DI223" s="3">
        <v>1.4554525980710791</v>
      </c>
      <c r="DJ223" s="3">
        <v>1.481837926234794</v>
      </c>
      <c r="DK223" s="3">
        <v>1.509089959659504</v>
      </c>
      <c r="DL223" s="3">
        <v>1.5372376461913939</v>
      </c>
      <c r="DM223" s="3">
        <v>1.5663076757322529</v>
      </c>
      <c r="DN223" s="3">
        <v>1.596323590259261</v>
      </c>
      <c r="DO223" s="3">
        <v>1.6169665806061151</v>
      </c>
    </row>
    <row r="224" spans="1:119" x14ac:dyDescent="0.45">
      <c r="A224" s="16" t="s">
        <v>1390</v>
      </c>
      <c r="B224" s="3" t="s">
        <v>89</v>
      </c>
      <c r="C224" s="16" t="s">
        <v>1391</v>
      </c>
      <c r="H224" s="3" t="s">
        <v>1392</v>
      </c>
      <c r="I224" s="3" t="s">
        <v>860</v>
      </c>
      <c r="K224" s="17" t="s">
        <v>1393</v>
      </c>
      <c r="L224" s="3">
        <v>1.072526584297794</v>
      </c>
      <c r="M224" s="3">
        <v>0.86176990209405169</v>
      </c>
      <c r="N224" s="3">
        <v>0.78365345397744746</v>
      </c>
      <c r="O224" s="3">
        <v>0.67573849498981164</v>
      </c>
      <c r="P224" s="3">
        <v>0.75073946714274653</v>
      </c>
      <c r="Q224" s="3">
        <v>0.67296859124415032</v>
      </c>
      <c r="R224" s="3">
        <v>0.65157256346965897</v>
      </c>
      <c r="S224" s="3">
        <v>0.64078723043362384</v>
      </c>
      <c r="T224" s="3">
        <v>0.63135538957457016</v>
      </c>
      <c r="U224" s="3">
        <v>0.62110856373512979</v>
      </c>
      <c r="V224" s="3">
        <v>0.62110856373512979</v>
      </c>
      <c r="W224" s="3">
        <v>0.62110856373512979</v>
      </c>
      <c r="X224" s="3">
        <v>0.6211085637351299</v>
      </c>
      <c r="Y224" s="3">
        <v>0.6211085637351299</v>
      </c>
      <c r="Z224" s="3">
        <v>0.6211085637351299</v>
      </c>
      <c r="AA224" s="3">
        <v>0.62110856373512979</v>
      </c>
      <c r="AB224" s="3">
        <v>0.62110856373512979</v>
      </c>
      <c r="AC224" s="3">
        <v>0.62110856373512979</v>
      </c>
      <c r="AD224" s="3">
        <v>0.62110856373512979</v>
      </c>
      <c r="AE224" s="3">
        <v>0.62110856373512979</v>
      </c>
      <c r="AG224" s="17" t="s">
        <v>1394</v>
      </c>
      <c r="AH224" s="3">
        <v>1.072526584297794</v>
      </c>
      <c r="AI224" s="3">
        <v>0.86176990209405169</v>
      </c>
      <c r="AJ224" s="3">
        <v>0.78365345397744746</v>
      </c>
      <c r="AK224" s="3">
        <v>0.67573849498981164</v>
      </c>
      <c r="AL224" s="3">
        <v>0.75073946714274653</v>
      </c>
      <c r="AM224" s="3">
        <v>0.67296859124415032</v>
      </c>
      <c r="AN224" s="3">
        <v>0.65157256346965897</v>
      </c>
      <c r="AO224" s="3">
        <v>0.64078723043362384</v>
      </c>
      <c r="AP224" s="3">
        <v>0.63135538957457016</v>
      </c>
      <c r="AQ224" s="3">
        <v>0.62110856373512979</v>
      </c>
      <c r="AR224" s="3">
        <v>0.62110856373512979</v>
      </c>
      <c r="AS224" s="3">
        <v>0.62110856373512979</v>
      </c>
      <c r="AT224" s="3">
        <v>0.6211085637351299</v>
      </c>
      <c r="AU224" s="3">
        <v>0.6211085637351299</v>
      </c>
      <c r="AV224" s="3">
        <v>0.6211085637351299</v>
      </c>
      <c r="AW224" s="3">
        <v>0.62110856373512979</v>
      </c>
      <c r="AX224" s="3">
        <v>0.62110856373512979</v>
      </c>
      <c r="AY224" s="3">
        <v>0.62110856373512979</v>
      </c>
      <c r="AZ224" s="3">
        <v>0.62110856373512979</v>
      </c>
      <c r="BA224" s="3">
        <v>0.62110856373512979</v>
      </c>
      <c r="BC224" s="17" t="s">
        <v>1395</v>
      </c>
      <c r="BD224" s="3">
        <v>1.072526584297794</v>
      </c>
      <c r="BE224" s="3">
        <v>0.86176990209405169</v>
      </c>
      <c r="BF224" s="3">
        <v>0.78365345397744746</v>
      </c>
      <c r="BG224" s="3">
        <v>0.67573849498981164</v>
      </c>
      <c r="BH224" s="3">
        <v>0.75073946714274653</v>
      </c>
      <c r="BI224" s="3">
        <v>0.67296859124415032</v>
      </c>
      <c r="BJ224" s="3">
        <v>0.65157256346965897</v>
      </c>
      <c r="BK224" s="3">
        <v>0.64078723043362384</v>
      </c>
      <c r="BL224" s="3">
        <v>0.63135538957457016</v>
      </c>
      <c r="BM224" s="3">
        <v>0.62110856373512979</v>
      </c>
      <c r="BN224" s="3">
        <v>0.62110856373512979</v>
      </c>
      <c r="BO224" s="3">
        <v>0.62110856373512979</v>
      </c>
      <c r="BP224" s="3">
        <v>0.6211085637351299</v>
      </c>
      <c r="BQ224" s="3">
        <v>0.6211085637351299</v>
      </c>
      <c r="BR224" s="3">
        <v>0.6211085637351299</v>
      </c>
      <c r="BS224" s="3">
        <v>0.62110856373512979</v>
      </c>
      <c r="BT224" s="3">
        <v>0.62110856373512979</v>
      </c>
      <c r="BU224" s="3">
        <v>0.62110856373512979</v>
      </c>
      <c r="BV224" s="3">
        <v>0.62110856373512979</v>
      </c>
      <c r="BW224" s="3">
        <v>0.62110856373512979</v>
      </c>
      <c r="BY224" s="17" t="s">
        <v>1396</v>
      </c>
      <c r="BZ224" s="3">
        <v>1.072526584297794</v>
      </c>
      <c r="CA224" s="3">
        <v>0.86176990209405169</v>
      </c>
      <c r="CB224" s="3">
        <v>0.78365345397744746</v>
      </c>
      <c r="CC224" s="3">
        <v>0.67573849498981164</v>
      </c>
      <c r="CD224" s="3">
        <v>0.75073946714274653</v>
      </c>
      <c r="CE224" s="3">
        <v>0.67296859124415032</v>
      </c>
      <c r="CF224" s="3">
        <v>0.65157256346965897</v>
      </c>
      <c r="CG224" s="3">
        <v>0.64078723043362384</v>
      </c>
      <c r="CH224" s="3">
        <v>0.63135538957457016</v>
      </c>
      <c r="CI224" s="3">
        <v>0.62110856373512979</v>
      </c>
      <c r="CJ224" s="3">
        <v>0.62110856373512979</v>
      </c>
      <c r="CK224" s="3">
        <v>0.62110856373512979</v>
      </c>
      <c r="CL224" s="3">
        <v>0.6211085637351299</v>
      </c>
      <c r="CM224" s="3">
        <v>0.6211085637351299</v>
      </c>
      <c r="CN224" s="3">
        <v>0.6211085637351299</v>
      </c>
      <c r="CO224" s="3">
        <v>0.62110856373512979</v>
      </c>
      <c r="CP224" s="3">
        <v>0.62110856373512979</v>
      </c>
      <c r="CQ224" s="3">
        <v>0.62110856373512979</v>
      </c>
      <c r="CR224" s="3">
        <v>0.62110856373512979</v>
      </c>
      <c r="CS224" s="3">
        <v>0.62110856373512979</v>
      </c>
      <c r="CU224" s="17" t="s">
        <v>1397</v>
      </c>
      <c r="CV224" s="3">
        <v>1.072526584297794</v>
      </c>
      <c r="CW224" s="3">
        <v>0.86176990209405169</v>
      </c>
      <c r="CX224" s="3">
        <v>0.78365345397744746</v>
      </c>
      <c r="CY224" s="3">
        <v>0.67573849498981164</v>
      </c>
      <c r="CZ224" s="3">
        <v>0.75073946714274653</v>
      </c>
      <c r="DA224" s="3">
        <v>0.67296859124415032</v>
      </c>
      <c r="DB224" s="3">
        <v>0.65157256346965897</v>
      </c>
      <c r="DC224" s="3">
        <v>0.64078723043362384</v>
      </c>
      <c r="DD224" s="3">
        <v>0.63135538957457016</v>
      </c>
      <c r="DE224" s="3">
        <v>0.62110856373512979</v>
      </c>
      <c r="DF224" s="3">
        <v>0.62110856373512979</v>
      </c>
      <c r="DG224" s="3">
        <v>0.62110856373512979</v>
      </c>
      <c r="DH224" s="3">
        <v>0.6211085637351299</v>
      </c>
      <c r="DI224" s="3">
        <v>0.6211085637351299</v>
      </c>
      <c r="DJ224" s="3">
        <v>0.6211085637351299</v>
      </c>
      <c r="DK224" s="3">
        <v>0.62110856373512979</v>
      </c>
      <c r="DL224" s="3">
        <v>0.62110856373512979</v>
      </c>
      <c r="DM224" s="3">
        <v>0.62110856373512979</v>
      </c>
      <c r="DN224" s="3">
        <v>0.62110856373512979</v>
      </c>
      <c r="DO224" s="3">
        <v>0.62110856373512979</v>
      </c>
    </row>
    <row r="225" spans="1:119" x14ac:dyDescent="0.45">
      <c r="A225" s="16" t="s">
        <v>1398</v>
      </c>
      <c r="B225" s="3" t="s">
        <v>89</v>
      </c>
      <c r="C225" s="16" t="s">
        <v>1399</v>
      </c>
      <c r="H225" s="3" t="s">
        <v>1400</v>
      </c>
      <c r="I225" s="3" t="s">
        <v>1300</v>
      </c>
      <c r="K225" s="17" t="s">
        <v>1401</v>
      </c>
      <c r="L225" s="3">
        <v>0.16332588324952849</v>
      </c>
      <c r="M225" s="3">
        <v>0.16501117985656499</v>
      </c>
      <c r="N225" s="3">
        <v>0.15741876745838451</v>
      </c>
      <c r="O225" s="3">
        <v>0.1118562136053213</v>
      </c>
      <c r="P225" s="3">
        <v>0.12754919577670351</v>
      </c>
      <c r="Q225" s="3">
        <v>0.1323545440775214</v>
      </c>
      <c r="R225" s="3">
        <v>0.14454439132898231</v>
      </c>
      <c r="S225" s="3">
        <v>0.15609665963835481</v>
      </c>
      <c r="T225" s="3">
        <v>0.16687211163508611</v>
      </c>
      <c r="U225" s="3">
        <v>0.170396884803349</v>
      </c>
      <c r="V225" s="3">
        <v>0.17756451047771929</v>
      </c>
      <c r="W225" s="3">
        <v>0.18496263106816341</v>
      </c>
      <c r="X225" s="3">
        <v>0.19258954766804259</v>
      </c>
      <c r="Y225" s="3">
        <v>0.20045039525316599</v>
      </c>
      <c r="Z225" s="3">
        <v>0.2085400666196191</v>
      </c>
      <c r="AA225" s="3">
        <v>0.21686996265631581</v>
      </c>
      <c r="AB225" s="3">
        <v>0.22542303260610161</v>
      </c>
      <c r="AC225" s="3">
        <v>0.234194751584584</v>
      </c>
      <c r="AD225" s="3">
        <v>0.2431794610151761</v>
      </c>
      <c r="AE225" s="3">
        <v>0.24316555211844129</v>
      </c>
      <c r="AG225" s="17" t="s">
        <v>1402</v>
      </c>
      <c r="AH225" s="3">
        <v>0.16332588324952849</v>
      </c>
      <c r="AI225" s="3">
        <v>0.16501117985656499</v>
      </c>
      <c r="AJ225" s="3">
        <v>0.15741876745838451</v>
      </c>
      <c r="AK225" s="3">
        <v>0.1118562136053213</v>
      </c>
      <c r="AL225" s="3">
        <v>0.12754919577670351</v>
      </c>
      <c r="AM225" s="3">
        <v>0.131495148201768</v>
      </c>
      <c r="AN225" s="3">
        <v>0.1436048185253834</v>
      </c>
      <c r="AO225" s="3">
        <v>0.1550803478065354</v>
      </c>
      <c r="AP225" s="3">
        <v>0.16578539206834669</v>
      </c>
      <c r="AQ225" s="3">
        <v>0.16928560795705341</v>
      </c>
      <c r="AR225" s="3">
        <v>0.17640547655210889</v>
      </c>
      <c r="AS225" s="3">
        <v>0.1837531053027382</v>
      </c>
      <c r="AT225" s="3">
        <v>0.1913273048486521</v>
      </c>
      <c r="AU225" s="3">
        <v>0.1991339544037932</v>
      </c>
      <c r="AV225" s="3">
        <v>0.2071674685959245</v>
      </c>
      <c r="AW225" s="3">
        <v>0.21543880266672011</v>
      </c>
      <c r="AX225" s="3">
        <v>0.22393214252572419</v>
      </c>
      <c r="AY225" s="3">
        <v>0.23264275920937549</v>
      </c>
      <c r="AZ225" s="3">
        <v>0.241565478440321</v>
      </c>
      <c r="BA225" s="3">
        <v>0.241549412783965</v>
      </c>
      <c r="BC225" s="17" t="s">
        <v>1403</v>
      </c>
      <c r="BD225" s="3">
        <v>0.16332588324952849</v>
      </c>
      <c r="BE225" s="3">
        <v>0.16501117985656499</v>
      </c>
      <c r="BF225" s="3">
        <v>0.15741876745838451</v>
      </c>
      <c r="BG225" s="3">
        <v>0.1118562136053213</v>
      </c>
      <c r="BH225" s="3">
        <v>0.12754919577670351</v>
      </c>
      <c r="BI225" s="3">
        <v>0.1324802113480113</v>
      </c>
      <c r="BJ225" s="3">
        <v>0.14471134882660011</v>
      </c>
      <c r="BK225" s="3">
        <v>0.15619923240650571</v>
      </c>
      <c r="BL225" s="3">
        <v>0.1668338727614164</v>
      </c>
      <c r="BM225" s="3">
        <v>0.16965742963948341</v>
      </c>
      <c r="BN225" s="3">
        <v>0.1761570929444585</v>
      </c>
      <c r="BO225" s="3">
        <v>0.18291002012257851</v>
      </c>
      <c r="BP225" s="3">
        <v>0.1899063067221593</v>
      </c>
      <c r="BQ225" s="3">
        <v>0.1971452625595001</v>
      </c>
      <c r="BR225" s="3">
        <v>0.20461718499534229</v>
      </c>
      <c r="BS225" s="3">
        <v>0.21232929765282069</v>
      </c>
      <c r="BT225" s="3">
        <v>0.2202621953271095</v>
      </c>
      <c r="BU225" s="3">
        <v>0.22840925512680729</v>
      </c>
      <c r="BV225" s="3">
        <v>0.2367634759703918</v>
      </c>
      <c r="BW225" s="3">
        <v>0.23636919625717251</v>
      </c>
      <c r="BY225" s="17" t="s">
        <v>1404</v>
      </c>
      <c r="BZ225" s="3">
        <v>0.16332588324952849</v>
      </c>
      <c r="CA225" s="3">
        <v>0.16501117985656499</v>
      </c>
      <c r="CB225" s="3">
        <v>0.15741876745838451</v>
      </c>
      <c r="CC225" s="3">
        <v>0.1118562136053213</v>
      </c>
      <c r="CD225" s="3">
        <v>0.12754919577670351</v>
      </c>
      <c r="CE225" s="3">
        <v>0.13131166316507931</v>
      </c>
      <c r="CF225" s="3">
        <v>0.14340421037538251</v>
      </c>
      <c r="CG225" s="3">
        <v>0.1548635176459337</v>
      </c>
      <c r="CH225" s="3">
        <v>0.1655532164448125</v>
      </c>
      <c r="CI225" s="3">
        <v>0.16904799715135321</v>
      </c>
      <c r="CJ225" s="3">
        <v>0.1761575964415043</v>
      </c>
      <c r="CK225" s="3">
        <v>0.18349447768828711</v>
      </c>
      <c r="CL225" s="3">
        <v>0.19105806132647671</v>
      </c>
      <c r="CM225" s="3">
        <v>0.1988536666241193</v>
      </c>
      <c r="CN225" s="3">
        <v>0.20687581228092641</v>
      </c>
      <c r="CO225" s="3">
        <v>0.2151355781475103</v>
      </c>
      <c r="CP225" s="3">
        <v>0.22361697968461261</v>
      </c>
      <c r="CQ225" s="3">
        <v>0.23231513941336571</v>
      </c>
      <c r="CR225" s="3">
        <v>0.24122491556761719</v>
      </c>
      <c r="CS225" s="3">
        <v>0.24120820671929061</v>
      </c>
      <c r="CU225" s="17" t="s">
        <v>1405</v>
      </c>
      <c r="CV225" s="3">
        <v>0.16332588324952849</v>
      </c>
      <c r="CW225" s="3">
        <v>0.16501117985656499</v>
      </c>
      <c r="CX225" s="3">
        <v>0.15741876745838451</v>
      </c>
      <c r="CY225" s="3">
        <v>0.1118562136053213</v>
      </c>
      <c r="CZ225" s="3">
        <v>0.12754919577670351</v>
      </c>
      <c r="DA225" s="3">
        <v>0.13052809350873909</v>
      </c>
      <c r="DB225" s="3">
        <v>0.1425474925188997</v>
      </c>
      <c r="DC225" s="3">
        <v>0.15393663142204991</v>
      </c>
      <c r="DD225" s="3">
        <v>0.16456229483800211</v>
      </c>
      <c r="DE225" s="3">
        <v>0.16803467828613211</v>
      </c>
      <c r="DF225" s="3">
        <v>0.17510072307165431</v>
      </c>
      <c r="DG225" s="3">
        <v>0.18239136574645071</v>
      </c>
      <c r="DH225" s="3">
        <v>0.1899062841926524</v>
      </c>
      <c r="DI225" s="3">
        <v>0.19765189490834911</v>
      </c>
      <c r="DJ225" s="3">
        <v>0.2056222009220878</v>
      </c>
      <c r="DK225" s="3">
        <v>0.21382766494270231</v>
      </c>
      <c r="DL225" s="3">
        <v>0.2222537998525185</v>
      </c>
      <c r="DM225" s="3">
        <v>0.23089555572827741</v>
      </c>
      <c r="DN225" s="3">
        <v>0.23974832123178641</v>
      </c>
      <c r="DO225" s="3">
        <v>0.23972958179976109</v>
      </c>
    </row>
    <row r="226" spans="1:119" x14ac:dyDescent="0.45">
      <c r="A226" s="16" t="s">
        <v>1406</v>
      </c>
      <c r="B226" s="3" t="s">
        <v>89</v>
      </c>
      <c r="C226" s="16" t="s">
        <v>1407</v>
      </c>
      <c r="H226" s="3" t="s">
        <v>1408</v>
      </c>
      <c r="I226" s="3" t="s">
        <v>1309</v>
      </c>
      <c r="K226" s="17" t="s">
        <v>1409</v>
      </c>
      <c r="L226" s="3">
        <v>1.3334925309380539E-2</v>
      </c>
      <c r="M226" s="3">
        <v>9.8401544011144371E-3</v>
      </c>
      <c r="N226" s="3">
        <v>8.8272108986903013E-3</v>
      </c>
      <c r="O226" s="3">
        <v>8.0337447686753497E-3</v>
      </c>
      <c r="P226" s="3">
        <v>9.0686602501385324E-3</v>
      </c>
      <c r="Q226" s="3">
        <v>9.349924913067029E-3</v>
      </c>
      <c r="R226" s="3">
        <v>1.013782759180642E-2</v>
      </c>
      <c r="S226" s="3">
        <v>1.0877744076511891E-2</v>
      </c>
      <c r="T226" s="3">
        <v>1.1560861543493259E-2</v>
      </c>
      <c r="U226" s="3">
        <v>1.1722707810462391E-2</v>
      </c>
      <c r="V226" s="3">
        <v>1.2142605172247569E-2</v>
      </c>
      <c r="W226" s="3">
        <v>1.2576522225162491E-2</v>
      </c>
      <c r="X226" s="3">
        <v>1.302660000379084E-2</v>
      </c>
      <c r="Y226" s="3">
        <v>1.34879119590307E-2</v>
      </c>
      <c r="Z226" s="3">
        <v>1.39580895868194E-2</v>
      </c>
      <c r="AA226" s="3">
        <v>1.444034971891154E-2</v>
      </c>
      <c r="AB226" s="3">
        <v>1.493899867586501E-2</v>
      </c>
      <c r="AC226" s="3">
        <v>1.545469800180054E-2</v>
      </c>
      <c r="AD226" s="3">
        <v>1.5987974682255109E-2</v>
      </c>
      <c r="AE226" s="3">
        <v>1.6540209271348381E-2</v>
      </c>
      <c r="AG226" s="17" t="s">
        <v>1410</v>
      </c>
      <c r="AH226" s="3">
        <v>1.3334925309380539E-2</v>
      </c>
      <c r="AI226" s="3">
        <v>9.8401544011144371E-3</v>
      </c>
      <c r="AJ226" s="3">
        <v>8.8272108986903013E-3</v>
      </c>
      <c r="AK226" s="3">
        <v>8.0337447686753497E-3</v>
      </c>
      <c r="AL226" s="3">
        <v>9.0686602502075032E-3</v>
      </c>
      <c r="AM226" s="3">
        <v>9.6768437141089379E-3</v>
      </c>
      <c r="AN226" s="3">
        <v>1.055828775671557E-2</v>
      </c>
      <c r="AO226" s="3">
        <v>1.1393197412228471E-2</v>
      </c>
      <c r="AP226" s="3">
        <v>1.2172466582367911E-2</v>
      </c>
      <c r="AQ226" s="3">
        <v>1.2400613791822159E-2</v>
      </c>
      <c r="AR226" s="3">
        <v>1.290030336860822E-2</v>
      </c>
      <c r="AS226" s="3">
        <v>1.341371790844819E-2</v>
      </c>
      <c r="AT226" s="3">
        <v>1.394517918237285E-2</v>
      </c>
      <c r="AU226" s="3">
        <v>1.4489657742577169E-2</v>
      </c>
      <c r="AV226" s="3">
        <v>1.504397163887131E-2</v>
      </c>
      <c r="AW226" s="3">
        <v>1.561134667012196E-2</v>
      </c>
      <c r="AX226" s="3">
        <v>1.6197313980308631E-2</v>
      </c>
      <c r="AY226" s="3">
        <v>1.6801942467245999E-2</v>
      </c>
      <c r="AZ226" s="3">
        <v>1.7425794597827039E-2</v>
      </c>
      <c r="BA226" s="3">
        <v>1.8069554908137199E-2</v>
      </c>
      <c r="BC226" s="17" t="s">
        <v>1411</v>
      </c>
      <c r="BD226" s="3">
        <v>1.3334925309380539E-2</v>
      </c>
      <c r="BE226" s="3">
        <v>9.8401544011144371E-3</v>
      </c>
      <c r="BF226" s="3">
        <v>8.8272108986903013E-3</v>
      </c>
      <c r="BG226" s="3">
        <v>8.0337447686753497E-3</v>
      </c>
      <c r="BH226" s="3">
        <v>9.0686602503684786E-3</v>
      </c>
      <c r="BI226" s="3">
        <v>9.5048280577893114E-3</v>
      </c>
      <c r="BJ226" s="3">
        <v>1.0540946551987869E-2</v>
      </c>
      <c r="BK226" s="3">
        <v>1.158177314956723E-2</v>
      </c>
      <c r="BL226" s="3">
        <v>1.2617183700483731E-2</v>
      </c>
      <c r="BM226" s="3">
        <v>1.3133867826936761E-2</v>
      </c>
      <c r="BN226" s="3">
        <v>1.39714375070905E-2</v>
      </c>
      <c r="BO226" s="3">
        <v>1.486701709700319E-2</v>
      </c>
      <c r="BP226" s="3">
        <v>1.582987871958361E-2</v>
      </c>
      <c r="BQ226" s="3">
        <v>1.6856139236701061E-2</v>
      </c>
      <c r="BR226" s="3">
        <v>1.794464387252544E-2</v>
      </c>
      <c r="BS226" s="3">
        <v>1.9100600251693859E-2</v>
      </c>
      <c r="BT226" s="3">
        <v>2.0330193041833571E-2</v>
      </c>
      <c r="BU226" s="3">
        <v>2.1634365904268819E-2</v>
      </c>
      <c r="BV226" s="3">
        <v>2.3014533053048441E-2</v>
      </c>
      <c r="BW226" s="3">
        <v>2.4472607558204591E-2</v>
      </c>
      <c r="BY226" s="17" t="s">
        <v>1412</v>
      </c>
      <c r="BZ226" s="3">
        <v>1.3334925309380539E-2</v>
      </c>
      <c r="CA226" s="3">
        <v>9.8401544011144371E-3</v>
      </c>
      <c r="CB226" s="3">
        <v>8.8272108986903013E-3</v>
      </c>
      <c r="CC226" s="3">
        <v>8.0337447686753497E-3</v>
      </c>
      <c r="CD226" s="3">
        <v>9.0686602505334352E-3</v>
      </c>
      <c r="CE226" s="3">
        <v>9.7473406990261757E-3</v>
      </c>
      <c r="CF226" s="3">
        <v>1.0650664388648911E-2</v>
      </c>
      <c r="CG226" s="3">
        <v>1.150790110227233E-2</v>
      </c>
      <c r="CH226" s="3">
        <v>1.230933493057847E-2</v>
      </c>
      <c r="CI226" s="3">
        <v>1.2553014262167759E-2</v>
      </c>
      <c r="CJ226" s="3">
        <v>1.3071432039756669E-2</v>
      </c>
      <c r="CK226" s="3">
        <v>1.360378557495838E-2</v>
      </c>
      <c r="CL226" s="3">
        <v>1.415568394693527E-2</v>
      </c>
      <c r="CM226" s="3">
        <v>1.472105822925574E-2</v>
      </c>
      <c r="CN226" s="3">
        <v>1.529671555472239E-2</v>
      </c>
      <c r="CO226" s="3">
        <v>1.5886084447813031E-2</v>
      </c>
      <c r="CP226" s="3">
        <v>1.6494460172860149E-2</v>
      </c>
      <c r="CQ226" s="3">
        <v>1.7121655444497359E-2</v>
      </c>
      <c r="CR226" s="3">
        <v>1.7768231106946281E-2</v>
      </c>
      <c r="CS226" s="3">
        <v>1.84347321379674E-2</v>
      </c>
      <c r="CU226" s="17" t="s">
        <v>1413</v>
      </c>
      <c r="CV226" s="3">
        <v>1.3334925309380539E-2</v>
      </c>
      <c r="CW226" s="3">
        <v>9.8401544011144371E-3</v>
      </c>
      <c r="CX226" s="3">
        <v>8.8272108986903013E-3</v>
      </c>
      <c r="CY226" s="3">
        <v>8.0337447686753497E-3</v>
      </c>
      <c r="CZ226" s="3">
        <v>9.0686602502995841E-3</v>
      </c>
      <c r="DA226" s="3">
        <v>1.004991905260417E-2</v>
      </c>
      <c r="DB226" s="3">
        <v>1.1055258922514501E-2</v>
      </c>
      <c r="DC226" s="3">
        <v>1.201651751808972E-2</v>
      </c>
      <c r="DD226" s="3">
        <v>1.2924318828022431E-2</v>
      </c>
      <c r="DE226" s="3">
        <v>1.3243929016372859E-2</v>
      </c>
      <c r="DF226" s="3">
        <v>1.3852185499875141E-2</v>
      </c>
      <c r="DG226" s="3">
        <v>1.4473953587235759E-2</v>
      </c>
      <c r="DH226" s="3">
        <v>1.51171284258424E-2</v>
      </c>
      <c r="DI226" s="3">
        <v>1.5776058760970289E-2</v>
      </c>
      <c r="DJ226" s="3">
        <v>1.6446431020932309E-2</v>
      </c>
      <c r="DK226" s="3">
        <v>1.713131068393596E-2</v>
      </c>
      <c r="DL226" s="3">
        <v>1.783797702176847E-2</v>
      </c>
      <c r="DM226" s="3">
        <v>1.856547143689943E-2</v>
      </c>
      <c r="DN226" s="3">
        <v>1.9314516098296541E-2</v>
      </c>
      <c r="DO226" s="3">
        <v>2.008469372431311E-2</v>
      </c>
    </row>
    <row r="227" spans="1:119" x14ac:dyDescent="0.45">
      <c r="A227" s="16" t="s">
        <v>1414</v>
      </c>
      <c r="B227" s="3" t="s">
        <v>89</v>
      </c>
      <c r="C227" s="16" t="s">
        <v>1415</v>
      </c>
      <c r="H227" s="3" t="s">
        <v>1416</v>
      </c>
      <c r="I227" s="3" t="s">
        <v>1309</v>
      </c>
      <c r="K227" s="17" t="s">
        <v>1417</v>
      </c>
      <c r="L227" s="3">
        <v>1.131060816583276E-2</v>
      </c>
      <c r="M227" s="3">
        <v>1.083693386625122E-2</v>
      </c>
      <c r="N227" s="3">
        <v>1.048722269513582E-2</v>
      </c>
      <c r="O227" s="3">
        <v>1.117642985710453E-2</v>
      </c>
      <c r="P227" s="3">
        <v>1.1897834236611639E-2</v>
      </c>
      <c r="Q227" s="3">
        <v>1.2832862808540849E-2</v>
      </c>
      <c r="R227" s="3">
        <v>1.3979641815446959E-2</v>
      </c>
      <c r="S227" s="3">
        <v>1.5172634306108509E-2</v>
      </c>
      <c r="T227" s="3">
        <v>1.6388239930256301E-2</v>
      </c>
      <c r="U227" s="3">
        <v>1.7691818483994998E-2</v>
      </c>
      <c r="V227" s="3">
        <v>1.9087609350971761E-2</v>
      </c>
      <c r="W227" s="3">
        <v>2.0580510819196769E-2</v>
      </c>
      <c r="X227" s="3">
        <v>2.2179056244166589E-2</v>
      </c>
      <c r="Y227" s="3">
        <v>2.388062677492957E-2</v>
      </c>
      <c r="Z227" s="3">
        <v>2.5685446158773498E-2</v>
      </c>
      <c r="AA227" s="3">
        <v>2.7604113896422589E-2</v>
      </c>
      <c r="AB227" s="3">
        <v>2.9653453987300071E-2</v>
      </c>
      <c r="AC227" s="3">
        <v>3.184098207609698E-2</v>
      </c>
      <c r="AD227" s="3">
        <v>3.4173371190994457E-2</v>
      </c>
      <c r="AE227" s="3">
        <v>3.6658146378515243E-2</v>
      </c>
      <c r="AG227" s="17" t="s">
        <v>1418</v>
      </c>
      <c r="AH227" s="3">
        <v>1.131060816583276E-2</v>
      </c>
      <c r="AI227" s="3">
        <v>1.083693386625122E-2</v>
      </c>
      <c r="AJ227" s="3">
        <v>1.048722269513582E-2</v>
      </c>
      <c r="AK227" s="3">
        <v>1.117642985710453E-2</v>
      </c>
      <c r="AL227" s="3">
        <v>1.189783423670213E-2</v>
      </c>
      <c r="AM227" s="3">
        <v>1.3281562040065189E-2</v>
      </c>
      <c r="AN227" s="3">
        <v>1.455943886268065E-2</v>
      </c>
      <c r="AO227" s="3">
        <v>1.5891605529340231E-2</v>
      </c>
      <c r="AP227" s="3">
        <v>1.7255228093891281E-2</v>
      </c>
      <c r="AQ227" s="3">
        <v>1.8714908862544542E-2</v>
      </c>
      <c r="AR227" s="3">
        <v>2.0278675598528171E-2</v>
      </c>
      <c r="AS227" s="3">
        <v>2.1950517130096731E-2</v>
      </c>
      <c r="AT227" s="3">
        <v>2.374302683208377E-2</v>
      </c>
      <c r="AU227" s="3">
        <v>2.565423838011326E-2</v>
      </c>
      <c r="AV227" s="3">
        <v>2.7683668394651369E-2</v>
      </c>
      <c r="AW227" s="3">
        <v>2.9842586914236229E-2</v>
      </c>
      <c r="AX227" s="3">
        <v>3.2151171256806013E-2</v>
      </c>
      <c r="AY227" s="3">
        <v>3.4616680887641013E-2</v>
      </c>
      <c r="AZ227" s="3">
        <v>3.7246628101713627E-2</v>
      </c>
      <c r="BA227" s="3">
        <v>4.0047642563056408E-2</v>
      </c>
      <c r="BC227" s="17" t="s">
        <v>1419</v>
      </c>
      <c r="BD227" s="3">
        <v>1.131060816583276E-2</v>
      </c>
      <c r="BE227" s="3">
        <v>1.083693386625122E-2</v>
      </c>
      <c r="BF227" s="3">
        <v>1.048722269513582E-2</v>
      </c>
      <c r="BG227" s="3">
        <v>1.117642985710453E-2</v>
      </c>
      <c r="BH227" s="3">
        <v>1.189783423691332E-2</v>
      </c>
      <c r="BI227" s="3">
        <v>1.30454688800671E-2</v>
      </c>
      <c r="BJ227" s="3">
        <v>1.4535526063952701E-2</v>
      </c>
      <c r="BK227" s="3">
        <v>1.6154637154419921E-2</v>
      </c>
      <c r="BL227" s="3">
        <v>1.7885642255098508E-2</v>
      </c>
      <c r="BM227" s="3">
        <v>1.9821530088770651E-2</v>
      </c>
      <c r="BN227" s="3">
        <v>2.1962448537515621E-2</v>
      </c>
      <c r="BO227" s="3">
        <v>2.4328729416299689E-2</v>
      </c>
      <c r="BP227" s="3">
        <v>2.6951911500914309E-2</v>
      </c>
      <c r="BQ227" s="3">
        <v>2.984414275542412E-2</v>
      </c>
      <c r="BR227" s="3">
        <v>3.3021437579922083E-2</v>
      </c>
      <c r="BS227" s="3">
        <v>3.6512629894779158E-2</v>
      </c>
      <c r="BT227" s="3">
        <v>4.0354809381762828E-2</v>
      </c>
      <c r="BU227" s="3">
        <v>4.4572819016281767E-2</v>
      </c>
      <c r="BV227" s="3">
        <v>4.9192233315339583E-2</v>
      </c>
      <c r="BW227" s="3">
        <v>5.4238759341857318E-2</v>
      </c>
      <c r="BY227" s="17" t="s">
        <v>1420</v>
      </c>
      <c r="BZ227" s="3">
        <v>1.131060816583276E-2</v>
      </c>
      <c r="CA227" s="3">
        <v>1.083693386625122E-2</v>
      </c>
      <c r="CB227" s="3">
        <v>1.048722269513582E-2</v>
      </c>
      <c r="CC227" s="3">
        <v>1.117642985710453E-2</v>
      </c>
      <c r="CD227" s="3">
        <v>1.1897834237129741E-2</v>
      </c>
      <c r="CE227" s="3">
        <v>1.337831983697481E-2</v>
      </c>
      <c r="CF227" s="3">
        <v>1.468682238887014E-2</v>
      </c>
      <c r="CG227" s="3">
        <v>1.6051597999318878E-2</v>
      </c>
      <c r="CH227" s="3">
        <v>1.744924748603555E-2</v>
      </c>
      <c r="CI227" s="3">
        <v>1.8944910454482482E-2</v>
      </c>
      <c r="CJ227" s="3">
        <v>2.0547681893083321E-2</v>
      </c>
      <c r="CK227" s="3">
        <v>2.2261548240045882E-2</v>
      </c>
      <c r="CL227" s="3">
        <v>2.4101431712216442E-2</v>
      </c>
      <c r="CM227" s="3">
        <v>2.6063937722360819E-2</v>
      </c>
      <c r="CN227" s="3">
        <v>2.8148763578499509E-2</v>
      </c>
      <c r="CO227" s="3">
        <v>3.036777453466499E-2</v>
      </c>
      <c r="CP227" s="3">
        <v>3.2740997331465439E-2</v>
      </c>
      <c r="CQ227" s="3">
        <v>3.5275378662063393E-2</v>
      </c>
      <c r="CR227" s="3">
        <v>3.7978566334544862E-2</v>
      </c>
      <c r="CS227" s="3">
        <v>4.0856986636375082E-2</v>
      </c>
      <c r="CU227" s="17" t="s">
        <v>1421</v>
      </c>
      <c r="CV227" s="3">
        <v>1.131060816583276E-2</v>
      </c>
      <c r="CW227" s="3">
        <v>1.083693386625122E-2</v>
      </c>
      <c r="CX227" s="3">
        <v>1.048722269513582E-2</v>
      </c>
      <c r="CY227" s="3">
        <v>1.117642985710453E-2</v>
      </c>
      <c r="CZ227" s="3">
        <v>1.1897834236822939E-2</v>
      </c>
      <c r="DA227" s="3">
        <v>1.379361156780721E-2</v>
      </c>
      <c r="DB227" s="3">
        <v>1.524474139200057E-2</v>
      </c>
      <c r="DC227" s="3">
        <v>1.6761032862375111E-2</v>
      </c>
      <c r="DD227" s="3">
        <v>1.8321025391742601E-2</v>
      </c>
      <c r="DE227" s="3">
        <v>1.9987633570757831E-2</v>
      </c>
      <c r="DF227" s="3">
        <v>2.177498994063656E-2</v>
      </c>
      <c r="DG227" s="3">
        <v>2.3685511230018028E-2</v>
      </c>
      <c r="DH227" s="3">
        <v>2.573838465213317E-2</v>
      </c>
      <c r="DI227" s="3">
        <v>2.7931837959384479E-2</v>
      </c>
      <c r="DJ227" s="3">
        <v>3.026445100990344E-2</v>
      </c>
      <c r="DK227" s="3">
        <v>3.2748143952154543E-2</v>
      </c>
      <c r="DL227" s="3">
        <v>3.5407837052432119E-2</v>
      </c>
      <c r="DM227" s="3">
        <v>3.8250041714676948E-2</v>
      </c>
      <c r="DN227" s="3">
        <v>4.1283661071473902E-2</v>
      </c>
      <c r="DO227" s="3">
        <v>4.4513804537461857E-2</v>
      </c>
    </row>
    <row r="228" spans="1:119" x14ac:dyDescent="0.45">
      <c r="A228" s="16" t="s">
        <v>1422</v>
      </c>
      <c r="B228" s="3" t="s">
        <v>89</v>
      </c>
      <c r="C228" s="16" t="s">
        <v>1423</v>
      </c>
      <c r="H228" s="3" t="s">
        <v>1424</v>
      </c>
      <c r="I228" s="3" t="s">
        <v>1309</v>
      </c>
      <c r="K228" s="17" t="s">
        <v>1425</v>
      </c>
      <c r="L228" s="3">
        <v>0.14820302298256829</v>
      </c>
      <c r="M228" s="3">
        <v>0.14080483329868199</v>
      </c>
      <c r="N228" s="3">
        <v>0.1357942719546926</v>
      </c>
      <c r="O228" s="3">
        <v>0.13481695309124</v>
      </c>
      <c r="P228" s="3">
        <v>0.1347467971457631</v>
      </c>
      <c r="Q228" s="3">
        <v>0.13534797897995771</v>
      </c>
      <c r="R228" s="3">
        <v>0.13604400540235981</v>
      </c>
      <c r="S228" s="3">
        <v>0.13677842766139489</v>
      </c>
      <c r="T228" s="3">
        <v>0.13754396060703161</v>
      </c>
      <c r="U228" s="3">
        <v>0.1383552803729082</v>
      </c>
      <c r="V228" s="3">
        <v>0.13921034894663339</v>
      </c>
      <c r="W228" s="3">
        <v>0.14010654116768351</v>
      </c>
      <c r="X228" s="3">
        <v>0.14104151002005511</v>
      </c>
      <c r="Y228" s="3">
        <v>0.1420128623746113</v>
      </c>
      <c r="Z228" s="3">
        <v>0.14301847322418079</v>
      </c>
      <c r="AA228" s="3">
        <v>0.14405643699962939</v>
      </c>
      <c r="AB228" s="3">
        <v>0.14512490723867999</v>
      </c>
      <c r="AC228" s="3">
        <v>0.1462221518247348</v>
      </c>
      <c r="AD228" s="3">
        <v>0.1473465529922342</v>
      </c>
      <c r="AE228" s="3">
        <v>0.14849669897014389</v>
      </c>
      <c r="AG228" s="17" t="s">
        <v>1426</v>
      </c>
      <c r="AH228" s="3">
        <v>0.14820302298256829</v>
      </c>
      <c r="AI228" s="3">
        <v>0.14080483329868199</v>
      </c>
      <c r="AJ228" s="3">
        <v>0.1357942719546926</v>
      </c>
      <c r="AK228" s="3">
        <v>0.13481695309124</v>
      </c>
      <c r="AL228" s="3">
        <v>0.13474679714577431</v>
      </c>
      <c r="AM228" s="3">
        <v>0.14117202588694011</v>
      </c>
      <c r="AN228" s="3">
        <v>0.1427728766103121</v>
      </c>
      <c r="AO228" s="3">
        <v>0.14435814396894919</v>
      </c>
      <c r="AP228" s="3">
        <v>0.14591223067350079</v>
      </c>
      <c r="AQ228" s="3">
        <v>0.14747079902085319</v>
      </c>
      <c r="AR228" s="3">
        <v>0.1490238984501481</v>
      </c>
      <c r="AS228" s="3">
        <v>0.15058319053778349</v>
      </c>
      <c r="AT228" s="3">
        <v>0.1521470004127029</v>
      </c>
      <c r="AU228" s="3">
        <v>0.1537103702687691</v>
      </c>
      <c r="AV228" s="3">
        <v>0.1552763822858847</v>
      </c>
      <c r="AW228" s="3">
        <v>0.156848175446057</v>
      </c>
      <c r="AX228" s="3">
        <v>0.1584205344798543</v>
      </c>
      <c r="AY228" s="3">
        <v>0.1599952747834156</v>
      </c>
      <c r="AZ228" s="3">
        <v>0.1615708108512631</v>
      </c>
      <c r="BA228" s="3">
        <v>0.1631502230163937</v>
      </c>
      <c r="BC228" s="17" t="s">
        <v>1427</v>
      </c>
      <c r="BD228" s="3">
        <v>0.14820302298256829</v>
      </c>
      <c r="BE228" s="3">
        <v>0.14080483329868199</v>
      </c>
      <c r="BF228" s="3">
        <v>0.1357942719546926</v>
      </c>
      <c r="BG228" s="3">
        <v>0.13481695309124</v>
      </c>
      <c r="BH228" s="3">
        <v>0.1347467971458004</v>
      </c>
      <c r="BI228" s="3">
        <v>0.13815120000306169</v>
      </c>
      <c r="BJ228" s="3">
        <v>0.14271192333302171</v>
      </c>
      <c r="BK228" s="3">
        <v>0.1475557798414511</v>
      </c>
      <c r="BL228" s="3">
        <v>0.15267885119340119</v>
      </c>
      <c r="BM228" s="3">
        <v>0.15822534137852221</v>
      </c>
      <c r="BN228" s="3">
        <v>0.1640388203018614</v>
      </c>
      <c r="BO228" s="3">
        <v>0.17011969482229969</v>
      </c>
      <c r="BP228" s="3">
        <v>0.1764660846158371</v>
      </c>
      <c r="BQ228" s="3">
        <v>0.1830616659119165</v>
      </c>
      <c r="BR228" s="3">
        <v>0.18989145697402399</v>
      </c>
      <c r="BS228" s="3">
        <v>0.1969460417242882</v>
      </c>
      <c r="BT228" s="3">
        <v>0.2042104045923713</v>
      </c>
      <c r="BU228" s="3">
        <v>0.2116695006729635</v>
      </c>
      <c r="BV228" s="3">
        <v>0.2193078521217878</v>
      </c>
      <c r="BW228" s="3">
        <v>0.22711288631997029</v>
      </c>
      <c r="BY228" s="17" t="s">
        <v>1428</v>
      </c>
      <c r="BZ228" s="3">
        <v>0.14820302298256829</v>
      </c>
      <c r="CA228" s="3">
        <v>0.14080483329868199</v>
      </c>
      <c r="CB228" s="3">
        <v>0.1357942719546926</v>
      </c>
      <c r="CC228" s="3">
        <v>0.13481695309124</v>
      </c>
      <c r="CD228" s="3">
        <v>0.13474679714582721</v>
      </c>
      <c r="CE228" s="3">
        <v>0.1424463299350533</v>
      </c>
      <c r="CF228" s="3">
        <v>0.14426751908807159</v>
      </c>
      <c r="CG228" s="3">
        <v>0.14605858527414581</v>
      </c>
      <c r="CH228" s="3">
        <v>0.14780654534508131</v>
      </c>
      <c r="CI228" s="3">
        <v>0.14954770567432571</v>
      </c>
      <c r="CJ228" s="3">
        <v>0.15127069155755909</v>
      </c>
      <c r="CK228" s="3">
        <v>0.15299051754825169</v>
      </c>
      <c r="CL228" s="3">
        <v>0.15470318223269999</v>
      </c>
      <c r="CM228" s="3">
        <v>0.15640733307292851</v>
      </c>
      <c r="CN228" s="3">
        <v>0.15810609335790571</v>
      </c>
      <c r="CO228" s="3">
        <v>0.15980271063095711</v>
      </c>
      <c r="CP228" s="3">
        <v>0.16149357778042811</v>
      </c>
      <c r="CQ228" s="3">
        <v>0.16318175075704031</v>
      </c>
      <c r="CR228" s="3">
        <v>0.16486591210036339</v>
      </c>
      <c r="CS228" s="3">
        <v>0.1665501844401702</v>
      </c>
      <c r="CU228" s="17" t="s">
        <v>1429</v>
      </c>
      <c r="CV228" s="3">
        <v>0.14820302298256829</v>
      </c>
      <c r="CW228" s="3">
        <v>0.14080483329868199</v>
      </c>
      <c r="CX228" s="3">
        <v>0.1357942719546926</v>
      </c>
      <c r="CY228" s="3">
        <v>0.13481695309124</v>
      </c>
      <c r="CZ228" s="3">
        <v>0.13474679714578919</v>
      </c>
      <c r="DA228" s="3">
        <v>0.14799934087975819</v>
      </c>
      <c r="DB228" s="3">
        <v>0.1508872375755213</v>
      </c>
      <c r="DC228" s="3">
        <v>0.15367988261469559</v>
      </c>
      <c r="DD228" s="3">
        <v>0.1563556584562405</v>
      </c>
      <c r="DE228" s="3">
        <v>0.1589733148303184</v>
      </c>
      <c r="DF228" s="3">
        <v>0.16151542839640931</v>
      </c>
      <c r="DG228" s="3">
        <v>0.16401203415983301</v>
      </c>
      <c r="DH228" s="3">
        <v>0.1664628972305672</v>
      </c>
      <c r="DI228" s="3">
        <v>0.16886219477991851</v>
      </c>
      <c r="DJ228" s="3">
        <v>0.17121863795344169</v>
      </c>
      <c r="DK228" s="3">
        <v>0.17354199198982789</v>
      </c>
      <c r="DL228" s="3">
        <v>0.17582423285186721</v>
      </c>
      <c r="DM228" s="3">
        <v>0.17807193720805559</v>
      </c>
      <c r="DN228" s="3">
        <v>0.18028375600358801</v>
      </c>
      <c r="DO228" s="3">
        <v>0.1824682592942054</v>
      </c>
    </row>
    <row r="229" spans="1:119" x14ac:dyDescent="0.45">
      <c r="A229" s="16" t="s">
        <v>1430</v>
      </c>
      <c r="B229" s="3" t="s">
        <v>89</v>
      </c>
      <c r="C229" s="16" t="s">
        <v>1431</v>
      </c>
      <c r="H229" s="3" t="s">
        <v>1432</v>
      </c>
      <c r="I229" s="3" t="s">
        <v>860</v>
      </c>
      <c r="K229" s="17" t="s">
        <v>1433</v>
      </c>
      <c r="L229" s="3">
        <v>0.1473702236594491</v>
      </c>
      <c r="M229" s="3">
        <v>0.15326503260582711</v>
      </c>
      <c r="N229" s="3">
        <v>0.1593956339100602</v>
      </c>
      <c r="O229" s="3">
        <v>0.16577145926646261</v>
      </c>
      <c r="P229" s="3">
        <v>0.17240231763712099</v>
      </c>
      <c r="Q229" s="3">
        <v>0.17929841034260591</v>
      </c>
      <c r="R229" s="3">
        <v>0.18647034675631011</v>
      </c>
      <c r="S229" s="3">
        <v>0.1939291606265626</v>
      </c>
      <c r="T229" s="3">
        <v>0.20168632705162509</v>
      </c>
      <c r="U229" s="3">
        <v>0.20975378013369009</v>
      </c>
      <c r="V229" s="3">
        <v>0.2181439313390377</v>
      </c>
      <c r="W229" s="3">
        <v>0.22686968859259921</v>
      </c>
      <c r="X229" s="3">
        <v>0.23594447613630321</v>
      </c>
      <c r="Y229" s="3">
        <v>0.2453822551817553</v>
      </c>
      <c r="Z229" s="3">
        <v>0.25519754538902562</v>
      </c>
      <c r="AA229" s="3">
        <v>0.26540544720458659</v>
      </c>
      <c r="AB229" s="3">
        <v>0.27602166509276999</v>
      </c>
      <c r="AC229" s="3">
        <v>0.28706253169648083</v>
      </c>
      <c r="AD229" s="3">
        <v>0.29854503296434021</v>
      </c>
      <c r="AE229" s="3">
        <v>0.31048683428291368</v>
      </c>
      <c r="AG229" s="17" t="s">
        <v>1434</v>
      </c>
      <c r="AH229" s="3">
        <v>0.1473702236594491</v>
      </c>
      <c r="AI229" s="3">
        <v>0.15326503260582711</v>
      </c>
      <c r="AJ229" s="3">
        <v>0.1593956339100602</v>
      </c>
      <c r="AK229" s="3">
        <v>0.16577145926646261</v>
      </c>
      <c r="AL229" s="3">
        <v>0.17240231763712099</v>
      </c>
      <c r="AM229" s="3">
        <v>0.17929841034260591</v>
      </c>
      <c r="AN229" s="3">
        <v>0.18647034675631011</v>
      </c>
      <c r="AO229" s="3">
        <v>0.1939291606265626</v>
      </c>
      <c r="AP229" s="3">
        <v>0.20168632705162509</v>
      </c>
      <c r="AQ229" s="3">
        <v>0.20975378013369009</v>
      </c>
      <c r="AR229" s="3">
        <v>0.2181439313390377</v>
      </c>
      <c r="AS229" s="3">
        <v>0.22686968859259921</v>
      </c>
      <c r="AT229" s="3">
        <v>0.23594447613630321</v>
      </c>
      <c r="AU229" s="3">
        <v>0.2453822551817553</v>
      </c>
      <c r="AV229" s="3">
        <v>0.25519754538902562</v>
      </c>
      <c r="AW229" s="3">
        <v>0.26540544720458659</v>
      </c>
      <c r="AX229" s="3">
        <v>0.27602166509276999</v>
      </c>
      <c r="AY229" s="3">
        <v>0.28706253169648083</v>
      </c>
      <c r="AZ229" s="3">
        <v>0.29854503296434021</v>
      </c>
      <c r="BA229" s="3">
        <v>0.31048683428291368</v>
      </c>
      <c r="BC229" s="17" t="s">
        <v>1435</v>
      </c>
      <c r="BD229" s="3">
        <v>0.1473702236594491</v>
      </c>
      <c r="BE229" s="3">
        <v>0.15326503260582711</v>
      </c>
      <c r="BF229" s="3">
        <v>0.1593956339100602</v>
      </c>
      <c r="BG229" s="3">
        <v>0.16577145926646261</v>
      </c>
      <c r="BH229" s="3">
        <v>0.17240231763712099</v>
      </c>
      <c r="BI229" s="3">
        <v>0.17929841034260591</v>
      </c>
      <c r="BJ229" s="3">
        <v>0.18647034675631011</v>
      </c>
      <c r="BK229" s="3">
        <v>0.1939291606265626</v>
      </c>
      <c r="BL229" s="3">
        <v>0.20168632705162509</v>
      </c>
      <c r="BM229" s="3">
        <v>0.20975378013369009</v>
      </c>
      <c r="BN229" s="3">
        <v>0.2181439313390377</v>
      </c>
      <c r="BO229" s="3">
        <v>0.22686968859259921</v>
      </c>
      <c r="BP229" s="3">
        <v>0.23594447613630321</v>
      </c>
      <c r="BQ229" s="3">
        <v>0.2453822551817553</v>
      </c>
      <c r="BR229" s="3">
        <v>0.25519754538902562</v>
      </c>
      <c r="BS229" s="3">
        <v>0.26540544720458659</v>
      </c>
      <c r="BT229" s="3">
        <v>0.27602166509276999</v>
      </c>
      <c r="BU229" s="3">
        <v>0.28706253169648083</v>
      </c>
      <c r="BV229" s="3">
        <v>0.29854503296434021</v>
      </c>
      <c r="BW229" s="3">
        <v>0.31048683428291368</v>
      </c>
      <c r="BY229" s="17" t="s">
        <v>1436</v>
      </c>
      <c r="BZ229" s="3">
        <v>0.1473702236594491</v>
      </c>
      <c r="CA229" s="3">
        <v>0.15326503260582711</v>
      </c>
      <c r="CB229" s="3">
        <v>0.1593956339100602</v>
      </c>
      <c r="CC229" s="3">
        <v>0.16577145926646261</v>
      </c>
      <c r="CD229" s="3">
        <v>0.17240231763712099</v>
      </c>
      <c r="CE229" s="3">
        <v>0.17929841034260591</v>
      </c>
      <c r="CF229" s="3">
        <v>0.18647034675631011</v>
      </c>
      <c r="CG229" s="3">
        <v>0.1939291606265626</v>
      </c>
      <c r="CH229" s="3">
        <v>0.20168632705162509</v>
      </c>
      <c r="CI229" s="3">
        <v>0.20975378013369009</v>
      </c>
      <c r="CJ229" s="3">
        <v>0.2181439313390377</v>
      </c>
      <c r="CK229" s="3">
        <v>0.22686968859259921</v>
      </c>
      <c r="CL229" s="3">
        <v>0.23594447613630321</v>
      </c>
      <c r="CM229" s="3">
        <v>0.2453822551817553</v>
      </c>
      <c r="CN229" s="3">
        <v>0.25519754538902562</v>
      </c>
      <c r="CO229" s="3">
        <v>0.26540544720458659</v>
      </c>
      <c r="CP229" s="3">
        <v>0.27602166509276999</v>
      </c>
      <c r="CQ229" s="3">
        <v>0.28706253169648083</v>
      </c>
      <c r="CR229" s="3">
        <v>0.29854503296434021</v>
      </c>
      <c r="CS229" s="3">
        <v>0.31048683428291368</v>
      </c>
      <c r="CU229" s="17" t="s">
        <v>1437</v>
      </c>
      <c r="CV229" s="3">
        <v>0.1473702236594491</v>
      </c>
      <c r="CW229" s="3">
        <v>0.15326503260582711</v>
      </c>
      <c r="CX229" s="3">
        <v>0.1593956339100602</v>
      </c>
      <c r="CY229" s="3">
        <v>0.16577145926646261</v>
      </c>
      <c r="CZ229" s="3">
        <v>0.17240231763712099</v>
      </c>
      <c r="DA229" s="3">
        <v>0.17929841034260591</v>
      </c>
      <c r="DB229" s="3">
        <v>0.18647034675631011</v>
      </c>
      <c r="DC229" s="3">
        <v>0.1939291606265626</v>
      </c>
      <c r="DD229" s="3">
        <v>0.20168632705162509</v>
      </c>
      <c r="DE229" s="3">
        <v>0.20975378013369009</v>
      </c>
      <c r="DF229" s="3">
        <v>0.2181439313390377</v>
      </c>
      <c r="DG229" s="3">
        <v>0.22686968859259921</v>
      </c>
      <c r="DH229" s="3">
        <v>0.23594447613630321</v>
      </c>
      <c r="DI229" s="3">
        <v>0.2453822551817553</v>
      </c>
      <c r="DJ229" s="3">
        <v>0.25519754538902562</v>
      </c>
      <c r="DK229" s="3">
        <v>0.26540544720458659</v>
      </c>
      <c r="DL229" s="3">
        <v>0.27602166509276999</v>
      </c>
      <c r="DM229" s="3">
        <v>0.28706253169648083</v>
      </c>
      <c r="DN229" s="3">
        <v>0.29854503296434021</v>
      </c>
      <c r="DO229" s="3">
        <v>0.31048683428291368</v>
      </c>
    </row>
    <row r="230" spans="1:119" x14ac:dyDescent="0.45">
      <c r="A230" s="16" t="s">
        <v>1438</v>
      </c>
      <c r="B230" s="3" t="s">
        <v>89</v>
      </c>
      <c r="C230" s="16" t="s">
        <v>1439</v>
      </c>
      <c r="H230" s="3" t="s">
        <v>1440</v>
      </c>
      <c r="I230" s="3" t="s">
        <v>860</v>
      </c>
      <c r="K230" s="17" t="s">
        <v>1441</v>
      </c>
      <c r="L230" s="3">
        <v>0.21784997467303749</v>
      </c>
      <c r="M230" s="3">
        <v>0.18781392505714881</v>
      </c>
      <c r="N230" s="3">
        <v>0.17578071852521751</v>
      </c>
      <c r="O230" s="3">
        <v>0.1550350613810062</v>
      </c>
      <c r="P230" s="3">
        <v>0.16889659810647181</v>
      </c>
      <c r="Q230" s="3">
        <v>0.1599013237312181</v>
      </c>
      <c r="R230" s="3">
        <v>0.15998482869103911</v>
      </c>
      <c r="S230" s="3">
        <v>0.16150985994395789</v>
      </c>
      <c r="T230" s="3">
        <v>0.16315696464788881</v>
      </c>
      <c r="U230" s="3">
        <v>0.16366406494753491</v>
      </c>
      <c r="V230" s="3">
        <v>0.16621605966304351</v>
      </c>
      <c r="W230" s="3">
        <v>0.16886862406511091</v>
      </c>
      <c r="X230" s="3">
        <v>0.17162456553304839</v>
      </c>
      <c r="Y230" s="3">
        <v>0.17448516613900719</v>
      </c>
      <c r="Z230" s="3">
        <v>0.1774511458598968</v>
      </c>
      <c r="AA230" s="3">
        <v>0.1805278823895394</v>
      </c>
      <c r="AB230" s="3">
        <v>0.18371788698701849</v>
      </c>
      <c r="AC230" s="3">
        <v>0.1870237150486358</v>
      </c>
      <c r="AD230" s="3">
        <v>0.19044773392121819</v>
      </c>
      <c r="AE230" s="3">
        <v>0.19270384066590901</v>
      </c>
      <c r="AG230" s="17" t="s">
        <v>1442</v>
      </c>
      <c r="AH230" s="3">
        <v>0.21784997467303749</v>
      </c>
      <c r="AI230" s="3">
        <v>0.18781392505714881</v>
      </c>
      <c r="AJ230" s="3">
        <v>0.17578071852521751</v>
      </c>
      <c r="AK230" s="3">
        <v>0.1550350613810062</v>
      </c>
      <c r="AL230" s="3">
        <v>0.16889659810649571</v>
      </c>
      <c r="AM230" s="3">
        <v>0.16070496140014939</v>
      </c>
      <c r="AN230" s="3">
        <v>0.16093536647734849</v>
      </c>
      <c r="AO230" s="3">
        <v>0.16260155600881351</v>
      </c>
      <c r="AP230" s="3">
        <v>0.16438338476620229</v>
      </c>
      <c r="AQ230" s="3">
        <v>0.16502279829015309</v>
      </c>
      <c r="AR230" s="3">
        <v>0.16770051886609849</v>
      </c>
      <c r="AS230" s="3">
        <v>0.17047502964895139</v>
      </c>
      <c r="AT230" s="3">
        <v>0.17335017716061429</v>
      </c>
      <c r="AU230" s="3">
        <v>0.17632706555969929</v>
      </c>
      <c r="AV230" s="3">
        <v>0.17940686400552819</v>
      </c>
      <c r="AW230" s="3">
        <v>0.18259568916915919</v>
      </c>
      <c r="AX230" s="3">
        <v>0.18589639474988301</v>
      </c>
      <c r="AY230" s="3">
        <v>0.1893118853891004</v>
      </c>
      <c r="AZ230" s="3">
        <v>0.19284472321668331</v>
      </c>
      <c r="BA230" s="3">
        <v>0.19521771238054339</v>
      </c>
      <c r="BC230" s="17" t="s">
        <v>1443</v>
      </c>
      <c r="BD230" s="3">
        <v>0.21784997467303749</v>
      </c>
      <c r="BE230" s="3">
        <v>0.18781392505714881</v>
      </c>
      <c r="BF230" s="3">
        <v>0.17578071852521751</v>
      </c>
      <c r="BG230" s="3">
        <v>0.1550350613810062</v>
      </c>
      <c r="BH230" s="3">
        <v>0.1688965981065515</v>
      </c>
      <c r="BI230" s="3">
        <v>0.160362819382596</v>
      </c>
      <c r="BJ230" s="3">
        <v>0.1610759717002144</v>
      </c>
      <c r="BK230" s="3">
        <v>0.1632690939056983</v>
      </c>
      <c r="BL230" s="3">
        <v>0.16562801731512339</v>
      </c>
      <c r="BM230" s="3">
        <v>0.1668380717923546</v>
      </c>
      <c r="BN230" s="3">
        <v>0.1701535212111131</v>
      </c>
      <c r="BO230" s="3">
        <v>0.1736285199300274</v>
      </c>
      <c r="BP230" s="3">
        <v>0.17726901100018991</v>
      </c>
      <c r="BQ230" s="3">
        <v>0.18107572411325981</v>
      </c>
      <c r="BR230" s="3">
        <v>0.18504931655643569</v>
      </c>
      <c r="BS230" s="3">
        <v>0.18919636126486181</v>
      </c>
      <c r="BT230" s="3">
        <v>0.19352029636393681</v>
      </c>
      <c r="BU230" s="3">
        <v>0.1980239850612705</v>
      </c>
      <c r="BV230" s="3">
        <v>0.2027104367624053</v>
      </c>
      <c r="BW230" s="3">
        <v>0.20633043864933481</v>
      </c>
      <c r="BY230" s="17" t="s">
        <v>1444</v>
      </c>
      <c r="BZ230" s="3">
        <v>0.21784997467303749</v>
      </c>
      <c r="CA230" s="3">
        <v>0.18781392505714881</v>
      </c>
      <c r="CB230" s="3">
        <v>0.17578071852521751</v>
      </c>
      <c r="CC230" s="3">
        <v>0.1550350613810062</v>
      </c>
      <c r="CD230" s="3">
        <v>0.16889659810660859</v>
      </c>
      <c r="CE230" s="3">
        <v>0.1608810917312046</v>
      </c>
      <c r="CF230" s="3">
        <v>0.16114729770537189</v>
      </c>
      <c r="CG230" s="3">
        <v>0.16284771903146</v>
      </c>
      <c r="CH230" s="3">
        <v>0.16466240851657851</v>
      </c>
      <c r="CI230" s="3">
        <v>0.16533383599756091</v>
      </c>
      <c r="CJ230" s="3">
        <v>0.16804198558085001</v>
      </c>
      <c r="CK230" s="3">
        <v>0.17084600139309811</v>
      </c>
      <c r="CL230" s="3">
        <v>0.17374999587256659</v>
      </c>
      <c r="CM230" s="3">
        <v>0.17675515403917699</v>
      </c>
      <c r="CN230" s="3">
        <v>0.1798626891454693</v>
      </c>
      <c r="CO230" s="3">
        <v>0.18307886221809269</v>
      </c>
      <c r="CP230" s="3">
        <v>0.18640667413161729</v>
      </c>
      <c r="CQ230" s="3">
        <v>0.18984910275920089</v>
      </c>
      <c r="CR230" s="3">
        <v>0.19340877105325191</v>
      </c>
      <c r="CS230" s="3">
        <v>0.19581037111325861</v>
      </c>
      <c r="CU230" s="17" t="s">
        <v>1445</v>
      </c>
      <c r="CV230" s="3">
        <v>0.21784997467303749</v>
      </c>
      <c r="CW230" s="3">
        <v>0.18781392505714881</v>
      </c>
      <c r="CX230" s="3">
        <v>0.17578071852521751</v>
      </c>
      <c r="CY230" s="3">
        <v>0.1550350613810062</v>
      </c>
      <c r="CZ230" s="3">
        <v>0.1688965981065276</v>
      </c>
      <c r="DA230" s="3">
        <v>0.16164931532339311</v>
      </c>
      <c r="DB230" s="3">
        <v>0.16208886968888681</v>
      </c>
      <c r="DC230" s="3">
        <v>0.16395546376683559</v>
      </c>
      <c r="DD230" s="3">
        <v>0.16592870197962839</v>
      </c>
      <c r="DE230" s="3">
        <v>0.1667542659401362</v>
      </c>
      <c r="DF230" s="3">
        <v>0.16960941507758401</v>
      </c>
      <c r="DG230" s="3">
        <v>0.17255575638717729</v>
      </c>
      <c r="DH230" s="3">
        <v>0.17559888281216801</v>
      </c>
      <c r="DI230" s="3">
        <v>0.17873979274557111</v>
      </c>
      <c r="DJ230" s="3">
        <v>0.18198009620427291</v>
      </c>
      <c r="DK230" s="3">
        <v>0.18532683715116721</v>
      </c>
      <c r="DL230" s="3">
        <v>0.18878357058490811</v>
      </c>
      <c r="DM230" s="3">
        <v>0.1923535742127328</v>
      </c>
      <c r="DN230" s="3">
        <v>0.19603973915464609</v>
      </c>
      <c r="DO230" s="3">
        <v>0.19857484323232991</v>
      </c>
    </row>
    <row r="231" spans="1:119" x14ac:dyDescent="0.45">
      <c r="A231" s="16" t="s">
        <v>1446</v>
      </c>
      <c r="B231" s="3" t="s">
        <v>89</v>
      </c>
      <c r="C231" s="16" t="s">
        <v>1447</v>
      </c>
      <c r="H231" s="3" t="s">
        <v>1448</v>
      </c>
      <c r="I231" s="3" t="s">
        <v>860</v>
      </c>
      <c r="K231" s="17" t="s">
        <v>1449</v>
      </c>
      <c r="L231" s="3">
        <v>0.41876139687617497</v>
      </c>
      <c r="M231" s="3">
        <v>0.28900678308087951</v>
      </c>
      <c r="N231" s="3">
        <v>0.2546026708332999</v>
      </c>
      <c r="O231" s="3">
        <v>0.2546026708332999</v>
      </c>
      <c r="P231" s="3">
        <v>0.25460267083329979</v>
      </c>
      <c r="Q231" s="3">
        <v>0.25460267083329979</v>
      </c>
      <c r="R231" s="3">
        <v>0.2546026708332999</v>
      </c>
      <c r="S231" s="3">
        <v>0.2546026708332999</v>
      </c>
      <c r="T231" s="3">
        <v>0.25460267083329979</v>
      </c>
      <c r="U231" s="3">
        <v>0.2546026708332999</v>
      </c>
      <c r="V231" s="3">
        <v>0.2546026708332999</v>
      </c>
      <c r="W231" s="3">
        <v>0.2546026708332999</v>
      </c>
      <c r="X231" s="3">
        <v>0.25460267083330002</v>
      </c>
      <c r="Y231" s="3">
        <v>0.25460267083330002</v>
      </c>
      <c r="Z231" s="3">
        <v>0.25460267083330002</v>
      </c>
      <c r="AA231" s="3">
        <v>0.25460267083329979</v>
      </c>
      <c r="AB231" s="3">
        <v>0.2546026708332999</v>
      </c>
      <c r="AC231" s="3">
        <v>0.25460267083329979</v>
      </c>
      <c r="AD231" s="3">
        <v>0.2546026708332999</v>
      </c>
      <c r="AE231" s="3">
        <v>0.2546026708332999</v>
      </c>
      <c r="AG231" s="17" t="s">
        <v>1450</v>
      </c>
      <c r="AH231" s="3">
        <v>0.41876139687617497</v>
      </c>
      <c r="AI231" s="3">
        <v>0.28900678308087951</v>
      </c>
      <c r="AJ231" s="3">
        <v>0.2546026708332999</v>
      </c>
      <c r="AK231" s="3">
        <v>0.2546026708332999</v>
      </c>
      <c r="AL231" s="3">
        <v>0.25460267083329979</v>
      </c>
      <c r="AM231" s="3">
        <v>0.30755237516993639</v>
      </c>
      <c r="AN231" s="3">
        <v>0.30755240358603081</v>
      </c>
      <c r="AO231" s="3">
        <v>0.30755249778434329</v>
      </c>
      <c r="AP231" s="3">
        <v>0.30755272760177621</v>
      </c>
      <c r="AQ231" s="3">
        <v>0.30755294031453778</v>
      </c>
      <c r="AR231" s="3">
        <v>0.3075531837524425</v>
      </c>
      <c r="AS231" s="3">
        <v>0.30755341368651112</v>
      </c>
      <c r="AT231" s="3">
        <v>0.30755364481000852</v>
      </c>
      <c r="AU231" s="3">
        <v>0.30755389578709302</v>
      </c>
      <c r="AV231" s="3">
        <v>0.30755415503789468</v>
      </c>
      <c r="AW231" s="3">
        <v>0.3075544156127446</v>
      </c>
      <c r="AX231" s="3">
        <v>0.30755470089052811</v>
      </c>
      <c r="AY231" s="3">
        <v>0.30755500514152412</v>
      </c>
      <c r="AZ231" s="3">
        <v>0.30755533572594501</v>
      </c>
      <c r="BA231" s="3">
        <v>0.30755568233290048</v>
      </c>
      <c r="BC231" s="17" t="s">
        <v>1451</v>
      </c>
      <c r="BD231" s="3">
        <v>0.41876139687617497</v>
      </c>
      <c r="BE231" s="3">
        <v>0.28900678308087951</v>
      </c>
      <c r="BF231" s="3">
        <v>0.2546026708332999</v>
      </c>
      <c r="BG231" s="3">
        <v>0.2546026708332999</v>
      </c>
      <c r="BH231" s="3">
        <v>0.25460267083329979</v>
      </c>
      <c r="BI231" s="3">
        <v>0.28108446085147548</v>
      </c>
      <c r="BJ231" s="3">
        <v>0.31637795914492528</v>
      </c>
      <c r="BK231" s="3">
        <v>0.35165606858593718</v>
      </c>
      <c r="BL231" s="3">
        <v>0.38692116787009467</v>
      </c>
      <c r="BM231" s="3">
        <v>0.42217102927602551</v>
      </c>
      <c r="BN231" s="3">
        <v>0.45741043218364091</v>
      </c>
      <c r="BO231" s="3">
        <v>0.49264074899750437</v>
      </c>
      <c r="BP231" s="3">
        <v>0.52786308042380858</v>
      </c>
      <c r="BQ231" s="3">
        <v>0.56307837912659697</v>
      </c>
      <c r="BR231" s="3">
        <v>0.59828742033316828</v>
      </c>
      <c r="BS231" s="3">
        <v>0.63349082297584725</v>
      </c>
      <c r="BT231" s="3">
        <v>0.66868917993868537</v>
      </c>
      <c r="BU231" s="3">
        <v>0.70388299933230447</v>
      </c>
      <c r="BV231" s="3">
        <v>0.73907277550567563</v>
      </c>
      <c r="BW231" s="3">
        <v>0.77425890167509714</v>
      </c>
      <c r="BY231" s="17" t="s">
        <v>1452</v>
      </c>
      <c r="BZ231" s="3">
        <v>0.41876139687617497</v>
      </c>
      <c r="CA231" s="3">
        <v>0.28900678308087951</v>
      </c>
      <c r="CB231" s="3">
        <v>0.2546026708332999</v>
      </c>
      <c r="CC231" s="3">
        <v>0.2546026708332999</v>
      </c>
      <c r="CD231" s="3">
        <v>0.25460267083329979</v>
      </c>
      <c r="CE231" s="3">
        <v>0.32078303425488258</v>
      </c>
      <c r="CF231" s="3">
        <v>0.32078306959563041</v>
      </c>
      <c r="CG231" s="3">
        <v>0.32078318909744502</v>
      </c>
      <c r="CH231" s="3">
        <v>0.32078347245418493</v>
      </c>
      <c r="CI231" s="3">
        <v>0.32078372960776258</v>
      </c>
      <c r="CJ231" s="3">
        <v>0.32078403398413641</v>
      </c>
      <c r="CK231" s="3">
        <v>0.32078431739838659</v>
      </c>
      <c r="CL231" s="3">
        <v>0.32078461627798183</v>
      </c>
      <c r="CM231" s="3">
        <v>0.32078493707141048</v>
      </c>
      <c r="CN231" s="3">
        <v>0.32078526818993142</v>
      </c>
      <c r="CO231" s="3">
        <v>0.32078560451643701</v>
      </c>
      <c r="CP231" s="3">
        <v>0.32078597016096883</v>
      </c>
      <c r="CQ231" s="3">
        <v>0.32078635447603338</v>
      </c>
      <c r="CR231" s="3">
        <v>0.32078676781442211</v>
      </c>
      <c r="CS231" s="3">
        <v>0.32078719467088562</v>
      </c>
      <c r="CU231" s="17" t="s">
        <v>1453</v>
      </c>
      <c r="CV231" s="3">
        <v>0.41876139687617497</v>
      </c>
      <c r="CW231" s="3">
        <v>0.28900678308087951</v>
      </c>
      <c r="CX231" s="3">
        <v>0.2546026708332999</v>
      </c>
      <c r="CY231" s="3">
        <v>0.2546026708332999</v>
      </c>
      <c r="CZ231" s="3">
        <v>0.25460267083329979</v>
      </c>
      <c r="DA231" s="3">
        <v>0.38690436739635842</v>
      </c>
      <c r="DB231" s="3">
        <v>0.38690443604313962</v>
      </c>
      <c r="DC231" s="3">
        <v>0.38690462724514302</v>
      </c>
      <c r="DD231" s="3">
        <v>0.38690526645330969</v>
      </c>
      <c r="DE231" s="3">
        <v>0.38690575920426018</v>
      </c>
      <c r="DF231" s="3">
        <v>0.38690638483456141</v>
      </c>
      <c r="DG231" s="3">
        <v>0.38690689307219228</v>
      </c>
      <c r="DH231" s="3">
        <v>0.38690738112651102</v>
      </c>
      <c r="DI231" s="3">
        <v>0.3869079315715333</v>
      </c>
      <c r="DJ231" s="3">
        <v>0.38690849022851609</v>
      </c>
      <c r="DK231" s="3">
        <v>0.38690902059754312</v>
      </c>
      <c r="DL231" s="3">
        <v>0.38690964532770411</v>
      </c>
      <c r="DM231" s="3">
        <v>0.38691033000405478</v>
      </c>
      <c r="DN231" s="3">
        <v>0.38691111612450912</v>
      </c>
      <c r="DO231" s="3">
        <v>0.38691194922774258</v>
      </c>
    </row>
    <row r="232" spans="1:119" x14ac:dyDescent="0.45">
      <c r="A232" s="16" t="s">
        <v>1454</v>
      </c>
      <c r="B232" s="3" t="s">
        <v>89</v>
      </c>
      <c r="C232" s="16" t="s">
        <v>1455</v>
      </c>
      <c r="H232" s="3" t="s">
        <v>1456</v>
      </c>
      <c r="I232" s="3" t="s">
        <v>860</v>
      </c>
      <c r="K232" s="17" t="s">
        <v>1457</v>
      </c>
      <c r="L232" s="3">
        <v>-1.3551598254614159</v>
      </c>
      <c r="M232" s="3">
        <v>-1.240335178098761</v>
      </c>
      <c r="N232" s="3">
        <v>-1.176754608586329</v>
      </c>
      <c r="O232" s="3">
        <v>-1.007825686126322</v>
      </c>
      <c r="P232" s="3">
        <v>-1.120698199462256</v>
      </c>
      <c r="Q232" s="3">
        <v>-1.047450965263762</v>
      </c>
      <c r="R232" s="3">
        <v>-1.048130934222304</v>
      </c>
      <c r="S232" s="3">
        <v>-1.060549045853215</v>
      </c>
      <c r="T232" s="3">
        <v>-1.073961184156651</v>
      </c>
      <c r="U232" s="3">
        <v>-1.078090429453769</v>
      </c>
      <c r="V232" s="3">
        <v>-1.098870957851483</v>
      </c>
      <c r="W232" s="3">
        <v>-1.1204704108397461</v>
      </c>
      <c r="X232" s="3">
        <v>-1.142911648507237</v>
      </c>
      <c r="Y232" s="3">
        <v>-1.1662051105843301</v>
      </c>
      <c r="Z232" s="3">
        <v>-1.1903566597401449</v>
      </c>
      <c r="AA232" s="3">
        <v>-1.215410085767235</v>
      </c>
      <c r="AB232" s="3">
        <v>-1.241385837489565</v>
      </c>
      <c r="AC232" s="3">
        <v>-1.2683047231341631</v>
      </c>
      <c r="AD232" s="3">
        <v>-1.2961860196680479</v>
      </c>
      <c r="AE232" s="3">
        <v>-1.314557174589102</v>
      </c>
      <c r="AG232" s="17" t="s">
        <v>1458</v>
      </c>
      <c r="AH232" s="3">
        <v>-1.3551598254614159</v>
      </c>
      <c r="AI232" s="3">
        <v>-1.240335178098761</v>
      </c>
      <c r="AJ232" s="3">
        <v>-1.176754608586329</v>
      </c>
      <c r="AK232" s="3">
        <v>-1.007825686126322</v>
      </c>
      <c r="AL232" s="3">
        <v>-1.120698199462451</v>
      </c>
      <c r="AM232" s="3">
        <v>-1.0010451676598511</v>
      </c>
      <c r="AN232" s="3">
        <v>-1.002921294872378</v>
      </c>
      <c r="AO232" s="3">
        <v>-1.0164887440017101</v>
      </c>
      <c r="AP232" s="3">
        <v>-1.030997691208728</v>
      </c>
      <c r="AQ232" s="3">
        <v>-1.036204131476709</v>
      </c>
      <c r="AR232" s="3">
        <v>-1.0580081841572171</v>
      </c>
      <c r="AS232" s="3">
        <v>-1.0806003991692359</v>
      </c>
      <c r="AT232" s="3">
        <v>-1.10401208349785</v>
      </c>
      <c r="AU232" s="3">
        <v>-1.128252209484744</v>
      </c>
      <c r="AV232" s="3">
        <v>-1.153330309007121</v>
      </c>
      <c r="AW232" s="3">
        <v>-1.179296196193266</v>
      </c>
      <c r="AX232" s="3">
        <v>-1.2061730849299479</v>
      </c>
      <c r="AY232" s="3">
        <v>-1.2339846330268649</v>
      </c>
      <c r="AZ232" s="3">
        <v>-1.262751696181333</v>
      </c>
      <c r="BA232" s="3">
        <v>-1.2820742613372389</v>
      </c>
      <c r="BC232" s="17" t="s">
        <v>1459</v>
      </c>
      <c r="BD232" s="3">
        <v>-1.3551598254614159</v>
      </c>
      <c r="BE232" s="3">
        <v>-1.240335178098761</v>
      </c>
      <c r="BF232" s="3">
        <v>-1.176754608586329</v>
      </c>
      <c r="BG232" s="3">
        <v>-1.007825686126322</v>
      </c>
      <c r="BH232" s="3">
        <v>-1.1206981994629051</v>
      </c>
      <c r="BI232" s="3">
        <v>-1.0247270684068059</v>
      </c>
      <c r="BJ232" s="3">
        <v>-0.9952406675568205</v>
      </c>
      <c r="BK232" s="3">
        <v>-0.97782083893189131</v>
      </c>
      <c r="BL232" s="3">
        <v>-0.96176411598162403</v>
      </c>
      <c r="BM232" s="3">
        <v>-0.93636755531886195</v>
      </c>
      <c r="BN232" s="3">
        <v>-0.92812538339256578</v>
      </c>
      <c r="BO232" s="3">
        <v>-0.92119148471843304</v>
      </c>
      <c r="BP232" s="3">
        <v>-0.91561315200630855</v>
      </c>
      <c r="BQ232" s="3">
        <v>-0.91139537436708995</v>
      </c>
      <c r="BR232" s="3">
        <v>-0.9085427287692367</v>
      </c>
      <c r="BS232" s="3">
        <v>-0.90710811875231279</v>
      </c>
      <c r="BT232" s="3">
        <v>-0.90711894759622869</v>
      </c>
      <c r="BU232" s="3">
        <v>-0.90859802188089767</v>
      </c>
      <c r="BV232" s="3">
        <v>-0.9115693524167674</v>
      </c>
      <c r="BW232" s="3">
        <v>-0.90586038446948569</v>
      </c>
      <c r="BY232" s="17" t="s">
        <v>1460</v>
      </c>
      <c r="BZ232" s="3">
        <v>-1.3551598254614159</v>
      </c>
      <c r="CA232" s="3">
        <v>-1.240335178098761</v>
      </c>
      <c r="CB232" s="3">
        <v>-1.176754608586329</v>
      </c>
      <c r="CC232" s="3">
        <v>-1.007825686126322</v>
      </c>
      <c r="CD232" s="3">
        <v>-1.12069819946337</v>
      </c>
      <c r="CE232" s="3">
        <v>-0.989248712699212</v>
      </c>
      <c r="CF232" s="3">
        <v>-0.99141635457668364</v>
      </c>
      <c r="CG232" s="3">
        <v>-1.005262523015872</v>
      </c>
      <c r="CH232" s="3">
        <v>-1.0200389968950969</v>
      </c>
      <c r="CI232" s="3">
        <v>-1.025506077800947</v>
      </c>
      <c r="CJ232" s="3">
        <v>-1.047557848602785</v>
      </c>
      <c r="CK232" s="3">
        <v>-1.0703902653739841</v>
      </c>
      <c r="CL232" s="3">
        <v>-1.0940367786843459</v>
      </c>
      <c r="CM232" s="3">
        <v>-1.1185070315333161</v>
      </c>
      <c r="CN232" s="3">
        <v>-1.143810914851747</v>
      </c>
      <c r="CO232" s="3">
        <v>-1.169999416402318</v>
      </c>
      <c r="CP232" s="3">
        <v>-1.197096947767915</v>
      </c>
      <c r="CQ232" s="3">
        <v>-1.2251277679917449</v>
      </c>
      <c r="CR232" s="3">
        <v>-1.254113225047772</v>
      </c>
      <c r="CS232" s="3">
        <v>-1.27366868439422</v>
      </c>
      <c r="CU232" s="17" t="s">
        <v>1461</v>
      </c>
      <c r="CV232" s="3">
        <v>-1.3551598254614159</v>
      </c>
      <c r="CW232" s="3">
        <v>-1.240335178098761</v>
      </c>
      <c r="CX232" s="3">
        <v>-1.176754608586329</v>
      </c>
      <c r="CY232" s="3">
        <v>-1.007825686126322</v>
      </c>
      <c r="CZ232" s="3">
        <v>-1.120698199462711</v>
      </c>
      <c r="DA232" s="3">
        <v>-0.92938291452269972</v>
      </c>
      <c r="DB232" s="3">
        <v>-0.93296207428065248</v>
      </c>
      <c r="DC232" s="3">
        <v>-0.94816129199908949</v>
      </c>
      <c r="DD232" s="3">
        <v>-0.96422844966652121</v>
      </c>
      <c r="DE232" s="3">
        <v>-0.97095040630827723</v>
      </c>
      <c r="DF232" s="3">
        <v>-0.99419885222576554</v>
      </c>
      <c r="DG232" s="3">
        <v>-1.0181899803662511</v>
      </c>
      <c r="DH232" s="3">
        <v>-1.042969236058285</v>
      </c>
      <c r="DI232" s="3">
        <v>-1.068544666499545</v>
      </c>
      <c r="DJ232" s="3">
        <v>-1.094929436006278</v>
      </c>
      <c r="DK232" s="3">
        <v>-1.122180939061961</v>
      </c>
      <c r="DL232" s="3">
        <v>-1.15032800086369</v>
      </c>
      <c r="DM232" s="3">
        <v>-1.1793973457281981</v>
      </c>
      <c r="DN232" s="3">
        <v>-1.2094124741347521</v>
      </c>
      <c r="DO232" s="3">
        <v>-1.230054631378372</v>
      </c>
    </row>
    <row r="233" spans="1:119" x14ac:dyDescent="0.45">
      <c r="A233" s="16" t="s">
        <v>1042</v>
      </c>
      <c r="B233" s="3" t="s">
        <v>89</v>
      </c>
      <c r="C233" s="16" t="s">
        <v>1043</v>
      </c>
      <c r="H233" s="3" t="s">
        <v>1044</v>
      </c>
      <c r="I233" s="3" t="s">
        <v>651</v>
      </c>
      <c r="K233" s="17" t="s">
        <v>1045</v>
      </c>
      <c r="L233" s="3">
        <v>-17.529477324599188</v>
      </c>
      <c r="M233" s="3">
        <v>-15.357560023508981</v>
      </c>
      <c r="N233" s="3">
        <v>-14.18549639093265</v>
      </c>
      <c r="O233" s="3">
        <v>-11.291960817373811</v>
      </c>
      <c r="P233" s="3">
        <v>-13.302970069583941</v>
      </c>
      <c r="Q233" s="3">
        <v>-11.217691085924219</v>
      </c>
      <c r="R233" s="3">
        <v>-10.64399705796804</v>
      </c>
      <c r="S233" s="3">
        <v>-10.35480874612313</v>
      </c>
      <c r="T233" s="3">
        <v>-10.10191176774458</v>
      </c>
      <c r="U233" s="3">
        <v>-9.8271625081365652</v>
      </c>
      <c r="V233" s="3">
        <v>-9.8271625081365652</v>
      </c>
      <c r="W233" s="3">
        <v>-9.8271625081365652</v>
      </c>
      <c r="X233" s="3">
        <v>-9.8271625081365652</v>
      </c>
      <c r="Y233" s="3">
        <v>-9.8271625081365652</v>
      </c>
      <c r="Z233" s="3">
        <v>-9.8271625081365652</v>
      </c>
      <c r="AA233" s="3">
        <v>-9.8271625081365652</v>
      </c>
      <c r="AB233" s="3">
        <v>-9.8271625081365652</v>
      </c>
      <c r="AC233" s="3">
        <v>-9.8271625081365652</v>
      </c>
      <c r="AD233" s="3">
        <v>-9.8271625081365652</v>
      </c>
      <c r="AE233" s="3">
        <v>-9.8271625081365652</v>
      </c>
      <c r="AG233" s="17" t="s">
        <v>1046</v>
      </c>
      <c r="AH233" s="3">
        <v>-17.529477324599188</v>
      </c>
      <c r="AI233" s="3">
        <v>-15.357560023508981</v>
      </c>
      <c r="AJ233" s="3">
        <v>-14.18549639093265</v>
      </c>
      <c r="AK233" s="3">
        <v>-11.291960817373811</v>
      </c>
      <c r="AL233" s="3">
        <v>-13.302970069583941</v>
      </c>
      <c r="AM233" s="3">
        <v>-11.217691085924219</v>
      </c>
      <c r="AN233" s="3">
        <v>-10.64399705796804</v>
      </c>
      <c r="AO233" s="3">
        <v>-10.35480874612313</v>
      </c>
      <c r="AP233" s="3">
        <v>-10.10191176774458</v>
      </c>
      <c r="AQ233" s="3">
        <v>-9.8271625081365652</v>
      </c>
      <c r="AR233" s="3">
        <v>-9.8271625081365652</v>
      </c>
      <c r="AS233" s="3">
        <v>-9.8271625081365652</v>
      </c>
      <c r="AT233" s="3">
        <v>-9.8271625081365652</v>
      </c>
      <c r="AU233" s="3">
        <v>-9.8271625081365652</v>
      </c>
      <c r="AV233" s="3">
        <v>-9.8271625081365652</v>
      </c>
      <c r="AW233" s="3">
        <v>-9.8271625081365652</v>
      </c>
      <c r="AX233" s="3">
        <v>-9.8271625081365652</v>
      </c>
      <c r="AY233" s="3">
        <v>-9.8271625081365652</v>
      </c>
      <c r="AZ233" s="3">
        <v>-9.8271625081365652</v>
      </c>
      <c r="BA233" s="3">
        <v>-9.8271625081365652</v>
      </c>
      <c r="BC233" s="17" t="s">
        <v>1047</v>
      </c>
      <c r="BD233" s="3">
        <v>-17.529477324599188</v>
      </c>
      <c r="BE233" s="3">
        <v>-15.357560023508981</v>
      </c>
      <c r="BF233" s="3">
        <v>-14.18549639093265</v>
      </c>
      <c r="BG233" s="3">
        <v>-11.291960817373811</v>
      </c>
      <c r="BH233" s="3">
        <v>-13.302970069583941</v>
      </c>
      <c r="BI233" s="3">
        <v>-11.217691085924219</v>
      </c>
      <c r="BJ233" s="3">
        <v>-10.64399705796804</v>
      </c>
      <c r="BK233" s="3">
        <v>-10.35480874612313</v>
      </c>
      <c r="BL233" s="3">
        <v>-10.10191176774458</v>
      </c>
      <c r="BM233" s="3">
        <v>-9.8271625081365652</v>
      </c>
      <c r="BN233" s="3">
        <v>-9.8271625081365652</v>
      </c>
      <c r="BO233" s="3">
        <v>-9.8271625081365652</v>
      </c>
      <c r="BP233" s="3">
        <v>-9.8271625081365652</v>
      </c>
      <c r="BQ233" s="3">
        <v>-9.8271625081365652</v>
      </c>
      <c r="BR233" s="3">
        <v>-9.8271625081365652</v>
      </c>
      <c r="BS233" s="3">
        <v>-9.8271625081365652</v>
      </c>
      <c r="BT233" s="3">
        <v>-9.8271625081365652</v>
      </c>
      <c r="BU233" s="3">
        <v>-9.8271625081365652</v>
      </c>
      <c r="BV233" s="3">
        <v>-9.8271625081365652</v>
      </c>
      <c r="BW233" s="3">
        <v>-9.8271625081365652</v>
      </c>
      <c r="BY233" s="17" t="s">
        <v>1048</v>
      </c>
      <c r="BZ233" s="3">
        <v>-17.529477324599188</v>
      </c>
      <c r="CA233" s="3">
        <v>-15.357560023508981</v>
      </c>
      <c r="CB233" s="3">
        <v>-14.18549639093265</v>
      </c>
      <c r="CC233" s="3">
        <v>-11.291960817373811</v>
      </c>
      <c r="CD233" s="3">
        <v>-13.302970069583941</v>
      </c>
      <c r="CE233" s="3">
        <v>-11.217691085924219</v>
      </c>
      <c r="CF233" s="3">
        <v>-10.64399705796804</v>
      </c>
      <c r="CG233" s="3">
        <v>-10.35480874612313</v>
      </c>
      <c r="CH233" s="3">
        <v>-10.10191176774458</v>
      </c>
      <c r="CI233" s="3">
        <v>-9.8271625081365652</v>
      </c>
      <c r="CJ233" s="3">
        <v>-9.8271625081365652</v>
      </c>
      <c r="CK233" s="3">
        <v>-9.8271625081365652</v>
      </c>
      <c r="CL233" s="3">
        <v>-9.8271625081365652</v>
      </c>
      <c r="CM233" s="3">
        <v>-9.8271625081365652</v>
      </c>
      <c r="CN233" s="3">
        <v>-9.8271625081365652</v>
      </c>
      <c r="CO233" s="3">
        <v>-9.8271625081365652</v>
      </c>
      <c r="CP233" s="3">
        <v>-9.8271625081365652</v>
      </c>
      <c r="CQ233" s="3">
        <v>-9.8271625081365652</v>
      </c>
      <c r="CR233" s="3">
        <v>-9.8271625081365652</v>
      </c>
      <c r="CS233" s="3">
        <v>-9.8271625081365652</v>
      </c>
      <c r="CU233" s="17" t="s">
        <v>1049</v>
      </c>
      <c r="CV233" s="3">
        <v>-17.529477324599188</v>
      </c>
      <c r="CW233" s="3">
        <v>-15.357560023508981</v>
      </c>
      <c r="CX233" s="3">
        <v>-14.18549639093265</v>
      </c>
      <c r="CY233" s="3">
        <v>-11.291960817373811</v>
      </c>
      <c r="CZ233" s="3">
        <v>-13.302970069583941</v>
      </c>
      <c r="DA233" s="3">
        <v>-11.217691085924219</v>
      </c>
      <c r="DB233" s="3">
        <v>-10.64399705796804</v>
      </c>
      <c r="DC233" s="3">
        <v>-10.35480874612313</v>
      </c>
      <c r="DD233" s="3">
        <v>-10.10191176774458</v>
      </c>
      <c r="DE233" s="3">
        <v>-9.8271625081365652</v>
      </c>
      <c r="DF233" s="3">
        <v>-9.8271625081365652</v>
      </c>
      <c r="DG233" s="3">
        <v>-9.8271625081365652</v>
      </c>
      <c r="DH233" s="3">
        <v>-9.8271625081365652</v>
      </c>
      <c r="DI233" s="3">
        <v>-9.8271625081365652</v>
      </c>
      <c r="DJ233" s="3">
        <v>-9.8271625081365652</v>
      </c>
      <c r="DK233" s="3">
        <v>-9.8271625081365652</v>
      </c>
      <c r="DL233" s="3">
        <v>-9.8271625081365652</v>
      </c>
      <c r="DM233" s="3">
        <v>-9.8271625081365652</v>
      </c>
      <c r="DN233" s="3">
        <v>-9.8271625081365652</v>
      </c>
      <c r="DO233" s="3">
        <v>-9.8271625081365652</v>
      </c>
    </row>
    <row r="234" spans="1:119" x14ac:dyDescent="0.45">
      <c r="A234" s="16" t="s">
        <v>1462</v>
      </c>
      <c r="B234" s="3" t="s">
        <v>89</v>
      </c>
      <c r="C234" s="16" t="s">
        <v>1463</v>
      </c>
      <c r="H234" s="3" t="s">
        <v>1464</v>
      </c>
      <c r="I234" s="3" t="s">
        <v>109</v>
      </c>
      <c r="K234" s="17" t="s">
        <v>1465</v>
      </c>
      <c r="L234" s="3">
        <v>-243.11211262264061</v>
      </c>
      <c r="M234" s="3">
        <v>-212.99031299723299</v>
      </c>
      <c r="N234" s="3">
        <v>-196.735243860406</v>
      </c>
      <c r="O234" s="3">
        <v>-156.60549365675939</v>
      </c>
      <c r="P234" s="3">
        <v>-184.4956981822763</v>
      </c>
      <c r="Q234" s="3">
        <v>-155.5754645816034</v>
      </c>
      <c r="R234" s="3">
        <v>-147.6190398375696</v>
      </c>
      <c r="S234" s="3">
        <v>-143.60835656752531</v>
      </c>
      <c r="T234" s="3">
        <v>-140.10098908867801</v>
      </c>
      <c r="U234" s="3">
        <v>-136.29055756764919</v>
      </c>
      <c r="V234" s="3">
        <v>-136.29055756764919</v>
      </c>
      <c r="W234" s="3">
        <v>-136.2905575676493</v>
      </c>
      <c r="X234" s="3">
        <v>-136.29055756764919</v>
      </c>
      <c r="Y234" s="3">
        <v>-136.29055756764919</v>
      </c>
      <c r="Z234" s="3">
        <v>-136.29055756764919</v>
      </c>
      <c r="AA234" s="3">
        <v>-136.29055756764919</v>
      </c>
      <c r="AB234" s="3">
        <v>-136.29055756764919</v>
      </c>
      <c r="AC234" s="3">
        <v>-136.2905575676493</v>
      </c>
      <c r="AD234" s="3">
        <v>-136.29055756764919</v>
      </c>
      <c r="AE234" s="3">
        <v>-136.29055756764919</v>
      </c>
      <c r="AG234" s="17" t="s">
        <v>1466</v>
      </c>
      <c r="AH234" s="3">
        <v>-243.11211262264061</v>
      </c>
      <c r="AI234" s="3">
        <v>-212.99031299723299</v>
      </c>
      <c r="AJ234" s="3">
        <v>-196.735243860406</v>
      </c>
      <c r="AK234" s="3">
        <v>-156.60549365675939</v>
      </c>
      <c r="AL234" s="3">
        <v>-184.4956981822763</v>
      </c>
      <c r="AM234" s="3">
        <v>-155.5754645816034</v>
      </c>
      <c r="AN234" s="3">
        <v>-147.6190398375696</v>
      </c>
      <c r="AO234" s="3">
        <v>-143.60835656752531</v>
      </c>
      <c r="AP234" s="3">
        <v>-140.10098908867801</v>
      </c>
      <c r="AQ234" s="3">
        <v>-136.29055756764919</v>
      </c>
      <c r="AR234" s="3">
        <v>-136.29055756764919</v>
      </c>
      <c r="AS234" s="3">
        <v>-136.2905575676493</v>
      </c>
      <c r="AT234" s="3">
        <v>-136.29055756764919</v>
      </c>
      <c r="AU234" s="3">
        <v>-136.29055756764919</v>
      </c>
      <c r="AV234" s="3">
        <v>-136.29055756764919</v>
      </c>
      <c r="AW234" s="3">
        <v>-136.29055756764919</v>
      </c>
      <c r="AX234" s="3">
        <v>-136.29055756764919</v>
      </c>
      <c r="AY234" s="3">
        <v>-136.2905575676493</v>
      </c>
      <c r="AZ234" s="3">
        <v>-136.29055756764919</v>
      </c>
      <c r="BA234" s="3">
        <v>-136.29055756764919</v>
      </c>
      <c r="BC234" s="17" t="s">
        <v>1467</v>
      </c>
      <c r="BD234" s="3">
        <v>-243.11211262264061</v>
      </c>
      <c r="BE234" s="3">
        <v>-212.99031299723299</v>
      </c>
      <c r="BF234" s="3">
        <v>-196.735243860406</v>
      </c>
      <c r="BG234" s="3">
        <v>-156.60549365675939</v>
      </c>
      <c r="BH234" s="3">
        <v>-184.4956981822763</v>
      </c>
      <c r="BI234" s="3">
        <v>-155.5754645816034</v>
      </c>
      <c r="BJ234" s="3">
        <v>-147.6190398375696</v>
      </c>
      <c r="BK234" s="3">
        <v>-143.60835656752531</v>
      </c>
      <c r="BL234" s="3">
        <v>-140.10098908867801</v>
      </c>
      <c r="BM234" s="3">
        <v>-136.29055756764919</v>
      </c>
      <c r="BN234" s="3">
        <v>-136.29055756764919</v>
      </c>
      <c r="BO234" s="3">
        <v>-136.2905575676493</v>
      </c>
      <c r="BP234" s="3">
        <v>-136.29055756764919</v>
      </c>
      <c r="BQ234" s="3">
        <v>-136.29055756764919</v>
      </c>
      <c r="BR234" s="3">
        <v>-136.29055756764919</v>
      </c>
      <c r="BS234" s="3">
        <v>-136.29055756764919</v>
      </c>
      <c r="BT234" s="3">
        <v>-136.29055756764919</v>
      </c>
      <c r="BU234" s="3">
        <v>-136.2905575676493</v>
      </c>
      <c r="BV234" s="3">
        <v>-136.29055756764919</v>
      </c>
      <c r="BW234" s="3">
        <v>-136.29055756764919</v>
      </c>
      <c r="BY234" s="17" t="s">
        <v>1468</v>
      </c>
      <c r="BZ234" s="3">
        <v>-243.11211262264061</v>
      </c>
      <c r="CA234" s="3">
        <v>-212.99031299723299</v>
      </c>
      <c r="CB234" s="3">
        <v>-196.735243860406</v>
      </c>
      <c r="CC234" s="3">
        <v>-156.60549365675939</v>
      </c>
      <c r="CD234" s="3">
        <v>-184.4956981822763</v>
      </c>
      <c r="CE234" s="3">
        <v>-155.5754645816034</v>
      </c>
      <c r="CF234" s="3">
        <v>-147.6190398375696</v>
      </c>
      <c r="CG234" s="3">
        <v>-143.60835656752531</v>
      </c>
      <c r="CH234" s="3">
        <v>-140.10098908867801</v>
      </c>
      <c r="CI234" s="3">
        <v>-136.29055756764919</v>
      </c>
      <c r="CJ234" s="3">
        <v>-136.29055756764919</v>
      </c>
      <c r="CK234" s="3">
        <v>-136.2905575676493</v>
      </c>
      <c r="CL234" s="3">
        <v>-136.29055756764919</v>
      </c>
      <c r="CM234" s="3">
        <v>-136.29055756764919</v>
      </c>
      <c r="CN234" s="3">
        <v>-136.29055756764919</v>
      </c>
      <c r="CO234" s="3">
        <v>-136.29055756764919</v>
      </c>
      <c r="CP234" s="3">
        <v>-136.29055756764919</v>
      </c>
      <c r="CQ234" s="3">
        <v>-136.2905575676493</v>
      </c>
      <c r="CR234" s="3">
        <v>-136.29055756764919</v>
      </c>
      <c r="CS234" s="3">
        <v>-136.29055756764919</v>
      </c>
      <c r="CU234" s="17" t="s">
        <v>1469</v>
      </c>
      <c r="CV234" s="3">
        <v>-243.11211262264061</v>
      </c>
      <c r="CW234" s="3">
        <v>-212.99031299723299</v>
      </c>
      <c r="CX234" s="3">
        <v>-196.735243860406</v>
      </c>
      <c r="CY234" s="3">
        <v>-156.60549365675939</v>
      </c>
      <c r="CZ234" s="3">
        <v>-184.4956981822763</v>
      </c>
      <c r="DA234" s="3">
        <v>-155.5754645816034</v>
      </c>
      <c r="DB234" s="3">
        <v>-147.6190398375696</v>
      </c>
      <c r="DC234" s="3">
        <v>-143.60835656752531</v>
      </c>
      <c r="DD234" s="3">
        <v>-140.10098908867801</v>
      </c>
      <c r="DE234" s="3">
        <v>-136.29055756764919</v>
      </c>
      <c r="DF234" s="3">
        <v>-136.29055756764919</v>
      </c>
      <c r="DG234" s="3">
        <v>-136.2905575676493</v>
      </c>
      <c r="DH234" s="3">
        <v>-136.29055756764919</v>
      </c>
      <c r="DI234" s="3">
        <v>-136.29055756764919</v>
      </c>
      <c r="DJ234" s="3">
        <v>-136.29055756764919</v>
      </c>
      <c r="DK234" s="3">
        <v>-136.29055756764919</v>
      </c>
      <c r="DL234" s="3">
        <v>-136.29055756764919</v>
      </c>
      <c r="DM234" s="3">
        <v>-136.2905575676493</v>
      </c>
      <c r="DN234" s="3">
        <v>-136.29055756764919</v>
      </c>
      <c r="DO234" s="3">
        <v>-136.29055756764919</v>
      </c>
    </row>
    <row r="235" spans="1:119" x14ac:dyDescent="0.45">
      <c r="A235" s="16" t="s">
        <v>1470</v>
      </c>
      <c r="B235" s="3" t="s">
        <v>89</v>
      </c>
      <c r="C235" s="16" t="s">
        <v>1471</v>
      </c>
      <c r="H235" s="3" t="s">
        <v>1472</v>
      </c>
      <c r="I235" s="3" t="s">
        <v>860</v>
      </c>
      <c r="K235" s="17" t="s">
        <v>1473</v>
      </c>
      <c r="L235" s="3">
        <v>0.48354466336675922</v>
      </c>
      <c r="M235" s="3">
        <v>0.4797581340284397</v>
      </c>
      <c r="N235" s="3">
        <v>0.47192310691696349</v>
      </c>
      <c r="O235" s="3">
        <v>0.43165480058880379</v>
      </c>
      <c r="P235" s="3">
        <v>0.45566480504633777</v>
      </c>
      <c r="Q235" s="3">
        <v>0.46918372112169282</v>
      </c>
      <c r="R235" s="3">
        <v>0.49117621289490571</v>
      </c>
      <c r="S235" s="3">
        <v>0.51285462630893264</v>
      </c>
      <c r="T235" s="3">
        <v>0.5340515007674923</v>
      </c>
      <c r="U235" s="3">
        <v>0.5479204716044046</v>
      </c>
      <c r="V235" s="3">
        <v>0.56614900528660972</v>
      </c>
      <c r="W235" s="3">
        <v>0.58509589387280525</v>
      </c>
      <c r="X235" s="3">
        <v>0.60478119007235831</v>
      </c>
      <c r="Y235" s="3">
        <v>0.62521405154349297</v>
      </c>
      <c r="Z235" s="3">
        <v>0.64639962097841841</v>
      </c>
      <c r="AA235" s="3">
        <v>0.6683763104758661</v>
      </c>
      <c r="AB235" s="3">
        <v>0.69116205760071669</v>
      </c>
      <c r="AC235" s="3">
        <v>0.71477511518369719</v>
      </c>
      <c r="AD235" s="3">
        <v>0.73923239284500009</v>
      </c>
      <c r="AE235" s="3">
        <v>0.75534744102136264</v>
      </c>
      <c r="AG235" s="17" t="s">
        <v>1474</v>
      </c>
      <c r="AH235" s="3">
        <v>0.48354466336675922</v>
      </c>
      <c r="AI235" s="3">
        <v>0.4797581340284397</v>
      </c>
      <c r="AJ235" s="3">
        <v>0.47192310691696349</v>
      </c>
      <c r="AK235" s="3">
        <v>0.43165480058880379</v>
      </c>
      <c r="AL235" s="3">
        <v>0.45566480504650853</v>
      </c>
      <c r="AM235" s="3">
        <v>0.47492399018548809</v>
      </c>
      <c r="AN235" s="3">
        <v>0.49796576851140179</v>
      </c>
      <c r="AO235" s="3">
        <v>0.52065245534361582</v>
      </c>
      <c r="AP235" s="3">
        <v>0.54281164446973185</v>
      </c>
      <c r="AQ235" s="3">
        <v>0.55762570976596348</v>
      </c>
      <c r="AR235" s="3">
        <v>0.57675228530843103</v>
      </c>
      <c r="AS235" s="3">
        <v>0.59657021947166577</v>
      </c>
      <c r="AT235" s="3">
        <v>0.61710698741211478</v>
      </c>
      <c r="AU235" s="3">
        <v>0.63837047597700802</v>
      </c>
      <c r="AV235" s="3">
        <v>0.6603690363043575</v>
      </c>
      <c r="AW235" s="3">
        <v>0.68314635890172182</v>
      </c>
      <c r="AX235" s="3">
        <v>0.70672282733546321</v>
      </c>
      <c r="AY235" s="3">
        <v>0.73111918904415896</v>
      </c>
      <c r="AZ235" s="3">
        <v>0.75635374495546492</v>
      </c>
      <c r="BA235" s="3">
        <v>0.773303667554466</v>
      </c>
      <c r="BC235" s="17" t="s">
        <v>1475</v>
      </c>
      <c r="BD235" s="3">
        <v>0.48354466336675922</v>
      </c>
      <c r="BE235" s="3">
        <v>0.4797581340284397</v>
      </c>
      <c r="BF235" s="3">
        <v>0.47192310691696349</v>
      </c>
      <c r="BG235" s="3">
        <v>0.43165480058880379</v>
      </c>
      <c r="BH235" s="3">
        <v>0.45566480504690671</v>
      </c>
      <c r="BI235" s="3">
        <v>0.47248011863153522</v>
      </c>
      <c r="BJ235" s="3">
        <v>0.49897009153187238</v>
      </c>
      <c r="BK235" s="3">
        <v>0.52542058317850648</v>
      </c>
      <c r="BL235" s="3">
        <v>0.551701876962025</v>
      </c>
      <c r="BM235" s="3">
        <v>0.57059194906740307</v>
      </c>
      <c r="BN235" s="3">
        <v>0.5942737306299638</v>
      </c>
      <c r="BO235" s="3">
        <v>0.6190951500507802</v>
      </c>
      <c r="BP235" s="3">
        <v>0.64509865769479746</v>
      </c>
      <c r="BQ235" s="3">
        <v>0.67228946564529712</v>
      </c>
      <c r="BR235" s="3">
        <v>0.70067226881083933</v>
      </c>
      <c r="BS235" s="3">
        <v>0.73029401672816852</v>
      </c>
      <c r="BT235" s="3">
        <v>0.7611792674358473</v>
      </c>
      <c r="BU235" s="3">
        <v>0.79334847241680206</v>
      </c>
      <c r="BV235" s="3">
        <v>0.82682312742490782</v>
      </c>
      <c r="BW235" s="3">
        <v>0.8526802837601184</v>
      </c>
      <c r="BY235" s="17" t="s">
        <v>1476</v>
      </c>
      <c r="BZ235" s="3">
        <v>0.48354466336675922</v>
      </c>
      <c r="CA235" s="3">
        <v>0.4797581340284397</v>
      </c>
      <c r="CB235" s="3">
        <v>0.47192310691696349</v>
      </c>
      <c r="CC235" s="3">
        <v>0.43165480058880379</v>
      </c>
      <c r="CD235" s="3">
        <v>0.45566480504731499</v>
      </c>
      <c r="CE235" s="3">
        <v>0.47618206397873941</v>
      </c>
      <c r="CF235" s="3">
        <v>0.49947956299728341</v>
      </c>
      <c r="CG235" s="3">
        <v>0.52241076264823327</v>
      </c>
      <c r="CH235" s="3">
        <v>0.54480467125813292</v>
      </c>
      <c r="CI235" s="3">
        <v>0.55984740767601926</v>
      </c>
      <c r="CJ235" s="3">
        <v>0.57919133327094108</v>
      </c>
      <c r="CK235" s="3">
        <v>0.59922001764414223</v>
      </c>
      <c r="CL235" s="3">
        <v>0.6199628353546317</v>
      </c>
      <c r="CM235" s="3">
        <v>0.64142825083041954</v>
      </c>
      <c r="CN235" s="3">
        <v>0.6636249301610796</v>
      </c>
      <c r="CO235" s="3">
        <v>0.68659759496553197</v>
      </c>
      <c r="CP235" s="3">
        <v>0.71036768006213624</v>
      </c>
      <c r="CQ235" s="3">
        <v>0.73495645597344772</v>
      </c>
      <c r="CR235" s="3">
        <v>0.76038265807381189</v>
      </c>
      <c r="CS235" s="3">
        <v>0.77753694421671704</v>
      </c>
      <c r="CU235" s="17" t="s">
        <v>1477</v>
      </c>
      <c r="CV235" s="3">
        <v>0.48354466336675922</v>
      </c>
      <c r="CW235" s="3">
        <v>0.4797581340284397</v>
      </c>
      <c r="CX235" s="3">
        <v>0.47192310691696349</v>
      </c>
      <c r="CY235" s="3">
        <v>0.43165480058880379</v>
      </c>
      <c r="CZ235" s="3">
        <v>0.45566480504673629</v>
      </c>
      <c r="DA235" s="3">
        <v>0.48166937535151472</v>
      </c>
      <c r="DB235" s="3">
        <v>0.50620507716524632</v>
      </c>
      <c r="DC235" s="3">
        <v>0.53032322504377283</v>
      </c>
      <c r="DD235" s="3">
        <v>0.55384962456563258</v>
      </c>
      <c r="DE235" s="3">
        <v>0.5699933358372713</v>
      </c>
      <c r="DF235" s="3">
        <v>0.59038725824761307</v>
      </c>
      <c r="DG235" s="3">
        <v>0.61143255331613666</v>
      </c>
      <c r="DH235" s="3">
        <v>0.63316917063749845</v>
      </c>
      <c r="DI235" s="3">
        <v>0.65560424159037756</v>
      </c>
      <c r="DJ235" s="3">
        <v>0.6787492662953909</v>
      </c>
      <c r="DK235" s="3">
        <v>0.70265455877320726</v>
      </c>
      <c r="DL235" s="3">
        <v>0.72734551187135632</v>
      </c>
      <c r="DM235" s="3">
        <v>0.75284553778439023</v>
      </c>
      <c r="DN235" s="3">
        <v>0.77917528736948494</v>
      </c>
      <c r="DO235" s="3">
        <v>0.7972831736386552</v>
      </c>
    </row>
    <row r="236" spans="1:119" x14ac:dyDescent="0.45">
      <c r="A236" s="16" t="s">
        <v>1478</v>
      </c>
      <c r="B236" s="3" t="s">
        <v>89</v>
      </c>
      <c r="C236" s="16" t="s">
        <v>1479</v>
      </c>
      <c r="H236" s="3" t="s">
        <v>1480</v>
      </c>
      <c r="I236" s="3" t="s">
        <v>109</v>
      </c>
      <c r="K236" s="17" t="s">
        <v>1481</v>
      </c>
      <c r="L236" s="3">
        <v>179.8131300354539</v>
      </c>
      <c r="M236" s="3">
        <v>178.40505391782361</v>
      </c>
      <c r="N236" s="3">
        <v>175.49148490225861</v>
      </c>
      <c r="O236" s="3">
        <v>160.51712834194049</v>
      </c>
      <c r="P236" s="3">
        <v>169.44559841048471</v>
      </c>
      <c r="Q236" s="3">
        <v>174.47280437171031</v>
      </c>
      <c r="R236" s="3">
        <v>182.65103294626689</v>
      </c>
      <c r="S236" s="3">
        <v>190.7124669057234</v>
      </c>
      <c r="T236" s="3">
        <v>198.59483358685711</v>
      </c>
      <c r="U236" s="3">
        <v>203.7522125127085</v>
      </c>
      <c r="V236" s="3">
        <v>210.5307584168909</v>
      </c>
      <c r="W236" s="3">
        <v>217.57643506110361</v>
      </c>
      <c r="X236" s="3">
        <v>224.89669933756369</v>
      </c>
      <c r="Y236" s="3">
        <v>232.49495665494169</v>
      </c>
      <c r="Z236" s="3">
        <v>240.37311939828271</v>
      </c>
      <c r="AA236" s="3">
        <v>248.54547166630081</v>
      </c>
      <c r="AB236" s="3">
        <v>257.01868380391068</v>
      </c>
      <c r="AC236" s="3">
        <v>265.79954339222701</v>
      </c>
      <c r="AD236" s="3">
        <v>274.89433851995108</v>
      </c>
      <c r="AE236" s="3">
        <v>280.88695403779838</v>
      </c>
      <c r="AG236" s="17" t="s">
        <v>1482</v>
      </c>
      <c r="AH236" s="3">
        <v>179.8131300354539</v>
      </c>
      <c r="AI236" s="3">
        <v>178.40505391782361</v>
      </c>
      <c r="AJ236" s="3">
        <v>175.49148490225861</v>
      </c>
      <c r="AK236" s="3">
        <v>160.51712834194049</v>
      </c>
      <c r="AL236" s="3">
        <v>169.4455984105482</v>
      </c>
      <c r="AM236" s="3">
        <v>176.6074070791831</v>
      </c>
      <c r="AN236" s="3">
        <v>185.17582815019199</v>
      </c>
      <c r="AO236" s="3">
        <v>193.6122032743248</v>
      </c>
      <c r="AP236" s="3">
        <v>201.85242068893069</v>
      </c>
      <c r="AQ236" s="3">
        <v>207.3612467628617</v>
      </c>
      <c r="AR236" s="3">
        <v>214.47374262044099</v>
      </c>
      <c r="AS236" s="3">
        <v>221.8433302567023</v>
      </c>
      <c r="AT236" s="3">
        <v>229.48022670898101</v>
      </c>
      <c r="AU236" s="3">
        <v>237.38736481635891</v>
      </c>
      <c r="AV236" s="3">
        <v>245.56785007121161</v>
      </c>
      <c r="AW236" s="3">
        <v>254.03792942550041</v>
      </c>
      <c r="AX236" s="3">
        <v>262.80518280543828</v>
      </c>
      <c r="AY236" s="3">
        <v>271.87732544842379</v>
      </c>
      <c r="AZ236" s="3">
        <v>281.26116282111548</v>
      </c>
      <c r="BA236" s="3">
        <v>287.56423856010542</v>
      </c>
      <c r="BC236" s="17" t="s">
        <v>1483</v>
      </c>
      <c r="BD236" s="3">
        <v>179.8131300354539</v>
      </c>
      <c r="BE236" s="3">
        <v>178.40505391782361</v>
      </c>
      <c r="BF236" s="3">
        <v>175.49148490225861</v>
      </c>
      <c r="BG236" s="3">
        <v>160.51712834194049</v>
      </c>
      <c r="BH236" s="3">
        <v>169.44559841069619</v>
      </c>
      <c r="BI236" s="3">
        <v>175.69861782596041</v>
      </c>
      <c r="BJ236" s="3">
        <v>185.54930030190619</v>
      </c>
      <c r="BK236" s="3">
        <v>195.38530109828019</v>
      </c>
      <c r="BL236" s="3">
        <v>205.15838320344119</v>
      </c>
      <c r="BM236" s="3">
        <v>212.18293181124409</v>
      </c>
      <c r="BN236" s="3">
        <v>220.9893474129195</v>
      </c>
      <c r="BO236" s="3">
        <v>230.2195539607572</v>
      </c>
      <c r="BP236" s="3">
        <v>239.8893372416143</v>
      </c>
      <c r="BQ236" s="3">
        <v>250.00063544461781</v>
      </c>
      <c r="BR236" s="3">
        <v>260.55519443993722</v>
      </c>
      <c r="BS236" s="3">
        <v>271.57047309703239</v>
      </c>
      <c r="BT236" s="3">
        <v>283.05560368044081</v>
      </c>
      <c r="BU236" s="3">
        <v>295.01819137213909</v>
      </c>
      <c r="BV236" s="3">
        <v>307.46622968147523</v>
      </c>
      <c r="BW236" s="3">
        <v>317.08159009529442</v>
      </c>
      <c r="BY236" s="17" t="s">
        <v>1484</v>
      </c>
      <c r="BZ236" s="3">
        <v>179.8131300354539</v>
      </c>
      <c r="CA236" s="3">
        <v>178.40505391782361</v>
      </c>
      <c r="CB236" s="3">
        <v>175.49148490225861</v>
      </c>
      <c r="CC236" s="3">
        <v>160.51712834194049</v>
      </c>
      <c r="CD236" s="3">
        <v>169.44559841084811</v>
      </c>
      <c r="CE236" s="3">
        <v>177.07524015380551</v>
      </c>
      <c r="CF236" s="3">
        <v>185.7387546911273</v>
      </c>
      <c r="CG236" s="3">
        <v>194.2660554703269</v>
      </c>
      <c r="CH236" s="3">
        <v>202.59355674567399</v>
      </c>
      <c r="CI236" s="3">
        <v>208.18741750874241</v>
      </c>
      <c r="CJ236" s="3">
        <v>215.38073815088879</v>
      </c>
      <c r="CK236" s="3">
        <v>222.8286963241049</v>
      </c>
      <c r="CL236" s="3">
        <v>230.54221538624989</v>
      </c>
      <c r="CM236" s="3">
        <v>238.52444295823599</v>
      </c>
      <c r="CN236" s="3">
        <v>246.77860165176691</v>
      </c>
      <c r="CO236" s="3">
        <v>255.32132185259101</v>
      </c>
      <c r="CP236" s="3">
        <v>264.16057441029659</v>
      </c>
      <c r="CQ236" s="3">
        <v>273.30426907868292</v>
      </c>
      <c r="CR236" s="3">
        <v>282.75937287974119</v>
      </c>
      <c r="CS236" s="3">
        <v>289.13844418083431</v>
      </c>
      <c r="CU236" s="17" t="s">
        <v>1485</v>
      </c>
      <c r="CV236" s="3">
        <v>179.8131300354539</v>
      </c>
      <c r="CW236" s="3">
        <v>178.40505391782361</v>
      </c>
      <c r="CX236" s="3">
        <v>175.49148490225861</v>
      </c>
      <c r="CY236" s="3">
        <v>160.51712834194049</v>
      </c>
      <c r="CZ236" s="3">
        <v>169.4455984106329</v>
      </c>
      <c r="DA236" s="3">
        <v>179.11577685738081</v>
      </c>
      <c r="DB236" s="3">
        <v>188.23973514910401</v>
      </c>
      <c r="DC236" s="3">
        <v>197.2084199247779</v>
      </c>
      <c r="DD236" s="3">
        <v>205.95705445015071</v>
      </c>
      <c r="DE236" s="3">
        <v>211.96032875769939</v>
      </c>
      <c r="DF236" s="3">
        <v>219.54410601784119</v>
      </c>
      <c r="DG236" s="3">
        <v>227.37010569374019</v>
      </c>
      <c r="DH236" s="3">
        <v>235.45318362437669</v>
      </c>
      <c r="DI236" s="3">
        <v>243.7959917168422</v>
      </c>
      <c r="DJ236" s="3">
        <v>252.40280645858559</v>
      </c>
      <c r="DK236" s="3">
        <v>261.29233785144652</v>
      </c>
      <c r="DL236" s="3">
        <v>270.4740285958427</v>
      </c>
      <c r="DM236" s="3">
        <v>279.95658485751733</v>
      </c>
      <c r="DN236" s="3">
        <v>289.74768595866738</v>
      </c>
      <c r="DO236" s="3">
        <v>296.48136736405172</v>
      </c>
    </row>
    <row r="237" spans="1:119" x14ac:dyDescent="0.45">
      <c r="A237" s="16" t="s">
        <v>1486</v>
      </c>
      <c r="B237" s="3" t="s">
        <v>89</v>
      </c>
      <c r="C237" s="16" t="s">
        <v>1487</v>
      </c>
      <c r="H237" s="3" t="s">
        <v>1488</v>
      </c>
      <c r="I237" s="3" t="s">
        <v>860</v>
      </c>
      <c r="K237" s="17" t="s">
        <v>1489</v>
      </c>
      <c r="L237" s="3">
        <v>0.85885294399219292</v>
      </c>
      <c r="M237" s="3">
        <v>0.76940895052677016</v>
      </c>
      <c r="N237" s="3">
        <v>0.74761499615406024</v>
      </c>
      <c r="O237" s="3">
        <v>0.67372705936094257</v>
      </c>
      <c r="P237" s="3">
        <v>0.73310222353779597</v>
      </c>
      <c r="Q237" s="3">
        <v>0.68226779402348403</v>
      </c>
      <c r="R237" s="3">
        <v>0.67244942703926569</v>
      </c>
      <c r="S237" s="3">
        <v>0.67049060266374005</v>
      </c>
      <c r="T237" s="3">
        <v>0.66971835195364493</v>
      </c>
      <c r="U237" s="3">
        <v>0.66845620291129992</v>
      </c>
      <c r="V237" s="3">
        <v>0.67489753271702935</v>
      </c>
      <c r="W237" s="3">
        <v>0.68159595935568995</v>
      </c>
      <c r="X237" s="3">
        <v>0.68856155396237539</v>
      </c>
      <c r="Y237" s="3">
        <v>0.69580491937610867</v>
      </c>
      <c r="Z237" s="3">
        <v>0.70333688045136278</v>
      </c>
      <c r="AA237" s="3">
        <v>0.71116901376976571</v>
      </c>
      <c r="AB237" s="3">
        <v>0.71931279867407205</v>
      </c>
      <c r="AC237" s="3">
        <v>0.72778042286741684</v>
      </c>
      <c r="AD237" s="3">
        <v>0.73658453899063492</v>
      </c>
      <c r="AE237" s="3">
        <v>0.74555714054373723</v>
      </c>
      <c r="AG237" s="17" t="s">
        <v>1490</v>
      </c>
      <c r="AH237" s="3">
        <v>0.85885294399219292</v>
      </c>
      <c r="AI237" s="3">
        <v>0.76940895052677016</v>
      </c>
      <c r="AJ237" s="3">
        <v>0.74761499615406024</v>
      </c>
      <c r="AK237" s="3">
        <v>0.67372705936094257</v>
      </c>
      <c r="AL237" s="3">
        <v>0.73310222353779597</v>
      </c>
      <c r="AM237" s="3">
        <v>0.68225286765729865</v>
      </c>
      <c r="AN237" s="3">
        <v>0.67243309336532131</v>
      </c>
      <c r="AO237" s="3">
        <v>0.67047310999035514</v>
      </c>
      <c r="AP237" s="3">
        <v>0.66969919818711821</v>
      </c>
      <c r="AQ237" s="3">
        <v>0.66843669285847829</v>
      </c>
      <c r="AR237" s="3">
        <v>0.67487699648610744</v>
      </c>
      <c r="AS237" s="3">
        <v>0.68157478954141615</v>
      </c>
      <c r="AT237" s="3">
        <v>0.68853994937415541</v>
      </c>
      <c r="AU237" s="3">
        <v>0.6957827772934333</v>
      </c>
      <c r="AV237" s="3">
        <v>0.70331429177194127</v>
      </c>
      <c r="AW237" s="3">
        <v>0.71114620678577967</v>
      </c>
      <c r="AX237" s="3">
        <v>0.71928957031358842</v>
      </c>
      <c r="AY237" s="3">
        <v>0.72775665743099494</v>
      </c>
      <c r="AZ237" s="3">
        <v>0.73655994837130223</v>
      </c>
      <c r="BA237" s="3">
        <v>0.74553255706213672</v>
      </c>
      <c r="BC237" s="17" t="s">
        <v>1491</v>
      </c>
      <c r="BD237" s="3">
        <v>0.85885294399219292</v>
      </c>
      <c r="BE237" s="3">
        <v>0.76940895052677016</v>
      </c>
      <c r="BF237" s="3">
        <v>0.74761499615406024</v>
      </c>
      <c r="BG237" s="3">
        <v>0.67372705936094257</v>
      </c>
      <c r="BH237" s="3">
        <v>0.73310222353779597</v>
      </c>
      <c r="BI237" s="3">
        <v>0.68224548952956998</v>
      </c>
      <c r="BJ237" s="3">
        <v>0.67240115702657988</v>
      </c>
      <c r="BK237" s="3">
        <v>0.67041906249435013</v>
      </c>
      <c r="BL237" s="3">
        <v>0.66962512320201029</v>
      </c>
      <c r="BM237" s="3">
        <v>0.66835852430601528</v>
      </c>
      <c r="BN237" s="3">
        <v>0.67479287525528275</v>
      </c>
      <c r="BO237" s="3">
        <v>0.68148402805690389</v>
      </c>
      <c r="BP237" s="3">
        <v>0.68844224986830693</v>
      </c>
      <c r="BQ237" s="3">
        <v>0.69567809459618402</v>
      </c>
      <c r="BR237" s="3">
        <v>0.70320241880179046</v>
      </c>
      <c r="BS237" s="3">
        <v>0.71102691253676997</v>
      </c>
      <c r="BT237" s="3">
        <v>0.71916296655325118</v>
      </c>
      <c r="BU237" s="3">
        <v>0.72762270446370081</v>
      </c>
      <c r="BV237" s="3">
        <v>0.73641858738694665</v>
      </c>
      <c r="BW237" s="3">
        <v>0.74538892734263207</v>
      </c>
      <c r="BY237" s="17" t="s">
        <v>1492</v>
      </c>
      <c r="BZ237" s="3">
        <v>0.85885294399219292</v>
      </c>
      <c r="CA237" s="3">
        <v>0.76940895052677016</v>
      </c>
      <c r="CB237" s="3">
        <v>0.74761499615406024</v>
      </c>
      <c r="CC237" s="3">
        <v>0.67372705936094257</v>
      </c>
      <c r="CD237" s="3">
        <v>0.73310222353779597</v>
      </c>
      <c r="CE237" s="3">
        <v>0.68224972933772055</v>
      </c>
      <c r="CF237" s="3">
        <v>0.67242965862384574</v>
      </c>
      <c r="CG237" s="3">
        <v>0.67046936767751919</v>
      </c>
      <c r="CH237" s="3">
        <v>0.66969521769148765</v>
      </c>
      <c r="CI237" s="3">
        <v>0.66843270772138608</v>
      </c>
      <c r="CJ237" s="3">
        <v>0.67487281587881986</v>
      </c>
      <c r="CK237" s="3">
        <v>0.68157045982506426</v>
      </c>
      <c r="CL237" s="3">
        <v>0.68853528037498257</v>
      </c>
      <c r="CM237" s="3">
        <v>0.69577778930337431</v>
      </c>
      <c r="CN237" s="3">
        <v>0.70330896867795301</v>
      </c>
      <c r="CO237" s="3">
        <v>0.71114047849877782</v>
      </c>
      <c r="CP237" s="3">
        <v>0.71928343827842067</v>
      </c>
      <c r="CQ237" s="3">
        <v>0.72775018287652982</v>
      </c>
      <c r="CR237" s="3">
        <v>0.73655318117348045</v>
      </c>
      <c r="CS237" s="3">
        <v>0.74552585524958737</v>
      </c>
      <c r="CU237" s="17" t="s">
        <v>1493</v>
      </c>
      <c r="CV237" s="3">
        <v>0.85885294399219292</v>
      </c>
      <c r="CW237" s="3">
        <v>0.76940895052677016</v>
      </c>
      <c r="CX237" s="3">
        <v>0.74761499615406024</v>
      </c>
      <c r="CY237" s="3">
        <v>0.67372705936094257</v>
      </c>
      <c r="CZ237" s="3">
        <v>0.73310222353779597</v>
      </c>
      <c r="DA237" s="3">
        <v>0.68223640821221399</v>
      </c>
      <c r="DB237" s="3">
        <v>0.67241507937533262</v>
      </c>
      <c r="DC237" s="3">
        <v>0.67045382089202687</v>
      </c>
      <c r="DD237" s="3">
        <v>0.66967804570528133</v>
      </c>
      <c r="DE237" s="3">
        <v>0.66841518938241085</v>
      </c>
      <c r="DF237" s="3">
        <v>0.67485432034303083</v>
      </c>
      <c r="DG237" s="3">
        <v>0.681551450785153</v>
      </c>
      <c r="DH237" s="3">
        <v>0.68851610407736219</v>
      </c>
      <c r="DI237" s="3">
        <v>0.69575833374720986</v>
      </c>
      <c r="DJ237" s="3">
        <v>0.70328934337334537</v>
      </c>
      <c r="DK237" s="3">
        <v>0.71112101083768586</v>
      </c>
      <c r="DL237" s="3">
        <v>0.71926388313749212</v>
      </c>
      <c r="DM237" s="3">
        <v>0.72773037786792838</v>
      </c>
      <c r="DN237" s="3">
        <v>0.73653275709326638</v>
      </c>
      <c r="DO237" s="3">
        <v>0.74550539481127309</v>
      </c>
    </row>
    <row r="238" spans="1:119" x14ac:dyDescent="0.45">
      <c r="A238" s="16" t="s">
        <v>1494</v>
      </c>
      <c r="B238" s="3" t="s">
        <v>89</v>
      </c>
      <c r="C238" s="16" t="s">
        <v>1495</v>
      </c>
      <c r="H238" s="3" t="s">
        <v>1496</v>
      </c>
      <c r="I238" s="3" t="s">
        <v>860</v>
      </c>
      <c r="K238" s="17" t="s">
        <v>1497</v>
      </c>
      <c r="L238" s="3">
        <v>0.65386883689399466</v>
      </c>
      <c r="M238" s="3">
        <v>0.57149139886692202</v>
      </c>
      <c r="N238" s="3">
        <v>0.54847415682656597</v>
      </c>
      <c r="O238" s="3">
        <v>0.48018312511645278</v>
      </c>
      <c r="P238" s="3">
        <v>0.52764544003214675</v>
      </c>
      <c r="Q238" s="3">
        <v>0.47843026725222848</v>
      </c>
      <c r="R238" s="3">
        <v>0.46489037598112448</v>
      </c>
      <c r="S238" s="3">
        <v>0.45806517280931602</v>
      </c>
      <c r="T238" s="3">
        <v>0.45209649016111908</v>
      </c>
      <c r="U238" s="3">
        <v>0.44561206654743452</v>
      </c>
      <c r="V238" s="3">
        <v>0.44561206654743452</v>
      </c>
      <c r="W238" s="3">
        <v>0.44561206654743452</v>
      </c>
      <c r="X238" s="3">
        <v>0.44561206654743463</v>
      </c>
      <c r="Y238" s="3">
        <v>0.44561206654743463</v>
      </c>
      <c r="Z238" s="3">
        <v>0.44561206654743463</v>
      </c>
      <c r="AA238" s="3">
        <v>0.44561206654743452</v>
      </c>
      <c r="AB238" s="3">
        <v>0.44561206654743452</v>
      </c>
      <c r="AC238" s="3">
        <v>0.44561206654743452</v>
      </c>
      <c r="AD238" s="3">
        <v>0.44561206654743452</v>
      </c>
      <c r="AE238" s="3">
        <v>0.44561206654743452</v>
      </c>
      <c r="AG238" s="17" t="s">
        <v>1498</v>
      </c>
      <c r="AH238" s="3">
        <v>0.65386883689399466</v>
      </c>
      <c r="AI238" s="3">
        <v>0.57149139886692202</v>
      </c>
      <c r="AJ238" s="3">
        <v>0.54847415682656597</v>
      </c>
      <c r="AK238" s="3">
        <v>0.48018312511645278</v>
      </c>
      <c r="AL238" s="3">
        <v>0.52764544003214675</v>
      </c>
      <c r="AM238" s="3">
        <v>0.47843026725222848</v>
      </c>
      <c r="AN238" s="3">
        <v>0.46489037598112448</v>
      </c>
      <c r="AO238" s="3">
        <v>0.45806517280931602</v>
      </c>
      <c r="AP238" s="3">
        <v>0.45209649016111908</v>
      </c>
      <c r="AQ238" s="3">
        <v>0.44561206654743452</v>
      </c>
      <c r="AR238" s="3">
        <v>0.44561206654743452</v>
      </c>
      <c r="AS238" s="3">
        <v>0.44561206654743452</v>
      </c>
      <c r="AT238" s="3">
        <v>0.44561206654743463</v>
      </c>
      <c r="AU238" s="3">
        <v>0.44561206654743463</v>
      </c>
      <c r="AV238" s="3">
        <v>0.44561206654743463</v>
      </c>
      <c r="AW238" s="3">
        <v>0.44561206654743452</v>
      </c>
      <c r="AX238" s="3">
        <v>0.44561206654743452</v>
      </c>
      <c r="AY238" s="3">
        <v>0.44561206654743452</v>
      </c>
      <c r="AZ238" s="3">
        <v>0.44561206654743452</v>
      </c>
      <c r="BA238" s="3">
        <v>0.44561206654743452</v>
      </c>
      <c r="BC238" s="17" t="s">
        <v>1499</v>
      </c>
      <c r="BD238" s="3">
        <v>0.65386883689399466</v>
      </c>
      <c r="BE238" s="3">
        <v>0.57149139886692202</v>
      </c>
      <c r="BF238" s="3">
        <v>0.54847415682656597</v>
      </c>
      <c r="BG238" s="3">
        <v>0.48018312511645278</v>
      </c>
      <c r="BH238" s="3">
        <v>0.52764544003214675</v>
      </c>
      <c r="BI238" s="3">
        <v>0.47843026725222848</v>
      </c>
      <c r="BJ238" s="3">
        <v>0.46489037598112448</v>
      </c>
      <c r="BK238" s="3">
        <v>0.45806517280931602</v>
      </c>
      <c r="BL238" s="3">
        <v>0.45209649016111908</v>
      </c>
      <c r="BM238" s="3">
        <v>0.44561206654743452</v>
      </c>
      <c r="BN238" s="3">
        <v>0.44561206654743452</v>
      </c>
      <c r="BO238" s="3">
        <v>0.44561206654743452</v>
      </c>
      <c r="BP238" s="3">
        <v>0.44561206654743463</v>
      </c>
      <c r="BQ238" s="3">
        <v>0.44561206654743463</v>
      </c>
      <c r="BR238" s="3">
        <v>0.44561206654743463</v>
      </c>
      <c r="BS238" s="3">
        <v>0.44561206654743452</v>
      </c>
      <c r="BT238" s="3">
        <v>0.44561206654743452</v>
      </c>
      <c r="BU238" s="3">
        <v>0.44561206654743452</v>
      </c>
      <c r="BV238" s="3">
        <v>0.44561206654743452</v>
      </c>
      <c r="BW238" s="3">
        <v>0.44561206654743452</v>
      </c>
      <c r="BY238" s="17" t="s">
        <v>1500</v>
      </c>
      <c r="BZ238" s="3">
        <v>0.65386883689399466</v>
      </c>
      <c r="CA238" s="3">
        <v>0.57149139886692202</v>
      </c>
      <c r="CB238" s="3">
        <v>0.54847415682656597</v>
      </c>
      <c r="CC238" s="3">
        <v>0.48018312511645278</v>
      </c>
      <c r="CD238" s="3">
        <v>0.52764544003214675</v>
      </c>
      <c r="CE238" s="3">
        <v>0.47843026725222848</v>
      </c>
      <c r="CF238" s="3">
        <v>0.46489037598112448</v>
      </c>
      <c r="CG238" s="3">
        <v>0.45806517280931602</v>
      </c>
      <c r="CH238" s="3">
        <v>0.45209649016111908</v>
      </c>
      <c r="CI238" s="3">
        <v>0.44561206654743452</v>
      </c>
      <c r="CJ238" s="3">
        <v>0.44561206654743452</v>
      </c>
      <c r="CK238" s="3">
        <v>0.44561206654743452</v>
      </c>
      <c r="CL238" s="3">
        <v>0.44561206654743463</v>
      </c>
      <c r="CM238" s="3">
        <v>0.44561206654743463</v>
      </c>
      <c r="CN238" s="3">
        <v>0.44561206654743463</v>
      </c>
      <c r="CO238" s="3">
        <v>0.44561206654743452</v>
      </c>
      <c r="CP238" s="3">
        <v>0.44561206654743452</v>
      </c>
      <c r="CQ238" s="3">
        <v>0.44561206654743452</v>
      </c>
      <c r="CR238" s="3">
        <v>0.44561206654743452</v>
      </c>
      <c r="CS238" s="3">
        <v>0.44561206654743452</v>
      </c>
      <c r="CU238" s="17" t="s">
        <v>1501</v>
      </c>
      <c r="CV238" s="3">
        <v>0.65386883689399466</v>
      </c>
      <c r="CW238" s="3">
        <v>0.57149139886692202</v>
      </c>
      <c r="CX238" s="3">
        <v>0.54847415682656597</v>
      </c>
      <c r="CY238" s="3">
        <v>0.48018312511645278</v>
      </c>
      <c r="CZ238" s="3">
        <v>0.52764544003214675</v>
      </c>
      <c r="DA238" s="3">
        <v>0.47843026725222848</v>
      </c>
      <c r="DB238" s="3">
        <v>0.46489037598112448</v>
      </c>
      <c r="DC238" s="3">
        <v>0.45806517280931602</v>
      </c>
      <c r="DD238" s="3">
        <v>0.45209649016111908</v>
      </c>
      <c r="DE238" s="3">
        <v>0.44561206654743452</v>
      </c>
      <c r="DF238" s="3">
        <v>0.44561206654743452</v>
      </c>
      <c r="DG238" s="3">
        <v>0.44561206654743452</v>
      </c>
      <c r="DH238" s="3">
        <v>0.44561206654743463</v>
      </c>
      <c r="DI238" s="3">
        <v>0.44561206654743463</v>
      </c>
      <c r="DJ238" s="3">
        <v>0.44561206654743463</v>
      </c>
      <c r="DK238" s="3">
        <v>0.44561206654743452</v>
      </c>
      <c r="DL238" s="3">
        <v>0.44561206654743452</v>
      </c>
      <c r="DM238" s="3">
        <v>0.44561206654743452</v>
      </c>
      <c r="DN238" s="3">
        <v>0.44561206654743452</v>
      </c>
      <c r="DO238" s="3">
        <v>0.44561206654743452</v>
      </c>
    </row>
    <row r="239" spans="1:119" x14ac:dyDescent="0.45">
      <c r="A239" s="16" t="s">
        <v>1502</v>
      </c>
      <c r="B239" s="3" t="s">
        <v>89</v>
      </c>
      <c r="C239" s="16" t="s">
        <v>1503</v>
      </c>
      <c r="H239" s="3" t="s">
        <v>1504</v>
      </c>
      <c r="I239" s="3" t="s">
        <v>1300</v>
      </c>
      <c r="K239" s="17" t="s">
        <v>1505</v>
      </c>
      <c r="L239" s="3">
        <v>2.5947489421342582E-3</v>
      </c>
      <c r="M239" s="3">
        <v>2.6358959946603498E-3</v>
      </c>
      <c r="N239" s="3">
        <v>2.5039207121281882E-3</v>
      </c>
      <c r="O239" s="3">
        <v>1.7879907524908081E-3</v>
      </c>
      <c r="P239" s="3">
        <v>2.0484518771824748E-3</v>
      </c>
      <c r="Q239" s="3">
        <v>2.1368904599441889E-3</v>
      </c>
      <c r="R239" s="3">
        <v>2.3476445788704649E-3</v>
      </c>
      <c r="S239" s="3">
        <v>2.549384838783799E-3</v>
      </c>
      <c r="T239" s="3">
        <v>2.7392508309355928E-3</v>
      </c>
      <c r="U239" s="3">
        <v>2.811066259310453E-3</v>
      </c>
      <c r="V239" s="3">
        <v>2.9436772639288488E-3</v>
      </c>
      <c r="W239" s="3">
        <v>3.0811046742600929E-3</v>
      </c>
      <c r="X239" s="3">
        <v>3.2233545340557318E-3</v>
      </c>
      <c r="Y239" s="3">
        <v>3.370546162611949E-3</v>
      </c>
      <c r="Z239" s="3">
        <v>3.5226263729522551E-3</v>
      </c>
      <c r="AA239" s="3">
        <v>3.6798194409507321E-3</v>
      </c>
      <c r="AB239" s="3">
        <v>3.8418671204121812E-3</v>
      </c>
      <c r="AC239" s="3">
        <v>4.0087194200925562E-3</v>
      </c>
      <c r="AD239" s="3">
        <v>4.1803045504790089E-3</v>
      </c>
      <c r="AE239" s="3">
        <v>4.1976309676210006E-3</v>
      </c>
      <c r="AG239" s="17" t="s">
        <v>1506</v>
      </c>
      <c r="AH239" s="3">
        <v>2.5947489421342582E-3</v>
      </c>
      <c r="AI239" s="3">
        <v>2.6358959946603498E-3</v>
      </c>
      <c r="AJ239" s="3">
        <v>2.5039207121281882E-3</v>
      </c>
      <c r="AK239" s="3">
        <v>1.7879907524908081E-3</v>
      </c>
      <c r="AL239" s="3">
        <v>2.0484518771824748E-3</v>
      </c>
      <c r="AM239" s="3">
        <v>2.1237971562727831E-3</v>
      </c>
      <c r="AN239" s="3">
        <v>2.333316794708737E-3</v>
      </c>
      <c r="AO239" s="3">
        <v>2.534040388446201E-3</v>
      </c>
      <c r="AP239" s="3">
        <v>2.7224492813508112E-3</v>
      </c>
      <c r="AQ239" s="3">
        <v>2.7939521778879112E-3</v>
      </c>
      <c r="AR239" s="3">
        <v>2.925663026278088E-3</v>
      </c>
      <c r="AS239" s="3">
        <v>3.0625346617391891E-3</v>
      </c>
      <c r="AT239" s="3">
        <v>3.204403140880331E-3</v>
      </c>
      <c r="AU239" s="3">
        <v>3.3511232830722259E-3</v>
      </c>
      <c r="AV239" s="3">
        <v>3.502811741880774E-3</v>
      </c>
      <c r="AW239" s="3">
        <v>3.6598133146471378E-3</v>
      </c>
      <c r="AX239" s="3">
        <v>3.821491365601966E-3</v>
      </c>
      <c r="AY239" s="3">
        <v>3.9878725460382311E-3</v>
      </c>
      <c r="AZ239" s="3">
        <v>4.1587338317662006E-3</v>
      </c>
      <c r="BA239" s="3">
        <v>4.1760665100767456E-3</v>
      </c>
      <c r="BC239" s="17" t="s">
        <v>1507</v>
      </c>
      <c r="BD239" s="3">
        <v>2.5947489421342582E-3</v>
      </c>
      <c r="BE239" s="3">
        <v>2.6358959946603498E-3</v>
      </c>
      <c r="BF239" s="3">
        <v>2.5039207121281882E-3</v>
      </c>
      <c r="BG239" s="3">
        <v>1.7879907524908081E-3</v>
      </c>
      <c r="BH239" s="3">
        <v>2.0484518771824748E-3</v>
      </c>
      <c r="BI239" s="3">
        <v>2.1173251144055612E-3</v>
      </c>
      <c r="BJ239" s="3">
        <v>2.3053024624793078E-3</v>
      </c>
      <c r="BK239" s="3">
        <v>2.486630304231156E-3</v>
      </c>
      <c r="BL239" s="3">
        <v>2.6574712242385199E-3</v>
      </c>
      <c r="BM239" s="3">
        <v>2.7253832722186188E-3</v>
      </c>
      <c r="BN239" s="3">
        <v>2.8518724729231179E-3</v>
      </c>
      <c r="BO239" s="3">
        <v>2.9829193244477309E-3</v>
      </c>
      <c r="BP239" s="3">
        <v>3.1187018199605198E-3</v>
      </c>
      <c r="BQ239" s="3">
        <v>3.259296355660567E-3</v>
      </c>
      <c r="BR239" s="3">
        <v>3.404677557537933E-3</v>
      </c>
      <c r="BS239" s="3">
        <v>3.5551692365685E-3</v>
      </c>
      <c r="BT239" s="3">
        <v>3.710435435481592E-3</v>
      </c>
      <c r="BU239" s="3">
        <v>3.8703699431487052E-3</v>
      </c>
      <c r="BV239" s="3">
        <v>4.0347329682963902E-3</v>
      </c>
      <c r="BW239" s="3">
        <v>4.0500755280551094E-3</v>
      </c>
      <c r="BY239" s="17" t="s">
        <v>1508</v>
      </c>
      <c r="BZ239" s="3">
        <v>2.5947489421342582E-3</v>
      </c>
      <c r="CA239" s="3">
        <v>2.6358959946603498E-3</v>
      </c>
      <c r="CB239" s="3">
        <v>2.5039207121281882E-3</v>
      </c>
      <c r="CC239" s="3">
        <v>1.7879907524908081E-3</v>
      </c>
      <c r="CD239" s="3">
        <v>2.0484518771824748E-3</v>
      </c>
      <c r="CE239" s="3">
        <v>2.1210442443622651E-3</v>
      </c>
      <c r="CF239" s="3">
        <v>2.330303863589781E-3</v>
      </c>
      <c r="CG239" s="3">
        <v>2.530757657888297E-3</v>
      </c>
      <c r="CH239" s="3">
        <v>2.7189576185168902E-3</v>
      </c>
      <c r="CI239" s="3">
        <v>2.790456443596533E-3</v>
      </c>
      <c r="CJ239" s="3">
        <v>2.9219958269030362E-3</v>
      </c>
      <c r="CK239" s="3">
        <v>3.0587366649392762E-3</v>
      </c>
      <c r="CL239" s="3">
        <v>3.2003075275707509E-3</v>
      </c>
      <c r="CM239" s="3">
        <v>3.3467478531959958E-3</v>
      </c>
      <c r="CN239" s="3">
        <v>3.498142361189371E-3</v>
      </c>
      <c r="CO239" s="3">
        <v>3.6547885014875888E-3</v>
      </c>
      <c r="CP239" s="3">
        <v>3.8161123873846139E-3</v>
      </c>
      <c r="CQ239" s="3">
        <v>3.982193112296928E-3</v>
      </c>
      <c r="CR239" s="3">
        <v>4.1527976933260109E-3</v>
      </c>
      <c r="CS239" s="3">
        <v>4.1701877271386831E-3</v>
      </c>
      <c r="CU239" s="17" t="s">
        <v>1509</v>
      </c>
      <c r="CV239" s="3">
        <v>2.5947489421342582E-3</v>
      </c>
      <c r="CW239" s="3">
        <v>2.6358959946603498E-3</v>
      </c>
      <c r="CX239" s="3">
        <v>2.5039207121281882E-3</v>
      </c>
      <c r="CY239" s="3">
        <v>1.7879907524908081E-3</v>
      </c>
      <c r="CZ239" s="3">
        <v>2.0484518771824748E-3</v>
      </c>
      <c r="DA239" s="3">
        <v>2.109359046549466E-3</v>
      </c>
      <c r="DB239" s="3">
        <v>2.317515049104556E-3</v>
      </c>
      <c r="DC239" s="3">
        <v>2.5171201267547689E-3</v>
      </c>
      <c r="DD239" s="3">
        <v>2.7038944727219658E-3</v>
      </c>
      <c r="DE239" s="3">
        <v>2.775089479583201E-3</v>
      </c>
      <c r="DF239" s="3">
        <v>2.9057716727021832E-3</v>
      </c>
      <c r="DG239" s="3">
        <v>3.0420620685259439E-3</v>
      </c>
      <c r="DH239" s="3">
        <v>3.1834862138686048E-3</v>
      </c>
      <c r="DI239" s="3">
        <v>3.32968157585865E-3</v>
      </c>
      <c r="DJ239" s="3">
        <v>3.4809271817089499E-3</v>
      </c>
      <c r="DK239" s="3">
        <v>3.637711605792935E-3</v>
      </c>
      <c r="DL239" s="3">
        <v>3.798958754991207E-3</v>
      </c>
      <c r="DM239" s="3">
        <v>3.9648202977342444E-3</v>
      </c>
      <c r="DN239" s="3">
        <v>4.1348818334891986E-3</v>
      </c>
      <c r="DO239" s="3">
        <v>4.1522399742313972E-3</v>
      </c>
    </row>
    <row r="240" spans="1:119" x14ac:dyDescent="0.45">
      <c r="A240" s="16" t="s">
        <v>1510</v>
      </c>
      <c r="B240" s="3" t="s">
        <v>89</v>
      </c>
      <c r="C240" s="16" t="s">
        <v>1511</v>
      </c>
      <c r="H240" s="3" t="s">
        <v>1512</v>
      </c>
      <c r="I240" s="3" t="s">
        <v>860</v>
      </c>
      <c r="K240" s="17" t="s">
        <v>1513</v>
      </c>
      <c r="L240" s="3">
        <v>9.6916189595619276E-2</v>
      </c>
      <c r="M240" s="3">
        <v>0.10079283717944409</v>
      </c>
      <c r="N240" s="3">
        <v>0.1048245506666218</v>
      </c>
      <c r="O240" s="3">
        <v>0.10901753269328671</v>
      </c>
      <c r="P240" s="3">
        <v>0.11337823400101819</v>
      </c>
      <c r="Q240" s="3">
        <v>0.1179133633610589</v>
      </c>
      <c r="R240" s="3">
        <v>0.1226298978955012</v>
      </c>
      <c r="S240" s="3">
        <v>0.1275350938113213</v>
      </c>
      <c r="T240" s="3">
        <v>0.13263649756377421</v>
      </c>
      <c r="U240" s="3">
        <v>0.13794195746632509</v>
      </c>
      <c r="V240" s="3">
        <v>0.14345963576497811</v>
      </c>
      <c r="W240" s="3">
        <v>0.14919802119557729</v>
      </c>
      <c r="X240" s="3">
        <v>0.1551659420434004</v>
      </c>
      <c r="Y240" s="3">
        <v>0.16137257972513641</v>
      </c>
      <c r="Z240" s="3">
        <v>0.1678274829141419</v>
      </c>
      <c r="AA240" s="3">
        <v>0.17454058223070751</v>
      </c>
      <c r="AB240" s="3">
        <v>0.18152220551993581</v>
      </c>
      <c r="AC240" s="3">
        <v>0.18878309374073329</v>
      </c>
      <c r="AD240" s="3">
        <v>0.19633441749036259</v>
      </c>
      <c r="AE240" s="3">
        <v>0.2041877941899771</v>
      </c>
      <c r="AG240" s="17" t="s">
        <v>1514</v>
      </c>
      <c r="AH240" s="3">
        <v>9.6916189595619276E-2</v>
      </c>
      <c r="AI240" s="3">
        <v>0.10079283717944409</v>
      </c>
      <c r="AJ240" s="3">
        <v>0.1048245506666218</v>
      </c>
      <c r="AK240" s="3">
        <v>0.10901753269328671</v>
      </c>
      <c r="AL240" s="3">
        <v>0.11337823400101819</v>
      </c>
      <c r="AM240" s="3">
        <v>0.1179133633610589</v>
      </c>
      <c r="AN240" s="3">
        <v>0.1226298978955012</v>
      </c>
      <c r="AO240" s="3">
        <v>0.1275350938113213</v>
      </c>
      <c r="AP240" s="3">
        <v>0.13263649756377421</v>
      </c>
      <c r="AQ240" s="3">
        <v>0.13794195746632509</v>
      </c>
      <c r="AR240" s="3">
        <v>0.14345963576497811</v>
      </c>
      <c r="AS240" s="3">
        <v>0.14919802119557729</v>
      </c>
      <c r="AT240" s="3">
        <v>0.1551659420434004</v>
      </c>
      <c r="AU240" s="3">
        <v>0.16137257972513641</v>
      </c>
      <c r="AV240" s="3">
        <v>0.1678274829141419</v>
      </c>
      <c r="AW240" s="3">
        <v>0.17454058223070751</v>
      </c>
      <c r="AX240" s="3">
        <v>0.18152220551993581</v>
      </c>
      <c r="AY240" s="3">
        <v>0.18878309374073329</v>
      </c>
      <c r="AZ240" s="3">
        <v>0.19633441749036259</v>
      </c>
      <c r="BA240" s="3">
        <v>0.2041877941899771</v>
      </c>
      <c r="BC240" s="17" t="s">
        <v>1515</v>
      </c>
      <c r="BD240" s="3">
        <v>9.6916189595619276E-2</v>
      </c>
      <c r="BE240" s="3">
        <v>0.10079283717944409</v>
      </c>
      <c r="BF240" s="3">
        <v>0.1048245506666218</v>
      </c>
      <c r="BG240" s="3">
        <v>0.10901753269328671</v>
      </c>
      <c r="BH240" s="3">
        <v>0.11337823400101819</v>
      </c>
      <c r="BI240" s="3">
        <v>0.1179133633610589</v>
      </c>
      <c r="BJ240" s="3">
        <v>0.1226298978955012</v>
      </c>
      <c r="BK240" s="3">
        <v>0.1275350938113213</v>
      </c>
      <c r="BL240" s="3">
        <v>0.13263649756377421</v>
      </c>
      <c r="BM240" s="3">
        <v>0.13794195746632509</v>
      </c>
      <c r="BN240" s="3">
        <v>0.14345963576497811</v>
      </c>
      <c r="BO240" s="3">
        <v>0.14919802119557729</v>
      </c>
      <c r="BP240" s="3">
        <v>0.1551659420434004</v>
      </c>
      <c r="BQ240" s="3">
        <v>0.16137257972513641</v>
      </c>
      <c r="BR240" s="3">
        <v>0.1678274829141419</v>
      </c>
      <c r="BS240" s="3">
        <v>0.17454058223070751</v>
      </c>
      <c r="BT240" s="3">
        <v>0.18152220551993581</v>
      </c>
      <c r="BU240" s="3">
        <v>0.18878309374073329</v>
      </c>
      <c r="BV240" s="3">
        <v>0.19633441749036259</v>
      </c>
      <c r="BW240" s="3">
        <v>0.2041877941899771</v>
      </c>
      <c r="BY240" s="17" t="s">
        <v>1516</v>
      </c>
      <c r="BZ240" s="3">
        <v>9.6916189595619276E-2</v>
      </c>
      <c r="CA240" s="3">
        <v>0.10079283717944409</v>
      </c>
      <c r="CB240" s="3">
        <v>0.1048245506666218</v>
      </c>
      <c r="CC240" s="3">
        <v>0.10901753269328671</v>
      </c>
      <c r="CD240" s="3">
        <v>0.11337823400101819</v>
      </c>
      <c r="CE240" s="3">
        <v>0.1179133633610589</v>
      </c>
      <c r="CF240" s="3">
        <v>0.1226298978955012</v>
      </c>
      <c r="CG240" s="3">
        <v>0.1275350938113213</v>
      </c>
      <c r="CH240" s="3">
        <v>0.13263649756377421</v>
      </c>
      <c r="CI240" s="3">
        <v>0.13794195746632509</v>
      </c>
      <c r="CJ240" s="3">
        <v>0.14345963576497811</v>
      </c>
      <c r="CK240" s="3">
        <v>0.14919802119557729</v>
      </c>
      <c r="CL240" s="3">
        <v>0.1551659420434004</v>
      </c>
      <c r="CM240" s="3">
        <v>0.16137257972513641</v>
      </c>
      <c r="CN240" s="3">
        <v>0.1678274829141419</v>
      </c>
      <c r="CO240" s="3">
        <v>0.17454058223070751</v>
      </c>
      <c r="CP240" s="3">
        <v>0.18152220551993581</v>
      </c>
      <c r="CQ240" s="3">
        <v>0.18878309374073329</v>
      </c>
      <c r="CR240" s="3">
        <v>0.19633441749036259</v>
      </c>
      <c r="CS240" s="3">
        <v>0.2041877941899771</v>
      </c>
      <c r="CU240" s="17" t="s">
        <v>1517</v>
      </c>
      <c r="CV240" s="3">
        <v>9.6916189595619276E-2</v>
      </c>
      <c r="CW240" s="3">
        <v>0.10079283717944409</v>
      </c>
      <c r="CX240" s="3">
        <v>0.1048245506666218</v>
      </c>
      <c r="CY240" s="3">
        <v>0.10901753269328671</v>
      </c>
      <c r="CZ240" s="3">
        <v>0.11337823400101819</v>
      </c>
      <c r="DA240" s="3">
        <v>0.1179133633610589</v>
      </c>
      <c r="DB240" s="3">
        <v>0.1226298978955012</v>
      </c>
      <c r="DC240" s="3">
        <v>0.1275350938113213</v>
      </c>
      <c r="DD240" s="3">
        <v>0.13263649756377421</v>
      </c>
      <c r="DE240" s="3">
        <v>0.13794195746632509</v>
      </c>
      <c r="DF240" s="3">
        <v>0.14345963576497811</v>
      </c>
      <c r="DG240" s="3">
        <v>0.14919802119557729</v>
      </c>
      <c r="DH240" s="3">
        <v>0.1551659420434004</v>
      </c>
      <c r="DI240" s="3">
        <v>0.16137257972513641</v>
      </c>
      <c r="DJ240" s="3">
        <v>0.1678274829141419</v>
      </c>
      <c r="DK240" s="3">
        <v>0.17454058223070751</v>
      </c>
      <c r="DL240" s="3">
        <v>0.18152220551993581</v>
      </c>
      <c r="DM240" s="3">
        <v>0.18878309374073329</v>
      </c>
      <c r="DN240" s="3">
        <v>0.19633441749036259</v>
      </c>
      <c r="DO240" s="3">
        <v>0.2041877941899771</v>
      </c>
    </row>
    <row r="241" spans="1:119" x14ac:dyDescent="0.45">
      <c r="A241" s="16" t="s">
        <v>1518</v>
      </c>
      <c r="B241" s="3" t="s">
        <v>89</v>
      </c>
      <c r="C241" s="16" t="s">
        <v>1519</v>
      </c>
      <c r="H241" s="3" t="s">
        <v>1520</v>
      </c>
      <c r="I241" s="3" t="s">
        <v>860</v>
      </c>
      <c r="K241" s="17" t="s">
        <v>1521</v>
      </c>
      <c r="L241" s="3">
        <v>0.10547316856044479</v>
      </c>
      <c r="M241" s="3">
        <v>9.4488818485743711E-2</v>
      </c>
      <c r="N241" s="3">
        <v>9.1812367948744242E-2</v>
      </c>
      <c r="O241" s="3">
        <v>8.2738410798712247E-2</v>
      </c>
      <c r="P241" s="3">
        <v>9.0030097627448638E-2</v>
      </c>
      <c r="Q241" s="3">
        <v>8.3787272950252428E-2</v>
      </c>
      <c r="R241" s="3">
        <v>8.2581508583769475E-2</v>
      </c>
      <c r="S241" s="3">
        <v>8.234095120431896E-2</v>
      </c>
      <c r="T241" s="3">
        <v>8.2246113397816054E-2</v>
      </c>
      <c r="U241" s="3">
        <v>8.2091112638229824E-2</v>
      </c>
      <c r="V241" s="3">
        <v>8.2882153140687823E-2</v>
      </c>
      <c r="W241" s="3">
        <v>8.3704766938418065E-2</v>
      </c>
      <c r="X241" s="3">
        <v>8.4560190837484714E-2</v>
      </c>
      <c r="Y241" s="3">
        <v>8.5449726940925633E-2</v>
      </c>
      <c r="Z241" s="3">
        <v>8.6374704616834025E-2</v>
      </c>
      <c r="AA241" s="3">
        <v>8.7336545550672995E-2</v>
      </c>
      <c r="AB241" s="3">
        <v>8.8336659486289562E-2</v>
      </c>
      <c r="AC241" s="3">
        <v>8.9376543159156469E-2</v>
      </c>
      <c r="AD241" s="3">
        <v>9.0457750402358678E-2</v>
      </c>
      <c r="AE241" s="3">
        <v>9.1559648838704571E-2</v>
      </c>
      <c r="AG241" s="17" t="s">
        <v>1522</v>
      </c>
      <c r="AH241" s="3">
        <v>0.10547316856044479</v>
      </c>
      <c r="AI241" s="3">
        <v>9.4488818485743711E-2</v>
      </c>
      <c r="AJ241" s="3">
        <v>9.1812367948744242E-2</v>
      </c>
      <c r="AK241" s="3">
        <v>8.2738410798712247E-2</v>
      </c>
      <c r="AL241" s="3">
        <v>9.0030097627448638E-2</v>
      </c>
      <c r="AM241" s="3">
        <v>8.3785439887738428E-2</v>
      </c>
      <c r="AN241" s="3">
        <v>8.2579502693986839E-2</v>
      </c>
      <c r="AO241" s="3">
        <v>8.2338802981271692E-2</v>
      </c>
      <c r="AP241" s="3">
        <v>8.2243761180874175E-2</v>
      </c>
      <c r="AQ241" s="3">
        <v>8.2088716666830666E-2</v>
      </c>
      <c r="AR241" s="3">
        <v>8.2879631147416713E-2</v>
      </c>
      <c r="AS241" s="3">
        <v>8.3702167136665145E-2</v>
      </c>
      <c r="AT241" s="3">
        <v>8.4557537642440145E-2</v>
      </c>
      <c r="AU241" s="3">
        <v>8.5447007737790071E-2</v>
      </c>
      <c r="AV241" s="3">
        <v>8.6371930568484023E-2</v>
      </c>
      <c r="AW241" s="3">
        <v>8.7333744692990489E-2</v>
      </c>
      <c r="AX241" s="3">
        <v>8.8333806880616136E-2</v>
      </c>
      <c r="AY241" s="3">
        <v>8.9373624596788853E-2</v>
      </c>
      <c r="AZ241" s="3">
        <v>9.045473050173887E-2</v>
      </c>
      <c r="BA241" s="3">
        <v>9.1556629814648377E-2</v>
      </c>
      <c r="BC241" s="17" t="s">
        <v>1523</v>
      </c>
      <c r="BD241" s="3">
        <v>0.10547316856044479</v>
      </c>
      <c r="BE241" s="3">
        <v>9.4488818485743711E-2</v>
      </c>
      <c r="BF241" s="3">
        <v>9.1812367948744242E-2</v>
      </c>
      <c r="BG241" s="3">
        <v>8.2738410798712247E-2</v>
      </c>
      <c r="BH241" s="3">
        <v>9.0030097627448638E-2</v>
      </c>
      <c r="BI241" s="3">
        <v>8.3784533801877031E-2</v>
      </c>
      <c r="BJ241" s="3">
        <v>8.2575580687474726E-2</v>
      </c>
      <c r="BK241" s="3">
        <v>8.23321655694816E-2</v>
      </c>
      <c r="BL241" s="3">
        <v>8.2234664252878453E-2</v>
      </c>
      <c r="BM241" s="3">
        <v>8.2079117020036965E-2</v>
      </c>
      <c r="BN241" s="3">
        <v>8.2869300469947019E-2</v>
      </c>
      <c r="BO241" s="3">
        <v>8.3691020989444337E-2</v>
      </c>
      <c r="BP241" s="3">
        <v>8.4545539457511379E-2</v>
      </c>
      <c r="BQ241" s="3">
        <v>8.5434151967952426E-2</v>
      </c>
      <c r="BR241" s="3">
        <v>8.6358191782676036E-2</v>
      </c>
      <c r="BS241" s="3">
        <v>8.7319094522059479E-2</v>
      </c>
      <c r="BT241" s="3">
        <v>8.8318259050399278E-2</v>
      </c>
      <c r="BU241" s="3">
        <v>8.9357174232384318E-2</v>
      </c>
      <c r="BV241" s="3">
        <v>9.0437370380853102E-2</v>
      </c>
      <c r="BW241" s="3">
        <v>9.1538991077165344E-2</v>
      </c>
      <c r="BY241" s="17" t="s">
        <v>1524</v>
      </c>
      <c r="BZ241" s="3">
        <v>0.10547316856044479</v>
      </c>
      <c r="CA241" s="3">
        <v>9.4488818485743711E-2</v>
      </c>
      <c r="CB241" s="3">
        <v>9.1812367948744242E-2</v>
      </c>
      <c r="CC241" s="3">
        <v>8.2738410798712247E-2</v>
      </c>
      <c r="CD241" s="3">
        <v>9.0030097627448638E-2</v>
      </c>
      <c r="CE241" s="3">
        <v>8.3785054480070953E-2</v>
      </c>
      <c r="CF241" s="3">
        <v>8.2579080883630182E-2</v>
      </c>
      <c r="CG241" s="3">
        <v>8.2338343398993596E-2</v>
      </c>
      <c r="CH241" s="3">
        <v>8.2243272348077434E-2</v>
      </c>
      <c r="CI241" s="3">
        <v>8.2088227264029881E-2</v>
      </c>
      <c r="CJ241" s="3">
        <v>8.287911773950421E-2</v>
      </c>
      <c r="CK241" s="3">
        <v>8.370163541711316E-2</v>
      </c>
      <c r="CL241" s="3">
        <v>8.4556964256576814E-2</v>
      </c>
      <c r="CM241" s="3">
        <v>8.5446395177607382E-2</v>
      </c>
      <c r="CN241" s="3">
        <v>8.6371276855187223E-2</v>
      </c>
      <c r="CO241" s="3">
        <v>8.7333041219148158E-2</v>
      </c>
      <c r="CP241" s="3">
        <v>8.83330538236657E-2</v>
      </c>
      <c r="CQ241" s="3">
        <v>8.9372829476065077E-2</v>
      </c>
      <c r="CR241" s="3">
        <v>9.0453899442357252E-2</v>
      </c>
      <c r="CS241" s="3">
        <v>9.1555806785037053E-2</v>
      </c>
      <c r="CU241" s="17" t="s">
        <v>1525</v>
      </c>
      <c r="CV241" s="3">
        <v>0.10547316856044479</v>
      </c>
      <c r="CW241" s="3">
        <v>9.4488818485743711E-2</v>
      </c>
      <c r="CX241" s="3">
        <v>9.1812367948744242E-2</v>
      </c>
      <c r="CY241" s="3">
        <v>8.2738410798712247E-2</v>
      </c>
      <c r="CZ241" s="3">
        <v>9.0030097627448638E-2</v>
      </c>
      <c r="DA241" s="3">
        <v>8.378341855237717E-2</v>
      </c>
      <c r="DB241" s="3">
        <v>8.2577290449602256E-2</v>
      </c>
      <c r="DC241" s="3">
        <v>8.2336434144634887E-2</v>
      </c>
      <c r="DD241" s="3">
        <v>8.2241163507666137E-2</v>
      </c>
      <c r="DE241" s="3">
        <v>8.2086075889068008E-2</v>
      </c>
      <c r="DF241" s="3">
        <v>8.2876846357916076E-2</v>
      </c>
      <c r="DG241" s="3">
        <v>8.3699300973615276E-2</v>
      </c>
      <c r="DH241" s="3">
        <v>8.455460927265851E-2</v>
      </c>
      <c r="DI241" s="3">
        <v>8.5444005898780165E-2</v>
      </c>
      <c r="DJ241" s="3">
        <v>8.6368866730059973E-2</v>
      </c>
      <c r="DK241" s="3">
        <v>8.7330650453750908E-2</v>
      </c>
      <c r="DL241" s="3">
        <v>8.8330652315130626E-2</v>
      </c>
      <c r="DM241" s="3">
        <v>8.9370397282026295E-2</v>
      </c>
      <c r="DN241" s="3">
        <v>9.0451391221980093E-2</v>
      </c>
      <c r="DO241" s="3">
        <v>9.1553294099630034E-2</v>
      </c>
    </row>
    <row r="242" spans="1:119" x14ac:dyDescent="0.45">
      <c r="A242" s="16" t="s">
        <v>1526</v>
      </c>
      <c r="B242" s="3" t="s">
        <v>89</v>
      </c>
      <c r="C242" s="16" t="s">
        <v>1527</v>
      </c>
      <c r="H242" s="3" t="s">
        <v>1528</v>
      </c>
      <c r="I242" s="3" t="s">
        <v>860</v>
      </c>
      <c r="K242" s="17" t="s">
        <v>1529</v>
      </c>
      <c r="L242" s="3">
        <v>0.15279015925690831</v>
      </c>
      <c r="M242" s="3">
        <v>8.9541474977755928E-2</v>
      </c>
      <c r="N242" s="3">
        <v>0.1048786929841984</v>
      </c>
      <c r="O242" s="3">
        <v>0.1048786929841984</v>
      </c>
      <c r="P242" s="3">
        <v>0.1048786929841984</v>
      </c>
      <c r="Q242" s="3">
        <v>0.1048786929841984</v>
      </c>
      <c r="R242" s="3">
        <v>0.1048786929841984</v>
      </c>
      <c r="S242" s="3">
        <v>0.1048786929841984</v>
      </c>
      <c r="T242" s="3">
        <v>0.1048786929841984</v>
      </c>
      <c r="U242" s="3">
        <v>0.1048786929841984</v>
      </c>
      <c r="V242" s="3">
        <v>0.1048786929841984</v>
      </c>
      <c r="W242" s="3">
        <v>0.1048786929841984</v>
      </c>
      <c r="X242" s="3">
        <v>0.1048786929841985</v>
      </c>
      <c r="Y242" s="3">
        <v>0.1048786929841985</v>
      </c>
      <c r="Z242" s="3">
        <v>0.1048786929841985</v>
      </c>
      <c r="AA242" s="3">
        <v>0.1048786929841984</v>
      </c>
      <c r="AB242" s="3">
        <v>0.1048786929841984</v>
      </c>
      <c r="AC242" s="3">
        <v>0.1048786929841984</v>
      </c>
      <c r="AD242" s="3">
        <v>0.1048786929841984</v>
      </c>
      <c r="AE242" s="3">
        <v>0.1048786929841984</v>
      </c>
      <c r="AG242" s="17" t="s">
        <v>1530</v>
      </c>
      <c r="AH242" s="3">
        <v>0.15279015925690831</v>
      </c>
      <c r="AI242" s="3">
        <v>8.9541474977755928E-2</v>
      </c>
      <c r="AJ242" s="3">
        <v>0.1048786929841984</v>
      </c>
      <c r="AK242" s="3">
        <v>0.1048786929841984</v>
      </c>
      <c r="AL242" s="3">
        <v>0.1048786929841984</v>
      </c>
      <c r="AM242" s="3">
        <v>0.14009069197433899</v>
      </c>
      <c r="AN242" s="3">
        <v>0.1400906919743391</v>
      </c>
      <c r="AO242" s="3">
        <v>0.14009069197433899</v>
      </c>
      <c r="AP242" s="3">
        <v>0.14009069197433899</v>
      </c>
      <c r="AQ242" s="3">
        <v>0.14009069197433899</v>
      </c>
      <c r="AR242" s="3">
        <v>0.14009069197433899</v>
      </c>
      <c r="AS242" s="3">
        <v>0.1400906919743391</v>
      </c>
      <c r="AT242" s="3">
        <v>0.1400906919743391</v>
      </c>
      <c r="AU242" s="3">
        <v>0.14009069197433921</v>
      </c>
      <c r="AV242" s="3">
        <v>0.14009069197433921</v>
      </c>
      <c r="AW242" s="3">
        <v>0.14009069197433899</v>
      </c>
      <c r="AX242" s="3">
        <v>0.14009069197433899</v>
      </c>
      <c r="AY242" s="3">
        <v>0.14009069197433899</v>
      </c>
      <c r="AZ242" s="3">
        <v>0.14009069197433899</v>
      </c>
      <c r="BA242" s="3">
        <v>0.14009069197433899</v>
      </c>
      <c r="BC242" s="17" t="s">
        <v>1531</v>
      </c>
      <c r="BD242" s="3">
        <v>0.15279015925690831</v>
      </c>
      <c r="BE242" s="3">
        <v>8.9541474977755928E-2</v>
      </c>
      <c r="BF242" s="3">
        <v>0.1048786929841984</v>
      </c>
      <c r="BG242" s="3">
        <v>0.1048786929841984</v>
      </c>
      <c r="BH242" s="3">
        <v>0.1048786929841984</v>
      </c>
      <c r="BI242" s="3">
        <v>0.1224846924792687</v>
      </c>
      <c r="BJ242" s="3">
        <v>0.14595935847269589</v>
      </c>
      <c r="BK242" s="3">
        <v>0.16943402446612299</v>
      </c>
      <c r="BL242" s="3">
        <v>0.19290869045955009</v>
      </c>
      <c r="BM242" s="3">
        <v>0.21638335645297721</v>
      </c>
      <c r="BN242" s="3">
        <v>0.23985802244640439</v>
      </c>
      <c r="BO242" s="3">
        <v>0.26333268843983137</v>
      </c>
      <c r="BP242" s="3">
        <v>0.28680735443325872</v>
      </c>
      <c r="BQ242" s="3">
        <v>0.31028202042668579</v>
      </c>
      <c r="BR242" s="3">
        <v>0.33375668642011302</v>
      </c>
      <c r="BS242" s="3">
        <v>0.35723135241353998</v>
      </c>
      <c r="BT242" s="3">
        <v>0.38070601840696722</v>
      </c>
      <c r="BU242" s="3">
        <v>0.40418068440039417</v>
      </c>
      <c r="BV242" s="3">
        <v>0.42765535039382141</v>
      </c>
      <c r="BW242" s="3">
        <v>0.45113001638724848</v>
      </c>
      <c r="BY242" s="17" t="s">
        <v>1532</v>
      </c>
      <c r="BZ242" s="3">
        <v>0.15279015925690831</v>
      </c>
      <c r="CA242" s="3">
        <v>8.9541474977755928E-2</v>
      </c>
      <c r="CB242" s="3">
        <v>0.1048786929841984</v>
      </c>
      <c r="CC242" s="3">
        <v>0.1048786929841984</v>
      </c>
      <c r="CD242" s="3">
        <v>0.1048786929841984</v>
      </c>
      <c r="CE242" s="3">
        <v>0.14889369172187419</v>
      </c>
      <c r="CF242" s="3">
        <v>0.14889369172187419</v>
      </c>
      <c r="CG242" s="3">
        <v>0.14889369172187419</v>
      </c>
      <c r="CH242" s="3">
        <v>0.14889369172187419</v>
      </c>
      <c r="CI242" s="3">
        <v>0.14889369172187419</v>
      </c>
      <c r="CJ242" s="3">
        <v>0.14889369172187419</v>
      </c>
      <c r="CK242" s="3">
        <v>0.14889369172187419</v>
      </c>
      <c r="CL242" s="3">
        <v>0.14889369172187431</v>
      </c>
      <c r="CM242" s="3">
        <v>0.14889369172187431</v>
      </c>
      <c r="CN242" s="3">
        <v>0.14889369172187431</v>
      </c>
      <c r="CO242" s="3">
        <v>0.14889369172187419</v>
      </c>
      <c r="CP242" s="3">
        <v>0.14889369172187419</v>
      </c>
      <c r="CQ242" s="3">
        <v>0.14889369172187419</v>
      </c>
      <c r="CR242" s="3">
        <v>0.14889369172187419</v>
      </c>
      <c r="CS242" s="3">
        <v>0.14889369172187419</v>
      </c>
      <c r="CU242" s="17" t="s">
        <v>1533</v>
      </c>
      <c r="CV242" s="3">
        <v>0.15279015925690831</v>
      </c>
      <c r="CW242" s="3">
        <v>8.9541474977755928E-2</v>
      </c>
      <c r="CX242" s="3">
        <v>0.1048786929841984</v>
      </c>
      <c r="CY242" s="3">
        <v>0.1048786929841984</v>
      </c>
      <c r="CZ242" s="3">
        <v>0.1048786929841984</v>
      </c>
      <c r="DA242" s="3">
        <v>0.19290869045955009</v>
      </c>
      <c r="DB242" s="3">
        <v>0.19290869045955009</v>
      </c>
      <c r="DC242" s="3">
        <v>0.19290869045955009</v>
      </c>
      <c r="DD242" s="3">
        <v>0.19290869045955009</v>
      </c>
      <c r="DE242" s="3">
        <v>0.19290869045955009</v>
      </c>
      <c r="DF242" s="3">
        <v>0.19290869045955009</v>
      </c>
      <c r="DG242" s="3">
        <v>0.19290869045955009</v>
      </c>
      <c r="DH242" s="3">
        <v>0.1929086904595502</v>
      </c>
      <c r="DI242" s="3">
        <v>0.1929086904595502</v>
      </c>
      <c r="DJ242" s="3">
        <v>0.1929086904595502</v>
      </c>
      <c r="DK242" s="3">
        <v>0.19290869045955009</v>
      </c>
      <c r="DL242" s="3">
        <v>0.19290869045955009</v>
      </c>
      <c r="DM242" s="3">
        <v>0.19290869045955009</v>
      </c>
      <c r="DN242" s="3">
        <v>0.19290869045955009</v>
      </c>
      <c r="DO242" s="3">
        <v>0.19290869045955009</v>
      </c>
    </row>
    <row r="243" spans="1:119" x14ac:dyDescent="0.45">
      <c r="A243" s="16" t="s">
        <v>1534</v>
      </c>
      <c r="B243" s="3" t="s">
        <v>89</v>
      </c>
      <c r="C243" s="16" t="s">
        <v>1535</v>
      </c>
      <c r="H243" s="3" t="s">
        <v>1536</v>
      </c>
      <c r="I243" s="3" t="s">
        <v>860</v>
      </c>
      <c r="K243" s="17" t="s">
        <v>1537</v>
      </c>
      <c r="L243" s="3">
        <v>-0.70606278473528461</v>
      </c>
      <c r="M243" s="3">
        <v>-0.67986747554901428</v>
      </c>
      <c r="N243" s="3">
        <v>-0.64273630316986186</v>
      </c>
      <c r="O243" s="3">
        <v>-0.56884836637674419</v>
      </c>
      <c r="P243" s="3">
        <v>-0.62822353055359759</v>
      </c>
      <c r="Q243" s="3">
        <v>-0.57738910103928565</v>
      </c>
      <c r="R243" s="3">
        <v>-0.56757073405506731</v>
      </c>
      <c r="S243" s="3">
        <v>-0.56561190967954167</v>
      </c>
      <c r="T243" s="3">
        <v>-0.56483965896944655</v>
      </c>
      <c r="U243" s="3">
        <v>-0.56357750992710154</v>
      </c>
      <c r="V243" s="3">
        <v>-0.57001883973283096</v>
      </c>
      <c r="W243" s="3">
        <v>-0.57671726637149157</v>
      </c>
      <c r="X243" s="3">
        <v>-0.5836828609781769</v>
      </c>
      <c r="Y243" s="3">
        <v>-0.59092622639191017</v>
      </c>
      <c r="Z243" s="3">
        <v>-0.59845818746716428</v>
      </c>
      <c r="AA243" s="3">
        <v>-0.60629032078556733</v>
      </c>
      <c r="AB243" s="3">
        <v>-0.61443410568987367</v>
      </c>
      <c r="AC243" s="3">
        <v>-0.62290172988321846</v>
      </c>
      <c r="AD243" s="3">
        <v>-0.63170584600643653</v>
      </c>
      <c r="AE243" s="3">
        <v>-0.64067844755953884</v>
      </c>
      <c r="AG243" s="17" t="s">
        <v>1538</v>
      </c>
      <c r="AH243" s="3">
        <v>-0.70606278473528461</v>
      </c>
      <c r="AI243" s="3">
        <v>-0.67986747554901428</v>
      </c>
      <c r="AJ243" s="3">
        <v>-0.64273630316986186</v>
      </c>
      <c r="AK243" s="3">
        <v>-0.56884836637674419</v>
      </c>
      <c r="AL243" s="3">
        <v>-0.62822353055359759</v>
      </c>
      <c r="AM243" s="3">
        <v>-0.54216217568295955</v>
      </c>
      <c r="AN243" s="3">
        <v>-0.53234240139098221</v>
      </c>
      <c r="AO243" s="3">
        <v>-0.53038241801601615</v>
      </c>
      <c r="AP243" s="3">
        <v>-0.52960850621277911</v>
      </c>
      <c r="AQ243" s="3">
        <v>-0.52834600088413919</v>
      </c>
      <c r="AR243" s="3">
        <v>-0.53478630451176845</v>
      </c>
      <c r="AS243" s="3">
        <v>-0.54148409756707705</v>
      </c>
      <c r="AT243" s="3">
        <v>-0.54844925739981631</v>
      </c>
      <c r="AU243" s="3">
        <v>-0.55569208531909409</v>
      </c>
      <c r="AV243" s="3">
        <v>-0.56322359979760206</v>
      </c>
      <c r="AW243" s="3">
        <v>-0.57105551481144068</v>
      </c>
      <c r="AX243" s="3">
        <v>-0.57919887833924943</v>
      </c>
      <c r="AY243" s="3">
        <v>-0.58766596545665584</v>
      </c>
      <c r="AZ243" s="3">
        <v>-0.59646925639696313</v>
      </c>
      <c r="BA243" s="3">
        <v>-0.60544186508779774</v>
      </c>
      <c r="BC243" s="17" t="s">
        <v>1539</v>
      </c>
      <c r="BD243" s="3">
        <v>-0.70606278473528461</v>
      </c>
      <c r="BE243" s="3">
        <v>-0.67986747554901428</v>
      </c>
      <c r="BF243" s="3">
        <v>-0.64273630316986186</v>
      </c>
      <c r="BG243" s="3">
        <v>-0.56884836637674419</v>
      </c>
      <c r="BH243" s="3">
        <v>-0.62822353055359759</v>
      </c>
      <c r="BI243" s="3">
        <v>-0.55976079705030124</v>
      </c>
      <c r="BJ243" s="3">
        <v>-0.52644179855388407</v>
      </c>
      <c r="BK243" s="3">
        <v>-0.50098503802822714</v>
      </c>
      <c r="BL243" s="3">
        <v>-0.47671643274246023</v>
      </c>
      <c r="BM243" s="3">
        <v>-0.45197516785303798</v>
      </c>
      <c r="BN243" s="3">
        <v>-0.43493485280887828</v>
      </c>
      <c r="BO243" s="3">
        <v>-0.41815133961707251</v>
      </c>
      <c r="BP243" s="3">
        <v>-0.40163489543504821</v>
      </c>
      <c r="BQ243" s="3">
        <v>-0.38539607416949823</v>
      </c>
      <c r="BR243" s="3">
        <v>-0.36944573238167749</v>
      </c>
      <c r="BS243" s="3">
        <v>-0.35379556012322988</v>
      </c>
      <c r="BT243" s="3">
        <v>-0.33845694814628402</v>
      </c>
      <c r="BU243" s="3">
        <v>-0.32344202006330658</v>
      </c>
      <c r="BV243" s="3">
        <v>-0.3087632369931253</v>
      </c>
      <c r="BW243" s="3">
        <v>-0.29425891095538359</v>
      </c>
      <c r="BY243" s="17" t="s">
        <v>1540</v>
      </c>
      <c r="BZ243" s="3">
        <v>-0.70606278473528461</v>
      </c>
      <c r="CA243" s="3">
        <v>-0.67986747554901428</v>
      </c>
      <c r="CB243" s="3">
        <v>-0.64273630316986186</v>
      </c>
      <c r="CC243" s="3">
        <v>-0.56884836637674419</v>
      </c>
      <c r="CD243" s="3">
        <v>-0.62822353055359759</v>
      </c>
      <c r="CE243" s="3">
        <v>-0.53335603761584638</v>
      </c>
      <c r="CF243" s="3">
        <v>-0.52353596690197146</v>
      </c>
      <c r="CG243" s="3">
        <v>-0.52157567595564491</v>
      </c>
      <c r="CH243" s="3">
        <v>-0.52080152596961349</v>
      </c>
      <c r="CI243" s="3">
        <v>-0.51953901599951191</v>
      </c>
      <c r="CJ243" s="3">
        <v>-0.52597912415694559</v>
      </c>
      <c r="CK243" s="3">
        <v>-0.53267676810319009</v>
      </c>
      <c r="CL243" s="3">
        <v>-0.5396415886531083</v>
      </c>
      <c r="CM243" s="3">
        <v>-0.54688409758149992</v>
      </c>
      <c r="CN243" s="3">
        <v>-0.55441527695607862</v>
      </c>
      <c r="CO243" s="3">
        <v>-0.56224678677690365</v>
      </c>
      <c r="CP243" s="3">
        <v>-0.5703897465565464</v>
      </c>
      <c r="CQ243" s="3">
        <v>-0.57885649115465554</v>
      </c>
      <c r="CR243" s="3">
        <v>-0.58765948945160629</v>
      </c>
      <c r="CS243" s="3">
        <v>-0.5966321635277132</v>
      </c>
      <c r="CU243" s="17" t="s">
        <v>1541</v>
      </c>
      <c r="CV243" s="3">
        <v>-0.70606278473528461</v>
      </c>
      <c r="CW243" s="3">
        <v>-0.67986747554901428</v>
      </c>
      <c r="CX243" s="3">
        <v>-0.64273630316986186</v>
      </c>
      <c r="CY243" s="3">
        <v>-0.56884836637674419</v>
      </c>
      <c r="CZ243" s="3">
        <v>-0.62822353055359759</v>
      </c>
      <c r="DA243" s="3">
        <v>-0.48932771775266393</v>
      </c>
      <c r="DB243" s="3">
        <v>-0.47950638891578251</v>
      </c>
      <c r="DC243" s="3">
        <v>-0.47754513043247682</v>
      </c>
      <c r="DD243" s="3">
        <v>-0.47676935524573122</v>
      </c>
      <c r="DE243" s="3">
        <v>-0.47550649892286068</v>
      </c>
      <c r="DF243" s="3">
        <v>-0.48194562988348078</v>
      </c>
      <c r="DG243" s="3">
        <v>-0.48864276032560289</v>
      </c>
      <c r="DH243" s="3">
        <v>-0.49560741361781202</v>
      </c>
      <c r="DI243" s="3">
        <v>-0.50284964328765969</v>
      </c>
      <c r="DJ243" s="3">
        <v>-0.5103806529137952</v>
      </c>
      <c r="DK243" s="3">
        <v>-0.51821232037813569</v>
      </c>
      <c r="DL243" s="3">
        <v>-0.52635519267794195</v>
      </c>
      <c r="DM243" s="3">
        <v>-0.53482168740837821</v>
      </c>
      <c r="DN243" s="3">
        <v>-0.54362406663371632</v>
      </c>
      <c r="DO243" s="3">
        <v>-0.55259670435172303</v>
      </c>
    </row>
    <row r="244" spans="1:119" x14ac:dyDescent="0.45">
      <c r="A244" s="16" t="s">
        <v>1050</v>
      </c>
      <c r="B244" s="3" t="s">
        <v>89</v>
      </c>
      <c r="C244" s="16" t="s">
        <v>1051</v>
      </c>
      <c r="H244" s="3" t="s">
        <v>1052</v>
      </c>
      <c r="I244" s="3" t="s">
        <v>651</v>
      </c>
      <c r="K244" s="17" t="s">
        <v>1053</v>
      </c>
      <c r="L244" s="3">
        <v>-19.436956220916741</v>
      </c>
      <c r="M244" s="3">
        <v>-18.694947499028348</v>
      </c>
      <c r="N244" s="3">
        <v>-17.207169243681271</v>
      </c>
      <c r="O244" s="3">
        <v>-14.55814454382751</v>
      </c>
      <c r="P244" s="3">
        <v>-16.39921856739204</v>
      </c>
      <c r="Q244" s="3">
        <v>-14.490150787379751</v>
      </c>
      <c r="R244" s="3">
        <v>-13.964935316002171</v>
      </c>
      <c r="S244" s="3">
        <v>-13.7001841278756</v>
      </c>
      <c r="T244" s="3">
        <v>-13.468657566265311</v>
      </c>
      <c r="U244" s="3">
        <v>-13.21712529494334</v>
      </c>
      <c r="V244" s="3">
        <v>-13.21712529494334</v>
      </c>
      <c r="W244" s="3">
        <v>-13.21712529494334</v>
      </c>
      <c r="X244" s="3">
        <v>-13.21712529494334</v>
      </c>
      <c r="Y244" s="3">
        <v>-13.21712529494334</v>
      </c>
      <c r="Z244" s="3">
        <v>-13.21712529494334</v>
      </c>
      <c r="AA244" s="3">
        <v>-13.21712529494334</v>
      </c>
      <c r="AB244" s="3">
        <v>-13.21712529494334</v>
      </c>
      <c r="AC244" s="3">
        <v>-13.21712529494334</v>
      </c>
      <c r="AD244" s="3">
        <v>-13.21712529494334</v>
      </c>
      <c r="AE244" s="3">
        <v>-13.21712529494334</v>
      </c>
      <c r="AG244" s="17" t="s">
        <v>1054</v>
      </c>
      <c r="AH244" s="3">
        <v>-19.436956220916741</v>
      </c>
      <c r="AI244" s="3">
        <v>-18.694947499028348</v>
      </c>
      <c r="AJ244" s="3">
        <v>-17.207169243681271</v>
      </c>
      <c r="AK244" s="3">
        <v>-14.55814454382751</v>
      </c>
      <c r="AL244" s="3">
        <v>-16.39921856739204</v>
      </c>
      <c r="AM244" s="3">
        <v>-14.490150787379751</v>
      </c>
      <c r="AN244" s="3">
        <v>-13.964935316002171</v>
      </c>
      <c r="AO244" s="3">
        <v>-13.7001841278756</v>
      </c>
      <c r="AP244" s="3">
        <v>-13.468657566265311</v>
      </c>
      <c r="AQ244" s="3">
        <v>-13.21712529494334</v>
      </c>
      <c r="AR244" s="3">
        <v>-13.21712529494334</v>
      </c>
      <c r="AS244" s="3">
        <v>-13.21712529494334</v>
      </c>
      <c r="AT244" s="3">
        <v>-13.21712529494334</v>
      </c>
      <c r="AU244" s="3">
        <v>-13.21712529494334</v>
      </c>
      <c r="AV244" s="3">
        <v>-13.21712529494334</v>
      </c>
      <c r="AW244" s="3">
        <v>-13.21712529494334</v>
      </c>
      <c r="AX244" s="3">
        <v>-13.21712529494334</v>
      </c>
      <c r="AY244" s="3">
        <v>-13.21712529494334</v>
      </c>
      <c r="AZ244" s="3">
        <v>-13.21712529494334</v>
      </c>
      <c r="BA244" s="3">
        <v>-13.21712529494334</v>
      </c>
      <c r="BC244" s="17" t="s">
        <v>1055</v>
      </c>
      <c r="BD244" s="3">
        <v>-19.436956220916741</v>
      </c>
      <c r="BE244" s="3">
        <v>-18.694947499028348</v>
      </c>
      <c r="BF244" s="3">
        <v>-17.207169243681271</v>
      </c>
      <c r="BG244" s="3">
        <v>-14.55814454382751</v>
      </c>
      <c r="BH244" s="3">
        <v>-16.39921856739204</v>
      </c>
      <c r="BI244" s="3">
        <v>-14.490150787379751</v>
      </c>
      <c r="BJ244" s="3">
        <v>-13.964935316002171</v>
      </c>
      <c r="BK244" s="3">
        <v>-13.7001841278756</v>
      </c>
      <c r="BL244" s="3">
        <v>-13.468657566265311</v>
      </c>
      <c r="BM244" s="3">
        <v>-13.21712529494334</v>
      </c>
      <c r="BN244" s="3">
        <v>-13.21712529494334</v>
      </c>
      <c r="BO244" s="3">
        <v>-13.21712529494334</v>
      </c>
      <c r="BP244" s="3">
        <v>-13.21712529494334</v>
      </c>
      <c r="BQ244" s="3">
        <v>-13.21712529494334</v>
      </c>
      <c r="BR244" s="3">
        <v>-13.21712529494334</v>
      </c>
      <c r="BS244" s="3">
        <v>-13.21712529494334</v>
      </c>
      <c r="BT244" s="3">
        <v>-13.21712529494334</v>
      </c>
      <c r="BU244" s="3">
        <v>-13.21712529494334</v>
      </c>
      <c r="BV244" s="3">
        <v>-13.21712529494334</v>
      </c>
      <c r="BW244" s="3">
        <v>-13.21712529494334</v>
      </c>
      <c r="BY244" s="17" t="s">
        <v>1056</v>
      </c>
      <c r="BZ244" s="3">
        <v>-19.436956220916741</v>
      </c>
      <c r="CA244" s="3">
        <v>-18.694947499028348</v>
      </c>
      <c r="CB244" s="3">
        <v>-17.207169243681271</v>
      </c>
      <c r="CC244" s="3">
        <v>-14.55814454382751</v>
      </c>
      <c r="CD244" s="3">
        <v>-16.39921856739204</v>
      </c>
      <c r="CE244" s="3">
        <v>-14.490150787379751</v>
      </c>
      <c r="CF244" s="3">
        <v>-13.964935316002171</v>
      </c>
      <c r="CG244" s="3">
        <v>-13.7001841278756</v>
      </c>
      <c r="CH244" s="3">
        <v>-13.468657566265311</v>
      </c>
      <c r="CI244" s="3">
        <v>-13.21712529494334</v>
      </c>
      <c r="CJ244" s="3">
        <v>-13.21712529494334</v>
      </c>
      <c r="CK244" s="3">
        <v>-13.21712529494334</v>
      </c>
      <c r="CL244" s="3">
        <v>-13.21712529494334</v>
      </c>
      <c r="CM244" s="3">
        <v>-13.21712529494334</v>
      </c>
      <c r="CN244" s="3">
        <v>-13.21712529494334</v>
      </c>
      <c r="CO244" s="3">
        <v>-13.21712529494334</v>
      </c>
      <c r="CP244" s="3">
        <v>-13.21712529494334</v>
      </c>
      <c r="CQ244" s="3">
        <v>-13.21712529494334</v>
      </c>
      <c r="CR244" s="3">
        <v>-13.21712529494334</v>
      </c>
      <c r="CS244" s="3">
        <v>-13.21712529494334</v>
      </c>
      <c r="CU244" s="17" t="s">
        <v>1057</v>
      </c>
      <c r="CV244" s="3">
        <v>-19.436956220916741</v>
      </c>
      <c r="CW244" s="3">
        <v>-18.694947499028348</v>
      </c>
      <c r="CX244" s="3">
        <v>-17.207169243681271</v>
      </c>
      <c r="CY244" s="3">
        <v>-14.55814454382751</v>
      </c>
      <c r="CZ244" s="3">
        <v>-16.39921856739204</v>
      </c>
      <c r="DA244" s="3">
        <v>-14.490150787379751</v>
      </c>
      <c r="DB244" s="3">
        <v>-13.964935316002171</v>
      </c>
      <c r="DC244" s="3">
        <v>-13.7001841278756</v>
      </c>
      <c r="DD244" s="3">
        <v>-13.468657566265311</v>
      </c>
      <c r="DE244" s="3">
        <v>-13.21712529494334</v>
      </c>
      <c r="DF244" s="3">
        <v>-13.21712529494334</v>
      </c>
      <c r="DG244" s="3">
        <v>-13.21712529494334</v>
      </c>
      <c r="DH244" s="3">
        <v>-13.21712529494334</v>
      </c>
      <c r="DI244" s="3">
        <v>-13.21712529494334</v>
      </c>
      <c r="DJ244" s="3">
        <v>-13.21712529494334</v>
      </c>
      <c r="DK244" s="3">
        <v>-13.21712529494334</v>
      </c>
      <c r="DL244" s="3">
        <v>-13.21712529494334</v>
      </c>
      <c r="DM244" s="3">
        <v>-13.21712529494334</v>
      </c>
      <c r="DN244" s="3">
        <v>-13.21712529494334</v>
      </c>
      <c r="DO244" s="3">
        <v>-13.21712529494334</v>
      </c>
    </row>
    <row r="245" spans="1:119" x14ac:dyDescent="0.45">
      <c r="A245" s="16" t="s">
        <v>1542</v>
      </c>
      <c r="B245" s="3" t="s">
        <v>89</v>
      </c>
      <c r="C245" s="16" t="s">
        <v>1543</v>
      </c>
      <c r="H245" s="3" t="s">
        <v>1544</v>
      </c>
      <c r="I245" s="3" t="s">
        <v>109</v>
      </c>
      <c r="K245" s="17" t="s">
        <v>1545</v>
      </c>
      <c r="L245" s="3">
        <v>-283.3375542407689</v>
      </c>
      <c r="M245" s="3">
        <v>-272.52110056892639</v>
      </c>
      <c r="N245" s="3">
        <v>-250.833370899144</v>
      </c>
      <c r="O245" s="3">
        <v>-212.21785049311239</v>
      </c>
      <c r="P245" s="3">
        <v>-239.05566424769739</v>
      </c>
      <c r="Q245" s="3">
        <v>-211.22668786267869</v>
      </c>
      <c r="R245" s="3">
        <v>-203.57048565600829</v>
      </c>
      <c r="S245" s="3">
        <v>-199.71113889031491</v>
      </c>
      <c r="T245" s="3">
        <v>-196.33611612631651</v>
      </c>
      <c r="U245" s="3">
        <v>-192.669464940865</v>
      </c>
      <c r="V245" s="3">
        <v>-192.669464940865</v>
      </c>
      <c r="W245" s="3">
        <v>-192.669464940865</v>
      </c>
      <c r="X245" s="3">
        <v>-192.669464940865</v>
      </c>
      <c r="Y245" s="3">
        <v>-192.669464940865</v>
      </c>
      <c r="Z245" s="3">
        <v>-192.669464940865</v>
      </c>
      <c r="AA245" s="3">
        <v>-192.669464940865</v>
      </c>
      <c r="AB245" s="3">
        <v>-192.669464940865</v>
      </c>
      <c r="AC245" s="3">
        <v>-192.66946494086491</v>
      </c>
      <c r="AD245" s="3">
        <v>-192.669464940865</v>
      </c>
      <c r="AE245" s="3">
        <v>-192.669464940865</v>
      </c>
      <c r="AG245" s="17" t="s">
        <v>1546</v>
      </c>
      <c r="AH245" s="3">
        <v>-283.3375542407689</v>
      </c>
      <c r="AI245" s="3">
        <v>-272.52110056892639</v>
      </c>
      <c r="AJ245" s="3">
        <v>-250.833370899144</v>
      </c>
      <c r="AK245" s="3">
        <v>-212.21785049311239</v>
      </c>
      <c r="AL245" s="3">
        <v>-239.05566424769739</v>
      </c>
      <c r="AM245" s="3">
        <v>-211.22668786267869</v>
      </c>
      <c r="AN245" s="3">
        <v>-203.57048565600829</v>
      </c>
      <c r="AO245" s="3">
        <v>-199.71113889031491</v>
      </c>
      <c r="AP245" s="3">
        <v>-196.33611612631651</v>
      </c>
      <c r="AQ245" s="3">
        <v>-192.669464940865</v>
      </c>
      <c r="AR245" s="3">
        <v>-192.669464940865</v>
      </c>
      <c r="AS245" s="3">
        <v>-192.669464940865</v>
      </c>
      <c r="AT245" s="3">
        <v>-192.669464940865</v>
      </c>
      <c r="AU245" s="3">
        <v>-192.669464940865</v>
      </c>
      <c r="AV245" s="3">
        <v>-192.669464940865</v>
      </c>
      <c r="AW245" s="3">
        <v>-192.669464940865</v>
      </c>
      <c r="AX245" s="3">
        <v>-192.669464940865</v>
      </c>
      <c r="AY245" s="3">
        <v>-192.66946494086491</v>
      </c>
      <c r="AZ245" s="3">
        <v>-192.669464940865</v>
      </c>
      <c r="BA245" s="3">
        <v>-192.669464940865</v>
      </c>
      <c r="BC245" s="17" t="s">
        <v>1547</v>
      </c>
      <c r="BD245" s="3">
        <v>-283.3375542407689</v>
      </c>
      <c r="BE245" s="3">
        <v>-272.52110056892639</v>
      </c>
      <c r="BF245" s="3">
        <v>-250.833370899144</v>
      </c>
      <c r="BG245" s="3">
        <v>-212.21785049311239</v>
      </c>
      <c r="BH245" s="3">
        <v>-239.05566424769739</v>
      </c>
      <c r="BI245" s="3">
        <v>-211.22668786267869</v>
      </c>
      <c r="BJ245" s="3">
        <v>-203.57048565600829</v>
      </c>
      <c r="BK245" s="3">
        <v>-199.71113889031491</v>
      </c>
      <c r="BL245" s="3">
        <v>-196.33611612631651</v>
      </c>
      <c r="BM245" s="3">
        <v>-192.669464940865</v>
      </c>
      <c r="BN245" s="3">
        <v>-192.669464940865</v>
      </c>
      <c r="BO245" s="3">
        <v>-192.669464940865</v>
      </c>
      <c r="BP245" s="3">
        <v>-192.669464940865</v>
      </c>
      <c r="BQ245" s="3">
        <v>-192.669464940865</v>
      </c>
      <c r="BR245" s="3">
        <v>-192.669464940865</v>
      </c>
      <c r="BS245" s="3">
        <v>-192.669464940865</v>
      </c>
      <c r="BT245" s="3">
        <v>-192.669464940865</v>
      </c>
      <c r="BU245" s="3">
        <v>-192.66946494086491</v>
      </c>
      <c r="BV245" s="3">
        <v>-192.669464940865</v>
      </c>
      <c r="BW245" s="3">
        <v>-192.669464940865</v>
      </c>
      <c r="BY245" s="17" t="s">
        <v>1548</v>
      </c>
      <c r="BZ245" s="3">
        <v>-283.3375542407689</v>
      </c>
      <c r="CA245" s="3">
        <v>-272.52110056892639</v>
      </c>
      <c r="CB245" s="3">
        <v>-250.833370899144</v>
      </c>
      <c r="CC245" s="3">
        <v>-212.21785049311239</v>
      </c>
      <c r="CD245" s="3">
        <v>-239.05566424769739</v>
      </c>
      <c r="CE245" s="3">
        <v>-211.22668786267869</v>
      </c>
      <c r="CF245" s="3">
        <v>-203.57048565600829</v>
      </c>
      <c r="CG245" s="3">
        <v>-199.71113889031491</v>
      </c>
      <c r="CH245" s="3">
        <v>-196.33611612631651</v>
      </c>
      <c r="CI245" s="3">
        <v>-192.669464940865</v>
      </c>
      <c r="CJ245" s="3">
        <v>-192.669464940865</v>
      </c>
      <c r="CK245" s="3">
        <v>-192.669464940865</v>
      </c>
      <c r="CL245" s="3">
        <v>-192.669464940865</v>
      </c>
      <c r="CM245" s="3">
        <v>-192.669464940865</v>
      </c>
      <c r="CN245" s="3">
        <v>-192.669464940865</v>
      </c>
      <c r="CO245" s="3">
        <v>-192.669464940865</v>
      </c>
      <c r="CP245" s="3">
        <v>-192.669464940865</v>
      </c>
      <c r="CQ245" s="3">
        <v>-192.66946494086491</v>
      </c>
      <c r="CR245" s="3">
        <v>-192.669464940865</v>
      </c>
      <c r="CS245" s="3">
        <v>-192.669464940865</v>
      </c>
      <c r="CU245" s="17" t="s">
        <v>1549</v>
      </c>
      <c r="CV245" s="3">
        <v>-283.3375542407689</v>
      </c>
      <c r="CW245" s="3">
        <v>-272.52110056892639</v>
      </c>
      <c r="CX245" s="3">
        <v>-250.833370899144</v>
      </c>
      <c r="CY245" s="3">
        <v>-212.21785049311239</v>
      </c>
      <c r="CZ245" s="3">
        <v>-239.05566424769739</v>
      </c>
      <c r="DA245" s="3">
        <v>-211.22668786267869</v>
      </c>
      <c r="DB245" s="3">
        <v>-203.57048565600829</v>
      </c>
      <c r="DC245" s="3">
        <v>-199.71113889031491</v>
      </c>
      <c r="DD245" s="3">
        <v>-196.33611612631651</v>
      </c>
      <c r="DE245" s="3">
        <v>-192.669464940865</v>
      </c>
      <c r="DF245" s="3">
        <v>-192.669464940865</v>
      </c>
      <c r="DG245" s="3">
        <v>-192.669464940865</v>
      </c>
      <c r="DH245" s="3">
        <v>-192.669464940865</v>
      </c>
      <c r="DI245" s="3">
        <v>-192.669464940865</v>
      </c>
      <c r="DJ245" s="3">
        <v>-192.669464940865</v>
      </c>
      <c r="DK245" s="3">
        <v>-192.669464940865</v>
      </c>
      <c r="DL245" s="3">
        <v>-192.669464940865</v>
      </c>
      <c r="DM245" s="3">
        <v>-192.66946494086491</v>
      </c>
      <c r="DN245" s="3">
        <v>-192.669464940865</v>
      </c>
      <c r="DO245" s="3">
        <v>-192.669464940865</v>
      </c>
    </row>
    <row r="246" spans="1:119" x14ac:dyDescent="0.45">
      <c r="A246" s="16" t="s">
        <v>1550</v>
      </c>
      <c r="B246" s="3" t="s">
        <v>89</v>
      </c>
      <c r="C246" s="16" t="s">
        <v>1551</v>
      </c>
      <c r="H246" s="3" t="s">
        <v>1552</v>
      </c>
      <c r="I246" s="3" t="s">
        <v>860</v>
      </c>
      <c r="K246" s="17" t="s">
        <v>1553</v>
      </c>
      <c r="L246" s="3">
        <v>9.9510938537753529E-2</v>
      </c>
      <c r="M246" s="3">
        <v>0.10342873317410441</v>
      </c>
      <c r="N246" s="3">
        <v>0.10732847137875</v>
      </c>
      <c r="O246" s="3">
        <v>0.1108055234457775</v>
      </c>
      <c r="P246" s="3">
        <v>0.1154266858782006</v>
      </c>
      <c r="Q246" s="3">
        <v>0.12005025382100309</v>
      </c>
      <c r="R246" s="3">
        <v>0.12497754247437171</v>
      </c>
      <c r="S246" s="3">
        <v>0.13008447865010511</v>
      </c>
      <c r="T246" s="3">
        <v>0.13537574839470981</v>
      </c>
      <c r="U246" s="3">
        <v>0.14075302372563561</v>
      </c>
      <c r="V246" s="3">
        <v>0.146403313028907</v>
      </c>
      <c r="W246" s="3">
        <v>0.15227912586983741</v>
      </c>
      <c r="X246" s="3">
        <v>0.1583892965774561</v>
      </c>
      <c r="Y246" s="3">
        <v>0.16474312588774831</v>
      </c>
      <c r="Z246" s="3">
        <v>0.1713501092870941</v>
      </c>
      <c r="AA246" s="3">
        <v>0.17822040167165831</v>
      </c>
      <c r="AB246" s="3">
        <v>0.18536407264034799</v>
      </c>
      <c r="AC246" s="3">
        <v>0.19279181316082589</v>
      </c>
      <c r="AD246" s="3">
        <v>0.20051472204084159</v>
      </c>
      <c r="AE246" s="3">
        <v>0.20838542515759809</v>
      </c>
      <c r="AG246" s="17" t="s">
        <v>1554</v>
      </c>
      <c r="AH246" s="3">
        <v>9.9510938537753529E-2</v>
      </c>
      <c r="AI246" s="3">
        <v>0.10342873317410441</v>
      </c>
      <c r="AJ246" s="3">
        <v>0.10732847137875</v>
      </c>
      <c r="AK246" s="3">
        <v>0.1108055234457775</v>
      </c>
      <c r="AL246" s="3">
        <v>0.1154266858782006</v>
      </c>
      <c r="AM246" s="3">
        <v>0.1200371605173317</v>
      </c>
      <c r="AN246" s="3">
        <v>0.12496321469021</v>
      </c>
      <c r="AO246" s="3">
        <v>0.13006913419976751</v>
      </c>
      <c r="AP246" s="3">
        <v>0.13535894684512501</v>
      </c>
      <c r="AQ246" s="3">
        <v>0.14073590964421301</v>
      </c>
      <c r="AR246" s="3">
        <v>0.1463852987912562</v>
      </c>
      <c r="AS246" s="3">
        <v>0.15226055585731649</v>
      </c>
      <c r="AT246" s="3">
        <v>0.1583703451842807</v>
      </c>
      <c r="AU246" s="3">
        <v>0.1647237030082086</v>
      </c>
      <c r="AV246" s="3">
        <v>0.17133029465602259</v>
      </c>
      <c r="AW246" s="3">
        <v>0.17820039554535469</v>
      </c>
      <c r="AX246" s="3">
        <v>0.18534369688553781</v>
      </c>
      <c r="AY246" s="3">
        <v>0.19277096628677151</v>
      </c>
      <c r="AZ246" s="3">
        <v>0.2004931513221288</v>
      </c>
      <c r="BA246" s="3">
        <v>0.20836386070005389</v>
      </c>
      <c r="BC246" s="17" t="s">
        <v>1555</v>
      </c>
      <c r="BD246" s="3">
        <v>9.9510938537753529E-2</v>
      </c>
      <c r="BE246" s="3">
        <v>0.10342873317410441</v>
      </c>
      <c r="BF246" s="3">
        <v>0.10732847137875</v>
      </c>
      <c r="BG246" s="3">
        <v>0.1108055234457775</v>
      </c>
      <c r="BH246" s="3">
        <v>0.1154266858782006</v>
      </c>
      <c r="BI246" s="3">
        <v>0.1200306884754644</v>
      </c>
      <c r="BJ246" s="3">
        <v>0.1249352003579806</v>
      </c>
      <c r="BK246" s="3">
        <v>0.13002172411555249</v>
      </c>
      <c r="BL246" s="3">
        <v>0.1352939687880127</v>
      </c>
      <c r="BM246" s="3">
        <v>0.1406673407385437</v>
      </c>
      <c r="BN246" s="3">
        <v>0.14631150823790129</v>
      </c>
      <c r="BO246" s="3">
        <v>0.15218094052002501</v>
      </c>
      <c r="BP246" s="3">
        <v>0.15828464386336091</v>
      </c>
      <c r="BQ246" s="3">
        <v>0.16463187608079699</v>
      </c>
      <c r="BR246" s="3">
        <v>0.1712321604716798</v>
      </c>
      <c r="BS246" s="3">
        <v>0.17809575146727599</v>
      </c>
      <c r="BT246" s="3">
        <v>0.18523264095541739</v>
      </c>
      <c r="BU246" s="3">
        <v>0.192653463683882</v>
      </c>
      <c r="BV246" s="3">
        <v>0.200369150458659</v>
      </c>
      <c r="BW246" s="3">
        <v>0.20823786971803221</v>
      </c>
      <c r="BY246" s="17" t="s">
        <v>1556</v>
      </c>
      <c r="BZ246" s="3">
        <v>9.9510938537753529E-2</v>
      </c>
      <c r="CA246" s="3">
        <v>0.10342873317410441</v>
      </c>
      <c r="CB246" s="3">
        <v>0.10732847137875</v>
      </c>
      <c r="CC246" s="3">
        <v>0.1108055234457775</v>
      </c>
      <c r="CD246" s="3">
        <v>0.1154266858782006</v>
      </c>
      <c r="CE246" s="3">
        <v>0.1200344076054212</v>
      </c>
      <c r="CF246" s="3">
        <v>0.12496020175909101</v>
      </c>
      <c r="CG246" s="3">
        <v>0.1300658514692096</v>
      </c>
      <c r="CH246" s="3">
        <v>0.13535545518229111</v>
      </c>
      <c r="CI246" s="3">
        <v>0.14073241390992169</v>
      </c>
      <c r="CJ246" s="3">
        <v>0.14638163159188119</v>
      </c>
      <c r="CK246" s="3">
        <v>0.15225675786051651</v>
      </c>
      <c r="CL246" s="3">
        <v>0.15836624957097109</v>
      </c>
      <c r="CM246" s="3">
        <v>0.16471932757833241</v>
      </c>
      <c r="CN246" s="3">
        <v>0.17132562527533121</v>
      </c>
      <c r="CO246" s="3">
        <v>0.1781953707321951</v>
      </c>
      <c r="CP246" s="3">
        <v>0.18533831790732039</v>
      </c>
      <c r="CQ246" s="3">
        <v>0.19276528685303021</v>
      </c>
      <c r="CR246" s="3">
        <v>0.20048721518368859</v>
      </c>
      <c r="CS246" s="3">
        <v>0.2083579819171158</v>
      </c>
      <c r="CU246" s="17" t="s">
        <v>1557</v>
      </c>
      <c r="CV246" s="3">
        <v>9.9510938537753529E-2</v>
      </c>
      <c r="CW246" s="3">
        <v>0.10342873317410441</v>
      </c>
      <c r="CX246" s="3">
        <v>0.10732847137875</v>
      </c>
      <c r="CY246" s="3">
        <v>0.1108055234457775</v>
      </c>
      <c r="CZ246" s="3">
        <v>0.1154266858782006</v>
      </c>
      <c r="DA246" s="3">
        <v>0.12002272240760831</v>
      </c>
      <c r="DB246" s="3">
        <v>0.1249474129446058</v>
      </c>
      <c r="DC246" s="3">
        <v>0.13005221393807609</v>
      </c>
      <c r="DD246" s="3">
        <v>0.13534039203649609</v>
      </c>
      <c r="DE246" s="3">
        <v>0.14071704694590831</v>
      </c>
      <c r="DF246" s="3">
        <v>0.14636540743768031</v>
      </c>
      <c r="DG246" s="3">
        <v>0.15224008326410321</v>
      </c>
      <c r="DH246" s="3">
        <v>0.158349428257269</v>
      </c>
      <c r="DI246" s="3">
        <v>0.164702261300995</v>
      </c>
      <c r="DJ246" s="3">
        <v>0.17130841009585079</v>
      </c>
      <c r="DK246" s="3">
        <v>0.1781782938365005</v>
      </c>
      <c r="DL246" s="3">
        <v>0.18532116427492701</v>
      </c>
      <c r="DM246" s="3">
        <v>0.1927479140384675</v>
      </c>
      <c r="DN246" s="3">
        <v>0.2004692993238518</v>
      </c>
      <c r="DO246" s="3">
        <v>0.20834003416420849</v>
      </c>
    </row>
    <row r="247" spans="1:119" x14ac:dyDescent="0.45">
      <c r="A247" s="16" t="s">
        <v>1558</v>
      </c>
      <c r="B247" s="3" t="s">
        <v>89</v>
      </c>
      <c r="C247" s="16" t="s">
        <v>1559</v>
      </c>
      <c r="H247" s="3" t="s">
        <v>1560</v>
      </c>
      <c r="I247" s="3" t="s">
        <v>109</v>
      </c>
      <c r="K247" s="17" t="s">
        <v>1561</v>
      </c>
      <c r="L247" s="3">
        <v>56.268979710829647</v>
      </c>
      <c r="M247" s="3">
        <v>58.484317141502039</v>
      </c>
      <c r="N247" s="3">
        <v>60.689444468599852</v>
      </c>
      <c r="O247" s="3">
        <v>62.655561712472903</v>
      </c>
      <c r="P247" s="3">
        <v>65.268622135491754</v>
      </c>
      <c r="Q247" s="3">
        <v>67.883042766912965</v>
      </c>
      <c r="R247" s="3">
        <v>70.669203859752173</v>
      </c>
      <c r="S247" s="3">
        <v>73.55694758199455</v>
      </c>
      <c r="T247" s="3">
        <v>76.548923683101535</v>
      </c>
      <c r="U247" s="3">
        <v>79.589532092001392</v>
      </c>
      <c r="V247" s="3">
        <v>82.784517676882345</v>
      </c>
      <c r="W247" s="3">
        <v>86.10702672351853</v>
      </c>
      <c r="X247" s="3">
        <v>89.562054649380826</v>
      </c>
      <c r="Y247" s="3">
        <v>93.154860604188158</v>
      </c>
      <c r="Z247" s="3">
        <v>96.890813860287054</v>
      </c>
      <c r="AA247" s="3">
        <v>100.7756565567293</v>
      </c>
      <c r="AB247" s="3">
        <v>104.81508260078721</v>
      </c>
      <c r="AC247" s="3">
        <v>109.01513725593961</v>
      </c>
      <c r="AD247" s="3">
        <v>113.382096400972</v>
      </c>
      <c r="AE247" s="3">
        <v>117.8326265687556</v>
      </c>
      <c r="AG247" s="17" t="s">
        <v>1562</v>
      </c>
      <c r="AH247" s="3">
        <v>56.268979710829647</v>
      </c>
      <c r="AI247" s="3">
        <v>58.484317141502039</v>
      </c>
      <c r="AJ247" s="3">
        <v>60.689444468599852</v>
      </c>
      <c r="AK247" s="3">
        <v>62.655561712472903</v>
      </c>
      <c r="AL247" s="3">
        <v>65.268622135491754</v>
      </c>
      <c r="AM247" s="3">
        <v>67.875639089996042</v>
      </c>
      <c r="AN247" s="3">
        <v>70.661102139397158</v>
      </c>
      <c r="AO247" s="3">
        <v>73.548270982442702</v>
      </c>
      <c r="AP247" s="3">
        <v>76.539423159173325</v>
      </c>
      <c r="AQ247" s="3">
        <v>79.579854845313903</v>
      </c>
      <c r="AR247" s="3">
        <v>82.774331432156174</v>
      </c>
      <c r="AS247" s="3">
        <v>86.096526212990511</v>
      </c>
      <c r="AT247" s="3">
        <v>89.551338485170646</v>
      </c>
      <c r="AU247" s="3">
        <v>93.143877835551791</v>
      </c>
      <c r="AV247" s="3">
        <v>96.879609573701842</v>
      </c>
      <c r="AW247" s="3">
        <v>100.76434398816539</v>
      </c>
      <c r="AX247" s="3">
        <v>104.8035610238545</v>
      </c>
      <c r="AY247" s="3">
        <v>109.0033492821707</v>
      </c>
      <c r="AZ247" s="3">
        <v>113.369899125462</v>
      </c>
      <c r="BA247" s="3">
        <v>117.8204328336561</v>
      </c>
      <c r="BC247" s="17" t="s">
        <v>1563</v>
      </c>
      <c r="BD247" s="3">
        <v>56.268979710829647</v>
      </c>
      <c r="BE247" s="3">
        <v>58.484317141502039</v>
      </c>
      <c r="BF247" s="3">
        <v>60.689444468599852</v>
      </c>
      <c r="BG247" s="3">
        <v>62.655561712472903</v>
      </c>
      <c r="BH247" s="3">
        <v>65.268622135491754</v>
      </c>
      <c r="BI247" s="3">
        <v>67.871979440133771</v>
      </c>
      <c r="BJ247" s="3">
        <v>70.645261288984202</v>
      </c>
      <c r="BK247" s="3">
        <v>73.521462702810481</v>
      </c>
      <c r="BL247" s="3">
        <v>76.502680977549616</v>
      </c>
      <c r="BM247" s="3">
        <v>79.541082199626942</v>
      </c>
      <c r="BN247" s="3">
        <v>82.732606178524819</v>
      </c>
      <c r="BO247" s="3">
        <v>86.051507304872928</v>
      </c>
      <c r="BP247" s="3">
        <v>89.502878225837463</v>
      </c>
      <c r="BQ247" s="3">
        <v>93.091953820047991</v>
      </c>
      <c r="BR247" s="3">
        <v>96.824119086838124</v>
      </c>
      <c r="BS247" s="3">
        <v>100.7051724479027</v>
      </c>
      <c r="BT247" s="3">
        <v>104.7407638683806</v>
      </c>
      <c r="BU247" s="3">
        <v>108.9369068219235</v>
      </c>
      <c r="BV247" s="3">
        <v>113.29978218984429</v>
      </c>
      <c r="BW247" s="3">
        <v>117.7491905751135</v>
      </c>
      <c r="BY247" s="17" t="s">
        <v>1564</v>
      </c>
      <c r="BZ247" s="3">
        <v>56.268979710829647</v>
      </c>
      <c r="CA247" s="3">
        <v>58.484317141502039</v>
      </c>
      <c r="CB247" s="3">
        <v>60.689444468599852</v>
      </c>
      <c r="CC247" s="3">
        <v>62.655561712472903</v>
      </c>
      <c r="CD247" s="3">
        <v>65.268622135491754</v>
      </c>
      <c r="CE247" s="3">
        <v>67.874082441584179</v>
      </c>
      <c r="CF247" s="3">
        <v>70.659398461766401</v>
      </c>
      <c r="CG247" s="3">
        <v>73.546414745310656</v>
      </c>
      <c r="CH247" s="3">
        <v>76.537448780195049</v>
      </c>
      <c r="CI247" s="3">
        <v>79.577878164108739</v>
      </c>
      <c r="CJ247" s="3">
        <v>82.772257795124276</v>
      </c>
      <c r="CK247" s="3">
        <v>86.094378615871875</v>
      </c>
      <c r="CL247" s="3">
        <v>89.549022599242875</v>
      </c>
      <c r="CM247" s="3">
        <v>93.141403725885581</v>
      </c>
      <c r="CN247" s="3">
        <v>96.876969248012571</v>
      </c>
      <c r="CO247" s="3">
        <v>100.76150268133139</v>
      </c>
      <c r="CP247" s="3">
        <v>104.8005194525396</v>
      </c>
      <c r="CQ247" s="3">
        <v>109.0001378167112</v>
      </c>
      <c r="CR247" s="3">
        <v>113.36654250499031</v>
      </c>
      <c r="CS247" s="3">
        <v>117.8171086451525</v>
      </c>
      <c r="CU247" s="17" t="s">
        <v>1565</v>
      </c>
      <c r="CV247" s="3">
        <v>56.268979710829647</v>
      </c>
      <c r="CW247" s="3">
        <v>58.484317141502039</v>
      </c>
      <c r="CX247" s="3">
        <v>60.689444468599852</v>
      </c>
      <c r="CY247" s="3">
        <v>62.655561712472903</v>
      </c>
      <c r="CZ247" s="3">
        <v>65.268622135491754</v>
      </c>
      <c r="DA247" s="3">
        <v>67.86747498547625</v>
      </c>
      <c r="DB247" s="3">
        <v>70.652166959849438</v>
      </c>
      <c r="DC247" s="3">
        <v>73.53870333213402</v>
      </c>
      <c r="DD247" s="3">
        <v>76.528931245765449</v>
      </c>
      <c r="DE247" s="3">
        <v>79.569188834081402</v>
      </c>
      <c r="DF247" s="3">
        <v>82.763083762430313</v>
      </c>
      <c r="DG247" s="3">
        <v>86.084949878277243</v>
      </c>
      <c r="DH247" s="3">
        <v>89.539510899591306</v>
      </c>
      <c r="DI247" s="3">
        <v>93.131753510267615</v>
      </c>
      <c r="DJ247" s="3">
        <v>96.86723483490043</v>
      </c>
      <c r="DK247" s="3">
        <v>100.7518464615079</v>
      </c>
      <c r="DL247" s="3">
        <v>104.79081984154909</v>
      </c>
      <c r="DM247" s="3">
        <v>108.99031426801881</v>
      </c>
      <c r="DN247" s="3">
        <v>113.3564118885126</v>
      </c>
      <c r="DO247" s="3">
        <v>117.8069599945716</v>
      </c>
    </row>
    <row r="248" spans="1:119" x14ac:dyDescent="0.45">
      <c r="A248" s="16" t="s">
        <v>1566</v>
      </c>
      <c r="B248" s="3" t="s">
        <v>89</v>
      </c>
      <c r="C248" s="16" t="s">
        <v>1567</v>
      </c>
      <c r="H248" s="3" t="s">
        <v>1568</v>
      </c>
      <c r="I248" s="3" t="s">
        <v>860</v>
      </c>
      <c r="K248" s="17" t="s">
        <v>1569</v>
      </c>
      <c r="L248" s="3">
        <v>1.104744316531675</v>
      </c>
      <c r="M248" s="3">
        <v>1.039335530570761</v>
      </c>
      <c r="N248" s="3">
        <v>1.048649616262127</v>
      </c>
      <c r="O248" s="3">
        <v>0.92638454573763762</v>
      </c>
      <c r="P248" s="3">
        <v>1.0157228816622981</v>
      </c>
      <c r="Q248" s="3">
        <v>0.94683711141560611</v>
      </c>
      <c r="R248" s="3">
        <v>0.93813913780511449</v>
      </c>
      <c r="S248" s="3">
        <v>0.94009907110047652</v>
      </c>
      <c r="T248" s="3">
        <v>0.94337020246944026</v>
      </c>
      <c r="U248" s="3">
        <v>0.94299231972893482</v>
      </c>
      <c r="V248" s="3">
        <v>0.954822055346084</v>
      </c>
      <c r="W248" s="3">
        <v>0.96709020940546708</v>
      </c>
      <c r="X248" s="3">
        <v>0.97980983755254825</v>
      </c>
      <c r="Y248" s="3">
        <v>0.99299750925339691</v>
      </c>
      <c r="Z248" s="3">
        <v>1.006666089251145</v>
      </c>
      <c r="AA248" s="3">
        <v>1.0208360404975549</v>
      </c>
      <c r="AB248" s="3">
        <v>1.035516596093881</v>
      </c>
      <c r="AC248" s="3">
        <v>1.0507230203228239</v>
      </c>
      <c r="AD248" s="3">
        <v>1.0664708834922749</v>
      </c>
      <c r="AE248" s="3">
        <v>1.0790081948964809</v>
      </c>
      <c r="AG248" s="17" t="s">
        <v>1570</v>
      </c>
      <c r="AH248" s="3">
        <v>1.104744316531675</v>
      </c>
      <c r="AI248" s="3">
        <v>1.039335530570761</v>
      </c>
      <c r="AJ248" s="3">
        <v>1.048649616262127</v>
      </c>
      <c r="AK248" s="3">
        <v>0.92638454573763762</v>
      </c>
      <c r="AL248" s="3">
        <v>1.0157228816622981</v>
      </c>
      <c r="AM248" s="3">
        <v>0.94692457409059394</v>
      </c>
      <c r="AN248" s="3">
        <v>0.93823287874071837</v>
      </c>
      <c r="AO248" s="3">
        <v>0.94019630893971828</v>
      </c>
      <c r="AP248" s="3">
        <v>0.94347722260642231</v>
      </c>
      <c r="AQ248" s="3">
        <v>0.94309870129458906</v>
      </c>
      <c r="AR248" s="3">
        <v>0.95493286110441256</v>
      </c>
      <c r="AS248" s="3">
        <v>0.96720068002039661</v>
      </c>
      <c r="AT248" s="3">
        <v>0.97991757392586554</v>
      </c>
      <c r="AU248" s="3">
        <v>0.99310347852554626</v>
      </c>
      <c r="AV248" s="3">
        <v>1.006769160263187</v>
      </c>
      <c r="AW248" s="3">
        <v>1.020933701021719</v>
      </c>
      <c r="AX248" s="3">
        <v>1.035610887516734</v>
      </c>
      <c r="AY248" s="3">
        <v>1.0508150043158799</v>
      </c>
      <c r="AZ248" s="3">
        <v>1.0665632726471641</v>
      </c>
      <c r="BA248" s="3">
        <v>1.0790983088223081</v>
      </c>
      <c r="BC248" s="17" t="s">
        <v>1571</v>
      </c>
      <c r="BD248" s="3">
        <v>1.104744316531675</v>
      </c>
      <c r="BE248" s="3">
        <v>1.039335530570761</v>
      </c>
      <c r="BF248" s="3">
        <v>1.048649616262127</v>
      </c>
      <c r="BG248" s="3">
        <v>0.92638454573763762</v>
      </c>
      <c r="BH248" s="3">
        <v>1.0157228816622981</v>
      </c>
      <c r="BI248" s="3">
        <v>0.94710114875650486</v>
      </c>
      <c r="BJ248" s="3">
        <v>0.93873461272245873</v>
      </c>
      <c r="BK248" s="3">
        <v>0.94100470613641274</v>
      </c>
      <c r="BL248" s="3">
        <v>0.94456964953357314</v>
      </c>
      <c r="BM248" s="3">
        <v>0.94419131317083904</v>
      </c>
      <c r="BN248" s="3">
        <v>0.95605132206087373</v>
      </c>
      <c r="BO248" s="3">
        <v>0.9683519795220159</v>
      </c>
      <c r="BP248" s="3">
        <v>0.98110397581304776</v>
      </c>
      <c r="BQ248" s="3">
        <v>0.99432429715792525</v>
      </c>
      <c r="BR248" s="3">
        <v>1.008025319907506</v>
      </c>
      <c r="BS248" s="3">
        <v>1.022226175783882</v>
      </c>
      <c r="BT248" s="3">
        <v>1.0369369714894769</v>
      </c>
      <c r="BU248" s="3">
        <v>1.0521735418332949</v>
      </c>
      <c r="BV248" s="3">
        <v>1.0679532788513111</v>
      </c>
      <c r="BW248" s="3">
        <v>1.0804691828231241</v>
      </c>
      <c r="BY248" s="17" t="s">
        <v>1572</v>
      </c>
      <c r="BZ248" s="3">
        <v>1.104744316531675</v>
      </c>
      <c r="CA248" s="3">
        <v>1.039335530570761</v>
      </c>
      <c r="CB248" s="3">
        <v>1.048649616262127</v>
      </c>
      <c r="CC248" s="3">
        <v>0.92638454573763762</v>
      </c>
      <c r="CD248" s="3">
        <v>1.0157228816622981</v>
      </c>
      <c r="CE248" s="3">
        <v>0.94694484132557166</v>
      </c>
      <c r="CF248" s="3">
        <v>0.93825461436348923</v>
      </c>
      <c r="CG248" s="3">
        <v>0.94021966882692887</v>
      </c>
      <c r="CH248" s="3">
        <v>0.9435014421172323</v>
      </c>
      <c r="CI248" s="3">
        <v>0.94312199599060931</v>
      </c>
      <c r="CJ248" s="3">
        <v>0.95495694076120108</v>
      </c>
      <c r="CK248" s="3">
        <v>0.96722494992720709</v>
      </c>
      <c r="CL248" s="3">
        <v>0.97994406709087556</v>
      </c>
      <c r="CM248" s="3">
        <v>0.99313185478864241</v>
      </c>
      <c r="CN248" s="3">
        <v>1.006799478299343</v>
      </c>
      <c r="CO248" s="3">
        <v>1.0209665730136099</v>
      </c>
      <c r="CP248" s="3">
        <v>1.035646165230441</v>
      </c>
      <c r="CQ248" s="3">
        <v>1.050851941385877</v>
      </c>
      <c r="CR248" s="3">
        <v>1.066601272988162</v>
      </c>
      <c r="CS248" s="3">
        <v>1.079134889272757</v>
      </c>
      <c r="CU248" s="17" t="s">
        <v>1573</v>
      </c>
      <c r="CV248" s="3">
        <v>1.104744316531675</v>
      </c>
      <c r="CW248" s="3">
        <v>1.039335530570761</v>
      </c>
      <c r="CX248" s="3">
        <v>1.048649616262127</v>
      </c>
      <c r="CY248" s="3">
        <v>0.92638454573763762</v>
      </c>
      <c r="CZ248" s="3">
        <v>1.0157228816622981</v>
      </c>
      <c r="DA248" s="3">
        <v>0.94703810348955841</v>
      </c>
      <c r="DB248" s="3">
        <v>0.93835465942895846</v>
      </c>
      <c r="DC248" s="3">
        <v>0.94032305862027743</v>
      </c>
      <c r="DD248" s="3">
        <v>0.94361623797364924</v>
      </c>
      <c r="DE248" s="3">
        <v>0.94323663395534529</v>
      </c>
      <c r="DF248" s="3">
        <v>0.95507671962596052</v>
      </c>
      <c r="DG248" s="3">
        <v>0.96734427984585225</v>
      </c>
      <c r="DH248" s="3">
        <v>0.98005895551203692</v>
      </c>
      <c r="DI248" s="3">
        <v>0.99324348052717004</v>
      </c>
      <c r="DJ248" s="3">
        <v>1.006906596662146</v>
      </c>
      <c r="DK248" s="3">
        <v>1.021065716598115</v>
      </c>
      <c r="DL248" s="3">
        <v>1.0357399578579269</v>
      </c>
      <c r="DM248" s="3">
        <v>1.0509420344180831</v>
      </c>
      <c r="DN248" s="3">
        <v>1.0666912938701201</v>
      </c>
      <c r="DO248" s="3">
        <v>1.079223197737939</v>
      </c>
    </row>
    <row r="249" spans="1:119" x14ac:dyDescent="0.45">
      <c r="A249" s="16" t="s">
        <v>1574</v>
      </c>
      <c r="B249" s="3" t="s">
        <v>89</v>
      </c>
      <c r="C249" s="16" t="s">
        <v>1575</v>
      </c>
      <c r="H249" s="3" t="s">
        <v>1576</v>
      </c>
      <c r="I249" s="3" t="s">
        <v>860</v>
      </c>
      <c r="K249" s="17" t="s">
        <v>1577</v>
      </c>
      <c r="L249" s="3">
        <v>0.76196877456566336</v>
      </c>
      <c r="M249" s="3">
        <v>0.69962938853406198</v>
      </c>
      <c r="N249" s="3">
        <v>0.705431870788639</v>
      </c>
      <c r="O249" s="3">
        <v>0.61024089019318117</v>
      </c>
      <c r="P249" s="3">
        <v>0.67639868844308337</v>
      </c>
      <c r="Q249" s="3">
        <v>0.60779757875445162</v>
      </c>
      <c r="R249" s="3">
        <v>0.58892430220587944</v>
      </c>
      <c r="S249" s="3">
        <v>0.57941064036158973</v>
      </c>
      <c r="T249" s="3">
        <v>0.57109088387355278</v>
      </c>
      <c r="U249" s="3">
        <v>0.56205223521170267</v>
      </c>
      <c r="V249" s="3">
        <v>0.56205223521170267</v>
      </c>
      <c r="W249" s="3">
        <v>0.56205223521170267</v>
      </c>
      <c r="X249" s="3">
        <v>0.56205223521170289</v>
      </c>
      <c r="Y249" s="3">
        <v>0.56205223521170289</v>
      </c>
      <c r="Z249" s="3">
        <v>0.56205223521170289</v>
      </c>
      <c r="AA249" s="3">
        <v>0.56205223521170278</v>
      </c>
      <c r="AB249" s="3">
        <v>0.56205223521170289</v>
      </c>
      <c r="AC249" s="3">
        <v>0.56205223521170289</v>
      </c>
      <c r="AD249" s="3">
        <v>0.56205223521170289</v>
      </c>
      <c r="AE249" s="3">
        <v>0.56205223521170289</v>
      </c>
      <c r="AG249" s="17" t="s">
        <v>1578</v>
      </c>
      <c r="AH249" s="3">
        <v>0.76196877456566336</v>
      </c>
      <c r="AI249" s="3">
        <v>0.69962938853406198</v>
      </c>
      <c r="AJ249" s="3">
        <v>0.705431870788639</v>
      </c>
      <c r="AK249" s="3">
        <v>0.61024089019318117</v>
      </c>
      <c r="AL249" s="3">
        <v>0.67639868844308337</v>
      </c>
      <c r="AM249" s="3">
        <v>0.60779757875445162</v>
      </c>
      <c r="AN249" s="3">
        <v>0.58892430220587944</v>
      </c>
      <c r="AO249" s="3">
        <v>0.57941064036158973</v>
      </c>
      <c r="AP249" s="3">
        <v>0.57109088387355278</v>
      </c>
      <c r="AQ249" s="3">
        <v>0.56205223521170267</v>
      </c>
      <c r="AR249" s="3">
        <v>0.56205223521170267</v>
      </c>
      <c r="AS249" s="3">
        <v>0.56205223521170267</v>
      </c>
      <c r="AT249" s="3">
        <v>0.56205223521170289</v>
      </c>
      <c r="AU249" s="3">
        <v>0.56205223521170289</v>
      </c>
      <c r="AV249" s="3">
        <v>0.56205223521170289</v>
      </c>
      <c r="AW249" s="3">
        <v>0.56205223521170278</v>
      </c>
      <c r="AX249" s="3">
        <v>0.56205223521170289</v>
      </c>
      <c r="AY249" s="3">
        <v>0.56205223521170289</v>
      </c>
      <c r="AZ249" s="3">
        <v>0.56205223521170289</v>
      </c>
      <c r="BA249" s="3">
        <v>0.56205223521170289</v>
      </c>
      <c r="BC249" s="17" t="s">
        <v>1579</v>
      </c>
      <c r="BD249" s="3">
        <v>0.76196877456566336</v>
      </c>
      <c r="BE249" s="3">
        <v>0.69962938853406198</v>
      </c>
      <c r="BF249" s="3">
        <v>0.705431870788639</v>
      </c>
      <c r="BG249" s="3">
        <v>0.61024089019318117</v>
      </c>
      <c r="BH249" s="3">
        <v>0.67639868844308337</v>
      </c>
      <c r="BI249" s="3">
        <v>0.60779757875445162</v>
      </c>
      <c r="BJ249" s="3">
        <v>0.58892430220587944</v>
      </c>
      <c r="BK249" s="3">
        <v>0.57941064036158973</v>
      </c>
      <c r="BL249" s="3">
        <v>0.57109088387355278</v>
      </c>
      <c r="BM249" s="3">
        <v>0.56205223521170267</v>
      </c>
      <c r="BN249" s="3">
        <v>0.56205223521170267</v>
      </c>
      <c r="BO249" s="3">
        <v>0.56205223521170267</v>
      </c>
      <c r="BP249" s="3">
        <v>0.56205223521170289</v>
      </c>
      <c r="BQ249" s="3">
        <v>0.56205223521170289</v>
      </c>
      <c r="BR249" s="3">
        <v>0.56205223521170289</v>
      </c>
      <c r="BS249" s="3">
        <v>0.56205223521170278</v>
      </c>
      <c r="BT249" s="3">
        <v>0.56205223521170289</v>
      </c>
      <c r="BU249" s="3">
        <v>0.56205223521170289</v>
      </c>
      <c r="BV249" s="3">
        <v>0.56205223521170289</v>
      </c>
      <c r="BW249" s="3">
        <v>0.56205223521170289</v>
      </c>
      <c r="BY249" s="17" t="s">
        <v>1580</v>
      </c>
      <c r="BZ249" s="3">
        <v>0.76196877456566336</v>
      </c>
      <c r="CA249" s="3">
        <v>0.69962938853406198</v>
      </c>
      <c r="CB249" s="3">
        <v>0.705431870788639</v>
      </c>
      <c r="CC249" s="3">
        <v>0.61024089019318117</v>
      </c>
      <c r="CD249" s="3">
        <v>0.67639868844308337</v>
      </c>
      <c r="CE249" s="3">
        <v>0.60779757875445162</v>
      </c>
      <c r="CF249" s="3">
        <v>0.58892430220587944</v>
      </c>
      <c r="CG249" s="3">
        <v>0.57941064036158973</v>
      </c>
      <c r="CH249" s="3">
        <v>0.57109088387355278</v>
      </c>
      <c r="CI249" s="3">
        <v>0.56205223521170267</v>
      </c>
      <c r="CJ249" s="3">
        <v>0.56205223521170267</v>
      </c>
      <c r="CK249" s="3">
        <v>0.56205223521170267</v>
      </c>
      <c r="CL249" s="3">
        <v>0.56205223521170289</v>
      </c>
      <c r="CM249" s="3">
        <v>0.56205223521170289</v>
      </c>
      <c r="CN249" s="3">
        <v>0.56205223521170289</v>
      </c>
      <c r="CO249" s="3">
        <v>0.56205223521170278</v>
      </c>
      <c r="CP249" s="3">
        <v>0.56205223521170289</v>
      </c>
      <c r="CQ249" s="3">
        <v>0.56205223521170289</v>
      </c>
      <c r="CR249" s="3">
        <v>0.56205223521170289</v>
      </c>
      <c r="CS249" s="3">
        <v>0.56205223521170289</v>
      </c>
      <c r="CU249" s="17" t="s">
        <v>1581</v>
      </c>
      <c r="CV249" s="3">
        <v>0.76196877456566336</v>
      </c>
      <c r="CW249" s="3">
        <v>0.69962938853406198</v>
      </c>
      <c r="CX249" s="3">
        <v>0.705431870788639</v>
      </c>
      <c r="CY249" s="3">
        <v>0.61024089019318117</v>
      </c>
      <c r="CZ249" s="3">
        <v>0.67639868844308337</v>
      </c>
      <c r="DA249" s="3">
        <v>0.60779757875445162</v>
      </c>
      <c r="DB249" s="3">
        <v>0.58892430220587944</v>
      </c>
      <c r="DC249" s="3">
        <v>0.57941064036158973</v>
      </c>
      <c r="DD249" s="3">
        <v>0.57109088387355278</v>
      </c>
      <c r="DE249" s="3">
        <v>0.56205223521170267</v>
      </c>
      <c r="DF249" s="3">
        <v>0.56205223521170267</v>
      </c>
      <c r="DG249" s="3">
        <v>0.56205223521170267</v>
      </c>
      <c r="DH249" s="3">
        <v>0.56205223521170289</v>
      </c>
      <c r="DI249" s="3">
        <v>0.56205223521170289</v>
      </c>
      <c r="DJ249" s="3">
        <v>0.56205223521170289</v>
      </c>
      <c r="DK249" s="3">
        <v>0.56205223521170278</v>
      </c>
      <c r="DL249" s="3">
        <v>0.56205223521170289</v>
      </c>
      <c r="DM249" s="3">
        <v>0.56205223521170289</v>
      </c>
      <c r="DN249" s="3">
        <v>0.56205223521170289</v>
      </c>
      <c r="DO249" s="3">
        <v>0.56205223521170289</v>
      </c>
    </row>
    <row r="250" spans="1:119" x14ac:dyDescent="0.45">
      <c r="A250" s="16" t="s">
        <v>1582</v>
      </c>
      <c r="B250" s="3" t="s">
        <v>89</v>
      </c>
      <c r="C250" s="16" t="s">
        <v>1583</v>
      </c>
      <c r="H250" s="3" t="s">
        <v>1584</v>
      </c>
      <c r="I250" s="3" t="s">
        <v>1300</v>
      </c>
      <c r="K250" s="17" t="s">
        <v>1585</v>
      </c>
      <c r="L250" s="3">
        <v>6.607346266388868E-2</v>
      </c>
      <c r="M250" s="3">
        <v>6.5395451673987193E-2</v>
      </c>
      <c r="N250" s="3">
        <v>6.1896300280833622E-2</v>
      </c>
      <c r="O250" s="3">
        <v>4.3735622477864541E-2</v>
      </c>
      <c r="P250" s="3">
        <v>4.9599125169150313E-2</v>
      </c>
      <c r="Q250" s="3">
        <v>5.1174633794215683E-2</v>
      </c>
      <c r="R250" s="3">
        <v>5.555464264551007E-2</v>
      </c>
      <c r="S250" s="3">
        <v>5.9649539286625163E-2</v>
      </c>
      <c r="T250" s="3">
        <v>6.3415184122822876E-2</v>
      </c>
      <c r="U250" s="3">
        <v>6.440189055778843E-2</v>
      </c>
      <c r="V250" s="3">
        <v>6.6749566841192515E-2</v>
      </c>
      <c r="W250" s="3">
        <v>6.9160649314132655E-2</v>
      </c>
      <c r="X250" s="3">
        <v>7.1633743441536363E-2</v>
      </c>
      <c r="Y250" s="3">
        <v>7.4170023112882497E-2</v>
      </c>
      <c r="Z250" s="3">
        <v>7.6766878031490501E-2</v>
      </c>
      <c r="AA250" s="3">
        <v>7.9427807189608096E-2</v>
      </c>
      <c r="AB250" s="3">
        <v>8.2145880794804352E-2</v>
      </c>
      <c r="AC250" s="3">
        <v>8.4918858404527148E-2</v>
      </c>
      <c r="AD250" s="3">
        <v>8.7744142812806236E-2</v>
      </c>
      <c r="AE250" s="3">
        <v>8.7313608516694743E-2</v>
      </c>
      <c r="AG250" s="17" t="s">
        <v>1586</v>
      </c>
      <c r="AH250" s="3">
        <v>6.607346266388868E-2</v>
      </c>
      <c r="AI250" s="3">
        <v>6.5395451673987193E-2</v>
      </c>
      <c r="AJ250" s="3">
        <v>6.1896300280833622E-2</v>
      </c>
      <c r="AK250" s="3">
        <v>4.3735622477864541E-2</v>
      </c>
      <c r="AL250" s="3">
        <v>4.9599125169150313E-2</v>
      </c>
      <c r="AM250" s="3">
        <v>5.1251355438941951E-2</v>
      </c>
      <c r="AN250" s="3">
        <v>5.56368715363907E-2</v>
      </c>
      <c r="AO250" s="3">
        <v>5.9734835636837173E-2</v>
      </c>
      <c r="AP250" s="3">
        <v>6.350906143596502E-2</v>
      </c>
      <c r="AQ250" s="3">
        <v>6.449520772064303E-2</v>
      </c>
      <c r="AR250" s="3">
        <v>6.6846764874814085E-2</v>
      </c>
      <c r="AS250" s="3">
        <v>6.9257553362316357E-2</v>
      </c>
      <c r="AT250" s="3">
        <v>7.1728249032165597E-2</v>
      </c>
      <c r="AU250" s="3">
        <v>7.4262978614767772E-2</v>
      </c>
      <c r="AV250" s="3">
        <v>7.685729119994876E-2</v>
      </c>
      <c r="AW250" s="3">
        <v>7.9513474316068006E-2</v>
      </c>
      <c r="AX250" s="3">
        <v>8.2228592569236619E-2</v>
      </c>
      <c r="AY250" s="3">
        <v>8.4999546117734415E-2</v>
      </c>
      <c r="AZ250" s="3">
        <v>8.7825185931130242E-2</v>
      </c>
      <c r="BA250" s="3">
        <v>8.7392655820051721E-2</v>
      </c>
      <c r="BC250" s="17" t="s">
        <v>1587</v>
      </c>
      <c r="BD250" s="3">
        <v>6.607346266388868E-2</v>
      </c>
      <c r="BE250" s="3">
        <v>6.5395451673987193E-2</v>
      </c>
      <c r="BF250" s="3">
        <v>6.1896300280833622E-2</v>
      </c>
      <c r="BG250" s="3">
        <v>4.3735622477864541E-2</v>
      </c>
      <c r="BH250" s="3">
        <v>4.9599125169150313E-2</v>
      </c>
      <c r="BI250" s="3">
        <v>5.1406245496758582E-2</v>
      </c>
      <c r="BJ250" s="3">
        <v>5.6076989064233217E-2</v>
      </c>
      <c r="BK250" s="3">
        <v>6.0443955984814897E-2</v>
      </c>
      <c r="BL250" s="3">
        <v>6.4467330670307854E-2</v>
      </c>
      <c r="BM250" s="3">
        <v>6.5453639191037874E-2</v>
      </c>
      <c r="BN250" s="3">
        <v>6.7827870976973015E-2</v>
      </c>
      <c r="BO250" s="3">
        <v>7.0267465205842053E-2</v>
      </c>
      <c r="BP250" s="3">
        <v>7.2768952441974635E-2</v>
      </c>
      <c r="BQ250" s="3">
        <v>7.5333872151942372E-2</v>
      </c>
      <c r="BR250" s="3">
        <v>7.7959185624789498E-2</v>
      </c>
      <c r="BS250" s="3">
        <v>8.0647224107439103E-2</v>
      </c>
      <c r="BT250" s="3">
        <v>8.3391824124274344E-2</v>
      </c>
      <c r="BU250" s="3">
        <v>8.6191245694414137E-2</v>
      </c>
      <c r="BV250" s="3">
        <v>8.9044489618978553E-2</v>
      </c>
      <c r="BW250" s="3">
        <v>8.8595176873398684E-2</v>
      </c>
      <c r="BY250" s="17" t="s">
        <v>1588</v>
      </c>
      <c r="BZ250" s="3">
        <v>6.607346266388868E-2</v>
      </c>
      <c r="CA250" s="3">
        <v>6.5395451673987193E-2</v>
      </c>
      <c r="CB250" s="3">
        <v>6.1896300280833622E-2</v>
      </c>
      <c r="CC250" s="3">
        <v>4.3735622477864541E-2</v>
      </c>
      <c r="CD250" s="3">
        <v>4.9599125169150313E-2</v>
      </c>
      <c r="CE250" s="3">
        <v>5.1269133715238141E-2</v>
      </c>
      <c r="CF250" s="3">
        <v>5.5655937872154657E-2</v>
      </c>
      <c r="CG250" s="3">
        <v>5.9755326765969348E-2</v>
      </c>
      <c r="CH250" s="3">
        <v>6.3530306620886101E-2</v>
      </c>
      <c r="CI250" s="3">
        <v>6.4515641664520465E-2</v>
      </c>
      <c r="CJ250" s="3">
        <v>6.6867887380768903E-2</v>
      </c>
      <c r="CK250" s="3">
        <v>6.9278842754255401E-2</v>
      </c>
      <c r="CL250" s="3">
        <v>7.1751488650595399E-2</v>
      </c>
      <c r="CM250" s="3">
        <v>7.4287870073624154E-2</v>
      </c>
      <c r="CN250" s="3">
        <v>7.6883885968506316E-2</v>
      </c>
      <c r="CO250" s="3">
        <v>7.9542309396673699E-2</v>
      </c>
      <c r="CP250" s="3">
        <v>8.2259537932137097E-2</v>
      </c>
      <c r="CQ250" s="3">
        <v>8.5031947056327939E-2</v>
      </c>
      <c r="CR250" s="3">
        <v>8.7858519563584661E-2</v>
      </c>
      <c r="CS250" s="3">
        <v>8.742474393448009E-2</v>
      </c>
      <c r="CU250" s="17" t="s">
        <v>1589</v>
      </c>
      <c r="CV250" s="3">
        <v>6.607346266388868E-2</v>
      </c>
      <c r="CW250" s="3">
        <v>6.5395451673987193E-2</v>
      </c>
      <c r="CX250" s="3">
        <v>6.1896300280833622E-2</v>
      </c>
      <c r="CY250" s="3">
        <v>4.3735622477864541E-2</v>
      </c>
      <c r="CZ250" s="3">
        <v>4.9599125169150313E-2</v>
      </c>
      <c r="DA250" s="3">
        <v>5.1350942631015993E-2</v>
      </c>
      <c r="DB250" s="3">
        <v>5.574369670151369E-2</v>
      </c>
      <c r="DC250" s="3">
        <v>5.9846019567152277E-2</v>
      </c>
      <c r="DD250" s="3">
        <v>6.3631004740550043E-2</v>
      </c>
      <c r="DE250" s="3">
        <v>6.4616201282709923E-2</v>
      </c>
      <c r="DF250" s="3">
        <v>6.6972956560382393E-2</v>
      </c>
      <c r="DG250" s="3">
        <v>6.9383518121488116E-2</v>
      </c>
      <c r="DH250" s="3">
        <v>7.1852267967403682E-2</v>
      </c>
      <c r="DI250" s="3">
        <v>7.4385787388122029E-2</v>
      </c>
      <c r="DJ250" s="3">
        <v>7.6977849444649651E-2</v>
      </c>
      <c r="DK250" s="3">
        <v>7.9629277453257055E-2</v>
      </c>
      <c r="DL250" s="3">
        <v>8.2341812166774081E-2</v>
      </c>
      <c r="DM250" s="3">
        <v>8.5110976031947325E-2</v>
      </c>
      <c r="DN250" s="3">
        <v>8.7937485249512531E-2</v>
      </c>
      <c r="DO250" s="3">
        <v>8.7502207500429904E-2</v>
      </c>
    </row>
    <row r="251" spans="1:119" x14ac:dyDescent="0.45">
      <c r="A251" s="16" t="s">
        <v>1590</v>
      </c>
      <c r="B251" s="3" t="s">
        <v>89</v>
      </c>
      <c r="C251" s="16" t="s">
        <v>1591</v>
      </c>
      <c r="H251" s="3" t="s">
        <v>1592</v>
      </c>
      <c r="I251" s="3" t="s">
        <v>860</v>
      </c>
      <c r="K251" s="17" t="s">
        <v>1593</v>
      </c>
      <c r="L251" s="3">
        <v>0.14103172464033811</v>
      </c>
      <c r="M251" s="3">
        <v>0.14667299362595171</v>
      </c>
      <c r="N251" s="3">
        <v>0.15253991337098971</v>
      </c>
      <c r="O251" s="3">
        <v>0.15864150990582929</v>
      </c>
      <c r="P251" s="3">
        <v>0.1649871703020625</v>
      </c>
      <c r="Q251" s="3">
        <v>0.171586657114145</v>
      </c>
      <c r="R251" s="3">
        <v>0.1784501233987108</v>
      </c>
      <c r="S251" s="3">
        <v>0.18558812833465929</v>
      </c>
      <c r="T251" s="3">
        <v>0.19301165346804561</v>
      </c>
      <c r="U251" s="3">
        <v>0.20073211960676751</v>
      </c>
      <c r="V251" s="3">
        <v>0.20876140439103821</v>
      </c>
      <c r="W251" s="3">
        <v>0.21711186056667969</v>
      </c>
      <c r="X251" s="3">
        <v>0.2257963349893469</v>
      </c>
      <c r="Y251" s="3">
        <v>0.23482818838892069</v>
      </c>
      <c r="Z251" s="3">
        <v>0.2442213159244776</v>
      </c>
      <c r="AA251" s="3">
        <v>0.25399016856145668</v>
      </c>
      <c r="AB251" s="3">
        <v>0.26414977530391498</v>
      </c>
      <c r="AC251" s="3">
        <v>0.27471576631607159</v>
      </c>
      <c r="AD251" s="3">
        <v>0.28570439696871452</v>
      </c>
      <c r="AE251" s="3">
        <v>0.29713257284746308</v>
      </c>
      <c r="AG251" s="17" t="s">
        <v>1594</v>
      </c>
      <c r="AH251" s="3">
        <v>0.14103172464033811</v>
      </c>
      <c r="AI251" s="3">
        <v>0.14667299362595171</v>
      </c>
      <c r="AJ251" s="3">
        <v>0.15253991337098971</v>
      </c>
      <c r="AK251" s="3">
        <v>0.15864150990582929</v>
      </c>
      <c r="AL251" s="3">
        <v>0.1649871703020625</v>
      </c>
      <c r="AM251" s="3">
        <v>0.171586657114145</v>
      </c>
      <c r="AN251" s="3">
        <v>0.1784501233987108</v>
      </c>
      <c r="AO251" s="3">
        <v>0.18558812833465929</v>
      </c>
      <c r="AP251" s="3">
        <v>0.19301165346804561</v>
      </c>
      <c r="AQ251" s="3">
        <v>0.20073211960676751</v>
      </c>
      <c r="AR251" s="3">
        <v>0.20876140439103821</v>
      </c>
      <c r="AS251" s="3">
        <v>0.21711186056667969</v>
      </c>
      <c r="AT251" s="3">
        <v>0.2257963349893469</v>
      </c>
      <c r="AU251" s="3">
        <v>0.23482818838892069</v>
      </c>
      <c r="AV251" s="3">
        <v>0.2442213159244776</v>
      </c>
      <c r="AW251" s="3">
        <v>0.25399016856145668</v>
      </c>
      <c r="AX251" s="3">
        <v>0.26414977530391498</v>
      </c>
      <c r="AY251" s="3">
        <v>0.27471576631607159</v>
      </c>
      <c r="AZ251" s="3">
        <v>0.28570439696871452</v>
      </c>
      <c r="BA251" s="3">
        <v>0.29713257284746308</v>
      </c>
      <c r="BC251" s="17" t="s">
        <v>1595</v>
      </c>
      <c r="BD251" s="3">
        <v>0.14103172464033811</v>
      </c>
      <c r="BE251" s="3">
        <v>0.14667299362595171</v>
      </c>
      <c r="BF251" s="3">
        <v>0.15253991337098971</v>
      </c>
      <c r="BG251" s="3">
        <v>0.15864150990582929</v>
      </c>
      <c r="BH251" s="3">
        <v>0.1649871703020625</v>
      </c>
      <c r="BI251" s="3">
        <v>0.171586657114145</v>
      </c>
      <c r="BJ251" s="3">
        <v>0.1784501233987108</v>
      </c>
      <c r="BK251" s="3">
        <v>0.18558812833465929</v>
      </c>
      <c r="BL251" s="3">
        <v>0.19301165346804561</v>
      </c>
      <c r="BM251" s="3">
        <v>0.20073211960676751</v>
      </c>
      <c r="BN251" s="3">
        <v>0.20876140439103821</v>
      </c>
      <c r="BO251" s="3">
        <v>0.21711186056667969</v>
      </c>
      <c r="BP251" s="3">
        <v>0.2257963349893469</v>
      </c>
      <c r="BQ251" s="3">
        <v>0.23482818838892069</v>
      </c>
      <c r="BR251" s="3">
        <v>0.2442213159244776</v>
      </c>
      <c r="BS251" s="3">
        <v>0.25399016856145668</v>
      </c>
      <c r="BT251" s="3">
        <v>0.26414977530391498</v>
      </c>
      <c r="BU251" s="3">
        <v>0.27471576631607159</v>
      </c>
      <c r="BV251" s="3">
        <v>0.28570439696871452</v>
      </c>
      <c r="BW251" s="3">
        <v>0.29713257284746308</v>
      </c>
      <c r="BY251" s="17" t="s">
        <v>1596</v>
      </c>
      <c r="BZ251" s="3">
        <v>0.14103172464033811</v>
      </c>
      <c r="CA251" s="3">
        <v>0.14667299362595171</v>
      </c>
      <c r="CB251" s="3">
        <v>0.15253991337098971</v>
      </c>
      <c r="CC251" s="3">
        <v>0.15864150990582929</v>
      </c>
      <c r="CD251" s="3">
        <v>0.1649871703020625</v>
      </c>
      <c r="CE251" s="3">
        <v>0.171586657114145</v>
      </c>
      <c r="CF251" s="3">
        <v>0.1784501233987108</v>
      </c>
      <c r="CG251" s="3">
        <v>0.18558812833465929</v>
      </c>
      <c r="CH251" s="3">
        <v>0.19301165346804561</v>
      </c>
      <c r="CI251" s="3">
        <v>0.20073211960676751</v>
      </c>
      <c r="CJ251" s="3">
        <v>0.20876140439103821</v>
      </c>
      <c r="CK251" s="3">
        <v>0.21711186056667969</v>
      </c>
      <c r="CL251" s="3">
        <v>0.2257963349893469</v>
      </c>
      <c r="CM251" s="3">
        <v>0.23482818838892069</v>
      </c>
      <c r="CN251" s="3">
        <v>0.2442213159244776</v>
      </c>
      <c r="CO251" s="3">
        <v>0.25399016856145668</v>
      </c>
      <c r="CP251" s="3">
        <v>0.26414977530391498</v>
      </c>
      <c r="CQ251" s="3">
        <v>0.27471576631607159</v>
      </c>
      <c r="CR251" s="3">
        <v>0.28570439696871452</v>
      </c>
      <c r="CS251" s="3">
        <v>0.29713257284746308</v>
      </c>
      <c r="CU251" s="17" t="s">
        <v>1597</v>
      </c>
      <c r="CV251" s="3">
        <v>0.14103172464033811</v>
      </c>
      <c r="CW251" s="3">
        <v>0.14667299362595171</v>
      </c>
      <c r="CX251" s="3">
        <v>0.15253991337098971</v>
      </c>
      <c r="CY251" s="3">
        <v>0.15864150990582929</v>
      </c>
      <c r="CZ251" s="3">
        <v>0.1649871703020625</v>
      </c>
      <c r="DA251" s="3">
        <v>0.171586657114145</v>
      </c>
      <c r="DB251" s="3">
        <v>0.1784501233987108</v>
      </c>
      <c r="DC251" s="3">
        <v>0.18558812833465929</v>
      </c>
      <c r="DD251" s="3">
        <v>0.19301165346804561</v>
      </c>
      <c r="DE251" s="3">
        <v>0.20073211960676751</v>
      </c>
      <c r="DF251" s="3">
        <v>0.20876140439103821</v>
      </c>
      <c r="DG251" s="3">
        <v>0.21711186056667969</v>
      </c>
      <c r="DH251" s="3">
        <v>0.2257963349893469</v>
      </c>
      <c r="DI251" s="3">
        <v>0.23482818838892069</v>
      </c>
      <c r="DJ251" s="3">
        <v>0.2442213159244776</v>
      </c>
      <c r="DK251" s="3">
        <v>0.25399016856145668</v>
      </c>
      <c r="DL251" s="3">
        <v>0.26414977530391498</v>
      </c>
      <c r="DM251" s="3">
        <v>0.27471576631607159</v>
      </c>
      <c r="DN251" s="3">
        <v>0.28570439696871452</v>
      </c>
      <c r="DO251" s="3">
        <v>0.29713257284746308</v>
      </c>
    </row>
    <row r="252" spans="1:119" x14ac:dyDescent="0.45">
      <c r="A252" s="16" t="s">
        <v>1598</v>
      </c>
      <c r="B252" s="3" t="s">
        <v>89</v>
      </c>
      <c r="C252" s="16" t="s">
        <v>1599</v>
      </c>
      <c r="H252" s="3" t="s">
        <v>1600</v>
      </c>
      <c r="I252" s="3" t="s">
        <v>860</v>
      </c>
      <c r="K252" s="17" t="s">
        <v>1601</v>
      </c>
      <c r="L252" s="3">
        <v>0.13567035466178459</v>
      </c>
      <c r="M252" s="3">
        <v>0.12763769673676009</v>
      </c>
      <c r="N252" s="3">
        <v>0.12878153182166471</v>
      </c>
      <c r="O252" s="3">
        <v>0.11376652316076249</v>
      </c>
      <c r="P252" s="3">
        <v>0.12473789774800149</v>
      </c>
      <c r="Q252" s="3">
        <v>0.11627824175279371</v>
      </c>
      <c r="R252" s="3">
        <v>0.1152100695550141</v>
      </c>
      <c r="S252" s="3">
        <v>0.1154507631176024</v>
      </c>
      <c r="T252" s="3">
        <v>0.11585248100501901</v>
      </c>
      <c r="U252" s="3">
        <v>0.1158060743526762</v>
      </c>
      <c r="V252" s="3">
        <v>0.1172588489021507</v>
      </c>
      <c r="W252" s="3">
        <v>0.1187654643129521</v>
      </c>
      <c r="X252" s="3">
        <v>0.1203275239099621</v>
      </c>
      <c r="Y252" s="3">
        <v>0.1219470625398909</v>
      </c>
      <c r="Z252" s="3">
        <v>0.12362566008347391</v>
      </c>
      <c r="AA252" s="3">
        <v>0.1253658295347875</v>
      </c>
      <c r="AB252" s="3">
        <v>0.1271687047834591</v>
      </c>
      <c r="AC252" s="3">
        <v>0.12903616039052221</v>
      </c>
      <c r="AD252" s="3">
        <v>0.1309701084990513</v>
      </c>
      <c r="AE252" s="3">
        <v>0.1325097783206205</v>
      </c>
      <c r="AG252" s="17" t="s">
        <v>1602</v>
      </c>
      <c r="AH252" s="3">
        <v>0.13567035466178459</v>
      </c>
      <c r="AI252" s="3">
        <v>0.12763769673676009</v>
      </c>
      <c r="AJ252" s="3">
        <v>0.12878153182166471</v>
      </c>
      <c r="AK252" s="3">
        <v>0.11376652316076249</v>
      </c>
      <c r="AL252" s="3">
        <v>0.12473789774800149</v>
      </c>
      <c r="AM252" s="3">
        <v>0.1162889827830554</v>
      </c>
      <c r="AN252" s="3">
        <v>0.1152215815997373</v>
      </c>
      <c r="AO252" s="3">
        <v>0.1154627046066321</v>
      </c>
      <c r="AP252" s="3">
        <v>0.1158656238288589</v>
      </c>
      <c r="AQ252" s="3">
        <v>0.11581913875547591</v>
      </c>
      <c r="AR252" s="3">
        <v>0.1172724566268577</v>
      </c>
      <c r="AS252" s="3">
        <v>0.11877903087969779</v>
      </c>
      <c r="AT252" s="3">
        <v>0.1203407546926502</v>
      </c>
      <c r="AU252" s="3">
        <v>0.12196007631015481</v>
      </c>
      <c r="AV252" s="3">
        <v>0.12363831792705809</v>
      </c>
      <c r="AW252" s="3">
        <v>0.12537782293249189</v>
      </c>
      <c r="AX252" s="3">
        <v>0.12718028443187959</v>
      </c>
      <c r="AY252" s="3">
        <v>0.12904745667037129</v>
      </c>
      <c r="AZ252" s="3">
        <v>0.13098145453561669</v>
      </c>
      <c r="BA252" s="3">
        <v>0.13252084494309049</v>
      </c>
      <c r="BC252" s="17" t="s">
        <v>1603</v>
      </c>
      <c r="BD252" s="3">
        <v>0.13567035466178459</v>
      </c>
      <c r="BE252" s="3">
        <v>0.12763769673676009</v>
      </c>
      <c r="BF252" s="3">
        <v>0.12878153182166471</v>
      </c>
      <c r="BG252" s="3">
        <v>0.11376652316076249</v>
      </c>
      <c r="BH252" s="3">
        <v>0.12473789774800149</v>
      </c>
      <c r="BI252" s="3">
        <v>0.1163106673911497</v>
      </c>
      <c r="BJ252" s="3">
        <v>0.11528319805363529</v>
      </c>
      <c r="BK252" s="3">
        <v>0.11556198145534891</v>
      </c>
      <c r="BL252" s="3">
        <v>0.1159997815216669</v>
      </c>
      <c r="BM252" s="3">
        <v>0.1159533191613311</v>
      </c>
      <c r="BN252" s="3">
        <v>0.11740981148115991</v>
      </c>
      <c r="BO252" s="3">
        <v>0.11892041853779139</v>
      </c>
      <c r="BP252" s="3">
        <v>0.12048645317002341</v>
      </c>
      <c r="BQ252" s="3">
        <v>0.1221100014053593</v>
      </c>
      <c r="BR252" s="3">
        <v>0.1237925831465358</v>
      </c>
      <c r="BS252" s="3">
        <v>0.12553654790328381</v>
      </c>
      <c r="BT252" s="3">
        <v>0.1273431368495849</v>
      </c>
      <c r="BU252" s="3">
        <v>0.1292142946111064</v>
      </c>
      <c r="BV252" s="3">
        <v>0.13115215705191541</v>
      </c>
      <c r="BW252" s="3">
        <v>0.13268919789055911</v>
      </c>
      <c r="BY252" s="17" t="s">
        <v>1604</v>
      </c>
      <c r="BZ252" s="3">
        <v>0.13567035466178459</v>
      </c>
      <c r="CA252" s="3">
        <v>0.12763769673676009</v>
      </c>
      <c r="CB252" s="3">
        <v>0.12878153182166471</v>
      </c>
      <c r="CC252" s="3">
        <v>0.11376652316076249</v>
      </c>
      <c r="CD252" s="3">
        <v>0.12473789774800149</v>
      </c>
      <c r="CE252" s="3">
        <v>0.1162914717417369</v>
      </c>
      <c r="CF252" s="3">
        <v>0.1152242508867443</v>
      </c>
      <c r="CG252" s="3">
        <v>0.1154655733647106</v>
      </c>
      <c r="CH252" s="3">
        <v>0.1158685981547478</v>
      </c>
      <c r="CI252" s="3">
        <v>0.11582199950761871</v>
      </c>
      <c r="CJ252" s="3">
        <v>0.11727541377769141</v>
      </c>
      <c r="CK252" s="3">
        <v>0.1187820113945693</v>
      </c>
      <c r="CL252" s="3">
        <v>0.1203440082392303</v>
      </c>
      <c r="CM252" s="3">
        <v>0.1219635611143947</v>
      </c>
      <c r="CN252" s="3">
        <v>0.1236420411946562</v>
      </c>
      <c r="CO252" s="3">
        <v>0.1253818598437767</v>
      </c>
      <c r="CP252" s="3">
        <v>0.12718461678268569</v>
      </c>
      <c r="CQ252" s="3">
        <v>0.12905199280177429</v>
      </c>
      <c r="CR252" s="3">
        <v>0.13098612124416029</v>
      </c>
      <c r="CS252" s="3">
        <v>0.13252533727911051</v>
      </c>
      <c r="CU252" s="17" t="s">
        <v>1605</v>
      </c>
      <c r="CV252" s="3">
        <v>0.13567035466178459</v>
      </c>
      <c r="CW252" s="3">
        <v>0.12763769673676009</v>
      </c>
      <c r="CX252" s="3">
        <v>0.12878153182166471</v>
      </c>
      <c r="CY252" s="3">
        <v>0.11376652316076249</v>
      </c>
      <c r="CZ252" s="3">
        <v>0.12473789774800149</v>
      </c>
      <c r="DA252" s="3">
        <v>0.11630292498994579</v>
      </c>
      <c r="DB252" s="3">
        <v>0.1152365371228546</v>
      </c>
      <c r="DC252" s="3">
        <v>0.1154782703568762</v>
      </c>
      <c r="DD252" s="3">
        <v>0.1158826958915008</v>
      </c>
      <c r="DE252" s="3">
        <v>0.11583607785416521</v>
      </c>
      <c r="DF252" s="3">
        <v>0.11729012346283731</v>
      </c>
      <c r="DG252" s="3">
        <v>0.1187966659459819</v>
      </c>
      <c r="DH252" s="3">
        <v>0.1203581173435835</v>
      </c>
      <c r="DI252" s="3">
        <v>0.1219772695384244</v>
      </c>
      <c r="DJ252" s="3">
        <v>0.1236551960813162</v>
      </c>
      <c r="DK252" s="3">
        <v>0.1253940353716983</v>
      </c>
      <c r="DL252" s="3">
        <v>0.12719613517553491</v>
      </c>
      <c r="DM252" s="3">
        <v>0.12906305685836111</v>
      </c>
      <c r="DN252" s="3">
        <v>0.13099717644019021</v>
      </c>
      <c r="DO252" s="3">
        <v>0.1325361821783434</v>
      </c>
    </row>
    <row r="253" spans="1:119" x14ac:dyDescent="0.45">
      <c r="A253" s="16" t="s">
        <v>1606</v>
      </c>
      <c r="B253" s="3" t="s">
        <v>89</v>
      </c>
      <c r="C253" s="16" t="s">
        <v>1607</v>
      </c>
      <c r="H253" s="3" t="s">
        <v>1608</v>
      </c>
      <c r="I253" s="3" t="s">
        <v>860</v>
      </c>
      <c r="K253" s="17" t="s">
        <v>1609</v>
      </c>
      <c r="L253" s="3">
        <v>0.39838562511186032</v>
      </c>
      <c r="M253" s="3">
        <v>0.25844794662482429</v>
      </c>
      <c r="N253" s="3">
        <v>0.26711817163507318</v>
      </c>
      <c r="O253" s="3">
        <v>0.26711817163507329</v>
      </c>
      <c r="P253" s="3">
        <v>0.26711817163507318</v>
      </c>
      <c r="Q253" s="3">
        <v>0.26711817163507318</v>
      </c>
      <c r="R253" s="3">
        <v>0.26711817163507318</v>
      </c>
      <c r="S253" s="3">
        <v>0.26711817163507318</v>
      </c>
      <c r="T253" s="3">
        <v>0.26711817163507329</v>
      </c>
      <c r="U253" s="3">
        <v>0.26711817163507329</v>
      </c>
      <c r="V253" s="3">
        <v>0.26711817163507318</v>
      </c>
      <c r="W253" s="3">
        <v>0.26711817163507318</v>
      </c>
      <c r="X253" s="3">
        <v>0.26711817163507329</v>
      </c>
      <c r="Y253" s="3">
        <v>0.2671181716350734</v>
      </c>
      <c r="Z253" s="3">
        <v>0.2671181716350734</v>
      </c>
      <c r="AA253" s="3">
        <v>0.26711817163507329</v>
      </c>
      <c r="AB253" s="3">
        <v>0.2671181716350734</v>
      </c>
      <c r="AC253" s="3">
        <v>0.2671181716350734</v>
      </c>
      <c r="AD253" s="3">
        <v>0.2671181716350734</v>
      </c>
      <c r="AE253" s="3">
        <v>0.2671181716350734</v>
      </c>
      <c r="AG253" s="17" t="s">
        <v>1610</v>
      </c>
      <c r="AH253" s="3">
        <v>0.39838562511186032</v>
      </c>
      <c r="AI253" s="3">
        <v>0.25844794662482429</v>
      </c>
      <c r="AJ253" s="3">
        <v>0.26711817163507318</v>
      </c>
      <c r="AK253" s="3">
        <v>0.26711817163507329</v>
      </c>
      <c r="AL253" s="3">
        <v>0.26711817163507318</v>
      </c>
      <c r="AM253" s="3">
        <v>0.32083057855101221</v>
      </c>
      <c r="AN253" s="3">
        <v>0.32083061265793661</v>
      </c>
      <c r="AO253" s="3">
        <v>0.32083063774231507</v>
      </c>
      <c r="AP253" s="3">
        <v>0.32083064632897579</v>
      </c>
      <c r="AQ253" s="3">
        <v>0.32083065567938163</v>
      </c>
      <c r="AR253" s="3">
        <v>0.32083066054085141</v>
      </c>
      <c r="AS253" s="3">
        <v>0.32083066578396158</v>
      </c>
      <c r="AT253" s="3">
        <v>0.32083066980467467</v>
      </c>
      <c r="AU253" s="3">
        <v>0.32083067064337878</v>
      </c>
      <c r="AV253" s="3">
        <v>0.32083066957866541</v>
      </c>
      <c r="AW253" s="3">
        <v>0.3208306673608331</v>
      </c>
      <c r="AX253" s="3">
        <v>0.32083066160225637</v>
      </c>
      <c r="AY253" s="3">
        <v>0.32083065296184349</v>
      </c>
      <c r="AZ253" s="3">
        <v>0.3208306407560762</v>
      </c>
      <c r="BA253" s="3">
        <v>0.32083062608880181</v>
      </c>
      <c r="BC253" s="17" t="s">
        <v>1611</v>
      </c>
      <c r="BD253" s="3">
        <v>0.39838562511186032</v>
      </c>
      <c r="BE253" s="3">
        <v>0.25844794662482429</v>
      </c>
      <c r="BF253" s="3">
        <v>0.26711817163507318</v>
      </c>
      <c r="BG253" s="3">
        <v>0.26711817163507329</v>
      </c>
      <c r="BH253" s="3">
        <v>0.26711817163507318</v>
      </c>
      <c r="BI253" s="3">
        <v>0.29397444702260261</v>
      </c>
      <c r="BJ253" s="3">
        <v>0.32978312584920327</v>
      </c>
      <c r="BK253" s="3">
        <v>0.36559207181843367</v>
      </c>
      <c r="BL253" s="3">
        <v>0.40140120591176648</v>
      </c>
      <c r="BM253" s="3">
        <v>0.43721006292486669</v>
      </c>
      <c r="BN253" s="3">
        <v>0.47301894982092862</v>
      </c>
      <c r="BO253" s="3">
        <v>0.50882787350465097</v>
      </c>
      <c r="BP253" s="3">
        <v>0.54463683873122337</v>
      </c>
      <c r="BQ253" s="3">
        <v>0.5804458422536658</v>
      </c>
      <c r="BR253" s="3">
        <v>0.61625488220505531</v>
      </c>
      <c r="BS253" s="3">
        <v>0.6520639600370628</v>
      </c>
      <c r="BT253" s="3">
        <v>0.68787306836903372</v>
      </c>
      <c r="BU253" s="3">
        <v>0.72368220024100405</v>
      </c>
      <c r="BV253" s="3">
        <v>0.75949134251059869</v>
      </c>
      <c r="BW253" s="3">
        <v>0.7953004876483093</v>
      </c>
      <c r="BY253" s="17" t="s">
        <v>1612</v>
      </c>
      <c r="BZ253" s="3">
        <v>0.39838562511186032</v>
      </c>
      <c r="CA253" s="3">
        <v>0.25844794662482429</v>
      </c>
      <c r="CB253" s="3">
        <v>0.26711817163507318</v>
      </c>
      <c r="CC253" s="3">
        <v>0.26711817163507329</v>
      </c>
      <c r="CD253" s="3">
        <v>0.26711817163507318</v>
      </c>
      <c r="CE253" s="3">
        <v>0.33425870314405243</v>
      </c>
      <c r="CF253" s="3">
        <v>0.33425874601081051</v>
      </c>
      <c r="CG253" s="3">
        <v>0.3342587773194805</v>
      </c>
      <c r="CH253" s="3">
        <v>0.3342587885203222</v>
      </c>
      <c r="CI253" s="3">
        <v>0.3342588012194202</v>
      </c>
      <c r="CJ253" s="3">
        <v>0.33425880729870922</v>
      </c>
      <c r="CK253" s="3">
        <v>0.33425881431349841</v>
      </c>
      <c r="CL253" s="3">
        <v>0.33425881829434012</v>
      </c>
      <c r="CM253" s="3">
        <v>0.33425881861374868</v>
      </c>
      <c r="CN253" s="3">
        <v>0.33425881656694512</v>
      </c>
      <c r="CO253" s="3">
        <v>0.33425881272550628</v>
      </c>
      <c r="CP253" s="3">
        <v>0.33425880462235469</v>
      </c>
      <c r="CQ253" s="3">
        <v>0.33425879343768572</v>
      </c>
      <c r="CR253" s="3">
        <v>0.33425877817945898</v>
      </c>
      <c r="CS253" s="3">
        <v>0.33425876048933678</v>
      </c>
      <c r="CU253" s="17" t="s">
        <v>1613</v>
      </c>
      <c r="CV253" s="3">
        <v>0.39838562511186032</v>
      </c>
      <c r="CW253" s="3">
        <v>0.25844794662482429</v>
      </c>
      <c r="CX253" s="3">
        <v>0.26711817163507318</v>
      </c>
      <c r="CY253" s="3">
        <v>0.26711817163507329</v>
      </c>
      <c r="CZ253" s="3">
        <v>0.26711817163507318</v>
      </c>
      <c r="DA253" s="3">
        <v>0.40139946867859999</v>
      </c>
      <c r="DB253" s="3">
        <v>0.40139955651439552</v>
      </c>
      <c r="DC253" s="3">
        <v>0.40139962594364959</v>
      </c>
      <c r="DD253" s="3">
        <v>0.40139963998947942</v>
      </c>
      <c r="DE253" s="3">
        <v>0.40139966817022971</v>
      </c>
      <c r="DF253" s="3">
        <v>0.40139967841255531</v>
      </c>
      <c r="DG253" s="3">
        <v>0.40139969919921731</v>
      </c>
      <c r="DH253" s="3">
        <v>0.40139971937429769</v>
      </c>
      <c r="DI253" s="3">
        <v>0.40139972983656702</v>
      </c>
      <c r="DJ253" s="3">
        <v>0.40139973669170348</v>
      </c>
      <c r="DK253" s="3">
        <v>0.40139974390257982</v>
      </c>
      <c r="DL253" s="3">
        <v>0.40139973835336068</v>
      </c>
      <c r="DM253" s="3">
        <v>0.40139972398013413</v>
      </c>
      <c r="DN253" s="3">
        <v>0.40139969664522518</v>
      </c>
      <c r="DO253" s="3">
        <v>0.40139966228125129</v>
      </c>
    </row>
    <row r="254" spans="1:119" x14ac:dyDescent="0.45">
      <c r="A254" s="16" t="s">
        <v>1614</v>
      </c>
      <c r="B254" s="3" t="s">
        <v>89</v>
      </c>
      <c r="C254" s="16" t="s">
        <v>1615</v>
      </c>
      <c r="H254" s="3" t="s">
        <v>1616</v>
      </c>
      <c r="I254" s="3" t="s">
        <v>860</v>
      </c>
      <c r="K254" s="17" t="s">
        <v>1617</v>
      </c>
      <c r="L254" s="3">
        <v>-0.70635869141981455</v>
      </c>
      <c r="M254" s="3">
        <v>-0.78088758394593671</v>
      </c>
      <c r="N254" s="3">
        <v>-0.78153144462705382</v>
      </c>
      <c r="O254" s="3">
        <v>-0.65926637410256439</v>
      </c>
      <c r="P254" s="3">
        <v>-0.74860471002722462</v>
      </c>
      <c r="Q254" s="3">
        <v>-0.67971893978053288</v>
      </c>
      <c r="R254" s="3">
        <v>-0.67102096617004126</v>
      </c>
      <c r="S254" s="3">
        <v>-0.67298089946540329</v>
      </c>
      <c r="T254" s="3">
        <v>-0.67625203083436691</v>
      </c>
      <c r="U254" s="3">
        <v>-0.67587414809386148</v>
      </c>
      <c r="V254" s="3">
        <v>-0.68770388371101077</v>
      </c>
      <c r="W254" s="3">
        <v>-0.69997203777039385</v>
      </c>
      <c r="X254" s="3">
        <v>-0.7126916659174749</v>
      </c>
      <c r="Y254" s="3">
        <v>-0.72587933761832346</v>
      </c>
      <c r="Z254" s="3">
        <v>-0.73954791761607153</v>
      </c>
      <c r="AA254" s="3">
        <v>-0.75371786886248193</v>
      </c>
      <c r="AB254" s="3">
        <v>-0.76839842445880779</v>
      </c>
      <c r="AC254" s="3">
        <v>-0.78360484868775049</v>
      </c>
      <c r="AD254" s="3">
        <v>-0.79935271185720147</v>
      </c>
      <c r="AE254" s="3">
        <v>-0.81189002326140791</v>
      </c>
      <c r="AG254" s="17" t="s">
        <v>1618</v>
      </c>
      <c r="AH254" s="3">
        <v>-0.70635869141981455</v>
      </c>
      <c r="AI254" s="3">
        <v>-0.78088758394593671</v>
      </c>
      <c r="AJ254" s="3">
        <v>-0.78153144462705382</v>
      </c>
      <c r="AK254" s="3">
        <v>-0.65926637410256439</v>
      </c>
      <c r="AL254" s="3">
        <v>-0.74860471002722462</v>
      </c>
      <c r="AM254" s="3">
        <v>-0.62609399553958178</v>
      </c>
      <c r="AN254" s="3">
        <v>-0.61740226608278181</v>
      </c>
      <c r="AO254" s="3">
        <v>-0.61936567119740316</v>
      </c>
      <c r="AP254" s="3">
        <v>-0.62264657627744646</v>
      </c>
      <c r="AQ254" s="3">
        <v>-0.62226804561520743</v>
      </c>
      <c r="AR254" s="3">
        <v>-0.63410220056356126</v>
      </c>
      <c r="AS254" s="3">
        <v>-0.64637001423643503</v>
      </c>
      <c r="AT254" s="3">
        <v>-0.65908690412119086</v>
      </c>
      <c r="AU254" s="3">
        <v>-0.67227280788216748</v>
      </c>
      <c r="AV254" s="3">
        <v>-0.68593849068452206</v>
      </c>
      <c r="AW254" s="3">
        <v>-0.70010303366088633</v>
      </c>
      <c r="AX254" s="3">
        <v>-0.71478022591447754</v>
      </c>
      <c r="AY254" s="3">
        <v>-0.72998435135403661</v>
      </c>
      <c r="AZ254" s="3">
        <v>-0.74573263189108818</v>
      </c>
      <c r="BA254" s="3">
        <v>-0.75826768273350642</v>
      </c>
      <c r="BC254" s="17" t="s">
        <v>1619</v>
      </c>
      <c r="BD254" s="3">
        <v>-0.70635869141981455</v>
      </c>
      <c r="BE254" s="3">
        <v>-0.78088758394593671</v>
      </c>
      <c r="BF254" s="3">
        <v>-0.78153144462705382</v>
      </c>
      <c r="BG254" s="3">
        <v>-0.65926637410256439</v>
      </c>
      <c r="BH254" s="3">
        <v>-0.74860471002722462</v>
      </c>
      <c r="BI254" s="3">
        <v>-0.65312670173390219</v>
      </c>
      <c r="BJ254" s="3">
        <v>-0.6089514868732554</v>
      </c>
      <c r="BK254" s="3">
        <v>-0.57541263431797907</v>
      </c>
      <c r="BL254" s="3">
        <v>-0.54316844362180661</v>
      </c>
      <c r="BM254" s="3">
        <v>-0.50698125024597229</v>
      </c>
      <c r="BN254" s="3">
        <v>-0.48303237223994511</v>
      </c>
      <c r="BO254" s="3">
        <v>-0.45952410601736488</v>
      </c>
      <c r="BP254" s="3">
        <v>-0.43646713708182439</v>
      </c>
      <c r="BQ254" s="3">
        <v>-0.41387845490425951</v>
      </c>
      <c r="BR254" s="3">
        <v>-0.39177043770245051</v>
      </c>
      <c r="BS254" s="3">
        <v>-0.37016221574681962</v>
      </c>
      <c r="BT254" s="3">
        <v>-0.34906390312044339</v>
      </c>
      <c r="BU254" s="3">
        <v>-0.32849134159229088</v>
      </c>
      <c r="BV254" s="3">
        <v>-0.30846193634071262</v>
      </c>
      <c r="BW254" s="3">
        <v>-0.28516869517481441</v>
      </c>
      <c r="BY254" s="17" t="s">
        <v>1620</v>
      </c>
      <c r="BZ254" s="3">
        <v>-0.70635869141981455</v>
      </c>
      <c r="CA254" s="3">
        <v>-0.78088758394593671</v>
      </c>
      <c r="CB254" s="3">
        <v>-0.78153144462705382</v>
      </c>
      <c r="CC254" s="3">
        <v>-0.65926637410256439</v>
      </c>
      <c r="CD254" s="3">
        <v>-0.74860471002722462</v>
      </c>
      <c r="CE254" s="3">
        <v>-0.61268613818151918</v>
      </c>
      <c r="CF254" s="3">
        <v>-0.60399586835267871</v>
      </c>
      <c r="CG254" s="3">
        <v>-0.60596089150744836</v>
      </c>
      <c r="CH254" s="3">
        <v>-0.6092426535969101</v>
      </c>
      <c r="CI254" s="3">
        <v>-0.60886319477118911</v>
      </c>
      <c r="CJ254" s="3">
        <v>-0.62069813346249192</v>
      </c>
      <c r="CK254" s="3">
        <v>-0.63296613561370862</v>
      </c>
      <c r="CL254" s="3">
        <v>-0.64568524879653544</v>
      </c>
      <c r="CM254" s="3">
        <v>-0.65887303617489368</v>
      </c>
      <c r="CN254" s="3">
        <v>-0.6725406617323979</v>
      </c>
      <c r="CO254" s="3">
        <v>-0.68670776028810365</v>
      </c>
      <c r="CP254" s="3">
        <v>-0.70138736060808604</v>
      </c>
      <c r="CQ254" s="3">
        <v>-0.71659314794819107</v>
      </c>
      <c r="CR254" s="3">
        <v>-0.73234249480870339</v>
      </c>
      <c r="CS254" s="3">
        <v>-0.7448761287834198</v>
      </c>
      <c r="CU254" s="17" t="s">
        <v>1621</v>
      </c>
      <c r="CV254" s="3">
        <v>-0.70635869141981455</v>
      </c>
      <c r="CW254" s="3">
        <v>-0.78088758394593671</v>
      </c>
      <c r="CX254" s="3">
        <v>-0.78153144462705382</v>
      </c>
      <c r="CY254" s="3">
        <v>-0.65926637410256439</v>
      </c>
      <c r="CZ254" s="3">
        <v>-0.74860471002722462</v>
      </c>
      <c r="DA254" s="3">
        <v>-0.54563863481095831</v>
      </c>
      <c r="DB254" s="3">
        <v>-0.53695510291456294</v>
      </c>
      <c r="DC254" s="3">
        <v>-0.53892343267662779</v>
      </c>
      <c r="DD254" s="3">
        <v>-0.54221659798416988</v>
      </c>
      <c r="DE254" s="3">
        <v>-0.54183696578511564</v>
      </c>
      <c r="DF254" s="3">
        <v>-0.55367704121340522</v>
      </c>
      <c r="DG254" s="3">
        <v>-0.565944580646635</v>
      </c>
      <c r="DH254" s="3">
        <v>-0.57865923613773917</v>
      </c>
      <c r="DI254" s="3">
        <v>-0.59184375069060302</v>
      </c>
      <c r="DJ254" s="3">
        <v>-0.60550685997044296</v>
      </c>
      <c r="DK254" s="3">
        <v>-0.61966597269553492</v>
      </c>
      <c r="DL254" s="3">
        <v>-0.63434021950456621</v>
      </c>
      <c r="DM254" s="3">
        <v>-0.64954231043794874</v>
      </c>
      <c r="DN254" s="3">
        <v>-0.66529159722489495</v>
      </c>
      <c r="DO254" s="3">
        <v>-0.67782353545668805</v>
      </c>
    </row>
    <row r="255" spans="1:119" x14ac:dyDescent="0.45">
      <c r="A255" s="16" t="s">
        <v>1058</v>
      </c>
      <c r="B255" s="3" t="s">
        <v>89</v>
      </c>
      <c r="C255" s="16" t="s">
        <v>1059</v>
      </c>
      <c r="H255" s="3" t="s">
        <v>1060</v>
      </c>
      <c r="I255" s="3" t="s">
        <v>651</v>
      </c>
      <c r="K255" s="17" t="s">
        <v>1061</v>
      </c>
      <c r="L255" s="3">
        <v>-9.6316403124464234</v>
      </c>
      <c r="M255" s="3">
        <v>-11.687287948794699</v>
      </c>
      <c r="N255" s="3">
        <v>-11.611318898048671</v>
      </c>
      <c r="O255" s="3">
        <v>-9.0896253391973936</v>
      </c>
      <c r="P255" s="3">
        <v>-10.842204130496469</v>
      </c>
      <c r="Q255" s="3">
        <v>-9.024899850723898</v>
      </c>
      <c r="R255" s="3">
        <v>-8.5249300047443501</v>
      </c>
      <c r="S255" s="3">
        <v>-8.2729046590260467</v>
      </c>
      <c r="T255" s="3">
        <v>-8.0525069257969495</v>
      </c>
      <c r="U255" s="3">
        <v>-7.813065100860074</v>
      </c>
      <c r="V255" s="3">
        <v>-7.813065100860074</v>
      </c>
      <c r="W255" s="3">
        <v>-7.813065100860074</v>
      </c>
      <c r="X255" s="3">
        <v>-7.813065100860074</v>
      </c>
      <c r="Y255" s="3">
        <v>-7.813065100860074</v>
      </c>
      <c r="Z255" s="3">
        <v>-7.813065100860074</v>
      </c>
      <c r="AA255" s="3">
        <v>-7.813065100860074</v>
      </c>
      <c r="AB255" s="3">
        <v>-7.813065100860074</v>
      </c>
      <c r="AC255" s="3">
        <v>-7.813065100860074</v>
      </c>
      <c r="AD255" s="3">
        <v>-7.813065100860074</v>
      </c>
      <c r="AE255" s="3">
        <v>-7.813065100860074</v>
      </c>
      <c r="AG255" s="17" t="s">
        <v>1062</v>
      </c>
      <c r="AH255" s="3">
        <v>-9.6316403124464234</v>
      </c>
      <c r="AI255" s="3">
        <v>-11.687287948794699</v>
      </c>
      <c r="AJ255" s="3">
        <v>-11.611318898048671</v>
      </c>
      <c r="AK255" s="3">
        <v>-9.0896253391973936</v>
      </c>
      <c r="AL255" s="3">
        <v>-10.842204130496469</v>
      </c>
      <c r="AM255" s="3">
        <v>-9.024899850723898</v>
      </c>
      <c r="AN255" s="3">
        <v>-8.5249300047443501</v>
      </c>
      <c r="AO255" s="3">
        <v>-8.2729046590260467</v>
      </c>
      <c r="AP255" s="3">
        <v>-8.0525069257969495</v>
      </c>
      <c r="AQ255" s="3">
        <v>-7.813065100860074</v>
      </c>
      <c r="AR255" s="3">
        <v>-7.813065100860074</v>
      </c>
      <c r="AS255" s="3">
        <v>-7.813065100860074</v>
      </c>
      <c r="AT255" s="3">
        <v>-7.813065100860074</v>
      </c>
      <c r="AU255" s="3">
        <v>-7.813065100860074</v>
      </c>
      <c r="AV255" s="3">
        <v>-7.813065100860074</v>
      </c>
      <c r="AW255" s="3">
        <v>-7.813065100860074</v>
      </c>
      <c r="AX255" s="3">
        <v>-7.813065100860074</v>
      </c>
      <c r="AY255" s="3">
        <v>-7.813065100860074</v>
      </c>
      <c r="AZ255" s="3">
        <v>-7.813065100860074</v>
      </c>
      <c r="BA255" s="3">
        <v>-7.813065100860074</v>
      </c>
      <c r="BC255" s="17" t="s">
        <v>1063</v>
      </c>
      <c r="BD255" s="3">
        <v>-9.6316403124464234</v>
      </c>
      <c r="BE255" s="3">
        <v>-11.687287948794699</v>
      </c>
      <c r="BF255" s="3">
        <v>-11.611318898048671</v>
      </c>
      <c r="BG255" s="3">
        <v>-9.0896253391973936</v>
      </c>
      <c r="BH255" s="3">
        <v>-10.842204130496469</v>
      </c>
      <c r="BI255" s="3">
        <v>-9.024899850723898</v>
      </c>
      <c r="BJ255" s="3">
        <v>-8.5249300047443501</v>
      </c>
      <c r="BK255" s="3">
        <v>-8.2729046590260467</v>
      </c>
      <c r="BL255" s="3">
        <v>-8.0525069257969495</v>
      </c>
      <c r="BM255" s="3">
        <v>-7.813065100860074</v>
      </c>
      <c r="BN255" s="3">
        <v>-7.813065100860074</v>
      </c>
      <c r="BO255" s="3">
        <v>-7.813065100860074</v>
      </c>
      <c r="BP255" s="3">
        <v>-7.813065100860074</v>
      </c>
      <c r="BQ255" s="3">
        <v>-7.813065100860074</v>
      </c>
      <c r="BR255" s="3">
        <v>-7.813065100860074</v>
      </c>
      <c r="BS255" s="3">
        <v>-7.813065100860074</v>
      </c>
      <c r="BT255" s="3">
        <v>-7.813065100860074</v>
      </c>
      <c r="BU255" s="3">
        <v>-7.813065100860074</v>
      </c>
      <c r="BV255" s="3">
        <v>-7.813065100860074</v>
      </c>
      <c r="BW255" s="3">
        <v>-7.813065100860074</v>
      </c>
      <c r="BY255" s="17" t="s">
        <v>1064</v>
      </c>
      <c r="BZ255" s="3">
        <v>-9.6316403124464234</v>
      </c>
      <c r="CA255" s="3">
        <v>-11.687287948794699</v>
      </c>
      <c r="CB255" s="3">
        <v>-11.611318898048671</v>
      </c>
      <c r="CC255" s="3">
        <v>-9.0896253391973936</v>
      </c>
      <c r="CD255" s="3">
        <v>-10.842204130496469</v>
      </c>
      <c r="CE255" s="3">
        <v>-9.024899850723898</v>
      </c>
      <c r="CF255" s="3">
        <v>-8.5249300047443501</v>
      </c>
      <c r="CG255" s="3">
        <v>-8.2729046590260467</v>
      </c>
      <c r="CH255" s="3">
        <v>-8.0525069257969495</v>
      </c>
      <c r="CI255" s="3">
        <v>-7.813065100860074</v>
      </c>
      <c r="CJ255" s="3">
        <v>-7.813065100860074</v>
      </c>
      <c r="CK255" s="3">
        <v>-7.813065100860074</v>
      </c>
      <c r="CL255" s="3">
        <v>-7.813065100860074</v>
      </c>
      <c r="CM255" s="3">
        <v>-7.813065100860074</v>
      </c>
      <c r="CN255" s="3">
        <v>-7.813065100860074</v>
      </c>
      <c r="CO255" s="3">
        <v>-7.813065100860074</v>
      </c>
      <c r="CP255" s="3">
        <v>-7.813065100860074</v>
      </c>
      <c r="CQ255" s="3">
        <v>-7.813065100860074</v>
      </c>
      <c r="CR255" s="3">
        <v>-7.813065100860074</v>
      </c>
      <c r="CS255" s="3">
        <v>-7.813065100860074</v>
      </c>
      <c r="CU255" s="17" t="s">
        <v>1065</v>
      </c>
      <c r="CV255" s="3">
        <v>-9.6316403124464234</v>
      </c>
      <c r="CW255" s="3">
        <v>-11.687287948794699</v>
      </c>
      <c r="CX255" s="3">
        <v>-11.611318898048671</v>
      </c>
      <c r="CY255" s="3">
        <v>-9.0896253391973936</v>
      </c>
      <c r="CZ255" s="3">
        <v>-10.842204130496469</v>
      </c>
      <c r="DA255" s="3">
        <v>-9.024899850723898</v>
      </c>
      <c r="DB255" s="3">
        <v>-8.5249300047443501</v>
      </c>
      <c r="DC255" s="3">
        <v>-8.2729046590260467</v>
      </c>
      <c r="DD255" s="3">
        <v>-8.0525069257969495</v>
      </c>
      <c r="DE255" s="3">
        <v>-7.813065100860074</v>
      </c>
      <c r="DF255" s="3">
        <v>-7.813065100860074</v>
      </c>
      <c r="DG255" s="3">
        <v>-7.813065100860074</v>
      </c>
      <c r="DH255" s="3">
        <v>-7.813065100860074</v>
      </c>
      <c r="DI255" s="3">
        <v>-7.813065100860074</v>
      </c>
      <c r="DJ255" s="3">
        <v>-7.813065100860074</v>
      </c>
      <c r="DK255" s="3">
        <v>-7.813065100860074</v>
      </c>
      <c r="DL255" s="3">
        <v>-7.813065100860074</v>
      </c>
      <c r="DM255" s="3">
        <v>-7.813065100860074</v>
      </c>
      <c r="DN255" s="3">
        <v>-7.813065100860074</v>
      </c>
      <c r="DO255" s="3">
        <v>-7.813065100860074</v>
      </c>
    </row>
    <row r="256" spans="1:119" x14ac:dyDescent="0.45">
      <c r="A256" s="16" t="s">
        <v>1622</v>
      </c>
      <c r="B256" s="3" t="s">
        <v>89</v>
      </c>
      <c r="C256" s="16" t="s">
        <v>1623</v>
      </c>
      <c r="H256" s="3" t="s">
        <v>1624</v>
      </c>
      <c r="I256" s="3" t="s">
        <v>109</v>
      </c>
      <c r="K256" s="17" t="s">
        <v>1625</v>
      </c>
      <c r="L256" s="3">
        <v>-141.2802580521375</v>
      </c>
      <c r="M256" s="3">
        <v>-171.4332142575571</v>
      </c>
      <c r="N256" s="3">
        <v>-170.31887373556879</v>
      </c>
      <c r="O256" s="3">
        <v>-133.32979345787831</v>
      </c>
      <c r="P256" s="3">
        <v>-159.03723018300909</v>
      </c>
      <c r="Q256" s="3">
        <v>-132.38037742722881</v>
      </c>
      <c r="R256" s="3">
        <v>-125.04664541825839</v>
      </c>
      <c r="S256" s="3">
        <v>-121.34984978182359</v>
      </c>
      <c r="T256" s="3">
        <v>-118.1169789919463</v>
      </c>
      <c r="U256" s="3">
        <v>-114.6047628254184</v>
      </c>
      <c r="V256" s="3">
        <v>-114.6047628254184</v>
      </c>
      <c r="W256" s="3">
        <v>-114.6047628254184</v>
      </c>
      <c r="X256" s="3">
        <v>-114.6047628254184</v>
      </c>
      <c r="Y256" s="3">
        <v>-114.6047628254184</v>
      </c>
      <c r="Z256" s="3">
        <v>-114.6047628254184</v>
      </c>
      <c r="AA256" s="3">
        <v>-114.6047628254184</v>
      </c>
      <c r="AB256" s="3">
        <v>-114.6047628254184</v>
      </c>
      <c r="AC256" s="3">
        <v>-114.6047628254184</v>
      </c>
      <c r="AD256" s="3">
        <v>-114.6047628254184</v>
      </c>
      <c r="AE256" s="3">
        <v>-114.6047628254184</v>
      </c>
      <c r="AG256" s="17" t="s">
        <v>1626</v>
      </c>
      <c r="AH256" s="3">
        <v>-141.2802580521375</v>
      </c>
      <c r="AI256" s="3">
        <v>-171.4332142575571</v>
      </c>
      <c r="AJ256" s="3">
        <v>-170.31887373556879</v>
      </c>
      <c r="AK256" s="3">
        <v>-133.32979345787831</v>
      </c>
      <c r="AL256" s="3">
        <v>-159.03723018300909</v>
      </c>
      <c r="AM256" s="3">
        <v>-132.38037742722881</v>
      </c>
      <c r="AN256" s="3">
        <v>-125.04664541825839</v>
      </c>
      <c r="AO256" s="3">
        <v>-121.34984978182359</v>
      </c>
      <c r="AP256" s="3">
        <v>-118.1169789919463</v>
      </c>
      <c r="AQ256" s="3">
        <v>-114.6047628254184</v>
      </c>
      <c r="AR256" s="3">
        <v>-114.6047628254184</v>
      </c>
      <c r="AS256" s="3">
        <v>-114.6047628254184</v>
      </c>
      <c r="AT256" s="3">
        <v>-114.6047628254184</v>
      </c>
      <c r="AU256" s="3">
        <v>-114.6047628254184</v>
      </c>
      <c r="AV256" s="3">
        <v>-114.6047628254184</v>
      </c>
      <c r="AW256" s="3">
        <v>-114.6047628254184</v>
      </c>
      <c r="AX256" s="3">
        <v>-114.6047628254184</v>
      </c>
      <c r="AY256" s="3">
        <v>-114.6047628254184</v>
      </c>
      <c r="AZ256" s="3">
        <v>-114.6047628254184</v>
      </c>
      <c r="BA256" s="3">
        <v>-114.6047628254184</v>
      </c>
      <c r="BC256" s="17" t="s">
        <v>1627</v>
      </c>
      <c r="BD256" s="3">
        <v>-141.2802580521375</v>
      </c>
      <c r="BE256" s="3">
        <v>-171.4332142575571</v>
      </c>
      <c r="BF256" s="3">
        <v>-170.31887373556879</v>
      </c>
      <c r="BG256" s="3">
        <v>-133.32979345787831</v>
      </c>
      <c r="BH256" s="3">
        <v>-159.03723018300909</v>
      </c>
      <c r="BI256" s="3">
        <v>-132.38037742722881</v>
      </c>
      <c r="BJ256" s="3">
        <v>-125.04664541825839</v>
      </c>
      <c r="BK256" s="3">
        <v>-121.34984978182359</v>
      </c>
      <c r="BL256" s="3">
        <v>-118.1169789919463</v>
      </c>
      <c r="BM256" s="3">
        <v>-114.6047628254184</v>
      </c>
      <c r="BN256" s="3">
        <v>-114.6047628254184</v>
      </c>
      <c r="BO256" s="3">
        <v>-114.6047628254184</v>
      </c>
      <c r="BP256" s="3">
        <v>-114.6047628254184</v>
      </c>
      <c r="BQ256" s="3">
        <v>-114.6047628254184</v>
      </c>
      <c r="BR256" s="3">
        <v>-114.6047628254184</v>
      </c>
      <c r="BS256" s="3">
        <v>-114.6047628254184</v>
      </c>
      <c r="BT256" s="3">
        <v>-114.6047628254184</v>
      </c>
      <c r="BU256" s="3">
        <v>-114.6047628254184</v>
      </c>
      <c r="BV256" s="3">
        <v>-114.6047628254184</v>
      </c>
      <c r="BW256" s="3">
        <v>-114.6047628254184</v>
      </c>
      <c r="BY256" s="17" t="s">
        <v>1628</v>
      </c>
      <c r="BZ256" s="3">
        <v>-141.2802580521375</v>
      </c>
      <c r="CA256" s="3">
        <v>-171.4332142575571</v>
      </c>
      <c r="CB256" s="3">
        <v>-170.31887373556879</v>
      </c>
      <c r="CC256" s="3">
        <v>-133.32979345787831</v>
      </c>
      <c r="CD256" s="3">
        <v>-159.03723018300909</v>
      </c>
      <c r="CE256" s="3">
        <v>-132.38037742722881</v>
      </c>
      <c r="CF256" s="3">
        <v>-125.04664541825839</v>
      </c>
      <c r="CG256" s="3">
        <v>-121.34984978182359</v>
      </c>
      <c r="CH256" s="3">
        <v>-118.1169789919463</v>
      </c>
      <c r="CI256" s="3">
        <v>-114.6047628254184</v>
      </c>
      <c r="CJ256" s="3">
        <v>-114.6047628254184</v>
      </c>
      <c r="CK256" s="3">
        <v>-114.6047628254184</v>
      </c>
      <c r="CL256" s="3">
        <v>-114.6047628254184</v>
      </c>
      <c r="CM256" s="3">
        <v>-114.6047628254184</v>
      </c>
      <c r="CN256" s="3">
        <v>-114.6047628254184</v>
      </c>
      <c r="CO256" s="3">
        <v>-114.6047628254184</v>
      </c>
      <c r="CP256" s="3">
        <v>-114.6047628254184</v>
      </c>
      <c r="CQ256" s="3">
        <v>-114.6047628254184</v>
      </c>
      <c r="CR256" s="3">
        <v>-114.6047628254184</v>
      </c>
      <c r="CS256" s="3">
        <v>-114.6047628254184</v>
      </c>
      <c r="CU256" s="17" t="s">
        <v>1629</v>
      </c>
      <c r="CV256" s="3">
        <v>-141.2802580521375</v>
      </c>
      <c r="CW256" s="3">
        <v>-171.4332142575571</v>
      </c>
      <c r="CX256" s="3">
        <v>-170.31887373556879</v>
      </c>
      <c r="CY256" s="3">
        <v>-133.32979345787831</v>
      </c>
      <c r="CZ256" s="3">
        <v>-159.03723018300909</v>
      </c>
      <c r="DA256" s="3">
        <v>-132.38037742722881</v>
      </c>
      <c r="DB256" s="3">
        <v>-125.04664541825839</v>
      </c>
      <c r="DC256" s="3">
        <v>-121.34984978182359</v>
      </c>
      <c r="DD256" s="3">
        <v>-118.1169789919463</v>
      </c>
      <c r="DE256" s="3">
        <v>-114.6047628254184</v>
      </c>
      <c r="DF256" s="3">
        <v>-114.6047628254184</v>
      </c>
      <c r="DG256" s="3">
        <v>-114.6047628254184</v>
      </c>
      <c r="DH256" s="3">
        <v>-114.6047628254184</v>
      </c>
      <c r="DI256" s="3">
        <v>-114.6047628254184</v>
      </c>
      <c r="DJ256" s="3">
        <v>-114.6047628254184</v>
      </c>
      <c r="DK256" s="3">
        <v>-114.6047628254184</v>
      </c>
      <c r="DL256" s="3">
        <v>-114.6047628254184</v>
      </c>
      <c r="DM256" s="3">
        <v>-114.6047628254184</v>
      </c>
      <c r="DN256" s="3">
        <v>-114.6047628254184</v>
      </c>
      <c r="DO256" s="3">
        <v>-114.6047628254184</v>
      </c>
    </row>
    <row r="257" spans="1:119" x14ac:dyDescent="0.45">
      <c r="A257" s="16" t="s">
        <v>1630</v>
      </c>
      <c r="B257" s="3" t="s">
        <v>89</v>
      </c>
      <c r="C257" s="16" t="s">
        <v>1631</v>
      </c>
      <c r="H257" s="3" t="s">
        <v>1632</v>
      </c>
      <c r="I257" s="3" t="s">
        <v>860</v>
      </c>
      <c r="K257" s="17" t="s">
        <v>1633</v>
      </c>
      <c r="L257" s="3">
        <v>0.20710518730422681</v>
      </c>
      <c r="M257" s="3">
        <v>0.2120684452999389</v>
      </c>
      <c r="N257" s="3">
        <v>0.21443621365182339</v>
      </c>
      <c r="O257" s="3">
        <v>0.2023771323836939</v>
      </c>
      <c r="P257" s="3">
        <v>0.2145862954712128</v>
      </c>
      <c r="Q257" s="3">
        <v>0.22276129090836069</v>
      </c>
      <c r="R257" s="3">
        <v>0.23400476604422091</v>
      </c>
      <c r="S257" s="3">
        <v>0.24523766762128441</v>
      </c>
      <c r="T257" s="3">
        <v>0.25642683759086848</v>
      </c>
      <c r="U257" s="3">
        <v>0.2651340101645559</v>
      </c>
      <c r="V257" s="3">
        <v>0.27551097123223067</v>
      </c>
      <c r="W257" s="3">
        <v>0.28627250988081232</v>
      </c>
      <c r="X257" s="3">
        <v>0.29743007843088332</v>
      </c>
      <c r="Y257" s="3">
        <v>0.30899821150180318</v>
      </c>
      <c r="Z257" s="3">
        <v>0.32098819395596812</v>
      </c>
      <c r="AA257" s="3">
        <v>0.3334179757510648</v>
      </c>
      <c r="AB257" s="3">
        <v>0.34629565609871932</v>
      </c>
      <c r="AC257" s="3">
        <v>0.35963462472059871</v>
      </c>
      <c r="AD257" s="3">
        <v>0.37344853978152082</v>
      </c>
      <c r="AE257" s="3">
        <v>0.38444618136415781</v>
      </c>
      <c r="AG257" s="17" t="s">
        <v>1634</v>
      </c>
      <c r="AH257" s="3">
        <v>0.20710518730422681</v>
      </c>
      <c r="AI257" s="3">
        <v>0.2120684452999389</v>
      </c>
      <c r="AJ257" s="3">
        <v>0.21443621365182339</v>
      </c>
      <c r="AK257" s="3">
        <v>0.2023771323836939</v>
      </c>
      <c r="AL257" s="3">
        <v>0.2145862954712128</v>
      </c>
      <c r="AM257" s="3">
        <v>0.22283801255308691</v>
      </c>
      <c r="AN257" s="3">
        <v>0.23408699493510149</v>
      </c>
      <c r="AO257" s="3">
        <v>0.24532296397149639</v>
      </c>
      <c r="AP257" s="3">
        <v>0.25652071490401063</v>
      </c>
      <c r="AQ257" s="3">
        <v>0.2652273273274105</v>
      </c>
      <c r="AR257" s="3">
        <v>0.27560816926585219</v>
      </c>
      <c r="AS257" s="3">
        <v>0.28636941392899612</v>
      </c>
      <c r="AT257" s="3">
        <v>0.29752458402151249</v>
      </c>
      <c r="AU257" s="3">
        <v>0.30909116700368849</v>
      </c>
      <c r="AV257" s="3">
        <v>0.32107860712442637</v>
      </c>
      <c r="AW257" s="3">
        <v>0.33350364287752482</v>
      </c>
      <c r="AX257" s="3">
        <v>0.34637836787315163</v>
      </c>
      <c r="AY257" s="3">
        <v>0.359715312433806</v>
      </c>
      <c r="AZ257" s="3">
        <v>0.37352958289984478</v>
      </c>
      <c r="BA257" s="3">
        <v>0.38452522866751482</v>
      </c>
      <c r="BC257" s="17" t="s">
        <v>1635</v>
      </c>
      <c r="BD257" s="3">
        <v>0.20710518730422681</v>
      </c>
      <c r="BE257" s="3">
        <v>0.2120684452999389</v>
      </c>
      <c r="BF257" s="3">
        <v>0.21443621365182339</v>
      </c>
      <c r="BG257" s="3">
        <v>0.2023771323836939</v>
      </c>
      <c r="BH257" s="3">
        <v>0.2145862954712128</v>
      </c>
      <c r="BI257" s="3">
        <v>0.22299290261090349</v>
      </c>
      <c r="BJ257" s="3">
        <v>0.23452711246294411</v>
      </c>
      <c r="BK257" s="3">
        <v>0.24603208431947421</v>
      </c>
      <c r="BL257" s="3">
        <v>0.25747898413835352</v>
      </c>
      <c r="BM257" s="3">
        <v>0.26618575879780532</v>
      </c>
      <c r="BN257" s="3">
        <v>0.27658927536801109</v>
      </c>
      <c r="BO257" s="3">
        <v>0.28737932577252168</v>
      </c>
      <c r="BP257" s="3">
        <v>0.29856528743132149</v>
      </c>
      <c r="BQ257" s="3">
        <v>0.31016206054086309</v>
      </c>
      <c r="BR257" s="3">
        <v>0.32218050154926708</v>
      </c>
      <c r="BS257" s="3">
        <v>0.33463739266889581</v>
      </c>
      <c r="BT257" s="3">
        <v>0.3475415994281893</v>
      </c>
      <c r="BU257" s="3">
        <v>0.36090701201048569</v>
      </c>
      <c r="BV257" s="3">
        <v>0.37474888658769312</v>
      </c>
      <c r="BW257" s="3">
        <v>0.38572774972086182</v>
      </c>
      <c r="BY257" s="17" t="s">
        <v>1636</v>
      </c>
      <c r="BZ257" s="3">
        <v>0.20710518730422681</v>
      </c>
      <c r="CA257" s="3">
        <v>0.2120684452999389</v>
      </c>
      <c r="CB257" s="3">
        <v>0.21443621365182339</v>
      </c>
      <c r="CC257" s="3">
        <v>0.2023771323836939</v>
      </c>
      <c r="CD257" s="3">
        <v>0.2145862954712128</v>
      </c>
      <c r="CE257" s="3">
        <v>0.22285579082938309</v>
      </c>
      <c r="CF257" s="3">
        <v>0.2341060612708655</v>
      </c>
      <c r="CG257" s="3">
        <v>0.2453434551006286</v>
      </c>
      <c r="CH257" s="3">
        <v>0.25654196008893171</v>
      </c>
      <c r="CI257" s="3">
        <v>0.26524776127128791</v>
      </c>
      <c r="CJ257" s="3">
        <v>0.27562929177180712</v>
      </c>
      <c r="CK257" s="3">
        <v>0.28639070332093508</v>
      </c>
      <c r="CL257" s="3">
        <v>0.29754782363994231</v>
      </c>
      <c r="CM257" s="3">
        <v>0.30911605846254492</v>
      </c>
      <c r="CN257" s="3">
        <v>0.32110520189298403</v>
      </c>
      <c r="CO257" s="3">
        <v>0.33353247795813051</v>
      </c>
      <c r="CP257" s="3">
        <v>0.34640931323605212</v>
      </c>
      <c r="CQ257" s="3">
        <v>0.35974771337239952</v>
      </c>
      <c r="CR257" s="3">
        <v>0.37356291653229923</v>
      </c>
      <c r="CS257" s="3">
        <v>0.38455731678194321</v>
      </c>
      <c r="CU257" s="17" t="s">
        <v>1637</v>
      </c>
      <c r="CV257" s="3">
        <v>0.20710518730422681</v>
      </c>
      <c r="CW257" s="3">
        <v>0.2120684452999389</v>
      </c>
      <c r="CX257" s="3">
        <v>0.21443621365182339</v>
      </c>
      <c r="CY257" s="3">
        <v>0.2023771323836939</v>
      </c>
      <c r="CZ257" s="3">
        <v>0.2145862954712128</v>
      </c>
      <c r="DA257" s="3">
        <v>0.222937599745161</v>
      </c>
      <c r="DB257" s="3">
        <v>0.23419382010022449</v>
      </c>
      <c r="DC257" s="3">
        <v>0.24543414790181151</v>
      </c>
      <c r="DD257" s="3">
        <v>0.25664265820859572</v>
      </c>
      <c r="DE257" s="3">
        <v>0.26534832088947741</v>
      </c>
      <c r="DF257" s="3">
        <v>0.27573436095142062</v>
      </c>
      <c r="DG257" s="3">
        <v>0.28649537868816782</v>
      </c>
      <c r="DH257" s="3">
        <v>0.29764860295675061</v>
      </c>
      <c r="DI257" s="3">
        <v>0.30921397577704279</v>
      </c>
      <c r="DJ257" s="3">
        <v>0.32119916536912729</v>
      </c>
      <c r="DK257" s="3">
        <v>0.33361944601471383</v>
      </c>
      <c r="DL257" s="3">
        <v>0.34649158747068909</v>
      </c>
      <c r="DM257" s="3">
        <v>0.35982674234801892</v>
      </c>
      <c r="DN257" s="3">
        <v>0.37364188221822697</v>
      </c>
      <c r="DO257" s="3">
        <v>0.384634780347893</v>
      </c>
    </row>
    <row r="258" spans="1:119" x14ac:dyDescent="0.45">
      <c r="A258" s="16" t="s">
        <v>1638</v>
      </c>
      <c r="B258" s="3" t="s">
        <v>89</v>
      </c>
      <c r="C258" s="16" t="s">
        <v>1639</v>
      </c>
      <c r="H258" s="3" t="s">
        <v>1640</v>
      </c>
      <c r="I258" s="3" t="s">
        <v>109</v>
      </c>
      <c r="K258" s="17" t="s">
        <v>1641</v>
      </c>
      <c r="L258" s="3">
        <v>80.476431182890138</v>
      </c>
      <c r="M258" s="3">
        <v>82.40504193249977</v>
      </c>
      <c r="N258" s="3">
        <v>83.325103613753313</v>
      </c>
      <c r="O258" s="3">
        <v>78.639215073559839</v>
      </c>
      <c r="P258" s="3">
        <v>83.383422042987817</v>
      </c>
      <c r="Q258" s="3">
        <v>86.560041934944735</v>
      </c>
      <c r="R258" s="3">
        <v>90.92900422316805</v>
      </c>
      <c r="S258" s="3">
        <v>95.293857863568775</v>
      </c>
      <c r="T258" s="3">
        <v>99.641718382041248</v>
      </c>
      <c r="U258" s="3">
        <v>103.02513037449209</v>
      </c>
      <c r="V258" s="3">
        <v>107.05738472852499</v>
      </c>
      <c r="W258" s="3">
        <v>111.2390773058452</v>
      </c>
      <c r="X258" s="3">
        <v>115.5746582213978</v>
      </c>
      <c r="Y258" s="3">
        <v>120.0697753023084</v>
      </c>
      <c r="Z258" s="3">
        <v>124.7288135930261</v>
      </c>
      <c r="AA258" s="3">
        <v>129.55874804455689</v>
      </c>
      <c r="AB258" s="3">
        <v>134.5627258289035</v>
      </c>
      <c r="AC258" s="3">
        <v>139.7459498916235</v>
      </c>
      <c r="AD258" s="3">
        <v>145.11372748926311</v>
      </c>
      <c r="AE258" s="3">
        <v>149.38716437184149</v>
      </c>
      <c r="AG258" s="17" t="s">
        <v>1642</v>
      </c>
      <c r="AH258" s="3">
        <v>80.476431182890138</v>
      </c>
      <c r="AI258" s="3">
        <v>82.40504193249977</v>
      </c>
      <c r="AJ258" s="3">
        <v>83.325103613753313</v>
      </c>
      <c r="AK258" s="3">
        <v>78.639215073559839</v>
      </c>
      <c r="AL258" s="3">
        <v>83.383422042987817</v>
      </c>
      <c r="AM258" s="3">
        <v>86.589854245502565</v>
      </c>
      <c r="AN258" s="3">
        <v>90.960956526074284</v>
      </c>
      <c r="AO258" s="3">
        <v>95.327002112379432</v>
      </c>
      <c r="AP258" s="3">
        <v>99.67819700060727</v>
      </c>
      <c r="AQ258" s="3">
        <v>103.0613913312185</v>
      </c>
      <c r="AR258" s="3">
        <v>107.09515370459781</v>
      </c>
      <c r="AS258" s="3">
        <v>111.2767320457699</v>
      </c>
      <c r="AT258" s="3">
        <v>115.61138097450539</v>
      </c>
      <c r="AU258" s="3">
        <v>120.1058957256928</v>
      </c>
      <c r="AV258" s="3">
        <v>124.7639461226559</v>
      </c>
      <c r="AW258" s="3">
        <v>129.5920363687024</v>
      </c>
      <c r="AX258" s="3">
        <v>134.59486576952861</v>
      </c>
      <c r="AY258" s="3">
        <v>139.77730332744881</v>
      </c>
      <c r="AZ258" s="3">
        <v>145.14521902754629</v>
      </c>
      <c r="BA258" s="3">
        <v>149.4178803811873</v>
      </c>
      <c r="BC258" s="17" t="s">
        <v>1643</v>
      </c>
      <c r="BD258" s="3">
        <v>80.476431182890138</v>
      </c>
      <c r="BE258" s="3">
        <v>82.40504193249977</v>
      </c>
      <c r="BF258" s="3">
        <v>83.325103613753313</v>
      </c>
      <c r="BG258" s="3">
        <v>78.639215073559839</v>
      </c>
      <c r="BH258" s="3">
        <v>83.383422042987817</v>
      </c>
      <c r="BI258" s="3">
        <v>86.650041048358858</v>
      </c>
      <c r="BJ258" s="3">
        <v>91.131976327185185</v>
      </c>
      <c r="BK258" s="3">
        <v>95.602550376656296</v>
      </c>
      <c r="BL258" s="3">
        <v>100.05055893463739</v>
      </c>
      <c r="BM258" s="3">
        <v>103.43381630654009</v>
      </c>
      <c r="BN258" s="3">
        <v>107.4763895333148</v>
      </c>
      <c r="BO258" s="3">
        <v>111.66916113957571</v>
      </c>
      <c r="BP258" s="3">
        <v>116.01577498042791</v>
      </c>
      <c r="BQ258" s="3">
        <v>120.5220209380567</v>
      </c>
      <c r="BR258" s="3">
        <v>125.19211758473161</v>
      </c>
      <c r="BS258" s="3">
        <v>130.03258611181371</v>
      </c>
      <c r="BT258" s="3">
        <v>135.0468714648338</v>
      </c>
      <c r="BU258" s="3">
        <v>140.2403710575316</v>
      </c>
      <c r="BV258" s="3">
        <v>145.6190130961711</v>
      </c>
      <c r="BW258" s="3">
        <v>149.88515309441729</v>
      </c>
      <c r="BY258" s="17" t="s">
        <v>1644</v>
      </c>
      <c r="BZ258" s="3">
        <v>80.476431182890138</v>
      </c>
      <c r="CA258" s="3">
        <v>82.40504193249977</v>
      </c>
      <c r="CB258" s="3">
        <v>83.325103613753313</v>
      </c>
      <c r="CC258" s="3">
        <v>78.639215073559839</v>
      </c>
      <c r="CD258" s="3">
        <v>83.383422042987817</v>
      </c>
      <c r="CE258" s="3">
        <v>86.59676248497027</v>
      </c>
      <c r="CF258" s="3">
        <v>90.968365276564768</v>
      </c>
      <c r="CG258" s="3">
        <v>95.334964505619936</v>
      </c>
      <c r="CH258" s="3">
        <v>99.686452403016673</v>
      </c>
      <c r="CI258" s="3">
        <v>103.0693315035515</v>
      </c>
      <c r="CJ258" s="3">
        <v>107.10336143671221</v>
      </c>
      <c r="CK258" s="3">
        <v>111.285004626035</v>
      </c>
      <c r="CL258" s="3">
        <v>115.6204113690485</v>
      </c>
      <c r="CM258" s="3">
        <v>120.115567988381</v>
      </c>
      <c r="CN258" s="3">
        <v>124.7742802532951</v>
      </c>
      <c r="CO258" s="3">
        <v>129.60324103436159</v>
      </c>
      <c r="CP258" s="3">
        <v>134.6068904435617</v>
      </c>
      <c r="CQ258" s="3">
        <v>139.789893605553</v>
      </c>
      <c r="CR258" s="3">
        <v>145.15817172956801</v>
      </c>
      <c r="CS258" s="3">
        <v>149.4303491028364</v>
      </c>
      <c r="CU258" s="17" t="s">
        <v>1645</v>
      </c>
      <c r="CV258" s="3">
        <v>80.476431182890138</v>
      </c>
      <c r="CW258" s="3">
        <v>82.40504193249977</v>
      </c>
      <c r="CX258" s="3">
        <v>83.325103613753313</v>
      </c>
      <c r="CY258" s="3">
        <v>78.639215073559839</v>
      </c>
      <c r="CZ258" s="3">
        <v>83.383422042987817</v>
      </c>
      <c r="DA258" s="3">
        <v>86.628551594970077</v>
      </c>
      <c r="DB258" s="3">
        <v>91.002466389547635</v>
      </c>
      <c r="DC258" s="3">
        <v>95.370205694255446</v>
      </c>
      <c r="DD258" s="3">
        <v>99.725581434031596</v>
      </c>
      <c r="DE258" s="3">
        <v>103.10840671599949</v>
      </c>
      <c r="DF258" s="3">
        <v>107.1441889635968</v>
      </c>
      <c r="DG258" s="3">
        <v>111.3256791262603</v>
      </c>
      <c r="DH258" s="3">
        <v>115.6595719514528</v>
      </c>
      <c r="DI258" s="3">
        <v>120.1536164608716</v>
      </c>
      <c r="DJ258" s="3">
        <v>124.810792352871</v>
      </c>
      <c r="DK258" s="3">
        <v>129.63703487077791</v>
      </c>
      <c r="DL258" s="3">
        <v>134.63886036603469</v>
      </c>
      <c r="DM258" s="3">
        <v>139.820602493151</v>
      </c>
      <c r="DN258" s="3">
        <v>145.18885602421119</v>
      </c>
      <c r="DO258" s="3">
        <v>149.46044970734309</v>
      </c>
    </row>
    <row r="259" spans="1:119" x14ac:dyDescent="0.45">
      <c r="A259" s="16" t="s">
        <v>1646</v>
      </c>
      <c r="B259" s="3" t="s">
        <v>89</v>
      </c>
      <c r="C259" s="16" t="s">
        <v>1647</v>
      </c>
      <c r="H259" s="3" t="s">
        <v>1648</v>
      </c>
      <c r="I259" s="3" t="s">
        <v>860</v>
      </c>
      <c r="K259" s="17" t="s">
        <v>1649</v>
      </c>
      <c r="L259" s="3">
        <v>17.819050193817969</v>
      </c>
      <c r="M259" s="3">
        <v>15.682382800014761</v>
      </c>
      <c r="N259" s="3">
        <v>14.65767831767196</v>
      </c>
      <c r="O259" s="3">
        <v>13.67643938463841</v>
      </c>
      <c r="P259" s="3">
        <v>14.4775775701259</v>
      </c>
      <c r="Q259" s="3">
        <v>14.858775904928279</v>
      </c>
      <c r="R259" s="3">
        <v>15.18236272132892</v>
      </c>
      <c r="S259" s="3">
        <v>15.50568837076008</v>
      </c>
      <c r="T259" s="3">
        <v>15.82777842202773</v>
      </c>
      <c r="U259" s="3">
        <v>16.092720470248391</v>
      </c>
      <c r="V259" s="3">
        <v>16.452666711585781</v>
      </c>
      <c r="W259" s="3">
        <v>16.82610371591641</v>
      </c>
      <c r="X259" s="3">
        <v>17.213462269286669</v>
      </c>
      <c r="Y259" s="3">
        <v>17.615256400651539</v>
      </c>
      <c r="Z259" s="3">
        <v>18.031924067364301</v>
      </c>
      <c r="AA259" s="3">
        <v>18.464077350256058</v>
      </c>
      <c r="AB259" s="3">
        <v>18.912086429183841</v>
      </c>
      <c r="AC259" s="3">
        <v>19.37646162544554</v>
      </c>
      <c r="AD259" s="3">
        <v>19.857727168093788</v>
      </c>
      <c r="AE259" s="3">
        <v>20.273199910582179</v>
      </c>
      <c r="AG259" s="17" t="s">
        <v>1650</v>
      </c>
      <c r="AH259" s="3">
        <v>17.819050193817969</v>
      </c>
      <c r="AI259" s="3">
        <v>15.682382800014761</v>
      </c>
      <c r="AJ259" s="3">
        <v>14.65767831767196</v>
      </c>
      <c r="AK259" s="3">
        <v>13.67643938463841</v>
      </c>
      <c r="AL259" s="3">
        <v>14.4775775701259</v>
      </c>
      <c r="AM259" s="3">
        <v>14.858775904928279</v>
      </c>
      <c r="AN259" s="3">
        <v>15.18236272132892</v>
      </c>
      <c r="AO259" s="3">
        <v>15.50568837076008</v>
      </c>
      <c r="AP259" s="3">
        <v>15.82777842202773</v>
      </c>
      <c r="AQ259" s="3">
        <v>16.092720470248391</v>
      </c>
      <c r="AR259" s="3">
        <v>16.452666711585781</v>
      </c>
      <c r="AS259" s="3">
        <v>16.82610371591641</v>
      </c>
      <c r="AT259" s="3">
        <v>17.213462269286669</v>
      </c>
      <c r="AU259" s="3">
        <v>17.615256400651539</v>
      </c>
      <c r="AV259" s="3">
        <v>18.031924067364301</v>
      </c>
      <c r="AW259" s="3">
        <v>18.464077350256058</v>
      </c>
      <c r="AX259" s="3">
        <v>18.912086429183841</v>
      </c>
      <c r="AY259" s="3">
        <v>19.37646162544554</v>
      </c>
      <c r="AZ259" s="3">
        <v>19.857727168093788</v>
      </c>
      <c r="BA259" s="3">
        <v>20.273199910582179</v>
      </c>
      <c r="BC259" s="17" t="s">
        <v>1651</v>
      </c>
      <c r="BD259" s="3">
        <v>17.819050193817969</v>
      </c>
      <c r="BE259" s="3">
        <v>15.682382800014761</v>
      </c>
      <c r="BF259" s="3">
        <v>14.65767831767196</v>
      </c>
      <c r="BG259" s="3">
        <v>13.67643938463841</v>
      </c>
      <c r="BH259" s="3">
        <v>14.4775775701259</v>
      </c>
      <c r="BI259" s="3">
        <v>14.858775904928279</v>
      </c>
      <c r="BJ259" s="3">
        <v>15.18236272132892</v>
      </c>
      <c r="BK259" s="3">
        <v>15.50568837076008</v>
      </c>
      <c r="BL259" s="3">
        <v>15.82777842202773</v>
      </c>
      <c r="BM259" s="3">
        <v>16.092720470248391</v>
      </c>
      <c r="BN259" s="3">
        <v>16.452666711585781</v>
      </c>
      <c r="BO259" s="3">
        <v>16.82610371591641</v>
      </c>
      <c r="BP259" s="3">
        <v>17.213462269286669</v>
      </c>
      <c r="BQ259" s="3">
        <v>17.615256400651539</v>
      </c>
      <c r="BR259" s="3">
        <v>18.031924067364301</v>
      </c>
      <c r="BS259" s="3">
        <v>18.464077350256058</v>
      </c>
      <c r="BT259" s="3">
        <v>18.912086429183841</v>
      </c>
      <c r="BU259" s="3">
        <v>19.37646162544554</v>
      </c>
      <c r="BV259" s="3">
        <v>19.857727168093788</v>
      </c>
      <c r="BW259" s="3">
        <v>20.273199910582179</v>
      </c>
      <c r="BY259" s="17" t="s">
        <v>1652</v>
      </c>
      <c r="BZ259" s="3">
        <v>17.819050193817969</v>
      </c>
      <c r="CA259" s="3">
        <v>15.682382800014761</v>
      </c>
      <c r="CB259" s="3">
        <v>14.65767831767196</v>
      </c>
      <c r="CC259" s="3">
        <v>13.67643938463841</v>
      </c>
      <c r="CD259" s="3">
        <v>14.4775775701259</v>
      </c>
      <c r="CE259" s="3">
        <v>14.858775904928279</v>
      </c>
      <c r="CF259" s="3">
        <v>15.18236272132892</v>
      </c>
      <c r="CG259" s="3">
        <v>15.50568837076008</v>
      </c>
      <c r="CH259" s="3">
        <v>15.82777842202773</v>
      </c>
      <c r="CI259" s="3">
        <v>16.092720470248391</v>
      </c>
      <c r="CJ259" s="3">
        <v>16.452666711585781</v>
      </c>
      <c r="CK259" s="3">
        <v>16.82610371591641</v>
      </c>
      <c r="CL259" s="3">
        <v>17.213462269286669</v>
      </c>
      <c r="CM259" s="3">
        <v>17.615256400651539</v>
      </c>
      <c r="CN259" s="3">
        <v>18.031924067364301</v>
      </c>
      <c r="CO259" s="3">
        <v>18.464077350256058</v>
      </c>
      <c r="CP259" s="3">
        <v>18.912086429183841</v>
      </c>
      <c r="CQ259" s="3">
        <v>19.37646162544554</v>
      </c>
      <c r="CR259" s="3">
        <v>19.857727168093788</v>
      </c>
      <c r="CS259" s="3">
        <v>20.273199910582179</v>
      </c>
      <c r="CU259" s="17" t="s">
        <v>1653</v>
      </c>
      <c r="CV259" s="3">
        <v>17.819050193817969</v>
      </c>
      <c r="CW259" s="3">
        <v>15.682382800014761</v>
      </c>
      <c r="CX259" s="3">
        <v>14.65767831767196</v>
      </c>
      <c r="CY259" s="3">
        <v>13.67643938463841</v>
      </c>
      <c r="CZ259" s="3">
        <v>14.4775775701259</v>
      </c>
      <c r="DA259" s="3">
        <v>14.858775904928279</v>
      </c>
      <c r="DB259" s="3">
        <v>15.18236272132892</v>
      </c>
      <c r="DC259" s="3">
        <v>15.50568837076008</v>
      </c>
      <c r="DD259" s="3">
        <v>15.82777842202773</v>
      </c>
      <c r="DE259" s="3">
        <v>16.092720470248391</v>
      </c>
      <c r="DF259" s="3">
        <v>16.452666711585781</v>
      </c>
      <c r="DG259" s="3">
        <v>16.82610371591641</v>
      </c>
      <c r="DH259" s="3">
        <v>17.213462269286669</v>
      </c>
      <c r="DI259" s="3">
        <v>17.615256400651539</v>
      </c>
      <c r="DJ259" s="3">
        <v>18.031924067364301</v>
      </c>
      <c r="DK259" s="3">
        <v>18.464077350256058</v>
      </c>
      <c r="DL259" s="3">
        <v>18.912086429183841</v>
      </c>
      <c r="DM259" s="3">
        <v>19.37646162544554</v>
      </c>
      <c r="DN259" s="3">
        <v>19.857727168093788</v>
      </c>
      <c r="DO259" s="3">
        <v>20.273199910582179</v>
      </c>
    </row>
    <row r="260" spans="1:119" x14ac:dyDescent="0.45">
      <c r="A260" s="16" t="s">
        <v>1654</v>
      </c>
      <c r="B260" s="3" t="s">
        <v>89</v>
      </c>
      <c r="C260" s="16" t="s">
        <v>1655</v>
      </c>
      <c r="H260" s="3" t="s">
        <v>1656</v>
      </c>
      <c r="I260" s="3" t="s">
        <v>860</v>
      </c>
      <c r="K260" s="17" t="s">
        <v>1657</v>
      </c>
      <c r="L260" s="3">
        <v>10.90003858207016</v>
      </c>
      <c r="M260" s="3">
        <v>8.5604711808494134</v>
      </c>
      <c r="N260" s="3">
        <v>7.4051359960438541</v>
      </c>
      <c r="O260" s="3">
        <v>6.6498090786732611</v>
      </c>
      <c r="P260" s="3">
        <v>7.0659903080085673</v>
      </c>
      <c r="Q260" s="3">
        <v>7.1598702987596514</v>
      </c>
      <c r="R260" s="3">
        <v>7.1153559352190801</v>
      </c>
      <c r="S260" s="3">
        <v>7.0676196105161972</v>
      </c>
      <c r="T260" s="3">
        <v>7.0165293362364132</v>
      </c>
      <c r="U260" s="3">
        <v>6.9672251420892408</v>
      </c>
      <c r="V260" s="3">
        <v>6.9672251420892408</v>
      </c>
      <c r="W260" s="3">
        <v>6.9672251420892408</v>
      </c>
      <c r="X260" s="3">
        <v>6.9672251420892417</v>
      </c>
      <c r="Y260" s="3">
        <v>6.9672251420892417</v>
      </c>
      <c r="Z260" s="3">
        <v>6.9672251420892417</v>
      </c>
      <c r="AA260" s="3">
        <v>6.9672251420892408</v>
      </c>
      <c r="AB260" s="3">
        <v>6.9672251420892408</v>
      </c>
      <c r="AC260" s="3">
        <v>6.9672251420892408</v>
      </c>
      <c r="AD260" s="3">
        <v>6.9672251420892408</v>
      </c>
      <c r="AE260" s="3">
        <v>6.9672251420892408</v>
      </c>
      <c r="AG260" s="17" t="s">
        <v>1658</v>
      </c>
      <c r="AH260" s="3">
        <v>10.90003858207016</v>
      </c>
      <c r="AI260" s="3">
        <v>8.5604711808494134</v>
      </c>
      <c r="AJ260" s="3">
        <v>7.4051359960438541</v>
      </c>
      <c r="AK260" s="3">
        <v>6.6498090786732611</v>
      </c>
      <c r="AL260" s="3">
        <v>7.0659903080085673</v>
      </c>
      <c r="AM260" s="3">
        <v>7.1598702987596514</v>
      </c>
      <c r="AN260" s="3">
        <v>7.1153559352190801</v>
      </c>
      <c r="AO260" s="3">
        <v>7.0676196105161972</v>
      </c>
      <c r="AP260" s="3">
        <v>7.0165293362364132</v>
      </c>
      <c r="AQ260" s="3">
        <v>6.9672251420892408</v>
      </c>
      <c r="AR260" s="3">
        <v>6.9672251420892408</v>
      </c>
      <c r="AS260" s="3">
        <v>6.9672251420892408</v>
      </c>
      <c r="AT260" s="3">
        <v>6.9672251420892417</v>
      </c>
      <c r="AU260" s="3">
        <v>6.9672251420892417</v>
      </c>
      <c r="AV260" s="3">
        <v>6.9672251420892417</v>
      </c>
      <c r="AW260" s="3">
        <v>6.9672251420892408</v>
      </c>
      <c r="AX260" s="3">
        <v>6.9672251420892408</v>
      </c>
      <c r="AY260" s="3">
        <v>6.9672251420892408</v>
      </c>
      <c r="AZ260" s="3">
        <v>6.9672251420892408</v>
      </c>
      <c r="BA260" s="3">
        <v>6.9672251420892408</v>
      </c>
      <c r="BC260" s="17" t="s">
        <v>1659</v>
      </c>
      <c r="BD260" s="3">
        <v>10.90003858207016</v>
      </c>
      <c r="BE260" s="3">
        <v>8.5604711808494134</v>
      </c>
      <c r="BF260" s="3">
        <v>7.4051359960438541</v>
      </c>
      <c r="BG260" s="3">
        <v>6.6498090786732611</v>
      </c>
      <c r="BH260" s="3">
        <v>7.0659903080085673</v>
      </c>
      <c r="BI260" s="3">
        <v>7.1598702987596514</v>
      </c>
      <c r="BJ260" s="3">
        <v>7.1153559352190801</v>
      </c>
      <c r="BK260" s="3">
        <v>7.0676196105161972</v>
      </c>
      <c r="BL260" s="3">
        <v>7.0165293362364132</v>
      </c>
      <c r="BM260" s="3">
        <v>6.9672251420892408</v>
      </c>
      <c r="BN260" s="3">
        <v>6.9672251420892408</v>
      </c>
      <c r="BO260" s="3">
        <v>6.9672251420892408</v>
      </c>
      <c r="BP260" s="3">
        <v>6.9672251420892417</v>
      </c>
      <c r="BQ260" s="3">
        <v>6.9672251420892417</v>
      </c>
      <c r="BR260" s="3">
        <v>6.9672251420892417</v>
      </c>
      <c r="BS260" s="3">
        <v>6.9672251420892408</v>
      </c>
      <c r="BT260" s="3">
        <v>6.9672251420892408</v>
      </c>
      <c r="BU260" s="3">
        <v>6.9672251420892408</v>
      </c>
      <c r="BV260" s="3">
        <v>6.9672251420892408</v>
      </c>
      <c r="BW260" s="3">
        <v>6.9672251420892408</v>
      </c>
      <c r="BY260" s="17" t="s">
        <v>1660</v>
      </c>
      <c r="BZ260" s="3">
        <v>10.90003858207016</v>
      </c>
      <c r="CA260" s="3">
        <v>8.5604711808494134</v>
      </c>
      <c r="CB260" s="3">
        <v>7.4051359960438541</v>
      </c>
      <c r="CC260" s="3">
        <v>6.6498090786732611</v>
      </c>
      <c r="CD260" s="3">
        <v>7.0659903080085673</v>
      </c>
      <c r="CE260" s="3">
        <v>7.1598702987596514</v>
      </c>
      <c r="CF260" s="3">
        <v>7.1153559352190801</v>
      </c>
      <c r="CG260" s="3">
        <v>7.0676196105161972</v>
      </c>
      <c r="CH260" s="3">
        <v>7.0165293362364132</v>
      </c>
      <c r="CI260" s="3">
        <v>6.9672251420892408</v>
      </c>
      <c r="CJ260" s="3">
        <v>6.9672251420892408</v>
      </c>
      <c r="CK260" s="3">
        <v>6.9672251420892408</v>
      </c>
      <c r="CL260" s="3">
        <v>6.9672251420892417</v>
      </c>
      <c r="CM260" s="3">
        <v>6.9672251420892417</v>
      </c>
      <c r="CN260" s="3">
        <v>6.9672251420892417</v>
      </c>
      <c r="CO260" s="3">
        <v>6.9672251420892408</v>
      </c>
      <c r="CP260" s="3">
        <v>6.9672251420892408</v>
      </c>
      <c r="CQ260" s="3">
        <v>6.9672251420892408</v>
      </c>
      <c r="CR260" s="3">
        <v>6.9672251420892408</v>
      </c>
      <c r="CS260" s="3">
        <v>6.9672251420892408</v>
      </c>
      <c r="CU260" s="17" t="s">
        <v>1661</v>
      </c>
      <c r="CV260" s="3">
        <v>10.90003858207016</v>
      </c>
      <c r="CW260" s="3">
        <v>8.5604711808494134</v>
      </c>
      <c r="CX260" s="3">
        <v>7.4051359960438541</v>
      </c>
      <c r="CY260" s="3">
        <v>6.6498090786732611</v>
      </c>
      <c r="CZ260" s="3">
        <v>7.0659903080085673</v>
      </c>
      <c r="DA260" s="3">
        <v>7.1598702987596514</v>
      </c>
      <c r="DB260" s="3">
        <v>7.1153559352190801</v>
      </c>
      <c r="DC260" s="3">
        <v>7.0676196105161972</v>
      </c>
      <c r="DD260" s="3">
        <v>7.0165293362364132</v>
      </c>
      <c r="DE260" s="3">
        <v>6.9672251420892408</v>
      </c>
      <c r="DF260" s="3">
        <v>6.9672251420892408</v>
      </c>
      <c r="DG260" s="3">
        <v>6.9672251420892408</v>
      </c>
      <c r="DH260" s="3">
        <v>6.9672251420892417</v>
      </c>
      <c r="DI260" s="3">
        <v>6.9672251420892417</v>
      </c>
      <c r="DJ260" s="3">
        <v>6.9672251420892417</v>
      </c>
      <c r="DK260" s="3">
        <v>6.9672251420892408</v>
      </c>
      <c r="DL260" s="3">
        <v>6.9672251420892408</v>
      </c>
      <c r="DM260" s="3">
        <v>6.9672251420892408</v>
      </c>
      <c r="DN260" s="3">
        <v>6.9672251420892408</v>
      </c>
      <c r="DO260" s="3">
        <v>6.9672251420892408</v>
      </c>
    </row>
    <row r="261" spans="1:119" x14ac:dyDescent="0.45">
      <c r="A261" s="16" t="s">
        <v>1662</v>
      </c>
      <c r="B261" s="3" t="s">
        <v>89</v>
      </c>
      <c r="C261" s="16" t="s">
        <v>1663</v>
      </c>
      <c r="H261" s="3" t="s">
        <v>1664</v>
      </c>
      <c r="I261" s="3" t="s">
        <v>1300</v>
      </c>
      <c r="K261" s="17" t="s">
        <v>1665</v>
      </c>
      <c r="L261" s="3">
        <v>1.646935644617493</v>
      </c>
      <c r="M261" s="3">
        <v>1.63895261334982</v>
      </c>
      <c r="N261" s="3">
        <v>1.5502649555799539</v>
      </c>
      <c r="O261" s="3">
        <v>1.0962618452750721</v>
      </c>
      <c r="P261" s="3">
        <v>1.2440040629996549</v>
      </c>
      <c r="Q261" s="3">
        <v>1.28461907908624</v>
      </c>
      <c r="R261" s="3">
        <v>1.3961487979441609</v>
      </c>
      <c r="S261" s="3">
        <v>1.5003764525515719</v>
      </c>
      <c r="T261" s="3">
        <v>1.5960490857913221</v>
      </c>
      <c r="U261" s="3">
        <v>1.621687328159148</v>
      </c>
      <c r="V261" s="3">
        <v>1.6814812494965461</v>
      </c>
      <c r="W261" s="3">
        <v>1.742759841027165</v>
      </c>
      <c r="X261" s="3">
        <v>1.8054736450854261</v>
      </c>
      <c r="Y261" s="3">
        <v>1.8696372371658141</v>
      </c>
      <c r="Z261" s="3">
        <v>1.935169143022714</v>
      </c>
      <c r="AA261" s="3">
        <v>2.002141234624387</v>
      </c>
      <c r="AB261" s="3">
        <v>2.0703618746104708</v>
      </c>
      <c r="AC261" s="3">
        <v>2.139757094372805</v>
      </c>
      <c r="AD261" s="3">
        <v>2.2102434614617121</v>
      </c>
      <c r="AE261" s="3">
        <v>2.1985058613683881</v>
      </c>
      <c r="AG261" s="17" t="s">
        <v>1666</v>
      </c>
      <c r="AH261" s="3">
        <v>1.646935644617493</v>
      </c>
      <c r="AI261" s="3">
        <v>1.63895261334982</v>
      </c>
      <c r="AJ261" s="3">
        <v>1.5502649555799539</v>
      </c>
      <c r="AK261" s="3">
        <v>1.0962618452750721</v>
      </c>
      <c r="AL261" s="3">
        <v>1.2440040629996549</v>
      </c>
      <c r="AM261" s="3">
        <v>1.28461907908624</v>
      </c>
      <c r="AN261" s="3">
        <v>1.3961487979441609</v>
      </c>
      <c r="AO261" s="3">
        <v>1.5003764525515719</v>
      </c>
      <c r="AP261" s="3">
        <v>1.5960490857913221</v>
      </c>
      <c r="AQ261" s="3">
        <v>1.6216873281591491</v>
      </c>
      <c r="AR261" s="3">
        <v>1.6814812494965461</v>
      </c>
      <c r="AS261" s="3">
        <v>1.742759841027165</v>
      </c>
      <c r="AT261" s="3">
        <v>1.8054736450854261</v>
      </c>
      <c r="AU261" s="3">
        <v>1.869637237165813</v>
      </c>
      <c r="AV261" s="3">
        <v>1.935169143022714</v>
      </c>
      <c r="AW261" s="3">
        <v>2.002141234624387</v>
      </c>
      <c r="AX261" s="3">
        <v>2.0703618746104708</v>
      </c>
      <c r="AY261" s="3">
        <v>2.139757094372805</v>
      </c>
      <c r="AZ261" s="3">
        <v>2.2102434614617121</v>
      </c>
      <c r="BA261" s="3">
        <v>2.1985058613683881</v>
      </c>
      <c r="BC261" s="17" t="s">
        <v>1667</v>
      </c>
      <c r="BD261" s="3">
        <v>1.646935644617493</v>
      </c>
      <c r="BE261" s="3">
        <v>1.63895261334982</v>
      </c>
      <c r="BF261" s="3">
        <v>1.5502649555799539</v>
      </c>
      <c r="BG261" s="3">
        <v>1.0962618452750721</v>
      </c>
      <c r="BH261" s="3">
        <v>1.2440040629996549</v>
      </c>
      <c r="BI261" s="3">
        <v>1.28461907908624</v>
      </c>
      <c r="BJ261" s="3">
        <v>1.3961487979441609</v>
      </c>
      <c r="BK261" s="3">
        <v>1.5003764525515719</v>
      </c>
      <c r="BL261" s="3">
        <v>1.5960490857913221</v>
      </c>
      <c r="BM261" s="3">
        <v>1.6216873281591491</v>
      </c>
      <c r="BN261" s="3">
        <v>1.6814812494965461</v>
      </c>
      <c r="BO261" s="3">
        <v>1.742759841027165</v>
      </c>
      <c r="BP261" s="3">
        <v>1.8054736450854261</v>
      </c>
      <c r="BQ261" s="3">
        <v>1.869637237165813</v>
      </c>
      <c r="BR261" s="3">
        <v>1.935169143022714</v>
      </c>
      <c r="BS261" s="3">
        <v>2.002141234624387</v>
      </c>
      <c r="BT261" s="3">
        <v>2.0703618746104708</v>
      </c>
      <c r="BU261" s="3">
        <v>2.139757094372805</v>
      </c>
      <c r="BV261" s="3">
        <v>2.2102434614617121</v>
      </c>
      <c r="BW261" s="3">
        <v>2.1985058613683872</v>
      </c>
      <c r="BY261" s="17" t="s">
        <v>1668</v>
      </c>
      <c r="BZ261" s="3">
        <v>1.646935644617493</v>
      </c>
      <c r="CA261" s="3">
        <v>1.63895261334982</v>
      </c>
      <c r="CB261" s="3">
        <v>1.5502649555799539</v>
      </c>
      <c r="CC261" s="3">
        <v>1.0962618452750721</v>
      </c>
      <c r="CD261" s="3">
        <v>1.2440040629996549</v>
      </c>
      <c r="CE261" s="3">
        <v>1.28461907908624</v>
      </c>
      <c r="CF261" s="3">
        <v>1.3961487979441609</v>
      </c>
      <c r="CG261" s="3">
        <v>1.5003764525515719</v>
      </c>
      <c r="CH261" s="3">
        <v>1.5960490857913221</v>
      </c>
      <c r="CI261" s="3">
        <v>1.621687328159148</v>
      </c>
      <c r="CJ261" s="3">
        <v>1.681481249496545</v>
      </c>
      <c r="CK261" s="3">
        <v>1.742759841027165</v>
      </c>
      <c r="CL261" s="3">
        <v>1.8054736450854261</v>
      </c>
      <c r="CM261" s="3">
        <v>1.869637237165813</v>
      </c>
      <c r="CN261" s="3">
        <v>1.935169143022714</v>
      </c>
      <c r="CO261" s="3">
        <v>2.002141234624387</v>
      </c>
      <c r="CP261" s="3">
        <v>2.0703618746104708</v>
      </c>
      <c r="CQ261" s="3">
        <v>2.139757094372805</v>
      </c>
      <c r="CR261" s="3">
        <v>2.2102434614617121</v>
      </c>
      <c r="CS261" s="3">
        <v>2.1985058613683872</v>
      </c>
      <c r="CU261" s="17" t="s">
        <v>1669</v>
      </c>
      <c r="CV261" s="3">
        <v>1.646935644617493</v>
      </c>
      <c r="CW261" s="3">
        <v>1.63895261334982</v>
      </c>
      <c r="CX261" s="3">
        <v>1.5502649555799539</v>
      </c>
      <c r="CY261" s="3">
        <v>1.0962618452750721</v>
      </c>
      <c r="CZ261" s="3">
        <v>1.2440040629996549</v>
      </c>
      <c r="DA261" s="3">
        <v>1.28461907908624</v>
      </c>
      <c r="DB261" s="3">
        <v>1.3961487979441609</v>
      </c>
      <c r="DC261" s="3">
        <v>1.5003764525515719</v>
      </c>
      <c r="DD261" s="3">
        <v>1.5960490857913221</v>
      </c>
      <c r="DE261" s="3">
        <v>1.621687328159148</v>
      </c>
      <c r="DF261" s="3">
        <v>1.6814812494965461</v>
      </c>
      <c r="DG261" s="3">
        <v>1.742759841027165</v>
      </c>
      <c r="DH261" s="3">
        <v>1.805473645085427</v>
      </c>
      <c r="DI261" s="3">
        <v>1.869637237165813</v>
      </c>
      <c r="DJ261" s="3">
        <v>1.935169143022714</v>
      </c>
      <c r="DK261" s="3">
        <v>2.002141234624387</v>
      </c>
      <c r="DL261" s="3">
        <v>2.0703618746104708</v>
      </c>
      <c r="DM261" s="3">
        <v>2.139757094372805</v>
      </c>
      <c r="DN261" s="3">
        <v>2.2102434614617121</v>
      </c>
      <c r="DO261" s="3">
        <v>2.1985058613683872</v>
      </c>
    </row>
    <row r="262" spans="1:119" x14ac:dyDescent="0.45">
      <c r="A262" s="16" t="s">
        <v>1670</v>
      </c>
      <c r="B262" s="3" t="s">
        <v>89</v>
      </c>
      <c r="C262" s="16" t="s">
        <v>1671</v>
      </c>
      <c r="H262" s="3" t="s">
        <v>1672</v>
      </c>
      <c r="I262" s="3" t="s">
        <v>860</v>
      </c>
      <c r="K262" s="17" t="s">
        <v>1673</v>
      </c>
      <c r="L262" s="3">
        <v>5.2720759671303137</v>
      </c>
      <c r="M262" s="3">
        <v>5.482959005815526</v>
      </c>
      <c r="N262" s="3">
        <v>5.7022773660481478</v>
      </c>
      <c r="O262" s="3">
        <v>5.9303684606900742</v>
      </c>
      <c r="P262" s="3">
        <v>6.1675831991176766</v>
      </c>
      <c r="Q262" s="3">
        <v>6.4142865270823837</v>
      </c>
      <c r="R262" s="3">
        <v>6.6708579881656798</v>
      </c>
      <c r="S262" s="3">
        <v>6.9376923076923056</v>
      </c>
      <c r="T262" s="3">
        <v>7.2151999999999994</v>
      </c>
      <c r="U262" s="3">
        <v>7.5038079999999994</v>
      </c>
      <c r="V262" s="3">
        <v>7.8039603199999998</v>
      </c>
      <c r="W262" s="3">
        <v>8.1161187328000004</v>
      </c>
      <c r="X262" s="3">
        <v>8.4407634821120006</v>
      </c>
      <c r="Y262" s="3">
        <v>8.7783940213964797</v>
      </c>
      <c r="Z262" s="3">
        <v>9.1295297822523409</v>
      </c>
      <c r="AA262" s="3">
        <v>9.4947109735424338</v>
      </c>
      <c r="AB262" s="3">
        <v>9.8744994124841305</v>
      </c>
      <c r="AC262" s="3">
        <v>10.2694793889835</v>
      </c>
      <c r="AD262" s="3">
        <v>10.680258564542839</v>
      </c>
      <c r="AE262" s="3">
        <v>11.10746890712455</v>
      </c>
      <c r="AG262" s="17" t="s">
        <v>1674</v>
      </c>
      <c r="AH262" s="3">
        <v>5.2720759671303137</v>
      </c>
      <c r="AI262" s="3">
        <v>5.482959005815526</v>
      </c>
      <c r="AJ262" s="3">
        <v>5.7022773660481478</v>
      </c>
      <c r="AK262" s="3">
        <v>5.9303684606900742</v>
      </c>
      <c r="AL262" s="3">
        <v>6.1675831991176766</v>
      </c>
      <c r="AM262" s="3">
        <v>6.4142865270823837</v>
      </c>
      <c r="AN262" s="3">
        <v>6.6708579881656798</v>
      </c>
      <c r="AO262" s="3">
        <v>6.9376923076923056</v>
      </c>
      <c r="AP262" s="3">
        <v>7.2151999999999994</v>
      </c>
      <c r="AQ262" s="3">
        <v>7.5038079999999994</v>
      </c>
      <c r="AR262" s="3">
        <v>7.8039603199999998</v>
      </c>
      <c r="AS262" s="3">
        <v>8.1161187328000004</v>
      </c>
      <c r="AT262" s="3">
        <v>8.4407634821120006</v>
      </c>
      <c r="AU262" s="3">
        <v>8.7783940213964797</v>
      </c>
      <c r="AV262" s="3">
        <v>9.1295297822523409</v>
      </c>
      <c r="AW262" s="3">
        <v>9.4947109735424338</v>
      </c>
      <c r="AX262" s="3">
        <v>9.8744994124841305</v>
      </c>
      <c r="AY262" s="3">
        <v>10.2694793889835</v>
      </c>
      <c r="AZ262" s="3">
        <v>10.680258564542839</v>
      </c>
      <c r="BA262" s="3">
        <v>11.10746890712455</v>
      </c>
      <c r="BC262" s="17" t="s">
        <v>1675</v>
      </c>
      <c r="BD262" s="3">
        <v>5.2720759671303137</v>
      </c>
      <c r="BE262" s="3">
        <v>5.482959005815526</v>
      </c>
      <c r="BF262" s="3">
        <v>5.7022773660481478</v>
      </c>
      <c r="BG262" s="3">
        <v>5.9303684606900742</v>
      </c>
      <c r="BH262" s="3">
        <v>6.1675831991176766</v>
      </c>
      <c r="BI262" s="3">
        <v>6.4142865270823837</v>
      </c>
      <c r="BJ262" s="3">
        <v>6.6708579881656798</v>
      </c>
      <c r="BK262" s="3">
        <v>6.9376923076923056</v>
      </c>
      <c r="BL262" s="3">
        <v>7.2151999999999994</v>
      </c>
      <c r="BM262" s="3">
        <v>7.5038079999999994</v>
      </c>
      <c r="BN262" s="3">
        <v>7.8039603199999998</v>
      </c>
      <c r="BO262" s="3">
        <v>8.1161187328000004</v>
      </c>
      <c r="BP262" s="3">
        <v>8.4407634821120006</v>
      </c>
      <c r="BQ262" s="3">
        <v>8.7783940213964797</v>
      </c>
      <c r="BR262" s="3">
        <v>9.1295297822523409</v>
      </c>
      <c r="BS262" s="3">
        <v>9.4947109735424338</v>
      </c>
      <c r="BT262" s="3">
        <v>9.8744994124841305</v>
      </c>
      <c r="BU262" s="3">
        <v>10.2694793889835</v>
      </c>
      <c r="BV262" s="3">
        <v>10.680258564542839</v>
      </c>
      <c r="BW262" s="3">
        <v>11.10746890712455</v>
      </c>
      <c r="BY262" s="17" t="s">
        <v>1676</v>
      </c>
      <c r="BZ262" s="3">
        <v>5.2720759671303137</v>
      </c>
      <c r="CA262" s="3">
        <v>5.482959005815526</v>
      </c>
      <c r="CB262" s="3">
        <v>5.7022773660481478</v>
      </c>
      <c r="CC262" s="3">
        <v>5.9303684606900742</v>
      </c>
      <c r="CD262" s="3">
        <v>6.1675831991176766</v>
      </c>
      <c r="CE262" s="3">
        <v>6.4142865270823837</v>
      </c>
      <c r="CF262" s="3">
        <v>6.6708579881656798</v>
      </c>
      <c r="CG262" s="3">
        <v>6.9376923076923056</v>
      </c>
      <c r="CH262" s="3">
        <v>7.2151999999999994</v>
      </c>
      <c r="CI262" s="3">
        <v>7.5038079999999994</v>
      </c>
      <c r="CJ262" s="3">
        <v>7.8039603199999998</v>
      </c>
      <c r="CK262" s="3">
        <v>8.1161187328000004</v>
      </c>
      <c r="CL262" s="3">
        <v>8.4407634821120006</v>
      </c>
      <c r="CM262" s="3">
        <v>8.7783940213964797</v>
      </c>
      <c r="CN262" s="3">
        <v>9.1295297822523409</v>
      </c>
      <c r="CO262" s="3">
        <v>9.4947109735424338</v>
      </c>
      <c r="CP262" s="3">
        <v>9.8744994124841305</v>
      </c>
      <c r="CQ262" s="3">
        <v>10.2694793889835</v>
      </c>
      <c r="CR262" s="3">
        <v>10.680258564542839</v>
      </c>
      <c r="CS262" s="3">
        <v>11.10746890712455</v>
      </c>
      <c r="CU262" s="17" t="s">
        <v>1677</v>
      </c>
      <c r="CV262" s="3">
        <v>5.2720759671303137</v>
      </c>
      <c r="CW262" s="3">
        <v>5.482959005815526</v>
      </c>
      <c r="CX262" s="3">
        <v>5.7022773660481478</v>
      </c>
      <c r="CY262" s="3">
        <v>5.9303684606900742</v>
      </c>
      <c r="CZ262" s="3">
        <v>6.1675831991176766</v>
      </c>
      <c r="DA262" s="3">
        <v>6.4142865270823837</v>
      </c>
      <c r="DB262" s="3">
        <v>6.6708579881656798</v>
      </c>
      <c r="DC262" s="3">
        <v>6.9376923076923056</v>
      </c>
      <c r="DD262" s="3">
        <v>7.2151999999999994</v>
      </c>
      <c r="DE262" s="3">
        <v>7.5038079999999994</v>
      </c>
      <c r="DF262" s="3">
        <v>7.8039603199999998</v>
      </c>
      <c r="DG262" s="3">
        <v>8.1161187328000004</v>
      </c>
      <c r="DH262" s="3">
        <v>8.4407634821120006</v>
      </c>
      <c r="DI262" s="3">
        <v>8.7783940213964797</v>
      </c>
      <c r="DJ262" s="3">
        <v>9.1295297822523409</v>
      </c>
      <c r="DK262" s="3">
        <v>9.4947109735424338</v>
      </c>
      <c r="DL262" s="3">
        <v>9.8744994124841305</v>
      </c>
      <c r="DM262" s="3">
        <v>10.2694793889835</v>
      </c>
      <c r="DN262" s="3">
        <v>10.680258564542839</v>
      </c>
      <c r="DO262" s="3">
        <v>11.10746890712455</v>
      </c>
    </row>
    <row r="263" spans="1:119" x14ac:dyDescent="0.45">
      <c r="A263" s="16" t="s">
        <v>1678</v>
      </c>
      <c r="B263" s="3" t="s">
        <v>89</v>
      </c>
      <c r="C263" s="16" t="s">
        <v>1679</v>
      </c>
      <c r="H263" s="3" t="s">
        <v>1680</v>
      </c>
      <c r="I263" s="3" t="s">
        <v>860</v>
      </c>
      <c r="K263" s="17" t="s">
        <v>1681</v>
      </c>
      <c r="L263" s="3">
        <v>0</v>
      </c>
      <c r="M263" s="3">
        <v>0</v>
      </c>
      <c r="N263" s="3">
        <v>0</v>
      </c>
      <c r="O263" s="3">
        <v>0</v>
      </c>
      <c r="P263" s="3">
        <v>0</v>
      </c>
      <c r="Q263" s="3">
        <v>0</v>
      </c>
      <c r="R263" s="3">
        <v>0</v>
      </c>
      <c r="S263" s="3">
        <v>0</v>
      </c>
      <c r="T263" s="3">
        <v>0</v>
      </c>
      <c r="U263" s="3">
        <v>0</v>
      </c>
      <c r="V263" s="3">
        <v>0</v>
      </c>
      <c r="W263" s="3">
        <v>0</v>
      </c>
      <c r="X263" s="3">
        <v>0</v>
      </c>
      <c r="Y263" s="3">
        <v>0</v>
      </c>
      <c r="Z263" s="3">
        <v>0</v>
      </c>
      <c r="AA263" s="3">
        <v>0</v>
      </c>
      <c r="AB263" s="3">
        <v>0</v>
      </c>
      <c r="AC263" s="3">
        <v>0</v>
      </c>
      <c r="AD263" s="3">
        <v>0</v>
      </c>
      <c r="AE263" s="3">
        <v>0</v>
      </c>
      <c r="AG263" s="17" t="s">
        <v>1682</v>
      </c>
      <c r="AH263" s="3">
        <v>0</v>
      </c>
      <c r="AI263" s="3">
        <v>0</v>
      </c>
      <c r="AJ263" s="3">
        <v>0</v>
      </c>
      <c r="AK263" s="3">
        <v>0</v>
      </c>
      <c r="AL263" s="3">
        <v>0</v>
      </c>
      <c r="AM263" s="3">
        <v>0</v>
      </c>
      <c r="AN263" s="3">
        <v>0</v>
      </c>
      <c r="AO263" s="3">
        <v>0</v>
      </c>
      <c r="AP263" s="3">
        <v>0</v>
      </c>
      <c r="AQ263" s="3">
        <v>0</v>
      </c>
      <c r="AR263" s="3">
        <v>0</v>
      </c>
      <c r="AS263" s="3">
        <v>0</v>
      </c>
      <c r="AT263" s="3">
        <v>0</v>
      </c>
      <c r="AU263" s="3">
        <v>0</v>
      </c>
      <c r="AV263" s="3">
        <v>0</v>
      </c>
      <c r="AW263" s="3">
        <v>0</v>
      </c>
      <c r="AX263" s="3">
        <v>0</v>
      </c>
      <c r="AY263" s="3">
        <v>0</v>
      </c>
      <c r="AZ263" s="3">
        <v>0</v>
      </c>
      <c r="BA263" s="3">
        <v>0</v>
      </c>
      <c r="BC263" s="17" t="s">
        <v>1683</v>
      </c>
      <c r="BD263" s="3">
        <v>0</v>
      </c>
      <c r="BE263" s="3">
        <v>0</v>
      </c>
      <c r="BF263" s="3">
        <v>0</v>
      </c>
      <c r="BG263" s="3">
        <v>0</v>
      </c>
      <c r="BH263" s="3">
        <v>0</v>
      </c>
      <c r="BI263" s="3">
        <v>0</v>
      </c>
      <c r="BJ263" s="3">
        <v>0</v>
      </c>
      <c r="BK263" s="3">
        <v>0</v>
      </c>
      <c r="BL263" s="3">
        <v>0</v>
      </c>
      <c r="BM263" s="3">
        <v>0</v>
      </c>
      <c r="BN263" s="3">
        <v>0</v>
      </c>
      <c r="BO263" s="3">
        <v>0</v>
      </c>
      <c r="BP263" s="3">
        <v>0</v>
      </c>
      <c r="BQ263" s="3">
        <v>0</v>
      </c>
      <c r="BR263" s="3">
        <v>0</v>
      </c>
      <c r="BS263" s="3">
        <v>0</v>
      </c>
      <c r="BT263" s="3">
        <v>0</v>
      </c>
      <c r="BU263" s="3">
        <v>0</v>
      </c>
      <c r="BV263" s="3">
        <v>0</v>
      </c>
      <c r="BW263" s="3">
        <v>0</v>
      </c>
      <c r="BY263" s="17" t="s">
        <v>1684</v>
      </c>
      <c r="BZ263" s="3">
        <v>0</v>
      </c>
      <c r="CA263" s="3">
        <v>0</v>
      </c>
      <c r="CB263" s="3">
        <v>0</v>
      </c>
      <c r="CC263" s="3">
        <v>0</v>
      </c>
      <c r="CD263" s="3">
        <v>0</v>
      </c>
      <c r="CE263" s="3">
        <v>0</v>
      </c>
      <c r="CF263" s="3">
        <v>0</v>
      </c>
      <c r="CG263" s="3">
        <v>0</v>
      </c>
      <c r="CH263" s="3">
        <v>0</v>
      </c>
      <c r="CI263" s="3">
        <v>0</v>
      </c>
      <c r="CJ263" s="3">
        <v>0</v>
      </c>
      <c r="CK263" s="3">
        <v>0</v>
      </c>
      <c r="CL263" s="3">
        <v>0</v>
      </c>
      <c r="CM263" s="3">
        <v>0</v>
      </c>
      <c r="CN263" s="3">
        <v>0</v>
      </c>
      <c r="CO263" s="3">
        <v>0</v>
      </c>
      <c r="CP263" s="3">
        <v>0</v>
      </c>
      <c r="CQ263" s="3">
        <v>0</v>
      </c>
      <c r="CR263" s="3">
        <v>0</v>
      </c>
      <c r="CS263" s="3">
        <v>0</v>
      </c>
      <c r="CU263" s="17" t="s">
        <v>1685</v>
      </c>
      <c r="CV263" s="3">
        <v>0</v>
      </c>
      <c r="CW263" s="3">
        <v>0</v>
      </c>
      <c r="CX263" s="3">
        <v>0</v>
      </c>
      <c r="CY263" s="3">
        <v>0</v>
      </c>
      <c r="CZ263" s="3">
        <v>0</v>
      </c>
      <c r="DA263" s="3">
        <v>0</v>
      </c>
      <c r="DB263" s="3">
        <v>0</v>
      </c>
      <c r="DC263" s="3">
        <v>0</v>
      </c>
      <c r="DD263" s="3">
        <v>0</v>
      </c>
      <c r="DE263" s="3">
        <v>0</v>
      </c>
      <c r="DF263" s="3">
        <v>0</v>
      </c>
      <c r="DG263" s="3">
        <v>0</v>
      </c>
      <c r="DH263" s="3">
        <v>0</v>
      </c>
      <c r="DI263" s="3">
        <v>0</v>
      </c>
      <c r="DJ263" s="3">
        <v>0</v>
      </c>
      <c r="DK263" s="3">
        <v>0</v>
      </c>
      <c r="DL263" s="3">
        <v>0</v>
      </c>
      <c r="DM263" s="3">
        <v>0</v>
      </c>
      <c r="DN263" s="3">
        <v>0</v>
      </c>
      <c r="DO263" s="3">
        <v>0</v>
      </c>
    </row>
    <row r="264" spans="1:119" x14ac:dyDescent="0.45">
      <c r="A264" s="16" t="s">
        <v>1686</v>
      </c>
      <c r="B264" s="3" t="s">
        <v>89</v>
      </c>
      <c r="C264" s="16" t="s">
        <v>1687</v>
      </c>
      <c r="H264" s="3" t="s">
        <v>1688</v>
      </c>
      <c r="I264" s="3" t="s">
        <v>860</v>
      </c>
      <c r="K264" s="17" t="s">
        <v>1689</v>
      </c>
      <c r="L264" s="3">
        <v>11.251346624355421</v>
      </c>
      <c r="M264" s="3">
        <v>8.7773562722248748</v>
      </c>
      <c r="N264" s="3">
        <v>7.5715284334375186</v>
      </c>
      <c r="O264" s="3">
        <v>6.8162015160669256</v>
      </c>
      <c r="P264" s="3">
        <v>7.2323827454022327</v>
      </c>
      <c r="Q264" s="3">
        <v>7.3262627361533168</v>
      </c>
      <c r="R264" s="3">
        <v>7.2817483726127454</v>
      </c>
      <c r="S264" s="3">
        <v>7.2340120479098626</v>
      </c>
      <c r="T264" s="3">
        <v>7.1829217736300794</v>
      </c>
      <c r="U264" s="3">
        <v>7.1336175794829062</v>
      </c>
      <c r="V264" s="3">
        <v>7.1336175794829062</v>
      </c>
      <c r="W264" s="3">
        <v>7.1336175794829053</v>
      </c>
      <c r="X264" s="3">
        <v>7.133617579482908</v>
      </c>
      <c r="Y264" s="3">
        <v>7.1336175794829062</v>
      </c>
      <c r="Z264" s="3">
        <v>7.1336175794829071</v>
      </c>
      <c r="AA264" s="3">
        <v>7.1336175794829062</v>
      </c>
      <c r="AB264" s="3">
        <v>7.1336175794829071</v>
      </c>
      <c r="AC264" s="3">
        <v>7.1336175794829071</v>
      </c>
      <c r="AD264" s="3">
        <v>7.1336175794829062</v>
      </c>
      <c r="AE264" s="3">
        <v>7.1336175794829062</v>
      </c>
      <c r="AG264" s="17" t="s">
        <v>1690</v>
      </c>
      <c r="AH264" s="3">
        <v>11.251346624355421</v>
      </c>
      <c r="AI264" s="3">
        <v>8.7773562722248748</v>
      </c>
      <c r="AJ264" s="3">
        <v>7.5715284334375186</v>
      </c>
      <c r="AK264" s="3">
        <v>6.8162015160669256</v>
      </c>
      <c r="AL264" s="3">
        <v>7.2323827454022327</v>
      </c>
      <c r="AM264" s="3">
        <v>9.3173436021048293</v>
      </c>
      <c r="AN264" s="3">
        <v>9.2728292385642597</v>
      </c>
      <c r="AO264" s="3">
        <v>9.225092913861376</v>
      </c>
      <c r="AP264" s="3">
        <v>9.174002639581591</v>
      </c>
      <c r="AQ264" s="3">
        <v>9.1246984454344187</v>
      </c>
      <c r="AR264" s="3">
        <v>9.1246984454344187</v>
      </c>
      <c r="AS264" s="3">
        <v>9.1246984454344187</v>
      </c>
      <c r="AT264" s="3">
        <v>9.1246984454344204</v>
      </c>
      <c r="AU264" s="3">
        <v>9.1246984454344204</v>
      </c>
      <c r="AV264" s="3">
        <v>9.1246984454344187</v>
      </c>
      <c r="AW264" s="3">
        <v>9.1246984454344169</v>
      </c>
      <c r="AX264" s="3">
        <v>9.1246984454344187</v>
      </c>
      <c r="AY264" s="3">
        <v>9.1246984454344169</v>
      </c>
      <c r="AZ264" s="3">
        <v>9.1246984454344204</v>
      </c>
      <c r="BA264" s="3">
        <v>9.1246984454344204</v>
      </c>
      <c r="BC264" s="17" t="s">
        <v>1691</v>
      </c>
      <c r="BD264" s="3">
        <v>11.251346624355421</v>
      </c>
      <c r="BE264" s="3">
        <v>8.7773562722248748</v>
      </c>
      <c r="BF264" s="3">
        <v>7.5715284334375186</v>
      </c>
      <c r="BG264" s="3">
        <v>6.8162015160669256</v>
      </c>
      <c r="BH264" s="3">
        <v>7.2323827454022327</v>
      </c>
      <c r="BI264" s="3">
        <v>8.3218031691290726</v>
      </c>
      <c r="BJ264" s="3">
        <v>9.6046760495561774</v>
      </c>
      <c r="BK264" s="3">
        <v>10.88432696882097</v>
      </c>
      <c r="BL264" s="3">
        <v>12.160623938508859</v>
      </c>
      <c r="BM264" s="3">
        <v>13.43870698832936</v>
      </c>
      <c r="BN264" s="3">
        <v>14.766094232297039</v>
      </c>
      <c r="BO264" s="3">
        <v>16.09348147626471</v>
      </c>
      <c r="BP264" s="3">
        <v>17.420868720232399</v>
      </c>
      <c r="BQ264" s="3">
        <v>18.748255964200069</v>
      </c>
      <c r="BR264" s="3">
        <v>20.07564320816774</v>
      </c>
      <c r="BS264" s="3">
        <v>21.403030452135422</v>
      </c>
      <c r="BT264" s="3">
        <v>22.730417696103089</v>
      </c>
      <c r="BU264" s="3">
        <v>24.057804940070771</v>
      </c>
      <c r="BV264" s="3">
        <v>25.385192184038441</v>
      </c>
      <c r="BW264" s="3">
        <v>26.712579428006119</v>
      </c>
      <c r="BY264" s="17" t="s">
        <v>1692</v>
      </c>
      <c r="BZ264" s="3">
        <v>11.251346624355421</v>
      </c>
      <c r="CA264" s="3">
        <v>8.7773562722248748</v>
      </c>
      <c r="CB264" s="3">
        <v>7.5715284334375186</v>
      </c>
      <c r="CC264" s="3">
        <v>6.8162015160669256</v>
      </c>
      <c r="CD264" s="3">
        <v>7.2323827454022327</v>
      </c>
      <c r="CE264" s="3">
        <v>7.3262627361533168</v>
      </c>
      <c r="CF264" s="3">
        <v>7.2817483726127454</v>
      </c>
      <c r="CG264" s="3">
        <v>7.2340120479098617</v>
      </c>
      <c r="CH264" s="3">
        <v>7.1829217736300794</v>
      </c>
      <c r="CI264" s="3">
        <v>7.1336175794829062</v>
      </c>
      <c r="CJ264" s="3">
        <v>7.1336175794829053</v>
      </c>
      <c r="CK264" s="3">
        <v>7.1336175794829071</v>
      </c>
      <c r="CL264" s="3">
        <v>7.1336175794829071</v>
      </c>
      <c r="CM264" s="3">
        <v>7.133617579482908</v>
      </c>
      <c r="CN264" s="3">
        <v>7.133617579482908</v>
      </c>
      <c r="CO264" s="3">
        <v>7.1336175794829071</v>
      </c>
      <c r="CP264" s="3">
        <v>7.1336175794829062</v>
      </c>
      <c r="CQ264" s="3">
        <v>7.1336175794829062</v>
      </c>
      <c r="CR264" s="3">
        <v>7.1336175794829071</v>
      </c>
      <c r="CS264" s="3">
        <v>7.1336175794829062</v>
      </c>
      <c r="CU264" s="17" t="s">
        <v>1693</v>
      </c>
      <c r="CV264" s="3">
        <v>11.251346624355421</v>
      </c>
      <c r="CW264" s="3">
        <v>8.7773562722248748</v>
      </c>
      <c r="CX264" s="3">
        <v>7.5715284334375186</v>
      </c>
      <c r="CY264" s="3">
        <v>6.8162015160669256</v>
      </c>
      <c r="CZ264" s="3">
        <v>7.2323827454022327</v>
      </c>
      <c r="DA264" s="3">
        <v>12.303964901032099</v>
      </c>
      <c r="DB264" s="3">
        <v>12.25945053749153</v>
      </c>
      <c r="DC264" s="3">
        <v>12.21171421278865</v>
      </c>
      <c r="DD264" s="3">
        <v>12.160623938508859</v>
      </c>
      <c r="DE264" s="3">
        <v>12.11131974436169</v>
      </c>
      <c r="DF264" s="3">
        <v>12.11131974436169</v>
      </c>
      <c r="DG264" s="3">
        <v>12.11131974436169</v>
      </c>
      <c r="DH264" s="3">
        <v>12.11131974436169</v>
      </c>
      <c r="DI264" s="3">
        <v>12.11131974436169</v>
      </c>
      <c r="DJ264" s="3">
        <v>12.11131974436169</v>
      </c>
      <c r="DK264" s="3">
        <v>12.11131974436169</v>
      </c>
      <c r="DL264" s="3">
        <v>12.11131974436169</v>
      </c>
      <c r="DM264" s="3">
        <v>12.11131974436169</v>
      </c>
      <c r="DN264" s="3">
        <v>12.11131974436169</v>
      </c>
      <c r="DO264" s="3">
        <v>12.11131974436169</v>
      </c>
    </row>
    <row r="265" spans="1:119" x14ac:dyDescent="0.45">
      <c r="A265" s="16" t="s">
        <v>1694</v>
      </c>
      <c r="B265" s="3" t="s">
        <v>89</v>
      </c>
      <c r="C265" s="16" t="s">
        <v>1695</v>
      </c>
      <c r="H265" s="3" t="s">
        <v>1696</v>
      </c>
      <c r="I265" s="3" t="s">
        <v>860</v>
      </c>
      <c r="K265" s="17" t="s">
        <v>1697</v>
      </c>
      <c r="L265" s="3">
        <v>-6.5677035694625463</v>
      </c>
      <c r="M265" s="3">
        <v>-6.9050265277898841</v>
      </c>
      <c r="N265" s="3">
        <v>-7.0861498842344357</v>
      </c>
      <c r="O265" s="3">
        <v>-6.8602378685714802</v>
      </c>
      <c r="P265" s="3">
        <v>-7.2451948247236659</v>
      </c>
      <c r="Q265" s="3">
        <v>-7.5325131687749591</v>
      </c>
      <c r="R265" s="3">
        <v>-7.900614348716176</v>
      </c>
      <c r="S265" s="3">
        <v>-8.2716763228502135</v>
      </c>
      <c r="T265" s="3">
        <v>-8.6448566483976563</v>
      </c>
      <c r="U265" s="3">
        <v>-8.9591028907654824</v>
      </c>
      <c r="V265" s="3">
        <v>-9.3190491321028794</v>
      </c>
      <c r="W265" s="3">
        <v>-9.6924861364335015</v>
      </c>
      <c r="X265" s="3">
        <v>-10.07984468980376</v>
      </c>
      <c r="Y265" s="3">
        <v>-10.48163882116863</v>
      </c>
      <c r="Z265" s="3">
        <v>-10.89830648788139</v>
      </c>
      <c r="AA265" s="3">
        <v>-11.33045977077316</v>
      </c>
      <c r="AB265" s="3">
        <v>-11.778468849700941</v>
      </c>
      <c r="AC265" s="3">
        <v>-12.24284404596264</v>
      </c>
      <c r="AD265" s="3">
        <v>-12.724109588610879</v>
      </c>
      <c r="AE265" s="3">
        <v>-13.13958233109927</v>
      </c>
      <c r="AG265" s="17" t="s">
        <v>1698</v>
      </c>
      <c r="AH265" s="3">
        <v>-6.5677035694625463</v>
      </c>
      <c r="AI265" s="3">
        <v>-6.9050265277898841</v>
      </c>
      <c r="AJ265" s="3">
        <v>-7.0861498842344357</v>
      </c>
      <c r="AK265" s="3">
        <v>-6.8602378685714802</v>
      </c>
      <c r="AL265" s="3">
        <v>-7.2451948247236659</v>
      </c>
      <c r="AM265" s="3">
        <v>-5.5414323028234467</v>
      </c>
      <c r="AN265" s="3">
        <v>-5.9095334827646617</v>
      </c>
      <c r="AO265" s="3">
        <v>-6.2805954568987001</v>
      </c>
      <c r="AP265" s="3">
        <v>-6.653775782446143</v>
      </c>
      <c r="AQ265" s="3">
        <v>-6.968022024813969</v>
      </c>
      <c r="AR265" s="3">
        <v>-7.3279682661513661</v>
      </c>
      <c r="AS265" s="3">
        <v>-7.7014052704819882</v>
      </c>
      <c r="AT265" s="3">
        <v>-8.0887638238522488</v>
      </c>
      <c r="AU265" s="3">
        <v>-8.4905579552171151</v>
      </c>
      <c r="AV265" s="3">
        <v>-8.9072256219298787</v>
      </c>
      <c r="AW265" s="3">
        <v>-9.3393789048216451</v>
      </c>
      <c r="AX265" s="3">
        <v>-9.7873879837494258</v>
      </c>
      <c r="AY265" s="3">
        <v>-10.25176318001113</v>
      </c>
      <c r="AZ265" s="3">
        <v>-10.73302872265937</v>
      </c>
      <c r="BA265" s="3">
        <v>-11.14850146514776</v>
      </c>
      <c r="BC265" s="17" t="s">
        <v>1699</v>
      </c>
      <c r="BD265" s="3">
        <v>-6.5677035694625463</v>
      </c>
      <c r="BE265" s="3">
        <v>-6.9050265277898841</v>
      </c>
      <c r="BF265" s="3">
        <v>-7.0861498842344357</v>
      </c>
      <c r="BG265" s="3">
        <v>-6.8602378685714802</v>
      </c>
      <c r="BH265" s="3">
        <v>-7.2451948247236659</v>
      </c>
      <c r="BI265" s="3">
        <v>-6.5369727357992033</v>
      </c>
      <c r="BJ265" s="3">
        <v>-5.577686671772744</v>
      </c>
      <c r="BK265" s="3">
        <v>-4.621361401939108</v>
      </c>
      <c r="BL265" s="3">
        <v>-3.6671544835188712</v>
      </c>
      <c r="BM265" s="3">
        <v>-2.6540134819190229</v>
      </c>
      <c r="BN265" s="3">
        <v>-1.6865724792887471</v>
      </c>
      <c r="BO265" s="3">
        <v>-0.73262223965169682</v>
      </c>
      <c r="BP265" s="3">
        <v>0.20740645094572591</v>
      </c>
      <c r="BQ265" s="3">
        <v>1.1329995635485339</v>
      </c>
      <c r="BR265" s="3">
        <v>2.043719140803443</v>
      </c>
      <c r="BS265" s="3">
        <v>2.9389531018793562</v>
      </c>
      <c r="BT265" s="3">
        <v>3.8183312669192482</v>
      </c>
      <c r="BU265" s="3">
        <v>4.6813433146252237</v>
      </c>
      <c r="BV265" s="3">
        <v>5.527465015944653</v>
      </c>
      <c r="BW265" s="3">
        <v>6.4393795174239443</v>
      </c>
      <c r="BY265" s="17" t="s">
        <v>1700</v>
      </c>
      <c r="BZ265" s="3">
        <v>-6.5677035694625463</v>
      </c>
      <c r="CA265" s="3">
        <v>-6.9050265277898841</v>
      </c>
      <c r="CB265" s="3">
        <v>-7.0861498842344357</v>
      </c>
      <c r="CC265" s="3">
        <v>-6.8602378685714802</v>
      </c>
      <c r="CD265" s="3">
        <v>-7.2451948247236659</v>
      </c>
      <c r="CE265" s="3">
        <v>-7.5325131687749591</v>
      </c>
      <c r="CF265" s="3">
        <v>-7.900614348716176</v>
      </c>
      <c r="CG265" s="3">
        <v>-8.2716763228502153</v>
      </c>
      <c r="CH265" s="3">
        <v>-8.6448566483976563</v>
      </c>
      <c r="CI265" s="3">
        <v>-8.9591028907654824</v>
      </c>
      <c r="CJ265" s="3">
        <v>-9.3190491321028794</v>
      </c>
      <c r="CK265" s="3">
        <v>-9.6924861364334998</v>
      </c>
      <c r="CL265" s="3">
        <v>-10.07984468980376</v>
      </c>
      <c r="CM265" s="3">
        <v>-10.48163882116863</v>
      </c>
      <c r="CN265" s="3">
        <v>-10.89830648788139</v>
      </c>
      <c r="CO265" s="3">
        <v>-11.33045977077315</v>
      </c>
      <c r="CP265" s="3">
        <v>-11.778468849700941</v>
      </c>
      <c r="CQ265" s="3">
        <v>-12.24284404596264</v>
      </c>
      <c r="CR265" s="3">
        <v>-12.724109588610879</v>
      </c>
      <c r="CS265" s="3">
        <v>-13.13958233109927</v>
      </c>
      <c r="CU265" s="17" t="s">
        <v>1701</v>
      </c>
      <c r="CV265" s="3">
        <v>-6.5677035694625463</v>
      </c>
      <c r="CW265" s="3">
        <v>-6.9050265277898841</v>
      </c>
      <c r="CX265" s="3">
        <v>-7.0861498842344357</v>
      </c>
      <c r="CY265" s="3">
        <v>-6.8602378685714802</v>
      </c>
      <c r="CZ265" s="3">
        <v>-7.2451948247236659</v>
      </c>
      <c r="DA265" s="3">
        <v>-2.554811003896178</v>
      </c>
      <c r="DB265" s="3">
        <v>-2.922912183837393</v>
      </c>
      <c r="DC265" s="3">
        <v>-3.2939741579714301</v>
      </c>
      <c r="DD265" s="3">
        <v>-3.667154483518873</v>
      </c>
      <c r="DE265" s="3">
        <v>-3.981400725886699</v>
      </c>
      <c r="DF265" s="3">
        <v>-4.3413469672240961</v>
      </c>
      <c r="DG265" s="3">
        <v>-4.7147839715547182</v>
      </c>
      <c r="DH265" s="3">
        <v>-5.1021425249249788</v>
      </c>
      <c r="DI265" s="3">
        <v>-5.5039366562898451</v>
      </c>
      <c r="DJ265" s="3">
        <v>-5.9206043230026051</v>
      </c>
      <c r="DK265" s="3">
        <v>-6.3527576058943733</v>
      </c>
      <c r="DL265" s="3">
        <v>-6.8007666848221584</v>
      </c>
      <c r="DM265" s="3">
        <v>-7.2651418810838546</v>
      </c>
      <c r="DN265" s="3">
        <v>-7.7464074237320997</v>
      </c>
      <c r="DO265" s="3">
        <v>-8.1618801662204898</v>
      </c>
    </row>
    <row r="266" spans="1:119" x14ac:dyDescent="0.45">
      <c r="A266" s="16" t="s">
        <v>978</v>
      </c>
      <c r="B266" s="3" t="s">
        <v>89</v>
      </c>
      <c r="C266" s="16" t="s">
        <v>979</v>
      </c>
      <c r="H266" s="3" t="s">
        <v>980</v>
      </c>
      <c r="I266" s="3" t="s">
        <v>651</v>
      </c>
      <c r="K266" s="17" t="s">
        <v>981</v>
      </c>
      <c r="L266" s="3">
        <v>0.3513080422852588</v>
      </c>
      <c r="M266" s="3">
        <v>0.2168850913754605</v>
      </c>
      <c r="N266" s="3">
        <v>0.16639243739366541</v>
      </c>
      <c r="O266" s="3">
        <v>0.16639243739366541</v>
      </c>
      <c r="P266" s="3">
        <v>0.16639243739366541</v>
      </c>
      <c r="Q266" s="3">
        <v>0.16639243739366541</v>
      </c>
      <c r="R266" s="3">
        <v>0.16639243739366541</v>
      </c>
      <c r="S266" s="3">
        <v>0.16639243739366541</v>
      </c>
      <c r="T266" s="3">
        <v>0.16639243739366541</v>
      </c>
      <c r="U266" s="3">
        <v>0.16639243739366541</v>
      </c>
      <c r="V266" s="3">
        <v>0.16639243739366541</v>
      </c>
      <c r="W266" s="3">
        <v>0.16639243739366541</v>
      </c>
      <c r="X266" s="3">
        <v>0.16639243739366541</v>
      </c>
      <c r="Y266" s="3">
        <v>0.16639243739366541</v>
      </c>
      <c r="Z266" s="3">
        <v>0.16639243739366541</v>
      </c>
      <c r="AA266" s="3">
        <v>0.16639243739366541</v>
      </c>
      <c r="AB266" s="3">
        <v>0.16639243739366541</v>
      </c>
      <c r="AC266" s="3">
        <v>0.16639243739366541</v>
      </c>
      <c r="AD266" s="3">
        <v>0.16639243739366541</v>
      </c>
      <c r="AE266" s="3">
        <v>0.16639243739366541</v>
      </c>
      <c r="AG266" s="17" t="s">
        <v>982</v>
      </c>
      <c r="AH266" s="3">
        <v>0.3513080422852588</v>
      </c>
      <c r="AI266" s="3">
        <v>0.2168850913754605</v>
      </c>
      <c r="AJ266" s="3">
        <v>0.16639243739366541</v>
      </c>
      <c r="AK266" s="3">
        <v>0.16639243739366541</v>
      </c>
      <c r="AL266" s="3">
        <v>0.16639243739366541</v>
      </c>
      <c r="AM266" s="3">
        <v>0.16639243739366541</v>
      </c>
      <c r="AN266" s="3">
        <v>0.16639243739366541</v>
      </c>
      <c r="AO266" s="3">
        <v>0.16639243739366541</v>
      </c>
      <c r="AP266" s="3">
        <v>0.16639243739366541</v>
      </c>
      <c r="AQ266" s="3">
        <v>0.16639243739366541</v>
      </c>
      <c r="AR266" s="3">
        <v>0.16639243739366541</v>
      </c>
      <c r="AS266" s="3">
        <v>0.16639243739366541</v>
      </c>
      <c r="AT266" s="3">
        <v>0.16639243739366541</v>
      </c>
      <c r="AU266" s="3">
        <v>0.16639243739366541</v>
      </c>
      <c r="AV266" s="3">
        <v>0.16639243739366541</v>
      </c>
      <c r="AW266" s="3">
        <v>0.16639243739366541</v>
      </c>
      <c r="AX266" s="3">
        <v>0.16639243739366541</v>
      </c>
      <c r="AY266" s="3">
        <v>0.16639243739366541</v>
      </c>
      <c r="AZ266" s="3">
        <v>0.16639243739366541</v>
      </c>
      <c r="BA266" s="3">
        <v>0.16639243739366541</v>
      </c>
      <c r="BC266" s="17" t="s">
        <v>983</v>
      </c>
      <c r="BD266" s="3">
        <v>0.3513080422852588</v>
      </c>
      <c r="BE266" s="3">
        <v>0.2168850913754605</v>
      </c>
      <c r="BF266" s="3">
        <v>0.16639243739366541</v>
      </c>
      <c r="BG266" s="3">
        <v>0.16639243739366541</v>
      </c>
      <c r="BH266" s="3">
        <v>0.16639243739366541</v>
      </c>
      <c r="BI266" s="3">
        <v>0.16639243739366541</v>
      </c>
      <c r="BJ266" s="3">
        <v>0.16639243739366541</v>
      </c>
      <c r="BK266" s="3">
        <v>0.16639243739366541</v>
      </c>
      <c r="BL266" s="3">
        <v>0.16639243739366541</v>
      </c>
      <c r="BM266" s="3">
        <v>0.16639243739366541</v>
      </c>
      <c r="BN266" s="3">
        <v>0.16639243739366541</v>
      </c>
      <c r="BO266" s="3">
        <v>0.16639243739366541</v>
      </c>
      <c r="BP266" s="3">
        <v>0.16639243739366541</v>
      </c>
      <c r="BQ266" s="3">
        <v>0.16639243739366541</v>
      </c>
      <c r="BR266" s="3">
        <v>0.16639243739366541</v>
      </c>
      <c r="BS266" s="3">
        <v>0.16639243739366541</v>
      </c>
      <c r="BT266" s="3">
        <v>0.16639243739366541</v>
      </c>
      <c r="BU266" s="3">
        <v>0.16639243739366541</v>
      </c>
      <c r="BV266" s="3">
        <v>0.16639243739366541</v>
      </c>
      <c r="BW266" s="3">
        <v>0.16639243739366541</v>
      </c>
      <c r="BY266" s="17" t="s">
        <v>984</v>
      </c>
      <c r="BZ266" s="3">
        <v>0.3513080422852588</v>
      </c>
      <c r="CA266" s="3">
        <v>0.2168850913754605</v>
      </c>
      <c r="CB266" s="3">
        <v>0.16639243739366541</v>
      </c>
      <c r="CC266" s="3">
        <v>0.16639243739366541</v>
      </c>
      <c r="CD266" s="3">
        <v>0.16639243739366541</v>
      </c>
      <c r="CE266" s="3">
        <v>0.16639243739366541</v>
      </c>
      <c r="CF266" s="3">
        <v>0.16639243739366541</v>
      </c>
      <c r="CG266" s="3">
        <v>0.16639243739366541</v>
      </c>
      <c r="CH266" s="3">
        <v>0.16639243739366541</v>
      </c>
      <c r="CI266" s="3">
        <v>0.16639243739366541</v>
      </c>
      <c r="CJ266" s="3">
        <v>0.16639243739366541</v>
      </c>
      <c r="CK266" s="3">
        <v>0.16639243739366541</v>
      </c>
      <c r="CL266" s="3">
        <v>0.16639243739366541</v>
      </c>
      <c r="CM266" s="3">
        <v>0.16639243739366541</v>
      </c>
      <c r="CN266" s="3">
        <v>0.16639243739366541</v>
      </c>
      <c r="CO266" s="3">
        <v>0.16639243739366541</v>
      </c>
      <c r="CP266" s="3">
        <v>0.16639243739366541</v>
      </c>
      <c r="CQ266" s="3">
        <v>0.16639243739366541</v>
      </c>
      <c r="CR266" s="3">
        <v>0.16639243739366541</v>
      </c>
      <c r="CS266" s="3">
        <v>0.16639243739366541</v>
      </c>
      <c r="CU266" s="17" t="s">
        <v>985</v>
      </c>
      <c r="CV266" s="3">
        <v>0.3513080422852588</v>
      </c>
      <c r="CW266" s="3">
        <v>0.2168850913754605</v>
      </c>
      <c r="CX266" s="3">
        <v>0.16639243739366541</v>
      </c>
      <c r="CY266" s="3">
        <v>0.16639243739366541</v>
      </c>
      <c r="CZ266" s="3">
        <v>0.16639243739366541</v>
      </c>
      <c r="DA266" s="3">
        <v>0.16639243739366541</v>
      </c>
      <c r="DB266" s="3">
        <v>0.16639243739366541</v>
      </c>
      <c r="DC266" s="3">
        <v>0.16639243739366541</v>
      </c>
      <c r="DD266" s="3">
        <v>0.16639243739366541</v>
      </c>
      <c r="DE266" s="3">
        <v>0.16639243739366541</v>
      </c>
      <c r="DF266" s="3">
        <v>0.16639243739366541</v>
      </c>
      <c r="DG266" s="3">
        <v>0.16639243739366541</v>
      </c>
      <c r="DH266" s="3">
        <v>0.16639243739366541</v>
      </c>
      <c r="DI266" s="3">
        <v>0.16639243739366541</v>
      </c>
      <c r="DJ266" s="3">
        <v>0.16639243739366541</v>
      </c>
      <c r="DK266" s="3">
        <v>0.16639243739366541</v>
      </c>
      <c r="DL266" s="3">
        <v>0.16639243739366541</v>
      </c>
      <c r="DM266" s="3">
        <v>0.16639243739366541</v>
      </c>
      <c r="DN266" s="3">
        <v>0.16639243739366541</v>
      </c>
      <c r="DO266" s="3">
        <v>0.16639243739366541</v>
      </c>
    </row>
    <row r="267" spans="1:119" x14ac:dyDescent="0.45">
      <c r="A267" s="16" t="s">
        <v>1702</v>
      </c>
      <c r="B267" s="3" t="s">
        <v>89</v>
      </c>
      <c r="C267" s="16" t="s">
        <v>1703</v>
      </c>
      <c r="H267" s="3" t="s">
        <v>1704</v>
      </c>
      <c r="I267" s="3" t="s">
        <v>109</v>
      </c>
      <c r="K267" s="17" t="s">
        <v>1705</v>
      </c>
      <c r="L267" s="3">
        <v>3.651749524807963</v>
      </c>
      <c r="M267" s="3">
        <v>2.254460285669079</v>
      </c>
      <c r="N267" s="3">
        <v>1.7296031717104039</v>
      </c>
      <c r="O267" s="3">
        <v>1.7296031717104039</v>
      </c>
      <c r="P267" s="3">
        <v>1.7296031717104039</v>
      </c>
      <c r="Q267" s="3">
        <v>1.7296031717104039</v>
      </c>
      <c r="R267" s="3">
        <v>1.7296031717104039</v>
      </c>
      <c r="S267" s="3">
        <v>1.7296031717104039</v>
      </c>
      <c r="T267" s="3">
        <v>1.7296031717104039</v>
      </c>
      <c r="U267" s="3">
        <v>1.7296031717104039</v>
      </c>
      <c r="V267" s="3">
        <v>1.7296031717104039</v>
      </c>
      <c r="W267" s="3">
        <v>1.7296031717104039</v>
      </c>
      <c r="X267" s="3">
        <v>1.7296031717104039</v>
      </c>
      <c r="Y267" s="3">
        <v>1.7296031717104039</v>
      </c>
      <c r="Z267" s="3">
        <v>1.7296031717104039</v>
      </c>
      <c r="AA267" s="3">
        <v>1.7296031717104039</v>
      </c>
      <c r="AB267" s="3">
        <v>1.7296031717104039</v>
      </c>
      <c r="AC267" s="3">
        <v>1.7296031717104039</v>
      </c>
      <c r="AD267" s="3">
        <v>1.7296031717104039</v>
      </c>
      <c r="AE267" s="3">
        <v>1.7296031717104039</v>
      </c>
      <c r="AG267" s="17" t="s">
        <v>1706</v>
      </c>
      <c r="AH267" s="3">
        <v>3.651749524807963</v>
      </c>
      <c r="AI267" s="3">
        <v>2.254460285669079</v>
      </c>
      <c r="AJ267" s="3">
        <v>1.7296031717104039</v>
      </c>
      <c r="AK267" s="3">
        <v>1.7296031717104039</v>
      </c>
      <c r="AL267" s="3">
        <v>1.7296031717104039</v>
      </c>
      <c r="AM267" s="3">
        <v>1.7296031717104039</v>
      </c>
      <c r="AN267" s="3">
        <v>1.7296031717104039</v>
      </c>
      <c r="AO267" s="3">
        <v>1.7296031717104039</v>
      </c>
      <c r="AP267" s="3">
        <v>1.7296031717104039</v>
      </c>
      <c r="AQ267" s="3">
        <v>1.7296031717104039</v>
      </c>
      <c r="AR267" s="3">
        <v>1.7296031717104039</v>
      </c>
      <c r="AS267" s="3">
        <v>1.7296031717104039</v>
      </c>
      <c r="AT267" s="3">
        <v>1.7296031717104039</v>
      </c>
      <c r="AU267" s="3">
        <v>1.7296031717104039</v>
      </c>
      <c r="AV267" s="3">
        <v>1.7296031717104039</v>
      </c>
      <c r="AW267" s="3">
        <v>1.7296031717104039</v>
      </c>
      <c r="AX267" s="3">
        <v>1.7296031717104039</v>
      </c>
      <c r="AY267" s="3">
        <v>1.7296031717104039</v>
      </c>
      <c r="AZ267" s="3">
        <v>1.7296031717104039</v>
      </c>
      <c r="BA267" s="3">
        <v>1.7296031717104039</v>
      </c>
      <c r="BC267" s="17" t="s">
        <v>1707</v>
      </c>
      <c r="BD267" s="3">
        <v>3.651749524807963</v>
      </c>
      <c r="BE267" s="3">
        <v>2.254460285669079</v>
      </c>
      <c r="BF267" s="3">
        <v>1.7296031717104039</v>
      </c>
      <c r="BG267" s="3">
        <v>1.7296031717104039</v>
      </c>
      <c r="BH267" s="3">
        <v>1.7296031717104039</v>
      </c>
      <c r="BI267" s="3">
        <v>1.7296031717104039</v>
      </c>
      <c r="BJ267" s="3">
        <v>1.7296031717104039</v>
      </c>
      <c r="BK267" s="3">
        <v>1.7296031717104039</v>
      </c>
      <c r="BL267" s="3">
        <v>1.7296031717104039</v>
      </c>
      <c r="BM267" s="3">
        <v>1.7296031717104039</v>
      </c>
      <c r="BN267" s="3">
        <v>1.7296031717104039</v>
      </c>
      <c r="BO267" s="3">
        <v>1.7296031717104039</v>
      </c>
      <c r="BP267" s="3">
        <v>1.7296031717104039</v>
      </c>
      <c r="BQ267" s="3">
        <v>1.7296031717104039</v>
      </c>
      <c r="BR267" s="3">
        <v>1.7296031717104039</v>
      </c>
      <c r="BS267" s="3">
        <v>1.7296031717104039</v>
      </c>
      <c r="BT267" s="3">
        <v>1.7296031717104039</v>
      </c>
      <c r="BU267" s="3">
        <v>1.7296031717104039</v>
      </c>
      <c r="BV267" s="3">
        <v>1.7296031717104039</v>
      </c>
      <c r="BW267" s="3">
        <v>1.7296031717104039</v>
      </c>
      <c r="BY267" s="17" t="s">
        <v>1708</v>
      </c>
      <c r="BZ267" s="3">
        <v>3.651749524807963</v>
      </c>
      <c r="CA267" s="3">
        <v>2.254460285669079</v>
      </c>
      <c r="CB267" s="3">
        <v>1.7296031717104039</v>
      </c>
      <c r="CC267" s="3">
        <v>1.7296031717104039</v>
      </c>
      <c r="CD267" s="3">
        <v>1.7296031717104039</v>
      </c>
      <c r="CE267" s="3">
        <v>1.7296031717104039</v>
      </c>
      <c r="CF267" s="3">
        <v>1.7296031717104039</v>
      </c>
      <c r="CG267" s="3">
        <v>1.7296031717104039</v>
      </c>
      <c r="CH267" s="3">
        <v>1.7296031717104039</v>
      </c>
      <c r="CI267" s="3">
        <v>1.7296031717104039</v>
      </c>
      <c r="CJ267" s="3">
        <v>1.7296031717104039</v>
      </c>
      <c r="CK267" s="3">
        <v>1.7296031717104039</v>
      </c>
      <c r="CL267" s="3">
        <v>1.7296031717104039</v>
      </c>
      <c r="CM267" s="3">
        <v>1.7296031717104039</v>
      </c>
      <c r="CN267" s="3">
        <v>1.7296031717104039</v>
      </c>
      <c r="CO267" s="3">
        <v>1.7296031717104039</v>
      </c>
      <c r="CP267" s="3">
        <v>1.7296031717104039</v>
      </c>
      <c r="CQ267" s="3">
        <v>1.7296031717104039</v>
      </c>
      <c r="CR267" s="3">
        <v>1.7296031717104039</v>
      </c>
      <c r="CS267" s="3">
        <v>1.7296031717104039</v>
      </c>
      <c r="CU267" s="17" t="s">
        <v>1709</v>
      </c>
      <c r="CV267" s="3">
        <v>3.651749524807963</v>
      </c>
      <c r="CW267" s="3">
        <v>2.254460285669079</v>
      </c>
      <c r="CX267" s="3">
        <v>1.7296031717104039</v>
      </c>
      <c r="CY267" s="3">
        <v>1.7296031717104039</v>
      </c>
      <c r="CZ267" s="3">
        <v>1.7296031717104039</v>
      </c>
      <c r="DA267" s="3">
        <v>1.7296031717104039</v>
      </c>
      <c r="DB267" s="3">
        <v>1.7296031717104039</v>
      </c>
      <c r="DC267" s="3">
        <v>1.7296031717104039</v>
      </c>
      <c r="DD267" s="3">
        <v>1.7296031717104039</v>
      </c>
      <c r="DE267" s="3">
        <v>1.7296031717104039</v>
      </c>
      <c r="DF267" s="3">
        <v>1.7296031717104039</v>
      </c>
      <c r="DG267" s="3">
        <v>1.7296031717104039</v>
      </c>
      <c r="DH267" s="3">
        <v>1.7296031717104039</v>
      </c>
      <c r="DI267" s="3">
        <v>1.7296031717104039</v>
      </c>
      <c r="DJ267" s="3">
        <v>1.7296031717104039</v>
      </c>
      <c r="DK267" s="3">
        <v>1.7296031717104039</v>
      </c>
      <c r="DL267" s="3">
        <v>1.7296031717104039</v>
      </c>
      <c r="DM267" s="3">
        <v>1.7296031717104039</v>
      </c>
      <c r="DN267" s="3">
        <v>1.7296031717104039</v>
      </c>
      <c r="DO267" s="3">
        <v>1.7296031717104039</v>
      </c>
    </row>
    <row r="268" spans="1:119" x14ac:dyDescent="0.45">
      <c r="A268" s="16" t="s">
        <v>1710</v>
      </c>
      <c r="B268" s="3" t="s">
        <v>89</v>
      </c>
      <c r="C268" s="16" t="s">
        <v>1711</v>
      </c>
      <c r="H268" s="3" t="s">
        <v>1712</v>
      </c>
      <c r="I268" s="3" t="s">
        <v>860</v>
      </c>
      <c r="K268" s="17" t="s">
        <v>1713</v>
      </c>
      <c r="L268" s="3">
        <v>6.9190116117478064</v>
      </c>
      <c r="M268" s="3">
        <v>7.1219116191653464</v>
      </c>
      <c r="N268" s="3">
        <v>7.252542321628102</v>
      </c>
      <c r="O268" s="3">
        <v>7.0266303059651456</v>
      </c>
      <c r="P268" s="3">
        <v>7.4115872621173313</v>
      </c>
      <c r="Q268" s="3">
        <v>7.6989056061686236</v>
      </c>
      <c r="R268" s="3">
        <v>8.0670067861098413</v>
      </c>
      <c r="S268" s="3">
        <v>8.438068760243878</v>
      </c>
      <c r="T268" s="3">
        <v>8.8112490857913208</v>
      </c>
      <c r="U268" s="3">
        <v>9.1254953281591469</v>
      </c>
      <c r="V268" s="3">
        <v>9.4854415694965457</v>
      </c>
      <c r="W268" s="3">
        <v>9.858878573827166</v>
      </c>
      <c r="X268" s="3">
        <v>10.24623712719743</v>
      </c>
      <c r="Y268" s="3">
        <v>10.648031258562289</v>
      </c>
      <c r="Z268" s="3">
        <v>11.064698925275049</v>
      </c>
      <c r="AA268" s="3">
        <v>11.496852208166819</v>
      </c>
      <c r="AB268" s="3">
        <v>11.9448612870946</v>
      </c>
      <c r="AC268" s="3">
        <v>12.409236483356301</v>
      </c>
      <c r="AD268" s="3">
        <v>12.890502026004549</v>
      </c>
      <c r="AE268" s="3">
        <v>13.305974768492939</v>
      </c>
      <c r="AG268" s="17" t="s">
        <v>1714</v>
      </c>
      <c r="AH268" s="3">
        <v>6.9190116117478064</v>
      </c>
      <c r="AI268" s="3">
        <v>7.1219116191653464</v>
      </c>
      <c r="AJ268" s="3">
        <v>7.252542321628102</v>
      </c>
      <c r="AK268" s="3">
        <v>7.0266303059651456</v>
      </c>
      <c r="AL268" s="3">
        <v>7.4115872621173313</v>
      </c>
      <c r="AM268" s="3">
        <v>7.6989056061686236</v>
      </c>
      <c r="AN268" s="3">
        <v>8.0670067861098413</v>
      </c>
      <c r="AO268" s="3">
        <v>8.438068760243878</v>
      </c>
      <c r="AP268" s="3">
        <v>8.8112490857913208</v>
      </c>
      <c r="AQ268" s="3">
        <v>9.1254953281591487</v>
      </c>
      <c r="AR268" s="3">
        <v>9.4854415694965457</v>
      </c>
      <c r="AS268" s="3">
        <v>9.858878573827166</v>
      </c>
      <c r="AT268" s="3">
        <v>10.24623712719743</v>
      </c>
      <c r="AU268" s="3">
        <v>10.648031258562289</v>
      </c>
      <c r="AV268" s="3">
        <v>11.064698925275049</v>
      </c>
      <c r="AW268" s="3">
        <v>11.496852208166819</v>
      </c>
      <c r="AX268" s="3">
        <v>11.9448612870946</v>
      </c>
      <c r="AY268" s="3">
        <v>12.409236483356301</v>
      </c>
      <c r="AZ268" s="3">
        <v>12.890502026004549</v>
      </c>
      <c r="BA268" s="3">
        <v>13.305974768492939</v>
      </c>
      <c r="BC268" s="17" t="s">
        <v>1715</v>
      </c>
      <c r="BD268" s="3">
        <v>6.9190116117478064</v>
      </c>
      <c r="BE268" s="3">
        <v>7.1219116191653464</v>
      </c>
      <c r="BF268" s="3">
        <v>7.252542321628102</v>
      </c>
      <c r="BG268" s="3">
        <v>7.0266303059651456</v>
      </c>
      <c r="BH268" s="3">
        <v>7.4115872621173313</v>
      </c>
      <c r="BI268" s="3">
        <v>7.6989056061686236</v>
      </c>
      <c r="BJ268" s="3">
        <v>8.0670067861098413</v>
      </c>
      <c r="BK268" s="3">
        <v>8.438068760243878</v>
      </c>
      <c r="BL268" s="3">
        <v>8.8112490857913208</v>
      </c>
      <c r="BM268" s="3">
        <v>9.1254953281591487</v>
      </c>
      <c r="BN268" s="3">
        <v>9.4854415694965457</v>
      </c>
      <c r="BO268" s="3">
        <v>9.858878573827166</v>
      </c>
      <c r="BP268" s="3">
        <v>10.24623712719743</v>
      </c>
      <c r="BQ268" s="3">
        <v>10.648031258562289</v>
      </c>
      <c r="BR268" s="3">
        <v>11.064698925275049</v>
      </c>
      <c r="BS268" s="3">
        <v>11.496852208166819</v>
      </c>
      <c r="BT268" s="3">
        <v>11.9448612870946</v>
      </c>
      <c r="BU268" s="3">
        <v>12.409236483356301</v>
      </c>
      <c r="BV268" s="3">
        <v>12.890502026004549</v>
      </c>
      <c r="BW268" s="3">
        <v>13.305974768492939</v>
      </c>
      <c r="BY268" s="17" t="s">
        <v>1716</v>
      </c>
      <c r="BZ268" s="3">
        <v>6.9190116117478064</v>
      </c>
      <c r="CA268" s="3">
        <v>7.1219116191653464</v>
      </c>
      <c r="CB268" s="3">
        <v>7.252542321628102</v>
      </c>
      <c r="CC268" s="3">
        <v>7.0266303059651456</v>
      </c>
      <c r="CD268" s="3">
        <v>7.4115872621173313</v>
      </c>
      <c r="CE268" s="3">
        <v>7.6989056061686236</v>
      </c>
      <c r="CF268" s="3">
        <v>8.0670067861098413</v>
      </c>
      <c r="CG268" s="3">
        <v>8.438068760243878</v>
      </c>
      <c r="CH268" s="3">
        <v>8.8112490857913208</v>
      </c>
      <c r="CI268" s="3">
        <v>9.1254953281591469</v>
      </c>
      <c r="CJ268" s="3">
        <v>9.4854415694965457</v>
      </c>
      <c r="CK268" s="3">
        <v>9.858878573827166</v>
      </c>
      <c r="CL268" s="3">
        <v>10.24623712719743</v>
      </c>
      <c r="CM268" s="3">
        <v>10.648031258562289</v>
      </c>
      <c r="CN268" s="3">
        <v>11.064698925275049</v>
      </c>
      <c r="CO268" s="3">
        <v>11.496852208166819</v>
      </c>
      <c r="CP268" s="3">
        <v>11.9448612870946</v>
      </c>
      <c r="CQ268" s="3">
        <v>12.409236483356301</v>
      </c>
      <c r="CR268" s="3">
        <v>12.890502026004549</v>
      </c>
      <c r="CS268" s="3">
        <v>13.305974768492939</v>
      </c>
      <c r="CU268" s="17" t="s">
        <v>1717</v>
      </c>
      <c r="CV268" s="3">
        <v>6.9190116117478064</v>
      </c>
      <c r="CW268" s="3">
        <v>7.1219116191653464</v>
      </c>
      <c r="CX268" s="3">
        <v>7.252542321628102</v>
      </c>
      <c r="CY268" s="3">
        <v>7.0266303059651456</v>
      </c>
      <c r="CZ268" s="3">
        <v>7.4115872621173313</v>
      </c>
      <c r="DA268" s="3">
        <v>7.6989056061686236</v>
      </c>
      <c r="DB268" s="3">
        <v>8.0670067861098413</v>
      </c>
      <c r="DC268" s="3">
        <v>8.438068760243878</v>
      </c>
      <c r="DD268" s="3">
        <v>8.8112490857913208</v>
      </c>
      <c r="DE268" s="3">
        <v>9.1254953281591469</v>
      </c>
      <c r="DF268" s="3">
        <v>9.4854415694965457</v>
      </c>
      <c r="DG268" s="3">
        <v>9.858878573827166</v>
      </c>
      <c r="DH268" s="3">
        <v>10.24623712719743</v>
      </c>
      <c r="DI268" s="3">
        <v>10.648031258562289</v>
      </c>
      <c r="DJ268" s="3">
        <v>11.064698925275049</v>
      </c>
      <c r="DK268" s="3">
        <v>11.496852208166819</v>
      </c>
      <c r="DL268" s="3">
        <v>11.9448612870946</v>
      </c>
      <c r="DM268" s="3">
        <v>12.409236483356301</v>
      </c>
      <c r="DN268" s="3">
        <v>12.890502026004549</v>
      </c>
      <c r="DO268" s="3">
        <v>13.305974768492939</v>
      </c>
    </row>
    <row r="269" spans="1:119" x14ac:dyDescent="0.45">
      <c r="A269" s="16" t="s">
        <v>1718</v>
      </c>
      <c r="B269" s="3" t="s">
        <v>89</v>
      </c>
      <c r="C269" s="16" t="s">
        <v>1719</v>
      </c>
      <c r="H269" s="3" t="s">
        <v>1720</v>
      </c>
      <c r="I269" s="3" t="s">
        <v>109</v>
      </c>
      <c r="K269" s="17" t="s">
        <v>1721</v>
      </c>
      <c r="L269" s="3">
        <v>71.921203969548387</v>
      </c>
      <c r="M269" s="3">
        <v>74.030293191789696</v>
      </c>
      <c r="N269" s="3">
        <v>75.388163061607131</v>
      </c>
      <c r="O269" s="3">
        <v>73.039870405170475</v>
      </c>
      <c r="P269" s="3">
        <v>77.041391043740987</v>
      </c>
      <c r="Q269" s="3">
        <v>80.02798542835221</v>
      </c>
      <c r="R269" s="3">
        <v>83.854294954850616</v>
      </c>
      <c r="S269" s="3">
        <v>87.711381114631749</v>
      </c>
      <c r="T269" s="3">
        <v>91.590486948989508</v>
      </c>
      <c r="U269" s="3">
        <v>94.856989357458701</v>
      </c>
      <c r="V269" s="3">
        <v>98.598530562179974</v>
      </c>
      <c r="W269" s="3">
        <v>102.4803045011971</v>
      </c>
      <c r="X269" s="3">
        <v>106.5067890758131</v>
      </c>
      <c r="Y269" s="3">
        <v>110.6833274742449</v>
      </c>
      <c r="Z269" s="3">
        <v>115.0144721415386</v>
      </c>
      <c r="AA269" s="3">
        <v>119.5065854879299</v>
      </c>
      <c r="AB269" s="3">
        <v>124.16351543021609</v>
      </c>
      <c r="AC269" s="3">
        <v>128.99056661654879</v>
      </c>
      <c r="AD269" s="3">
        <v>133.9931882623269</v>
      </c>
      <c r="AE269" s="3">
        <v>138.31191202419481</v>
      </c>
      <c r="AG269" s="17" t="s">
        <v>1722</v>
      </c>
      <c r="AH269" s="3">
        <v>71.921203969548387</v>
      </c>
      <c r="AI269" s="3">
        <v>74.030293191789696</v>
      </c>
      <c r="AJ269" s="3">
        <v>75.388163061607131</v>
      </c>
      <c r="AK269" s="3">
        <v>73.039870405170475</v>
      </c>
      <c r="AL269" s="3">
        <v>77.041391043740987</v>
      </c>
      <c r="AM269" s="3">
        <v>80.02798542835221</v>
      </c>
      <c r="AN269" s="3">
        <v>83.854294954850616</v>
      </c>
      <c r="AO269" s="3">
        <v>87.711381114631749</v>
      </c>
      <c r="AP269" s="3">
        <v>91.590486948989508</v>
      </c>
      <c r="AQ269" s="3">
        <v>94.856989357458716</v>
      </c>
      <c r="AR269" s="3">
        <v>98.598530562179974</v>
      </c>
      <c r="AS269" s="3">
        <v>102.4803045011971</v>
      </c>
      <c r="AT269" s="3">
        <v>106.5067890758131</v>
      </c>
      <c r="AU269" s="3">
        <v>110.6833274742449</v>
      </c>
      <c r="AV269" s="3">
        <v>115.0144721415386</v>
      </c>
      <c r="AW269" s="3">
        <v>119.5065854879299</v>
      </c>
      <c r="AX269" s="3">
        <v>124.16351543021609</v>
      </c>
      <c r="AY269" s="3">
        <v>128.99056661654879</v>
      </c>
      <c r="AZ269" s="3">
        <v>133.9931882623269</v>
      </c>
      <c r="BA269" s="3">
        <v>138.31191202419481</v>
      </c>
      <c r="BC269" s="17" t="s">
        <v>1723</v>
      </c>
      <c r="BD269" s="3">
        <v>71.921203969548387</v>
      </c>
      <c r="BE269" s="3">
        <v>74.030293191789696</v>
      </c>
      <c r="BF269" s="3">
        <v>75.388163061607131</v>
      </c>
      <c r="BG269" s="3">
        <v>73.039870405170475</v>
      </c>
      <c r="BH269" s="3">
        <v>77.041391043740987</v>
      </c>
      <c r="BI269" s="3">
        <v>80.02798542835221</v>
      </c>
      <c r="BJ269" s="3">
        <v>83.854294954850616</v>
      </c>
      <c r="BK269" s="3">
        <v>87.711381114631749</v>
      </c>
      <c r="BL269" s="3">
        <v>91.590486948989508</v>
      </c>
      <c r="BM269" s="3">
        <v>94.856989357458716</v>
      </c>
      <c r="BN269" s="3">
        <v>98.598530562179974</v>
      </c>
      <c r="BO269" s="3">
        <v>102.4803045011971</v>
      </c>
      <c r="BP269" s="3">
        <v>106.5067890758131</v>
      </c>
      <c r="BQ269" s="3">
        <v>110.6833274742449</v>
      </c>
      <c r="BR269" s="3">
        <v>115.0144721415386</v>
      </c>
      <c r="BS269" s="3">
        <v>119.5065854879299</v>
      </c>
      <c r="BT269" s="3">
        <v>124.16351543021609</v>
      </c>
      <c r="BU269" s="3">
        <v>128.99056661654879</v>
      </c>
      <c r="BV269" s="3">
        <v>133.9931882623269</v>
      </c>
      <c r="BW269" s="3">
        <v>138.31191202419481</v>
      </c>
      <c r="BY269" s="17" t="s">
        <v>1724</v>
      </c>
      <c r="BZ269" s="3">
        <v>71.921203969548387</v>
      </c>
      <c r="CA269" s="3">
        <v>74.030293191789696</v>
      </c>
      <c r="CB269" s="3">
        <v>75.388163061607131</v>
      </c>
      <c r="CC269" s="3">
        <v>73.039870405170475</v>
      </c>
      <c r="CD269" s="3">
        <v>77.041391043740987</v>
      </c>
      <c r="CE269" s="3">
        <v>80.02798542835221</v>
      </c>
      <c r="CF269" s="3">
        <v>83.854294954850616</v>
      </c>
      <c r="CG269" s="3">
        <v>87.711381114631749</v>
      </c>
      <c r="CH269" s="3">
        <v>91.590486948989508</v>
      </c>
      <c r="CI269" s="3">
        <v>94.856989357458701</v>
      </c>
      <c r="CJ269" s="3">
        <v>98.598530562179974</v>
      </c>
      <c r="CK269" s="3">
        <v>102.4803045011971</v>
      </c>
      <c r="CL269" s="3">
        <v>106.5067890758131</v>
      </c>
      <c r="CM269" s="3">
        <v>110.6833274742449</v>
      </c>
      <c r="CN269" s="3">
        <v>115.0144721415386</v>
      </c>
      <c r="CO269" s="3">
        <v>119.5065854879299</v>
      </c>
      <c r="CP269" s="3">
        <v>124.16351543021609</v>
      </c>
      <c r="CQ269" s="3">
        <v>128.99056661654879</v>
      </c>
      <c r="CR269" s="3">
        <v>133.9931882623269</v>
      </c>
      <c r="CS269" s="3">
        <v>138.31191202419481</v>
      </c>
      <c r="CU269" s="17" t="s">
        <v>1725</v>
      </c>
      <c r="CV269" s="3">
        <v>71.921203969548387</v>
      </c>
      <c r="CW269" s="3">
        <v>74.030293191789696</v>
      </c>
      <c r="CX269" s="3">
        <v>75.388163061607131</v>
      </c>
      <c r="CY269" s="3">
        <v>73.039870405170475</v>
      </c>
      <c r="CZ269" s="3">
        <v>77.041391043740987</v>
      </c>
      <c r="DA269" s="3">
        <v>80.02798542835221</v>
      </c>
      <c r="DB269" s="3">
        <v>83.854294954850616</v>
      </c>
      <c r="DC269" s="3">
        <v>87.711381114631749</v>
      </c>
      <c r="DD269" s="3">
        <v>91.590486948989508</v>
      </c>
      <c r="DE269" s="3">
        <v>94.856989357458701</v>
      </c>
      <c r="DF269" s="3">
        <v>98.598530562179974</v>
      </c>
      <c r="DG269" s="3">
        <v>102.4803045011971</v>
      </c>
      <c r="DH269" s="3">
        <v>106.5067890758131</v>
      </c>
      <c r="DI269" s="3">
        <v>110.6833274742449</v>
      </c>
      <c r="DJ269" s="3">
        <v>115.0144721415386</v>
      </c>
      <c r="DK269" s="3">
        <v>119.5065854879299</v>
      </c>
      <c r="DL269" s="3">
        <v>124.16351543021609</v>
      </c>
      <c r="DM269" s="3">
        <v>128.99056661654879</v>
      </c>
      <c r="DN269" s="3">
        <v>133.9931882623269</v>
      </c>
      <c r="DO269" s="3">
        <v>138.31191202419481</v>
      </c>
    </row>
    <row r="270" spans="1:119" x14ac:dyDescent="0.45">
      <c r="A270" s="16" t="s">
        <v>1726</v>
      </c>
      <c r="B270" s="3" t="s">
        <v>89</v>
      </c>
      <c r="C270" s="16" t="s">
        <v>1727</v>
      </c>
      <c r="H270" s="3" t="s">
        <v>1728</v>
      </c>
      <c r="I270" s="3" t="s">
        <v>860</v>
      </c>
      <c r="K270" s="17" t="s">
        <v>1729</v>
      </c>
      <c r="L270" s="3">
        <v>29.383161949909361</v>
      </c>
      <c r="M270" s="3">
        <v>21.48585068235284</v>
      </c>
      <c r="N270" s="3">
        <v>20.9803812113669</v>
      </c>
      <c r="O270" s="3">
        <v>20.050417024614969</v>
      </c>
      <c r="P270" s="3">
        <v>20.976519085848551</v>
      </c>
      <c r="Q270" s="3">
        <v>21.4056651356433</v>
      </c>
      <c r="R270" s="3">
        <v>21.628025961465411</v>
      </c>
      <c r="S270" s="3">
        <v>21.857010372039401</v>
      </c>
      <c r="T270" s="3">
        <v>22.092878411122161</v>
      </c>
      <c r="U270" s="3">
        <v>22.34421470041006</v>
      </c>
      <c r="V270" s="3">
        <v>22.686388345210059</v>
      </c>
      <c r="W270" s="3">
        <v>23.042248935802061</v>
      </c>
      <c r="X270" s="3">
        <v>23.412343950017739</v>
      </c>
      <c r="Y270" s="3">
        <v>23.79724276480205</v>
      </c>
      <c r="Z270" s="3">
        <v>24.19753753217773</v>
      </c>
      <c r="AA270" s="3">
        <v>24.613844090248431</v>
      </c>
      <c r="AB270" s="3">
        <v>25.046802910641969</v>
      </c>
      <c r="AC270" s="3">
        <v>25.497080083851252</v>
      </c>
      <c r="AD270" s="3">
        <v>25.965368343988899</v>
      </c>
      <c r="AE270" s="3">
        <v>26.45238813453205</v>
      </c>
      <c r="AG270" s="17" t="s">
        <v>1730</v>
      </c>
      <c r="AH270" s="3">
        <v>29.383161949909361</v>
      </c>
      <c r="AI270" s="3">
        <v>21.48585068235284</v>
      </c>
      <c r="AJ270" s="3">
        <v>20.9803812113669</v>
      </c>
      <c r="AK270" s="3">
        <v>20.050417024614969</v>
      </c>
      <c r="AL270" s="3">
        <v>20.976519085848551</v>
      </c>
      <c r="AM270" s="3">
        <v>21.4056651356433</v>
      </c>
      <c r="AN270" s="3">
        <v>21.628025961465411</v>
      </c>
      <c r="AO270" s="3">
        <v>21.857010372039401</v>
      </c>
      <c r="AP270" s="3">
        <v>22.092878411122161</v>
      </c>
      <c r="AQ270" s="3">
        <v>22.34421470041006</v>
      </c>
      <c r="AR270" s="3">
        <v>22.686388345210059</v>
      </c>
      <c r="AS270" s="3">
        <v>23.042248935802061</v>
      </c>
      <c r="AT270" s="3">
        <v>23.412343950017739</v>
      </c>
      <c r="AU270" s="3">
        <v>23.79724276480205</v>
      </c>
      <c r="AV270" s="3">
        <v>24.19753753217773</v>
      </c>
      <c r="AW270" s="3">
        <v>24.613844090248431</v>
      </c>
      <c r="AX270" s="3">
        <v>25.046802910641969</v>
      </c>
      <c r="AY270" s="3">
        <v>25.497080083851252</v>
      </c>
      <c r="AZ270" s="3">
        <v>25.965368343988899</v>
      </c>
      <c r="BA270" s="3">
        <v>26.45238813453205</v>
      </c>
      <c r="BC270" s="17" t="s">
        <v>1731</v>
      </c>
      <c r="BD270" s="3">
        <v>29.383161949909361</v>
      </c>
      <c r="BE270" s="3">
        <v>21.48585068235284</v>
      </c>
      <c r="BF270" s="3">
        <v>20.9803812113669</v>
      </c>
      <c r="BG270" s="3">
        <v>20.050417024614969</v>
      </c>
      <c r="BH270" s="3">
        <v>20.976519085848551</v>
      </c>
      <c r="BI270" s="3">
        <v>21.4056651356433</v>
      </c>
      <c r="BJ270" s="3">
        <v>21.628025961465411</v>
      </c>
      <c r="BK270" s="3">
        <v>21.857010372039401</v>
      </c>
      <c r="BL270" s="3">
        <v>22.092878411122161</v>
      </c>
      <c r="BM270" s="3">
        <v>22.34421470041006</v>
      </c>
      <c r="BN270" s="3">
        <v>22.686388345210059</v>
      </c>
      <c r="BO270" s="3">
        <v>23.042248935802061</v>
      </c>
      <c r="BP270" s="3">
        <v>23.412343950017739</v>
      </c>
      <c r="BQ270" s="3">
        <v>23.79724276480205</v>
      </c>
      <c r="BR270" s="3">
        <v>24.19753753217773</v>
      </c>
      <c r="BS270" s="3">
        <v>24.613844090248431</v>
      </c>
      <c r="BT270" s="3">
        <v>25.046802910641969</v>
      </c>
      <c r="BU270" s="3">
        <v>25.497080083851252</v>
      </c>
      <c r="BV270" s="3">
        <v>25.965368343988899</v>
      </c>
      <c r="BW270" s="3">
        <v>26.45238813453205</v>
      </c>
      <c r="BY270" s="17" t="s">
        <v>1732</v>
      </c>
      <c r="BZ270" s="3">
        <v>29.383161949909361</v>
      </c>
      <c r="CA270" s="3">
        <v>21.48585068235284</v>
      </c>
      <c r="CB270" s="3">
        <v>20.9803812113669</v>
      </c>
      <c r="CC270" s="3">
        <v>20.050417024614969</v>
      </c>
      <c r="CD270" s="3">
        <v>20.976519085848551</v>
      </c>
      <c r="CE270" s="3">
        <v>21.4056651356433</v>
      </c>
      <c r="CF270" s="3">
        <v>21.628025961465411</v>
      </c>
      <c r="CG270" s="3">
        <v>21.857010372039401</v>
      </c>
      <c r="CH270" s="3">
        <v>22.092878411122161</v>
      </c>
      <c r="CI270" s="3">
        <v>22.34421470041006</v>
      </c>
      <c r="CJ270" s="3">
        <v>22.686388345210059</v>
      </c>
      <c r="CK270" s="3">
        <v>23.042248935802061</v>
      </c>
      <c r="CL270" s="3">
        <v>23.412343950017739</v>
      </c>
      <c r="CM270" s="3">
        <v>23.79724276480205</v>
      </c>
      <c r="CN270" s="3">
        <v>24.19753753217773</v>
      </c>
      <c r="CO270" s="3">
        <v>24.613844090248431</v>
      </c>
      <c r="CP270" s="3">
        <v>25.046802910641969</v>
      </c>
      <c r="CQ270" s="3">
        <v>25.497080083851252</v>
      </c>
      <c r="CR270" s="3">
        <v>25.965368343988899</v>
      </c>
      <c r="CS270" s="3">
        <v>26.45238813453205</v>
      </c>
      <c r="CU270" s="17" t="s">
        <v>1733</v>
      </c>
      <c r="CV270" s="3">
        <v>29.383161949909361</v>
      </c>
      <c r="CW270" s="3">
        <v>21.48585068235284</v>
      </c>
      <c r="CX270" s="3">
        <v>20.9803812113669</v>
      </c>
      <c r="CY270" s="3">
        <v>20.050417024614969</v>
      </c>
      <c r="CZ270" s="3">
        <v>20.976519085848551</v>
      </c>
      <c r="DA270" s="3">
        <v>21.4056651356433</v>
      </c>
      <c r="DB270" s="3">
        <v>21.628025961465411</v>
      </c>
      <c r="DC270" s="3">
        <v>21.857010372039401</v>
      </c>
      <c r="DD270" s="3">
        <v>22.092878411122161</v>
      </c>
      <c r="DE270" s="3">
        <v>22.34421470041006</v>
      </c>
      <c r="DF270" s="3">
        <v>22.686388345210059</v>
      </c>
      <c r="DG270" s="3">
        <v>23.042248935802061</v>
      </c>
      <c r="DH270" s="3">
        <v>23.412343950017739</v>
      </c>
      <c r="DI270" s="3">
        <v>23.79724276480205</v>
      </c>
      <c r="DJ270" s="3">
        <v>24.19753753217773</v>
      </c>
      <c r="DK270" s="3">
        <v>24.613844090248431</v>
      </c>
      <c r="DL270" s="3">
        <v>25.046802910641969</v>
      </c>
      <c r="DM270" s="3">
        <v>25.497080083851252</v>
      </c>
      <c r="DN270" s="3">
        <v>25.965368343988899</v>
      </c>
      <c r="DO270" s="3">
        <v>26.45238813453205</v>
      </c>
    </row>
    <row r="271" spans="1:119" x14ac:dyDescent="0.45">
      <c r="A271" s="16" t="s">
        <v>1734</v>
      </c>
      <c r="B271" s="3" t="s">
        <v>89</v>
      </c>
      <c r="C271" s="16" t="s">
        <v>1735</v>
      </c>
      <c r="H271" s="3" t="s">
        <v>1736</v>
      </c>
      <c r="I271" s="3" t="s">
        <v>860</v>
      </c>
      <c r="K271" s="17" t="s">
        <v>1737</v>
      </c>
      <c r="L271" s="3">
        <v>20.502627497702459</v>
      </c>
      <c r="M271" s="3">
        <v>13.364278434844859</v>
      </c>
      <c r="N271" s="3">
        <v>12.70156580181755</v>
      </c>
      <c r="O271" s="3">
        <v>11.6577166486213</v>
      </c>
      <c r="P271" s="3">
        <v>12.23287213934597</v>
      </c>
      <c r="Q271" s="3">
        <v>12.36261271470998</v>
      </c>
      <c r="R271" s="3">
        <v>12.301094609611001</v>
      </c>
      <c r="S271" s="3">
        <v>12.23512380813173</v>
      </c>
      <c r="T271" s="3">
        <v>12.16451790449312</v>
      </c>
      <c r="U271" s="3">
        <v>12.09638033369303</v>
      </c>
      <c r="V271" s="3">
        <v>12.09638033369303</v>
      </c>
      <c r="W271" s="3">
        <v>12.09638033369303</v>
      </c>
      <c r="X271" s="3">
        <v>12.096380333693039</v>
      </c>
      <c r="Y271" s="3">
        <v>12.096380333693039</v>
      </c>
      <c r="Z271" s="3">
        <v>12.096380333693039</v>
      </c>
      <c r="AA271" s="3">
        <v>12.09638033369303</v>
      </c>
      <c r="AB271" s="3">
        <v>12.09638033369303</v>
      </c>
      <c r="AC271" s="3">
        <v>12.09638033369303</v>
      </c>
      <c r="AD271" s="3">
        <v>12.09638033369303</v>
      </c>
      <c r="AE271" s="3">
        <v>12.09638033369303</v>
      </c>
      <c r="AG271" s="17" t="s">
        <v>1738</v>
      </c>
      <c r="AH271" s="3">
        <v>20.502627497702459</v>
      </c>
      <c r="AI271" s="3">
        <v>13.364278434844859</v>
      </c>
      <c r="AJ271" s="3">
        <v>12.70156580181755</v>
      </c>
      <c r="AK271" s="3">
        <v>11.6577166486213</v>
      </c>
      <c r="AL271" s="3">
        <v>12.23287213934597</v>
      </c>
      <c r="AM271" s="3">
        <v>12.36261271470998</v>
      </c>
      <c r="AN271" s="3">
        <v>12.301094609611001</v>
      </c>
      <c r="AO271" s="3">
        <v>12.23512380813173</v>
      </c>
      <c r="AP271" s="3">
        <v>12.16451790449312</v>
      </c>
      <c r="AQ271" s="3">
        <v>12.09638033369303</v>
      </c>
      <c r="AR271" s="3">
        <v>12.09638033369303</v>
      </c>
      <c r="AS271" s="3">
        <v>12.09638033369303</v>
      </c>
      <c r="AT271" s="3">
        <v>12.096380333693039</v>
      </c>
      <c r="AU271" s="3">
        <v>12.096380333693039</v>
      </c>
      <c r="AV271" s="3">
        <v>12.096380333693039</v>
      </c>
      <c r="AW271" s="3">
        <v>12.09638033369303</v>
      </c>
      <c r="AX271" s="3">
        <v>12.09638033369303</v>
      </c>
      <c r="AY271" s="3">
        <v>12.09638033369303</v>
      </c>
      <c r="AZ271" s="3">
        <v>12.09638033369303</v>
      </c>
      <c r="BA271" s="3">
        <v>12.09638033369303</v>
      </c>
      <c r="BC271" s="17" t="s">
        <v>1739</v>
      </c>
      <c r="BD271" s="3">
        <v>20.502627497702459</v>
      </c>
      <c r="BE271" s="3">
        <v>13.364278434844859</v>
      </c>
      <c r="BF271" s="3">
        <v>12.70156580181755</v>
      </c>
      <c r="BG271" s="3">
        <v>11.6577166486213</v>
      </c>
      <c r="BH271" s="3">
        <v>12.23287213934597</v>
      </c>
      <c r="BI271" s="3">
        <v>12.36261271470998</v>
      </c>
      <c r="BJ271" s="3">
        <v>12.301094609611001</v>
      </c>
      <c r="BK271" s="3">
        <v>12.23512380813173</v>
      </c>
      <c r="BL271" s="3">
        <v>12.16451790449312</v>
      </c>
      <c r="BM271" s="3">
        <v>12.09638033369303</v>
      </c>
      <c r="BN271" s="3">
        <v>12.09638033369303</v>
      </c>
      <c r="BO271" s="3">
        <v>12.09638033369303</v>
      </c>
      <c r="BP271" s="3">
        <v>12.096380333693039</v>
      </c>
      <c r="BQ271" s="3">
        <v>12.096380333693039</v>
      </c>
      <c r="BR271" s="3">
        <v>12.096380333693039</v>
      </c>
      <c r="BS271" s="3">
        <v>12.09638033369303</v>
      </c>
      <c r="BT271" s="3">
        <v>12.09638033369303</v>
      </c>
      <c r="BU271" s="3">
        <v>12.09638033369303</v>
      </c>
      <c r="BV271" s="3">
        <v>12.09638033369303</v>
      </c>
      <c r="BW271" s="3">
        <v>12.09638033369303</v>
      </c>
      <c r="BY271" s="17" t="s">
        <v>1740</v>
      </c>
      <c r="BZ271" s="3">
        <v>20.502627497702459</v>
      </c>
      <c r="CA271" s="3">
        <v>13.364278434844859</v>
      </c>
      <c r="CB271" s="3">
        <v>12.70156580181755</v>
      </c>
      <c r="CC271" s="3">
        <v>11.6577166486213</v>
      </c>
      <c r="CD271" s="3">
        <v>12.23287213934597</v>
      </c>
      <c r="CE271" s="3">
        <v>12.36261271470998</v>
      </c>
      <c r="CF271" s="3">
        <v>12.301094609611001</v>
      </c>
      <c r="CG271" s="3">
        <v>12.23512380813173</v>
      </c>
      <c r="CH271" s="3">
        <v>12.16451790449312</v>
      </c>
      <c r="CI271" s="3">
        <v>12.09638033369303</v>
      </c>
      <c r="CJ271" s="3">
        <v>12.09638033369303</v>
      </c>
      <c r="CK271" s="3">
        <v>12.09638033369303</v>
      </c>
      <c r="CL271" s="3">
        <v>12.096380333693039</v>
      </c>
      <c r="CM271" s="3">
        <v>12.096380333693039</v>
      </c>
      <c r="CN271" s="3">
        <v>12.096380333693039</v>
      </c>
      <c r="CO271" s="3">
        <v>12.09638033369303</v>
      </c>
      <c r="CP271" s="3">
        <v>12.09638033369303</v>
      </c>
      <c r="CQ271" s="3">
        <v>12.09638033369303</v>
      </c>
      <c r="CR271" s="3">
        <v>12.09638033369303</v>
      </c>
      <c r="CS271" s="3">
        <v>12.09638033369303</v>
      </c>
      <c r="CU271" s="17" t="s">
        <v>1741</v>
      </c>
      <c r="CV271" s="3">
        <v>20.502627497702459</v>
      </c>
      <c r="CW271" s="3">
        <v>13.364278434844859</v>
      </c>
      <c r="CX271" s="3">
        <v>12.70156580181755</v>
      </c>
      <c r="CY271" s="3">
        <v>11.6577166486213</v>
      </c>
      <c r="CZ271" s="3">
        <v>12.23287213934597</v>
      </c>
      <c r="DA271" s="3">
        <v>12.36261271470998</v>
      </c>
      <c r="DB271" s="3">
        <v>12.301094609611001</v>
      </c>
      <c r="DC271" s="3">
        <v>12.23512380813173</v>
      </c>
      <c r="DD271" s="3">
        <v>12.16451790449312</v>
      </c>
      <c r="DE271" s="3">
        <v>12.09638033369303</v>
      </c>
      <c r="DF271" s="3">
        <v>12.09638033369303</v>
      </c>
      <c r="DG271" s="3">
        <v>12.09638033369303</v>
      </c>
      <c r="DH271" s="3">
        <v>12.096380333693039</v>
      </c>
      <c r="DI271" s="3">
        <v>12.096380333693039</v>
      </c>
      <c r="DJ271" s="3">
        <v>12.096380333693039</v>
      </c>
      <c r="DK271" s="3">
        <v>12.09638033369303</v>
      </c>
      <c r="DL271" s="3">
        <v>12.09638033369303</v>
      </c>
      <c r="DM271" s="3">
        <v>12.09638033369303</v>
      </c>
      <c r="DN271" s="3">
        <v>12.09638033369303</v>
      </c>
      <c r="DO271" s="3">
        <v>12.09638033369303</v>
      </c>
    </row>
    <row r="272" spans="1:119" x14ac:dyDescent="0.45">
      <c r="A272" s="16" t="s">
        <v>1742</v>
      </c>
      <c r="B272" s="3" t="s">
        <v>89</v>
      </c>
      <c r="C272" s="16" t="s">
        <v>1743</v>
      </c>
      <c r="H272" s="3" t="s">
        <v>1744</v>
      </c>
      <c r="I272" s="3" t="s">
        <v>1300</v>
      </c>
      <c r="K272" s="17" t="s">
        <v>1745</v>
      </c>
      <c r="L272" s="3">
        <v>31.71236851198692</v>
      </c>
      <c r="M272" s="3">
        <v>31.71236851198692</v>
      </c>
      <c r="N272" s="3">
        <v>30.143157850809231</v>
      </c>
      <c r="O272" s="3">
        <v>21.420423727816789</v>
      </c>
      <c r="P272" s="3">
        <v>24.427386565277899</v>
      </c>
      <c r="Q272" s="3">
        <v>25.350214219817811</v>
      </c>
      <c r="R272" s="3">
        <v>27.688647932439039</v>
      </c>
      <c r="S272" s="3">
        <v>29.90500525950285</v>
      </c>
      <c r="T272" s="3">
        <v>31.972339938960399</v>
      </c>
      <c r="U272" s="3">
        <v>32.650578445672132</v>
      </c>
      <c r="V272" s="3">
        <v>34.026910599552679</v>
      </c>
      <c r="W272" s="3">
        <v>35.447534989837422</v>
      </c>
      <c r="X272" s="3">
        <v>36.912124333991393</v>
      </c>
      <c r="Y272" s="3">
        <v>38.421660479619547</v>
      </c>
      <c r="Z272" s="3">
        <v>39.975161579116929</v>
      </c>
      <c r="AA272" s="3">
        <v>41.57480951605023</v>
      </c>
      <c r="AB272" s="3">
        <v>43.217331465069357</v>
      </c>
      <c r="AC272" s="3">
        <v>44.901854672747668</v>
      </c>
      <c r="AD272" s="3">
        <v>46.627288197301773</v>
      </c>
      <c r="AE272" s="3">
        <v>46.627288197301773</v>
      </c>
      <c r="AG272" s="17" t="s">
        <v>1746</v>
      </c>
      <c r="AH272" s="3">
        <v>31.71236851198692</v>
      </c>
      <c r="AI272" s="3">
        <v>31.71236851198692</v>
      </c>
      <c r="AJ272" s="3">
        <v>30.143157850809231</v>
      </c>
      <c r="AK272" s="3">
        <v>21.420423727816789</v>
      </c>
      <c r="AL272" s="3">
        <v>24.427386565277899</v>
      </c>
      <c r="AM272" s="3">
        <v>25.350214219817811</v>
      </c>
      <c r="AN272" s="3">
        <v>27.688647932439039</v>
      </c>
      <c r="AO272" s="3">
        <v>29.90500525950285</v>
      </c>
      <c r="AP272" s="3">
        <v>31.972339938960399</v>
      </c>
      <c r="AQ272" s="3">
        <v>32.650578445672132</v>
      </c>
      <c r="AR272" s="3">
        <v>34.026910599552679</v>
      </c>
      <c r="AS272" s="3">
        <v>35.447534989837422</v>
      </c>
      <c r="AT272" s="3">
        <v>36.912124333991393</v>
      </c>
      <c r="AU272" s="3">
        <v>38.421660479619547</v>
      </c>
      <c r="AV272" s="3">
        <v>39.975161579116929</v>
      </c>
      <c r="AW272" s="3">
        <v>41.57480951605023</v>
      </c>
      <c r="AX272" s="3">
        <v>43.217331465069357</v>
      </c>
      <c r="AY272" s="3">
        <v>44.901854672747668</v>
      </c>
      <c r="AZ272" s="3">
        <v>46.627288197301773</v>
      </c>
      <c r="BA272" s="3">
        <v>46.627288197301773</v>
      </c>
      <c r="BC272" s="17" t="s">
        <v>1747</v>
      </c>
      <c r="BD272" s="3">
        <v>31.71236851198692</v>
      </c>
      <c r="BE272" s="3">
        <v>31.71236851198692</v>
      </c>
      <c r="BF272" s="3">
        <v>30.143157850809231</v>
      </c>
      <c r="BG272" s="3">
        <v>21.420423727816789</v>
      </c>
      <c r="BH272" s="3">
        <v>24.427386565277899</v>
      </c>
      <c r="BI272" s="3">
        <v>25.350214219817811</v>
      </c>
      <c r="BJ272" s="3">
        <v>27.688647932439039</v>
      </c>
      <c r="BK272" s="3">
        <v>29.90500525950285</v>
      </c>
      <c r="BL272" s="3">
        <v>31.972339938960399</v>
      </c>
      <c r="BM272" s="3">
        <v>32.650578445672132</v>
      </c>
      <c r="BN272" s="3">
        <v>34.026910599552679</v>
      </c>
      <c r="BO272" s="3">
        <v>35.447534989837422</v>
      </c>
      <c r="BP272" s="3">
        <v>36.912124333991393</v>
      </c>
      <c r="BQ272" s="3">
        <v>38.421660479619547</v>
      </c>
      <c r="BR272" s="3">
        <v>39.975161579116929</v>
      </c>
      <c r="BS272" s="3">
        <v>41.57480951605023</v>
      </c>
      <c r="BT272" s="3">
        <v>43.217331465069357</v>
      </c>
      <c r="BU272" s="3">
        <v>44.901854672747668</v>
      </c>
      <c r="BV272" s="3">
        <v>46.627288197301759</v>
      </c>
      <c r="BW272" s="3">
        <v>46.627288197301773</v>
      </c>
      <c r="BY272" s="17" t="s">
        <v>1748</v>
      </c>
      <c r="BZ272" s="3">
        <v>31.71236851198692</v>
      </c>
      <c r="CA272" s="3">
        <v>31.71236851198692</v>
      </c>
      <c r="CB272" s="3">
        <v>30.143157850809231</v>
      </c>
      <c r="CC272" s="3">
        <v>21.420423727816789</v>
      </c>
      <c r="CD272" s="3">
        <v>24.427386565277899</v>
      </c>
      <c r="CE272" s="3">
        <v>25.350214219817811</v>
      </c>
      <c r="CF272" s="3">
        <v>27.688647932439039</v>
      </c>
      <c r="CG272" s="3">
        <v>29.90500525950285</v>
      </c>
      <c r="CH272" s="3">
        <v>31.972339938960388</v>
      </c>
      <c r="CI272" s="3">
        <v>32.650578445672132</v>
      </c>
      <c r="CJ272" s="3">
        <v>34.026910599552679</v>
      </c>
      <c r="CK272" s="3">
        <v>35.447534989837422</v>
      </c>
      <c r="CL272" s="3">
        <v>36.912124333991393</v>
      </c>
      <c r="CM272" s="3">
        <v>38.421660479619547</v>
      </c>
      <c r="CN272" s="3">
        <v>39.975161579116929</v>
      </c>
      <c r="CO272" s="3">
        <v>41.57480951605023</v>
      </c>
      <c r="CP272" s="3">
        <v>43.217331465069357</v>
      </c>
      <c r="CQ272" s="3">
        <v>44.901854672747668</v>
      </c>
      <c r="CR272" s="3">
        <v>46.627288197301773</v>
      </c>
      <c r="CS272" s="3">
        <v>46.627288197301773</v>
      </c>
      <c r="CU272" s="17" t="s">
        <v>1749</v>
      </c>
      <c r="CV272" s="3">
        <v>31.71236851198692</v>
      </c>
      <c r="CW272" s="3">
        <v>31.71236851198692</v>
      </c>
      <c r="CX272" s="3">
        <v>30.143157850809231</v>
      </c>
      <c r="CY272" s="3">
        <v>21.420423727816789</v>
      </c>
      <c r="CZ272" s="3">
        <v>24.427386565277899</v>
      </c>
      <c r="DA272" s="3">
        <v>25.350214219817818</v>
      </c>
      <c r="DB272" s="3">
        <v>27.688647932439039</v>
      </c>
      <c r="DC272" s="3">
        <v>29.90500525950285</v>
      </c>
      <c r="DD272" s="3">
        <v>31.972339938960399</v>
      </c>
      <c r="DE272" s="3">
        <v>32.650578445672132</v>
      </c>
      <c r="DF272" s="3">
        <v>34.026910599552679</v>
      </c>
      <c r="DG272" s="3">
        <v>35.447534989837422</v>
      </c>
      <c r="DH272" s="3">
        <v>36.912124333991393</v>
      </c>
      <c r="DI272" s="3">
        <v>38.421660479619547</v>
      </c>
      <c r="DJ272" s="3">
        <v>39.975161579116929</v>
      </c>
      <c r="DK272" s="3">
        <v>41.57480951605023</v>
      </c>
      <c r="DL272" s="3">
        <v>43.217331465069357</v>
      </c>
      <c r="DM272" s="3">
        <v>44.901854672747668</v>
      </c>
      <c r="DN272" s="3">
        <v>46.627288197301773</v>
      </c>
      <c r="DO272" s="3">
        <v>46.627288197301773</v>
      </c>
    </row>
    <row r="273" spans="1:119" x14ac:dyDescent="0.45">
      <c r="A273" s="16" t="s">
        <v>1750</v>
      </c>
      <c r="B273" s="3" t="s">
        <v>89</v>
      </c>
      <c r="C273" s="16" t="s">
        <v>1751</v>
      </c>
      <c r="H273" s="3" t="s">
        <v>1752</v>
      </c>
      <c r="I273" s="3" t="s">
        <v>860</v>
      </c>
      <c r="K273" s="17" t="s">
        <v>1753</v>
      </c>
      <c r="L273" s="3">
        <v>5.2720759671303137</v>
      </c>
      <c r="M273" s="3">
        <v>5.482959005815526</v>
      </c>
      <c r="N273" s="3">
        <v>5.7022773660481478</v>
      </c>
      <c r="O273" s="3">
        <v>5.9303684606900742</v>
      </c>
      <c r="P273" s="3">
        <v>6.1675831991176766</v>
      </c>
      <c r="Q273" s="3">
        <v>6.4142865270823837</v>
      </c>
      <c r="R273" s="3">
        <v>6.6708579881656798</v>
      </c>
      <c r="S273" s="3">
        <v>6.9376923076923056</v>
      </c>
      <c r="T273" s="3">
        <v>7.2151999999999994</v>
      </c>
      <c r="U273" s="3">
        <v>7.5038079999999994</v>
      </c>
      <c r="V273" s="3">
        <v>7.8039603199999998</v>
      </c>
      <c r="W273" s="3">
        <v>8.1161187328000004</v>
      </c>
      <c r="X273" s="3">
        <v>8.4407634821120006</v>
      </c>
      <c r="Y273" s="3">
        <v>8.7783940213964797</v>
      </c>
      <c r="Z273" s="3">
        <v>9.1295297822523409</v>
      </c>
      <c r="AA273" s="3">
        <v>9.4947109735424338</v>
      </c>
      <c r="AB273" s="3">
        <v>9.8744994124841305</v>
      </c>
      <c r="AC273" s="3">
        <v>10.2694793889835</v>
      </c>
      <c r="AD273" s="3">
        <v>10.680258564542839</v>
      </c>
      <c r="AE273" s="3">
        <v>11.10746890712455</v>
      </c>
      <c r="AG273" s="17" t="s">
        <v>1754</v>
      </c>
      <c r="AH273" s="3">
        <v>5.2720759671303137</v>
      </c>
      <c r="AI273" s="3">
        <v>5.482959005815526</v>
      </c>
      <c r="AJ273" s="3">
        <v>5.7022773660481478</v>
      </c>
      <c r="AK273" s="3">
        <v>5.9303684606900742</v>
      </c>
      <c r="AL273" s="3">
        <v>6.1675831991176766</v>
      </c>
      <c r="AM273" s="3">
        <v>6.4142865270823837</v>
      </c>
      <c r="AN273" s="3">
        <v>6.6708579881656798</v>
      </c>
      <c r="AO273" s="3">
        <v>6.9376923076923056</v>
      </c>
      <c r="AP273" s="3">
        <v>7.2151999999999994</v>
      </c>
      <c r="AQ273" s="3">
        <v>7.5038079999999994</v>
      </c>
      <c r="AR273" s="3">
        <v>7.8039603199999998</v>
      </c>
      <c r="AS273" s="3">
        <v>8.1161187328000004</v>
      </c>
      <c r="AT273" s="3">
        <v>8.4407634821120006</v>
      </c>
      <c r="AU273" s="3">
        <v>8.7783940213964797</v>
      </c>
      <c r="AV273" s="3">
        <v>9.1295297822523409</v>
      </c>
      <c r="AW273" s="3">
        <v>9.4947109735424338</v>
      </c>
      <c r="AX273" s="3">
        <v>9.8744994124841305</v>
      </c>
      <c r="AY273" s="3">
        <v>10.2694793889835</v>
      </c>
      <c r="AZ273" s="3">
        <v>10.680258564542839</v>
      </c>
      <c r="BA273" s="3">
        <v>11.10746890712455</v>
      </c>
      <c r="BC273" s="17" t="s">
        <v>1755</v>
      </c>
      <c r="BD273" s="3">
        <v>5.2720759671303137</v>
      </c>
      <c r="BE273" s="3">
        <v>5.482959005815526</v>
      </c>
      <c r="BF273" s="3">
        <v>5.7022773660481478</v>
      </c>
      <c r="BG273" s="3">
        <v>5.9303684606900742</v>
      </c>
      <c r="BH273" s="3">
        <v>6.1675831991176766</v>
      </c>
      <c r="BI273" s="3">
        <v>6.4142865270823837</v>
      </c>
      <c r="BJ273" s="3">
        <v>6.6708579881656798</v>
      </c>
      <c r="BK273" s="3">
        <v>6.9376923076923056</v>
      </c>
      <c r="BL273" s="3">
        <v>7.2151999999999994</v>
      </c>
      <c r="BM273" s="3">
        <v>7.5038079999999994</v>
      </c>
      <c r="BN273" s="3">
        <v>7.8039603199999998</v>
      </c>
      <c r="BO273" s="3">
        <v>8.1161187328000004</v>
      </c>
      <c r="BP273" s="3">
        <v>8.4407634821120006</v>
      </c>
      <c r="BQ273" s="3">
        <v>8.7783940213964797</v>
      </c>
      <c r="BR273" s="3">
        <v>9.1295297822523409</v>
      </c>
      <c r="BS273" s="3">
        <v>9.4947109735424338</v>
      </c>
      <c r="BT273" s="3">
        <v>9.8744994124841305</v>
      </c>
      <c r="BU273" s="3">
        <v>10.2694793889835</v>
      </c>
      <c r="BV273" s="3">
        <v>10.680258564542839</v>
      </c>
      <c r="BW273" s="3">
        <v>11.10746890712455</v>
      </c>
      <c r="BY273" s="17" t="s">
        <v>1756</v>
      </c>
      <c r="BZ273" s="3">
        <v>5.2720759671303137</v>
      </c>
      <c r="CA273" s="3">
        <v>5.482959005815526</v>
      </c>
      <c r="CB273" s="3">
        <v>5.7022773660481478</v>
      </c>
      <c r="CC273" s="3">
        <v>5.9303684606900742</v>
      </c>
      <c r="CD273" s="3">
        <v>6.1675831991176766</v>
      </c>
      <c r="CE273" s="3">
        <v>6.4142865270823837</v>
      </c>
      <c r="CF273" s="3">
        <v>6.6708579881656798</v>
      </c>
      <c r="CG273" s="3">
        <v>6.9376923076923056</v>
      </c>
      <c r="CH273" s="3">
        <v>7.2151999999999994</v>
      </c>
      <c r="CI273" s="3">
        <v>7.5038079999999994</v>
      </c>
      <c r="CJ273" s="3">
        <v>7.8039603199999998</v>
      </c>
      <c r="CK273" s="3">
        <v>8.1161187328000004</v>
      </c>
      <c r="CL273" s="3">
        <v>8.4407634821120006</v>
      </c>
      <c r="CM273" s="3">
        <v>8.7783940213964797</v>
      </c>
      <c r="CN273" s="3">
        <v>9.1295297822523409</v>
      </c>
      <c r="CO273" s="3">
        <v>9.4947109735424338</v>
      </c>
      <c r="CP273" s="3">
        <v>9.8744994124841305</v>
      </c>
      <c r="CQ273" s="3">
        <v>10.2694793889835</v>
      </c>
      <c r="CR273" s="3">
        <v>10.680258564542839</v>
      </c>
      <c r="CS273" s="3">
        <v>11.10746890712455</v>
      </c>
      <c r="CU273" s="17" t="s">
        <v>1757</v>
      </c>
      <c r="CV273" s="3">
        <v>5.2720759671303137</v>
      </c>
      <c r="CW273" s="3">
        <v>5.482959005815526</v>
      </c>
      <c r="CX273" s="3">
        <v>5.7022773660481478</v>
      </c>
      <c r="CY273" s="3">
        <v>5.9303684606900742</v>
      </c>
      <c r="CZ273" s="3">
        <v>6.1675831991176766</v>
      </c>
      <c r="DA273" s="3">
        <v>6.4142865270823837</v>
      </c>
      <c r="DB273" s="3">
        <v>6.6708579881656798</v>
      </c>
      <c r="DC273" s="3">
        <v>6.9376923076923056</v>
      </c>
      <c r="DD273" s="3">
        <v>7.2151999999999994</v>
      </c>
      <c r="DE273" s="3">
        <v>7.5038079999999994</v>
      </c>
      <c r="DF273" s="3">
        <v>7.8039603199999998</v>
      </c>
      <c r="DG273" s="3">
        <v>8.1161187328000004</v>
      </c>
      <c r="DH273" s="3">
        <v>8.4407634821120006</v>
      </c>
      <c r="DI273" s="3">
        <v>8.7783940213964797</v>
      </c>
      <c r="DJ273" s="3">
        <v>9.1295297822523409</v>
      </c>
      <c r="DK273" s="3">
        <v>9.4947109735424338</v>
      </c>
      <c r="DL273" s="3">
        <v>9.8744994124841305</v>
      </c>
      <c r="DM273" s="3">
        <v>10.2694793889835</v>
      </c>
      <c r="DN273" s="3">
        <v>10.680258564542839</v>
      </c>
      <c r="DO273" s="3">
        <v>11.10746890712455</v>
      </c>
    </row>
    <row r="274" spans="1:119" x14ac:dyDescent="0.45">
      <c r="A274" s="16" t="s">
        <v>1758</v>
      </c>
      <c r="B274" s="3" t="s">
        <v>89</v>
      </c>
      <c r="C274" s="16" t="s">
        <v>1759</v>
      </c>
      <c r="H274" s="3" t="s">
        <v>1760</v>
      </c>
      <c r="I274" s="3" t="s">
        <v>860</v>
      </c>
      <c r="K274" s="17" t="s">
        <v>1761</v>
      </c>
      <c r="L274" s="3">
        <v>3.6084584850765888</v>
      </c>
      <c r="M274" s="3">
        <v>2.6386132416924548</v>
      </c>
      <c r="N274" s="3">
        <v>2.576538043501198</v>
      </c>
      <c r="O274" s="3">
        <v>2.4623319153035919</v>
      </c>
      <c r="P274" s="3">
        <v>2.57606374738491</v>
      </c>
      <c r="Q274" s="3">
        <v>2.6287658938509311</v>
      </c>
      <c r="R274" s="3">
        <v>2.6560733636887348</v>
      </c>
      <c r="S274" s="3">
        <v>2.6841942562153651</v>
      </c>
      <c r="T274" s="3">
        <v>2.7131605066290372</v>
      </c>
      <c r="U274" s="3">
        <v>2.744026366717025</v>
      </c>
      <c r="V274" s="3">
        <v>2.7860476915170249</v>
      </c>
      <c r="W274" s="3">
        <v>2.8297498693090248</v>
      </c>
      <c r="X274" s="3">
        <v>2.8752001342127058</v>
      </c>
      <c r="Y274" s="3">
        <v>2.9224684097125322</v>
      </c>
      <c r="Z274" s="3">
        <v>2.9716274162323528</v>
      </c>
      <c r="AA274" s="3">
        <v>3.0227527830129661</v>
      </c>
      <c r="AB274" s="3">
        <v>3.075923164464804</v>
      </c>
      <c r="AC274" s="3">
        <v>3.1312203611747149</v>
      </c>
      <c r="AD274" s="3">
        <v>3.188729445753022</v>
      </c>
      <c r="AE274" s="3">
        <v>3.2485388937144619</v>
      </c>
      <c r="AG274" s="17" t="s">
        <v>1762</v>
      </c>
      <c r="AH274" s="3">
        <v>3.6084584850765888</v>
      </c>
      <c r="AI274" s="3">
        <v>2.6386132416924548</v>
      </c>
      <c r="AJ274" s="3">
        <v>2.576538043501198</v>
      </c>
      <c r="AK274" s="3">
        <v>2.4623319153035919</v>
      </c>
      <c r="AL274" s="3">
        <v>2.57606374738491</v>
      </c>
      <c r="AM274" s="3">
        <v>2.6287658938509311</v>
      </c>
      <c r="AN274" s="3">
        <v>2.6560733636887348</v>
      </c>
      <c r="AO274" s="3">
        <v>2.6841942562153651</v>
      </c>
      <c r="AP274" s="3">
        <v>2.7131605066290372</v>
      </c>
      <c r="AQ274" s="3">
        <v>2.744026366717025</v>
      </c>
      <c r="AR274" s="3">
        <v>2.7860476915170249</v>
      </c>
      <c r="AS274" s="3">
        <v>2.8297498693090248</v>
      </c>
      <c r="AT274" s="3">
        <v>2.8752001342127058</v>
      </c>
      <c r="AU274" s="3">
        <v>2.9224684097125322</v>
      </c>
      <c r="AV274" s="3">
        <v>2.9716274162323528</v>
      </c>
      <c r="AW274" s="3">
        <v>3.0227527830129661</v>
      </c>
      <c r="AX274" s="3">
        <v>3.075923164464804</v>
      </c>
      <c r="AY274" s="3">
        <v>3.1312203611747149</v>
      </c>
      <c r="AZ274" s="3">
        <v>3.188729445753022</v>
      </c>
      <c r="BA274" s="3">
        <v>3.2485388937144619</v>
      </c>
      <c r="BC274" s="17" t="s">
        <v>1763</v>
      </c>
      <c r="BD274" s="3">
        <v>3.6084584850765888</v>
      </c>
      <c r="BE274" s="3">
        <v>2.6386132416924548</v>
      </c>
      <c r="BF274" s="3">
        <v>2.576538043501198</v>
      </c>
      <c r="BG274" s="3">
        <v>2.4623319153035919</v>
      </c>
      <c r="BH274" s="3">
        <v>2.57606374738491</v>
      </c>
      <c r="BI274" s="3">
        <v>2.6287658938509311</v>
      </c>
      <c r="BJ274" s="3">
        <v>2.6560733636887348</v>
      </c>
      <c r="BK274" s="3">
        <v>2.6841942562153651</v>
      </c>
      <c r="BL274" s="3">
        <v>2.7131605066290372</v>
      </c>
      <c r="BM274" s="3">
        <v>2.744026366717025</v>
      </c>
      <c r="BN274" s="3">
        <v>2.7860476915170249</v>
      </c>
      <c r="BO274" s="3">
        <v>2.8297498693090248</v>
      </c>
      <c r="BP274" s="3">
        <v>2.8752001342127058</v>
      </c>
      <c r="BQ274" s="3">
        <v>2.9224684097125322</v>
      </c>
      <c r="BR274" s="3">
        <v>2.9716274162323528</v>
      </c>
      <c r="BS274" s="3">
        <v>3.0227527830129661</v>
      </c>
      <c r="BT274" s="3">
        <v>3.075923164464804</v>
      </c>
      <c r="BU274" s="3">
        <v>3.1312203611747149</v>
      </c>
      <c r="BV274" s="3">
        <v>3.188729445753022</v>
      </c>
      <c r="BW274" s="3">
        <v>3.2485388937144619</v>
      </c>
      <c r="BY274" s="17" t="s">
        <v>1764</v>
      </c>
      <c r="BZ274" s="3">
        <v>3.6084584850765888</v>
      </c>
      <c r="CA274" s="3">
        <v>2.6386132416924548</v>
      </c>
      <c r="CB274" s="3">
        <v>2.576538043501198</v>
      </c>
      <c r="CC274" s="3">
        <v>2.4623319153035919</v>
      </c>
      <c r="CD274" s="3">
        <v>2.57606374738491</v>
      </c>
      <c r="CE274" s="3">
        <v>2.6287658938509311</v>
      </c>
      <c r="CF274" s="3">
        <v>2.6560733636887348</v>
      </c>
      <c r="CG274" s="3">
        <v>2.6841942562153651</v>
      </c>
      <c r="CH274" s="3">
        <v>2.7131605066290372</v>
      </c>
      <c r="CI274" s="3">
        <v>2.744026366717025</v>
      </c>
      <c r="CJ274" s="3">
        <v>2.7860476915170249</v>
      </c>
      <c r="CK274" s="3">
        <v>2.8297498693090248</v>
      </c>
      <c r="CL274" s="3">
        <v>2.8752001342127058</v>
      </c>
      <c r="CM274" s="3">
        <v>2.9224684097125322</v>
      </c>
      <c r="CN274" s="3">
        <v>2.9716274162323528</v>
      </c>
      <c r="CO274" s="3">
        <v>3.0227527830129661</v>
      </c>
      <c r="CP274" s="3">
        <v>3.075923164464804</v>
      </c>
      <c r="CQ274" s="3">
        <v>3.1312203611747149</v>
      </c>
      <c r="CR274" s="3">
        <v>3.188729445753022</v>
      </c>
      <c r="CS274" s="3">
        <v>3.2485388937144619</v>
      </c>
      <c r="CU274" s="17" t="s">
        <v>1765</v>
      </c>
      <c r="CV274" s="3">
        <v>3.6084584850765888</v>
      </c>
      <c r="CW274" s="3">
        <v>2.6386132416924548</v>
      </c>
      <c r="CX274" s="3">
        <v>2.576538043501198</v>
      </c>
      <c r="CY274" s="3">
        <v>2.4623319153035919</v>
      </c>
      <c r="CZ274" s="3">
        <v>2.57606374738491</v>
      </c>
      <c r="DA274" s="3">
        <v>2.6287658938509311</v>
      </c>
      <c r="DB274" s="3">
        <v>2.6560733636887348</v>
      </c>
      <c r="DC274" s="3">
        <v>2.6841942562153651</v>
      </c>
      <c r="DD274" s="3">
        <v>2.7131605066290372</v>
      </c>
      <c r="DE274" s="3">
        <v>2.744026366717025</v>
      </c>
      <c r="DF274" s="3">
        <v>2.7860476915170249</v>
      </c>
      <c r="DG274" s="3">
        <v>2.8297498693090248</v>
      </c>
      <c r="DH274" s="3">
        <v>2.8752001342127058</v>
      </c>
      <c r="DI274" s="3">
        <v>2.9224684097125322</v>
      </c>
      <c r="DJ274" s="3">
        <v>2.9716274162323528</v>
      </c>
      <c r="DK274" s="3">
        <v>3.0227527830129661</v>
      </c>
      <c r="DL274" s="3">
        <v>3.075923164464804</v>
      </c>
      <c r="DM274" s="3">
        <v>3.1312203611747149</v>
      </c>
      <c r="DN274" s="3">
        <v>3.188729445753022</v>
      </c>
      <c r="DO274" s="3">
        <v>3.2485388937144619</v>
      </c>
    </row>
    <row r="275" spans="1:119" x14ac:dyDescent="0.45">
      <c r="A275" s="16" t="s">
        <v>1766</v>
      </c>
      <c r="B275" s="3" t="s">
        <v>89</v>
      </c>
      <c r="C275" s="16" t="s">
        <v>1767</v>
      </c>
      <c r="H275" s="3" t="s">
        <v>1768</v>
      </c>
      <c r="I275" s="3" t="s">
        <v>860</v>
      </c>
      <c r="K275" s="17" t="s">
        <v>1769</v>
      </c>
      <c r="L275" s="3">
        <v>23.576579600904509</v>
      </c>
      <c r="M275" s="3">
        <v>15.45297302294686</v>
      </c>
      <c r="N275" s="3">
        <v>14.48322663188887</v>
      </c>
      <c r="O275" s="3">
        <v>13.293238597245139</v>
      </c>
      <c r="P275" s="3">
        <v>13.94891585667126</v>
      </c>
      <c r="Q275" s="3">
        <v>14.09682011258624</v>
      </c>
      <c r="R275" s="3">
        <v>14.0266894727734</v>
      </c>
      <c r="S275" s="3">
        <v>13.95148275908703</v>
      </c>
      <c r="T275" s="3">
        <v>13.870992028939011</v>
      </c>
      <c r="U275" s="3">
        <v>13.793315198226921</v>
      </c>
      <c r="V275" s="3">
        <v>13.793315198226921</v>
      </c>
      <c r="W275" s="3">
        <v>13.793315198226921</v>
      </c>
      <c r="X275" s="3">
        <v>13.793315198226921</v>
      </c>
      <c r="Y275" s="3">
        <v>13.793315198226921</v>
      </c>
      <c r="Z275" s="3">
        <v>13.793315198226921</v>
      </c>
      <c r="AA275" s="3">
        <v>13.793315198226921</v>
      </c>
      <c r="AB275" s="3">
        <v>13.793315198226921</v>
      </c>
      <c r="AC275" s="3">
        <v>13.793315198226921</v>
      </c>
      <c r="AD275" s="3">
        <v>13.793315198226921</v>
      </c>
      <c r="AE275" s="3">
        <v>13.793315198226921</v>
      </c>
      <c r="AG275" s="17" t="s">
        <v>1770</v>
      </c>
      <c r="AH275" s="3">
        <v>23.576579600904509</v>
      </c>
      <c r="AI275" s="3">
        <v>15.45297302294686</v>
      </c>
      <c r="AJ275" s="3">
        <v>14.48322663188887</v>
      </c>
      <c r="AK275" s="3">
        <v>13.293238597245139</v>
      </c>
      <c r="AL275" s="3">
        <v>13.94891585667126</v>
      </c>
      <c r="AM275" s="3">
        <v>16.23727186510143</v>
      </c>
      <c r="AN275" s="3">
        <v>16.167141225288599</v>
      </c>
      <c r="AO275" s="3">
        <v>16.091934511602229</v>
      </c>
      <c r="AP275" s="3">
        <v>16.011443781454211</v>
      </c>
      <c r="AQ275" s="3">
        <v>15.933766950742109</v>
      </c>
      <c r="AR275" s="3">
        <v>15.933766950742109</v>
      </c>
      <c r="AS275" s="3">
        <v>15.933766950742109</v>
      </c>
      <c r="AT275" s="3">
        <v>15.93376695074212</v>
      </c>
      <c r="AU275" s="3">
        <v>15.93376695074212</v>
      </c>
      <c r="AV275" s="3">
        <v>15.93376695074212</v>
      </c>
      <c r="AW275" s="3">
        <v>15.933766950742109</v>
      </c>
      <c r="AX275" s="3">
        <v>15.933766950742109</v>
      </c>
      <c r="AY275" s="3">
        <v>15.933766950742109</v>
      </c>
      <c r="AZ275" s="3">
        <v>15.933766950742109</v>
      </c>
      <c r="BA275" s="3">
        <v>15.933766950742109</v>
      </c>
      <c r="BC275" s="17" t="s">
        <v>1771</v>
      </c>
      <c r="BD275" s="3">
        <v>23.576579600904509</v>
      </c>
      <c r="BE275" s="3">
        <v>15.45297302294686</v>
      </c>
      <c r="BF275" s="3">
        <v>14.48322663188887</v>
      </c>
      <c r="BG275" s="3">
        <v>13.293238597245139</v>
      </c>
      <c r="BH275" s="3">
        <v>13.94891585667126</v>
      </c>
      <c r="BI275" s="3">
        <v>15.16704598884384</v>
      </c>
      <c r="BJ275" s="3">
        <v>16.523883184041129</v>
      </c>
      <c r="BK275" s="3">
        <v>17.87564430536489</v>
      </c>
      <c r="BL275" s="3">
        <v>19.222121410227</v>
      </c>
      <c r="BM275" s="3">
        <v>20.571412414525039</v>
      </c>
      <c r="BN275" s="3">
        <v>21.99838024953517</v>
      </c>
      <c r="BO275" s="3">
        <v>23.425348084545298</v>
      </c>
      <c r="BP275" s="3">
        <v>24.85231591955543</v>
      </c>
      <c r="BQ275" s="3">
        <v>26.279283754565562</v>
      </c>
      <c r="BR275" s="3">
        <v>27.70625158957569</v>
      </c>
      <c r="BS275" s="3">
        <v>29.133219424585821</v>
      </c>
      <c r="BT275" s="3">
        <v>30.56018725959596</v>
      </c>
      <c r="BU275" s="3">
        <v>31.987155094606081</v>
      </c>
      <c r="BV275" s="3">
        <v>33.414122929616212</v>
      </c>
      <c r="BW275" s="3">
        <v>34.841090764626337</v>
      </c>
      <c r="BY275" s="17" t="s">
        <v>1772</v>
      </c>
      <c r="BZ275" s="3">
        <v>23.576579600904509</v>
      </c>
      <c r="CA275" s="3">
        <v>15.45297302294686</v>
      </c>
      <c r="CB275" s="3">
        <v>14.48322663188887</v>
      </c>
      <c r="CC275" s="3">
        <v>13.293238597245139</v>
      </c>
      <c r="CD275" s="3">
        <v>13.94891585667126</v>
      </c>
      <c r="CE275" s="3">
        <v>16.772384803230231</v>
      </c>
      <c r="CF275" s="3">
        <v>16.70225416341739</v>
      </c>
      <c r="CG275" s="3">
        <v>16.62704744973102</v>
      </c>
      <c r="CH275" s="3">
        <v>16.546556719583009</v>
      </c>
      <c r="CI275" s="3">
        <v>16.468879888870909</v>
      </c>
      <c r="CJ275" s="3">
        <v>16.468879888870909</v>
      </c>
      <c r="CK275" s="3">
        <v>16.468879888870909</v>
      </c>
      <c r="CL275" s="3">
        <v>16.468879888870919</v>
      </c>
      <c r="CM275" s="3">
        <v>16.468879888870919</v>
      </c>
      <c r="CN275" s="3">
        <v>16.468879888870919</v>
      </c>
      <c r="CO275" s="3">
        <v>16.468879888870909</v>
      </c>
      <c r="CP275" s="3">
        <v>16.468879888870909</v>
      </c>
      <c r="CQ275" s="3">
        <v>16.468879888870909</v>
      </c>
      <c r="CR275" s="3">
        <v>16.468879888870909</v>
      </c>
      <c r="CS275" s="3">
        <v>16.468879888870909</v>
      </c>
      <c r="CU275" s="17" t="s">
        <v>1773</v>
      </c>
      <c r="CV275" s="3">
        <v>23.576579600904509</v>
      </c>
      <c r="CW275" s="3">
        <v>15.45297302294686</v>
      </c>
      <c r="CX275" s="3">
        <v>14.48322663188887</v>
      </c>
      <c r="CY275" s="3">
        <v>13.293238597245139</v>
      </c>
      <c r="CZ275" s="3">
        <v>13.94891585667126</v>
      </c>
      <c r="DA275" s="3">
        <v>19.44794949387423</v>
      </c>
      <c r="DB275" s="3">
        <v>19.377818854061388</v>
      </c>
      <c r="DC275" s="3">
        <v>19.302612140375022</v>
      </c>
      <c r="DD275" s="3">
        <v>19.222121410227</v>
      </c>
      <c r="DE275" s="3">
        <v>19.144444579514911</v>
      </c>
      <c r="DF275" s="3">
        <v>19.144444579514911</v>
      </c>
      <c r="DG275" s="3">
        <v>19.144444579514911</v>
      </c>
      <c r="DH275" s="3">
        <v>19.144444579514911</v>
      </c>
      <c r="DI275" s="3">
        <v>19.144444579514911</v>
      </c>
      <c r="DJ275" s="3">
        <v>19.144444579514911</v>
      </c>
      <c r="DK275" s="3">
        <v>19.144444579514911</v>
      </c>
      <c r="DL275" s="3">
        <v>19.144444579514911</v>
      </c>
      <c r="DM275" s="3">
        <v>19.144444579514911</v>
      </c>
      <c r="DN275" s="3">
        <v>19.144444579514911</v>
      </c>
      <c r="DO275" s="3">
        <v>19.144444579514911</v>
      </c>
    </row>
    <row r="276" spans="1:119" x14ac:dyDescent="0.45">
      <c r="A276" s="16" t="s">
        <v>1774</v>
      </c>
      <c r="B276" s="3" t="s">
        <v>89</v>
      </c>
      <c r="C276" s="16" t="s">
        <v>1775</v>
      </c>
      <c r="H276" s="3" t="s">
        <v>1776</v>
      </c>
      <c r="I276" s="3" t="s">
        <v>860</v>
      </c>
      <c r="K276" s="17" t="s">
        <v>1777</v>
      </c>
      <c r="L276" s="3">
        <v>-5.8065823490048558</v>
      </c>
      <c r="M276" s="3">
        <v>-6.0328776594059894</v>
      </c>
      <c r="N276" s="3">
        <v>-6.4971545794780301</v>
      </c>
      <c r="O276" s="3">
        <v>-6.7571784273698254</v>
      </c>
      <c r="P276" s="3">
        <v>-7.0276032291772932</v>
      </c>
      <c r="Q276" s="3">
        <v>-7.3088450230570583</v>
      </c>
      <c r="R276" s="3">
        <v>-7.6013364886920129</v>
      </c>
      <c r="S276" s="3">
        <v>-7.9055276129523673</v>
      </c>
      <c r="T276" s="3">
        <v>-8.2218863821831434</v>
      </c>
      <c r="U276" s="3">
        <v>-8.5508995021831424</v>
      </c>
      <c r="V276" s="3">
        <v>-8.893073146983145</v>
      </c>
      <c r="W276" s="3">
        <v>-9.2489337375751433</v>
      </c>
      <c r="X276" s="3">
        <v>-9.6190287517908217</v>
      </c>
      <c r="Y276" s="3">
        <v>-10.003927566575131</v>
      </c>
      <c r="Z276" s="3">
        <v>-10.404222333950811</v>
      </c>
      <c r="AA276" s="3">
        <v>-10.82052889202151</v>
      </c>
      <c r="AB276" s="3">
        <v>-11.253487712415049</v>
      </c>
      <c r="AC276" s="3">
        <v>-11.703764885624331</v>
      </c>
      <c r="AD276" s="3">
        <v>-12.17205314576198</v>
      </c>
      <c r="AE276" s="3">
        <v>-12.65907293630513</v>
      </c>
      <c r="AG276" s="17" t="s">
        <v>1778</v>
      </c>
      <c r="AH276" s="3">
        <v>-5.8065823490048558</v>
      </c>
      <c r="AI276" s="3">
        <v>-6.0328776594059894</v>
      </c>
      <c r="AJ276" s="3">
        <v>-6.4971545794780301</v>
      </c>
      <c r="AK276" s="3">
        <v>-6.7571784273698254</v>
      </c>
      <c r="AL276" s="3">
        <v>-7.0276032291772932</v>
      </c>
      <c r="AM276" s="3">
        <v>-5.1683932705418627</v>
      </c>
      <c r="AN276" s="3">
        <v>-5.4608847361768156</v>
      </c>
      <c r="AO276" s="3">
        <v>-5.7650758604371717</v>
      </c>
      <c r="AP276" s="3">
        <v>-6.081434629667946</v>
      </c>
      <c r="AQ276" s="3">
        <v>-6.4104477496679468</v>
      </c>
      <c r="AR276" s="3">
        <v>-6.7526213944679494</v>
      </c>
      <c r="AS276" s="3">
        <v>-7.1084819850599477</v>
      </c>
      <c r="AT276" s="3">
        <v>-7.4785769992756261</v>
      </c>
      <c r="AU276" s="3">
        <v>-7.8634758140599281</v>
      </c>
      <c r="AV276" s="3">
        <v>-8.2637705814356099</v>
      </c>
      <c r="AW276" s="3">
        <v>-8.6800771395063165</v>
      </c>
      <c r="AX276" s="3">
        <v>-9.1130359598998538</v>
      </c>
      <c r="AY276" s="3">
        <v>-9.5633131331091352</v>
      </c>
      <c r="AZ276" s="3">
        <v>-10.031601393246779</v>
      </c>
      <c r="BA276" s="3">
        <v>-10.518621183789939</v>
      </c>
      <c r="BC276" s="17" t="s">
        <v>1779</v>
      </c>
      <c r="BD276" s="3">
        <v>-5.8065823490048558</v>
      </c>
      <c r="BE276" s="3">
        <v>-6.0328776594059894</v>
      </c>
      <c r="BF276" s="3">
        <v>-6.4971545794780301</v>
      </c>
      <c r="BG276" s="3">
        <v>-6.7571784273698254</v>
      </c>
      <c r="BH276" s="3">
        <v>-7.0276032291772932</v>
      </c>
      <c r="BI276" s="3">
        <v>-6.2386191467994614</v>
      </c>
      <c r="BJ276" s="3">
        <v>-5.1041427774242862</v>
      </c>
      <c r="BK276" s="3">
        <v>-3.9813660666745072</v>
      </c>
      <c r="BL276" s="3">
        <v>-2.870757000895154</v>
      </c>
      <c r="BM276" s="3">
        <v>-1.772802285885025</v>
      </c>
      <c r="BN276" s="3">
        <v>-0.68800809567489196</v>
      </c>
      <c r="BO276" s="3">
        <v>0.38309914874323781</v>
      </c>
      <c r="BP276" s="3">
        <v>1.4399719695376869</v>
      </c>
      <c r="BQ276" s="3">
        <v>2.4820409897635152</v>
      </c>
      <c r="BR276" s="3">
        <v>3.5087140573979672</v>
      </c>
      <c r="BS276" s="3">
        <v>4.5193753343373899</v>
      </c>
      <c r="BT276" s="3">
        <v>5.5133843489539878</v>
      </c>
      <c r="BU276" s="3">
        <v>6.4900750107548326</v>
      </c>
      <c r="BV276" s="3">
        <v>7.4487545856273174</v>
      </c>
      <c r="BW276" s="3">
        <v>8.3887026300942935</v>
      </c>
      <c r="BY276" s="17" t="s">
        <v>1780</v>
      </c>
      <c r="BZ276" s="3">
        <v>-5.8065823490048558</v>
      </c>
      <c r="CA276" s="3">
        <v>-6.0328776594059894</v>
      </c>
      <c r="CB276" s="3">
        <v>-6.4971545794780301</v>
      </c>
      <c r="CC276" s="3">
        <v>-6.7571784273698254</v>
      </c>
      <c r="CD276" s="3">
        <v>-7.0276032291772932</v>
      </c>
      <c r="CE276" s="3">
        <v>-4.6332803324130651</v>
      </c>
      <c r="CF276" s="3">
        <v>-4.925771798048018</v>
      </c>
      <c r="CG276" s="3">
        <v>-5.2299629223083741</v>
      </c>
      <c r="CH276" s="3">
        <v>-5.5463216915391476</v>
      </c>
      <c r="CI276" s="3">
        <v>-5.8753348115391466</v>
      </c>
      <c r="CJ276" s="3">
        <v>-6.2175084563391501</v>
      </c>
      <c r="CK276" s="3">
        <v>-6.5733690469311483</v>
      </c>
      <c r="CL276" s="3">
        <v>-6.9434640611468268</v>
      </c>
      <c r="CM276" s="3">
        <v>-7.3283628759311306</v>
      </c>
      <c r="CN276" s="3">
        <v>-7.7286576433068106</v>
      </c>
      <c r="CO276" s="3">
        <v>-8.144964201377519</v>
      </c>
      <c r="CP276" s="3">
        <v>-8.5779230217710563</v>
      </c>
      <c r="CQ276" s="3">
        <v>-9.0282001949803359</v>
      </c>
      <c r="CR276" s="3">
        <v>-9.4964884551179836</v>
      </c>
      <c r="CS276" s="3">
        <v>-9.9835082456611381</v>
      </c>
      <c r="CU276" s="17" t="s">
        <v>1781</v>
      </c>
      <c r="CV276" s="3">
        <v>-5.8065823490048558</v>
      </c>
      <c r="CW276" s="3">
        <v>-6.0328776594059894</v>
      </c>
      <c r="CX276" s="3">
        <v>-6.4971545794780301</v>
      </c>
      <c r="CY276" s="3">
        <v>-6.7571784273698254</v>
      </c>
      <c r="CZ276" s="3">
        <v>-7.0276032291772932</v>
      </c>
      <c r="DA276" s="3">
        <v>-1.95771564176907</v>
      </c>
      <c r="DB276" s="3">
        <v>-2.2502071074040231</v>
      </c>
      <c r="DC276" s="3">
        <v>-2.5543982316643792</v>
      </c>
      <c r="DD276" s="3">
        <v>-2.870757000895154</v>
      </c>
      <c r="DE276" s="3">
        <v>-3.199770120895153</v>
      </c>
      <c r="DF276" s="3">
        <v>-3.5419437656951551</v>
      </c>
      <c r="DG276" s="3">
        <v>-3.8978043562871529</v>
      </c>
      <c r="DH276" s="3">
        <v>-4.2678993705028319</v>
      </c>
      <c r="DI276" s="3">
        <v>-4.6527981852871356</v>
      </c>
      <c r="DJ276" s="3">
        <v>-5.0530929526628157</v>
      </c>
      <c r="DK276" s="3">
        <v>-5.469399510733524</v>
      </c>
      <c r="DL276" s="3">
        <v>-5.9023583311270613</v>
      </c>
      <c r="DM276" s="3">
        <v>-6.3526355043363409</v>
      </c>
      <c r="DN276" s="3">
        <v>-6.8209237644739886</v>
      </c>
      <c r="DO276" s="3">
        <v>-7.3079435550171432</v>
      </c>
    </row>
    <row r="277" spans="1:119" x14ac:dyDescent="0.45">
      <c r="A277" s="16" t="s">
        <v>994</v>
      </c>
      <c r="B277" s="3" t="s">
        <v>89</v>
      </c>
      <c r="C277" s="16" t="s">
        <v>995</v>
      </c>
      <c r="H277" s="3" t="s">
        <v>996</v>
      </c>
      <c r="I277" s="3" t="s">
        <v>651</v>
      </c>
      <c r="K277" s="17" t="s">
        <v>997</v>
      </c>
      <c r="L277" s="3">
        <v>0.1785826785295595</v>
      </c>
      <c r="M277" s="3">
        <v>0.1909610589681689</v>
      </c>
      <c r="N277" s="3">
        <v>3.0189629972428452E-3</v>
      </c>
      <c r="O277" s="3">
        <v>3.0189629972428452E-3</v>
      </c>
      <c r="P277" s="3">
        <v>3.0189629972428452E-3</v>
      </c>
      <c r="Q277" s="3">
        <v>3.0189629972428452E-3</v>
      </c>
      <c r="R277" s="3">
        <v>3.0189629972428452E-3</v>
      </c>
      <c r="S277" s="3">
        <v>3.0189629972428452E-3</v>
      </c>
      <c r="T277" s="3">
        <v>3.0189629972428452E-3</v>
      </c>
      <c r="U277" s="3">
        <v>3.0189629972428452E-3</v>
      </c>
      <c r="V277" s="3">
        <v>3.0189629972428452E-3</v>
      </c>
      <c r="W277" s="3">
        <v>3.0189629972428452E-3</v>
      </c>
      <c r="X277" s="3">
        <v>3.0189629972428452E-3</v>
      </c>
      <c r="Y277" s="3">
        <v>3.0189629972428452E-3</v>
      </c>
      <c r="Z277" s="3">
        <v>3.0189629972428452E-3</v>
      </c>
      <c r="AA277" s="3">
        <v>3.0189629972428452E-3</v>
      </c>
      <c r="AB277" s="3">
        <v>3.0189629972428452E-3</v>
      </c>
      <c r="AC277" s="3">
        <v>3.0189629972428452E-3</v>
      </c>
      <c r="AD277" s="3">
        <v>3.0189629972428452E-3</v>
      </c>
      <c r="AE277" s="3">
        <v>3.0189629972428452E-3</v>
      </c>
      <c r="AG277" s="17" t="s">
        <v>998</v>
      </c>
      <c r="AH277" s="3">
        <v>0.1785826785295595</v>
      </c>
      <c r="AI277" s="3">
        <v>0.1909610589681689</v>
      </c>
      <c r="AJ277" s="3">
        <v>3.0189629972428452E-3</v>
      </c>
      <c r="AK277" s="3">
        <v>3.0189629972428452E-3</v>
      </c>
      <c r="AL277" s="3">
        <v>3.0189629972428452E-3</v>
      </c>
      <c r="AM277" s="3">
        <v>3.0189629972428452E-3</v>
      </c>
      <c r="AN277" s="3">
        <v>3.0189629972428452E-3</v>
      </c>
      <c r="AO277" s="3">
        <v>3.0189629972428452E-3</v>
      </c>
      <c r="AP277" s="3">
        <v>3.0189629972428452E-3</v>
      </c>
      <c r="AQ277" s="3">
        <v>3.0189629972428452E-3</v>
      </c>
      <c r="AR277" s="3">
        <v>3.0189629972428452E-3</v>
      </c>
      <c r="AS277" s="3">
        <v>3.0189629972428452E-3</v>
      </c>
      <c r="AT277" s="3">
        <v>3.0189629972428452E-3</v>
      </c>
      <c r="AU277" s="3">
        <v>3.0189629972428452E-3</v>
      </c>
      <c r="AV277" s="3">
        <v>3.0189629972428452E-3</v>
      </c>
      <c r="AW277" s="3">
        <v>3.0189629972428452E-3</v>
      </c>
      <c r="AX277" s="3">
        <v>3.0189629972428452E-3</v>
      </c>
      <c r="AY277" s="3">
        <v>3.0189629972428452E-3</v>
      </c>
      <c r="AZ277" s="3">
        <v>3.0189629972428452E-3</v>
      </c>
      <c r="BA277" s="3">
        <v>3.0189629972428452E-3</v>
      </c>
      <c r="BC277" s="17" t="s">
        <v>999</v>
      </c>
      <c r="BD277" s="3">
        <v>0.1785826785295595</v>
      </c>
      <c r="BE277" s="3">
        <v>0.1909610589681689</v>
      </c>
      <c r="BF277" s="3">
        <v>3.0189629972428452E-3</v>
      </c>
      <c r="BG277" s="3">
        <v>3.0189629972428452E-3</v>
      </c>
      <c r="BH277" s="3">
        <v>3.0189629972428452E-3</v>
      </c>
      <c r="BI277" s="3">
        <v>3.0189629972428452E-3</v>
      </c>
      <c r="BJ277" s="3">
        <v>3.0189629972428452E-3</v>
      </c>
      <c r="BK277" s="3">
        <v>3.0189629972428452E-3</v>
      </c>
      <c r="BL277" s="3">
        <v>3.0189629972428452E-3</v>
      </c>
      <c r="BM277" s="3">
        <v>3.0189629972428452E-3</v>
      </c>
      <c r="BN277" s="3">
        <v>3.0189629972428452E-3</v>
      </c>
      <c r="BO277" s="3">
        <v>3.0189629972428452E-3</v>
      </c>
      <c r="BP277" s="3">
        <v>3.0189629972428452E-3</v>
      </c>
      <c r="BQ277" s="3">
        <v>3.0189629972428452E-3</v>
      </c>
      <c r="BR277" s="3">
        <v>3.0189629972428452E-3</v>
      </c>
      <c r="BS277" s="3">
        <v>3.0189629972428452E-3</v>
      </c>
      <c r="BT277" s="3">
        <v>3.0189629972428452E-3</v>
      </c>
      <c r="BU277" s="3">
        <v>3.0189629972428452E-3</v>
      </c>
      <c r="BV277" s="3">
        <v>3.0189629972428452E-3</v>
      </c>
      <c r="BW277" s="3">
        <v>3.0189629972428452E-3</v>
      </c>
      <c r="BY277" s="17" t="s">
        <v>1000</v>
      </c>
      <c r="BZ277" s="3">
        <v>0.1785826785295595</v>
      </c>
      <c r="CA277" s="3">
        <v>0.1909610589681689</v>
      </c>
      <c r="CB277" s="3">
        <v>3.0189629972428452E-3</v>
      </c>
      <c r="CC277" s="3">
        <v>3.0189629972428452E-3</v>
      </c>
      <c r="CD277" s="3">
        <v>3.0189629972428452E-3</v>
      </c>
      <c r="CE277" s="3">
        <v>3.0189629972428452E-3</v>
      </c>
      <c r="CF277" s="3">
        <v>3.0189629972428452E-3</v>
      </c>
      <c r="CG277" s="3">
        <v>3.0189629972428452E-3</v>
      </c>
      <c r="CH277" s="3">
        <v>3.0189629972428452E-3</v>
      </c>
      <c r="CI277" s="3">
        <v>3.0189629972428452E-3</v>
      </c>
      <c r="CJ277" s="3">
        <v>3.0189629972428452E-3</v>
      </c>
      <c r="CK277" s="3">
        <v>3.0189629972428452E-3</v>
      </c>
      <c r="CL277" s="3">
        <v>3.0189629972428452E-3</v>
      </c>
      <c r="CM277" s="3">
        <v>3.0189629972428452E-3</v>
      </c>
      <c r="CN277" s="3">
        <v>3.0189629972428452E-3</v>
      </c>
      <c r="CO277" s="3">
        <v>3.0189629972428452E-3</v>
      </c>
      <c r="CP277" s="3">
        <v>3.0189629972428452E-3</v>
      </c>
      <c r="CQ277" s="3">
        <v>3.0189629972428452E-3</v>
      </c>
      <c r="CR277" s="3">
        <v>3.0189629972428452E-3</v>
      </c>
      <c r="CS277" s="3">
        <v>3.0189629972428452E-3</v>
      </c>
      <c r="CU277" s="17" t="s">
        <v>1001</v>
      </c>
      <c r="CV277" s="3">
        <v>0.1785826785295595</v>
      </c>
      <c r="CW277" s="3">
        <v>0.1909610589681689</v>
      </c>
      <c r="CX277" s="3">
        <v>3.0189629972428452E-3</v>
      </c>
      <c r="CY277" s="3">
        <v>3.0189629972428452E-3</v>
      </c>
      <c r="CZ277" s="3">
        <v>3.0189629972428452E-3</v>
      </c>
      <c r="DA277" s="3">
        <v>3.0189629972428452E-3</v>
      </c>
      <c r="DB277" s="3">
        <v>3.0189629972428452E-3</v>
      </c>
      <c r="DC277" s="3">
        <v>3.0189629972428452E-3</v>
      </c>
      <c r="DD277" s="3">
        <v>3.0189629972428452E-3</v>
      </c>
      <c r="DE277" s="3">
        <v>3.0189629972428452E-3</v>
      </c>
      <c r="DF277" s="3">
        <v>3.0189629972428452E-3</v>
      </c>
      <c r="DG277" s="3">
        <v>3.0189629972428452E-3</v>
      </c>
      <c r="DH277" s="3">
        <v>3.0189629972428452E-3</v>
      </c>
      <c r="DI277" s="3">
        <v>3.0189629972428452E-3</v>
      </c>
      <c r="DJ277" s="3">
        <v>3.0189629972428452E-3</v>
      </c>
      <c r="DK277" s="3">
        <v>3.0189629972428452E-3</v>
      </c>
      <c r="DL277" s="3">
        <v>3.0189629972428452E-3</v>
      </c>
      <c r="DM277" s="3">
        <v>3.0189629972428452E-3</v>
      </c>
      <c r="DN277" s="3">
        <v>3.0189629972428452E-3</v>
      </c>
      <c r="DO277" s="3">
        <v>3.0189629972428452E-3</v>
      </c>
    </row>
    <row r="278" spans="1:119" x14ac:dyDescent="0.45">
      <c r="A278" s="16" t="s">
        <v>1782</v>
      </c>
      <c r="B278" s="3" t="s">
        <v>89</v>
      </c>
      <c r="C278" s="16" t="s">
        <v>1783</v>
      </c>
      <c r="H278" s="3" t="s">
        <v>1784</v>
      </c>
      <c r="I278" s="3" t="s">
        <v>109</v>
      </c>
      <c r="K278" s="17" t="s">
        <v>1785</v>
      </c>
      <c r="L278" s="3">
        <v>1.8563173425153801</v>
      </c>
      <c r="M278" s="3">
        <v>1.9849871691169569</v>
      </c>
      <c r="N278" s="3">
        <v>3.1381281848488388E-2</v>
      </c>
      <c r="O278" s="3">
        <v>3.1381281848488388E-2</v>
      </c>
      <c r="P278" s="3">
        <v>3.1381281848488388E-2</v>
      </c>
      <c r="Q278" s="3">
        <v>3.1381281848488388E-2</v>
      </c>
      <c r="R278" s="3">
        <v>3.1381281848488388E-2</v>
      </c>
      <c r="S278" s="3">
        <v>3.1381281848488388E-2</v>
      </c>
      <c r="T278" s="3">
        <v>3.1381281848488388E-2</v>
      </c>
      <c r="U278" s="3">
        <v>3.1381281848488388E-2</v>
      </c>
      <c r="V278" s="3">
        <v>3.1381281848488388E-2</v>
      </c>
      <c r="W278" s="3">
        <v>3.1381281848488388E-2</v>
      </c>
      <c r="X278" s="3">
        <v>3.1381281848488381E-2</v>
      </c>
      <c r="Y278" s="3">
        <v>3.1381281848488388E-2</v>
      </c>
      <c r="Z278" s="3">
        <v>3.1381281848488388E-2</v>
      </c>
      <c r="AA278" s="3">
        <v>3.1381281848488388E-2</v>
      </c>
      <c r="AB278" s="3">
        <v>3.1381281848488388E-2</v>
      </c>
      <c r="AC278" s="3">
        <v>3.1381281848488388E-2</v>
      </c>
      <c r="AD278" s="3">
        <v>3.1381281848488388E-2</v>
      </c>
      <c r="AE278" s="3">
        <v>3.1381281848488388E-2</v>
      </c>
      <c r="AG278" s="17" t="s">
        <v>1786</v>
      </c>
      <c r="AH278" s="3">
        <v>1.8563173425153801</v>
      </c>
      <c r="AI278" s="3">
        <v>1.9849871691169569</v>
      </c>
      <c r="AJ278" s="3">
        <v>3.1381281848488388E-2</v>
      </c>
      <c r="AK278" s="3">
        <v>3.1381281848488388E-2</v>
      </c>
      <c r="AL278" s="3">
        <v>3.1381281848488388E-2</v>
      </c>
      <c r="AM278" s="3">
        <v>3.1381281848488388E-2</v>
      </c>
      <c r="AN278" s="3">
        <v>3.1381281848488388E-2</v>
      </c>
      <c r="AO278" s="3">
        <v>3.1381281848488388E-2</v>
      </c>
      <c r="AP278" s="3">
        <v>3.1381281848488388E-2</v>
      </c>
      <c r="AQ278" s="3">
        <v>3.1381281848488388E-2</v>
      </c>
      <c r="AR278" s="3">
        <v>3.1381281848488388E-2</v>
      </c>
      <c r="AS278" s="3">
        <v>3.1381281848488388E-2</v>
      </c>
      <c r="AT278" s="3">
        <v>3.1381281848488381E-2</v>
      </c>
      <c r="AU278" s="3">
        <v>3.1381281848488388E-2</v>
      </c>
      <c r="AV278" s="3">
        <v>3.1381281848488388E-2</v>
      </c>
      <c r="AW278" s="3">
        <v>3.1381281848488388E-2</v>
      </c>
      <c r="AX278" s="3">
        <v>3.1381281848488388E-2</v>
      </c>
      <c r="AY278" s="3">
        <v>3.1381281848488388E-2</v>
      </c>
      <c r="AZ278" s="3">
        <v>3.1381281848488388E-2</v>
      </c>
      <c r="BA278" s="3">
        <v>3.1381281848488388E-2</v>
      </c>
      <c r="BC278" s="17" t="s">
        <v>1787</v>
      </c>
      <c r="BD278" s="3">
        <v>1.8563173425153801</v>
      </c>
      <c r="BE278" s="3">
        <v>1.9849871691169569</v>
      </c>
      <c r="BF278" s="3">
        <v>3.1381281848488388E-2</v>
      </c>
      <c r="BG278" s="3">
        <v>3.1381281848488388E-2</v>
      </c>
      <c r="BH278" s="3">
        <v>3.1381281848488388E-2</v>
      </c>
      <c r="BI278" s="3">
        <v>3.1381281848488388E-2</v>
      </c>
      <c r="BJ278" s="3">
        <v>3.1381281848488388E-2</v>
      </c>
      <c r="BK278" s="3">
        <v>3.1381281848488388E-2</v>
      </c>
      <c r="BL278" s="3">
        <v>3.1381281848488388E-2</v>
      </c>
      <c r="BM278" s="3">
        <v>3.1381281848488388E-2</v>
      </c>
      <c r="BN278" s="3">
        <v>3.1381281848488388E-2</v>
      </c>
      <c r="BO278" s="3">
        <v>3.1381281848488388E-2</v>
      </c>
      <c r="BP278" s="3">
        <v>3.1381281848488381E-2</v>
      </c>
      <c r="BQ278" s="3">
        <v>3.1381281848488388E-2</v>
      </c>
      <c r="BR278" s="3">
        <v>3.1381281848488388E-2</v>
      </c>
      <c r="BS278" s="3">
        <v>3.1381281848488388E-2</v>
      </c>
      <c r="BT278" s="3">
        <v>3.1381281848488388E-2</v>
      </c>
      <c r="BU278" s="3">
        <v>3.1381281848488388E-2</v>
      </c>
      <c r="BV278" s="3">
        <v>3.1381281848488388E-2</v>
      </c>
      <c r="BW278" s="3">
        <v>3.1381281848488388E-2</v>
      </c>
      <c r="BY278" s="17" t="s">
        <v>1788</v>
      </c>
      <c r="BZ278" s="3">
        <v>1.8563173425153801</v>
      </c>
      <c r="CA278" s="3">
        <v>1.9849871691169569</v>
      </c>
      <c r="CB278" s="3">
        <v>3.1381281848488388E-2</v>
      </c>
      <c r="CC278" s="3">
        <v>3.1381281848488388E-2</v>
      </c>
      <c r="CD278" s="3">
        <v>3.1381281848488388E-2</v>
      </c>
      <c r="CE278" s="3">
        <v>3.1381281848488388E-2</v>
      </c>
      <c r="CF278" s="3">
        <v>3.1381281848488388E-2</v>
      </c>
      <c r="CG278" s="3">
        <v>3.1381281848488388E-2</v>
      </c>
      <c r="CH278" s="3">
        <v>3.1381281848488388E-2</v>
      </c>
      <c r="CI278" s="3">
        <v>3.1381281848488388E-2</v>
      </c>
      <c r="CJ278" s="3">
        <v>3.1381281848488388E-2</v>
      </c>
      <c r="CK278" s="3">
        <v>3.1381281848488388E-2</v>
      </c>
      <c r="CL278" s="3">
        <v>3.1381281848488381E-2</v>
      </c>
      <c r="CM278" s="3">
        <v>3.1381281848488388E-2</v>
      </c>
      <c r="CN278" s="3">
        <v>3.1381281848488388E-2</v>
      </c>
      <c r="CO278" s="3">
        <v>3.1381281848488388E-2</v>
      </c>
      <c r="CP278" s="3">
        <v>3.1381281848488388E-2</v>
      </c>
      <c r="CQ278" s="3">
        <v>3.1381281848488388E-2</v>
      </c>
      <c r="CR278" s="3">
        <v>3.1381281848488388E-2</v>
      </c>
      <c r="CS278" s="3">
        <v>3.1381281848488388E-2</v>
      </c>
      <c r="CU278" s="17" t="s">
        <v>1789</v>
      </c>
      <c r="CV278" s="3">
        <v>1.8563173425153801</v>
      </c>
      <c r="CW278" s="3">
        <v>1.9849871691169569</v>
      </c>
      <c r="CX278" s="3">
        <v>3.1381281848488388E-2</v>
      </c>
      <c r="CY278" s="3">
        <v>3.1381281848488388E-2</v>
      </c>
      <c r="CZ278" s="3">
        <v>3.1381281848488388E-2</v>
      </c>
      <c r="DA278" s="3">
        <v>3.1381281848488388E-2</v>
      </c>
      <c r="DB278" s="3">
        <v>3.1381281848488388E-2</v>
      </c>
      <c r="DC278" s="3">
        <v>3.1381281848488388E-2</v>
      </c>
      <c r="DD278" s="3">
        <v>3.1381281848488388E-2</v>
      </c>
      <c r="DE278" s="3">
        <v>3.1381281848488388E-2</v>
      </c>
      <c r="DF278" s="3">
        <v>3.1381281848488388E-2</v>
      </c>
      <c r="DG278" s="3">
        <v>3.1381281848488388E-2</v>
      </c>
      <c r="DH278" s="3">
        <v>3.1381281848488381E-2</v>
      </c>
      <c r="DI278" s="3">
        <v>3.1381281848488388E-2</v>
      </c>
      <c r="DJ278" s="3">
        <v>3.1381281848488388E-2</v>
      </c>
      <c r="DK278" s="3">
        <v>3.1381281848488388E-2</v>
      </c>
      <c r="DL278" s="3">
        <v>3.1381281848488388E-2</v>
      </c>
      <c r="DM278" s="3">
        <v>3.1381281848488388E-2</v>
      </c>
      <c r="DN278" s="3">
        <v>3.1381281848488388E-2</v>
      </c>
      <c r="DO278" s="3">
        <v>3.1381281848488388E-2</v>
      </c>
    </row>
    <row r="279" spans="1:119" x14ac:dyDescent="0.45">
      <c r="A279" s="16" t="s">
        <v>1790</v>
      </c>
      <c r="B279" s="3" t="s">
        <v>89</v>
      </c>
      <c r="C279" s="16" t="s">
        <v>1791</v>
      </c>
      <c r="H279" s="3" t="s">
        <v>1792</v>
      </c>
      <c r="I279" s="3" t="s">
        <v>860</v>
      </c>
      <c r="K279" s="17" t="s">
        <v>1793</v>
      </c>
      <c r="L279" s="3">
        <v>5.2720759671303137</v>
      </c>
      <c r="M279" s="3">
        <v>5.482959005815526</v>
      </c>
      <c r="N279" s="3">
        <v>5.7022773660481478</v>
      </c>
      <c r="O279" s="3">
        <v>5.9303684606900742</v>
      </c>
      <c r="P279" s="3">
        <v>6.1675831991176766</v>
      </c>
      <c r="Q279" s="3">
        <v>6.4142865270823837</v>
      </c>
      <c r="R279" s="3">
        <v>6.6708579881656798</v>
      </c>
      <c r="S279" s="3">
        <v>6.9376923076923056</v>
      </c>
      <c r="T279" s="3">
        <v>7.2151999999999994</v>
      </c>
      <c r="U279" s="3">
        <v>7.5038079999999994</v>
      </c>
      <c r="V279" s="3">
        <v>7.8039603199999998</v>
      </c>
      <c r="W279" s="3">
        <v>8.1161187328000004</v>
      </c>
      <c r="X279" s="3">
        <v>8.4407634821120006</v>
      </c>
      <c r="Y279" s="3">
        <v>8.7783940213964797</v>
      </c>
      <c r="Z279" s="3">
        <v>9.1295297822523409</v>
      </c>
      <c r="AA279" s="3">
        <v>9.4947109735424338</v>
      </c>
      <c r="AB279" s="3">
        <v>9.8744994124841305</v>
      </c>
      <c r="AC279" s="3">
        <v>10.2694793889835</v>
      </c>
      <c r="AD279" s="3">
        <v>10.680258564542839</v>
      </c>
      <c r="AE279" s="3">
        <v>11.10746890712455</v>
      </c>
      <c r="AG279" s="17" t="s">
        <v>1794</v>
      </c>
      <c r="AH279" s="3">
        <v>5.2720759671303137</v>
      </c>
      <c r="AI279" s="3">
        <v>5.482959005815526</v>
      </c>
      <c r="AJ279" s="3">
        <v>5.7022773660481478</v>
      </c>
      <c r="AK279" s="3">
        <v>5.9303684606900742</v>
      </c>
      <c r="AL279" s="3">
        <v>6.1675831991176766</v>
      </c>
      <c r="AM279" s="3">
        <v>6.4142865270823837</v>
      </c>
      <c r="AN279" s="3">
        <v>6.6708579881656798</v>
      </c>
      <c r="AO279" s="3">
        <v>6.9376923076923056</v>
      </c>
      <c r="AP279" s="3">
        <v>7.2151999999999994</v>
      </c>
      <c r="AQ279" s="3">
        <v>7.5038079999999994</v>
      </c>
      <c r="AR279" s="3">
        <v>7.8039603199999998</v>
      </c>
      <c r="AS279" s="3">
        <v>8.1161187328000004</v>
      </c>
      <c r="AT279" s="3">
        <v>8.4407634821120006</v>
      </c>
      <c r="AU279" s="3">
        <v>8.7783940213964797</v>
      </c>
      <c r="AV279" s="3">
        <v>9.1295297822523409</v>
      </c>
      <c r="AW279" s="3">
        <v>9.4947109735424338</v>
      </c>
      <c r="AX279" s="3">
        <v>9.8744994124841305</v>
      </c>
      <c r="AY279" s="3">
        <v>10.2694793889835</v>
      </c>
      <c r="AZ279" s="3">
        <v>10.680258564542839</v>
      </c>
      <c r="BA279" s="3">
        <v>11.10746890712455</v>
      </c>
      <c r="BC279" s="17" t="s">
        <v>1795</v>
      </c>
      <c r="BD279" s="3">
        <v>5.2720759671303137</v>
      </c>
      <c r="BE279" s="3">
        <v>5.482959005815526</v>
      </c>
      <c r="BF279" s="3">
        <v>5.7022773660481478</v>
      </c>
      <c r="BG279" s="3">
        <v>5.9303684606900742</v>
      </c>
      <c r="BH279" s="3">
        <v>6.1675831991176766</v>
      </c>
      <c r="BI279" s="3">
        <v>6.4142865270823837</v>
      </c>
      <c r="BJ279" s="3">
        <v>6.6708579881656798</v>
      </c>
      <c r="BK279" s="3">
        <v>6.9376923076923056</v>
      </c>
      <c r="BL279" s="3">
        <v>7.2151999999999994</v>
      </c>
      <c r="BM279" s="3">
        <v>7.5038079999999994</v>
      </c>
      <c r="BN279" s="3">
        <v>7.8039603199999998</v>
      </c>
      <c r="BO279" s="3">
        <v>8.1161187328000004</v>
      </c>
      <c r="BP279" s="3">
        <v>8.4407634821120006</v>
      </c>
      <c r="BQ279" s="3">
        <v>8.7783940213964797</v>
      </c>
      <c r="BR279" s="3">
        <v>9.1295297822523409</v>
      </c>
      <c r="BS279" s="3">
        <v>9.4947109735424338</v>
      </c>
      <c r="BT279" s="3">
        <v>9.8744994124841305</v>
      </c>
      <c r="BU279" s="3">
        <v>10.2694793889835</v>
      </c>
      <c r="BV279" s="3">
        <v>10.680258564542839</v>
      </c>
      <c r="BW279" s="3">
        <v>11.10746890712455</v>
      </c>
      <c r="BY279" s="17" t="s">
        <v>1796</v>
      </c>
      <c r="BZ279" s="3">
        <v>5.2720759671303137</v>
      </c>
      <c r="CA279" s="3">
        <v>5.482959005815526</v>
      </c>
      <c r="CB279" s="3">
        <v>5.7022773660481478</v>
      </c>
      <c r="CC279" s="3">
        <v>5.9303684606900742</v>
      </c>
      <c r="CD279" s="3">
        <v>6.1675831991176766</v>
      </c>
      <c r="CE279" s="3">
        <v>6.4142865270823837</v>
      </c>
      <c r="CF279" s="3">
        <v>6.6708579881656798</v>
      </c>
      <c r="CG279" s="3">
        <v>6.9376923076923056</v>
      </c>
      <c r="CH279" s="3">
        <v>7.2151999999999994</v>
      </c>
      <c r="CI279" s="3">
        <v>7.5038079999999994</v>
      </c>
      <c r="CJ279" s="3">
        <v>7.8039603199999998</v>
      </c>
      <c r="CK279" s="3">
        <v>8.1161187328000004</v>
      </c>
      <c r="CL279" s="3">
        <v>8.4407634821120006</v>
      </c>
      <c r="CM279" s="3">
        <v>8.7783940213964797</v>
      </c>
      <c r="CN279" s="3">
        <v>9.1295297822523409</v>
      </c>
      <c r="CO279" s="3">
        <v>9.4947109735424338</v>
      </c>
      <c r="CP279" s="3">
        <v>9.8744994124841305</v>
      </c>
      <c r="CQ279" s="3">
        <v>10.2694793889835</v>
      </c>
      <c r="CR279" s="3">
        <v>10.680258564542839</v>
      </c>
      <c r="CS279" s="3">
        <v>11.10746890712455</v>
      </c>
      <c r="CU279" s="17" t="s">
        <v>1797</v>
      </c>
      <c r="CV279" s="3">
        <v>5.2720759671303137</v>
      </c>
      <c r="CW279" s="3">
        <v>5.482959005815526</v>
      </c>
      <c r="CX279" s="3">
        <v>5.7022773660481478</v>
      </c>
      <c r="CY279" s="3">
        <v>5.9303684606900742</v>
      </c>
      <c r="CZ279" s="3">
        <v>6.1675831991176766</v>
      </c>
      <c r="DA279" s="3">
        <v>6.4142865270823837</v>
      </c>
      <c r="DB279" s="3">
        <v>6.6708579881656798</v>
      </c>
      <c r="DC279" s="3">
        <v>6.9376923076923056</v>
      </c>
      <c r="DD279" s="3">
        <v>7.2151999999999994</v>
      </c>
      <c r="DE279" s="3">
        <v>7.5038079999999994</v>
      </c>
      <c r="DF279" s="3">
        <v>7.8039603199999998</v>
      </c>
      <c r="DG279" s="3">
        <v>8.1161187328000004</v>
      </c>
      <c r="DH279" s="3">
        <v>8.4407634821120006</v>
      </c>
      <c r="DI279" s="3">
        <v>8.7783940213964797</v>
      </c>
      <c r="DJ279" s="3">
        <v>9.1295297822523409</v>
      </c>
      <c r="DK279" s="3">
        <v>9.4947109735424338</v>
      </c>
      <c r="DL279" s="3">
        <v>9.8744994124841305</v>
      </c>
      <c r="DM279" s="3">
        <v>10.2694793889835</v>
      </c>
      <c r="DN279" s="3">
        <v>10.680258564542839</v>
      </c>
      <c r="DO279" s="3">
        <v>11.10746890712455</v>
      </c>
    </row>
    <row r="280" spans="1:119" x14ac:dyDescent="0.45">
      <c r="A280" s="16" t="s">
        <v>1798</v>
      </c>
      <c r="B280" s="3" t="s">
        <v>89</v>
      </c>
      <c r="C280" s="16" t="s">
        <v>1799</v>
      </c>
      <c r="H280" s="3" t="s">
        <v>1800</v>
      </c>
      <c r="I280" s="3" t="s">
        <v>109</v>
      </c>
      <c r="K280" s="17" t="s">
        <v>1801</v>
      </c>
      <c r="L280" s="3">
        <v>54.80176537514879</v>
      </c>
      <c r="M280" s="3">
        <v>56.993835990154743</v>
      </c>
      <c r="N280" s="3">
        <v>59.273589429760939</v>
      </c>
      <c r="O280" s="3">
        <v>61.644533006951377</v>
      </c>
      <c r="P280" s="3">
        <v>64.110314327229432</v>
      </c>
      <c r="Q280" s="3">
        <v>66.674726900318603</v>
      </c>
      <c r="R280" s="3">
        <v>69.341715976331358</v>
      </c>
      <c r="S280" s="3">
        <v>72.115384615384613</v>
      </c>
      <c r="T280" s="3">
        <v>75</v>
      </c>
      <c r="U280" s="3">
        <v>78</v>
      </c>
      <c r="V280" s="3">
        <v>81.12</v>
      </c>
      <c r="W280" s="3">
        <v>84.364800000000002</v>
      </c>
      <c r="X280" s="3">
        <v>87.739392000000009</v>
      </c>
      <c r="Y280" s="3">
        <v>91.248967680000007</v>
      </c>
      <c r="Z280" s="3">
        <v>94.898926387200021</v>
      </c>
      <c r="AA280" s="3">
        <v>98.694883442688024</v>
      </c>
      <c r="AB280" s="3">
        <v>102.6426787803955</v>
      </c>
      <c r="AC280" s="3">
        <v>106.74838593161139</v>
      </c>
      <c r="AD280" s="3">
        <v>111.0183213688758</v>
      </c>
      <c r="AE280" s="3">
        <v>115.4590542236309</v>
      </c>
      <c r="AG280" s="17" t="s">
        <v>1802</v>
      </c>
      <c r="AH280" s="3">
        <v>54.80176537514879</v>
      </c>
      <c r="AI280" s="3">
        <v>56.993835990154743</v>
      </c>
      <c r="AJ280" s="3">
        <v>59.273589429760939</v>
      </c>
      <c r="AK280" s="3">
        <v>61.644533006951377</v>
      </c>
      <c r="AL280" s="3">
        <v>64.110314327229432</v>
      </c>
      <c r="AM280" s="3">
        <v>66.674726900318603</v>
      </c>
      <c r="AN280" s="3">
        <v>69.341715976331358</v>
      </c>
      <c r="AO280" s="3">
        <v>72.115384615384613</v>
      </c>
      <c r="AP280" s="3">
        <v>75</v>
      </c>
      <c r="AQ280" s="3">
        <v>78</v>
      </c>
      <c r="AR280" s="3">
        <v>81.12</v>
      </c>
      <c r="AS280" s="3">
        <v>84.364800000000002</v>
      </c>
      <c r="AT280" s="3">
        <v>87.739392000000009</v>
      </c>
      <c r="AU280" s="3">
        <v>91.248967680000007</v>
      </c>
      <c r="AV280" s="3">
        <v>94.898926387200021</v>
      </c>
      <c r="AW280" s="3">
        <v>98.694883442688024</v>
      </c>
      <c r="AX280" s="3">
        <v>102.6426787803955</v>
      </c>
      <c r="AY280" s="3">
        <v>106.74838593161139</v>
      </c>
      <c r="AZ280" s="3">
        <v>111.0183213688758</v>
      </c>
      <c r="BA280" s="3">
        <v>115.4590542236309</v>
      </c>
      <c r="BC280" s="17" t="s">
        <v>1803</v>
      </c>
      <c r="BD280" s="3">
        <v>54.80176537514879</v>
      </c>
      <c r="BE280" s="3">
        <v>56.993835990154743</v>
      </c>
      <c r="BF280" s="3">
        <v>59.273589429760939</v>
      </c>
      <c r="BG280" s="3">
        <v>61.644533006951377</v>
      </c>
      <c r="BH280" s="3">
        <v>64.110314327229432</v>
      </c>
      <c r="BI280" s="3">
        <v>66.674726900318603</v>
      </c>
      <c r="BJ280" s="3">
        <v>69.341715976331358</v>
      </c>
      <c r="BK280" s="3">
        <v>72.115384615384613</v>
      </c>
      <c r="BL280" s="3">
        <v>75</v>
      </c>
      <c r="BM280" s="3">
        <v>78</v>
      </c>
      <c r="BN280" s="3">
        <v>81.12</v>
      </c>
      <c r="BO280" s="3">
        <v>84.364800000000002</v>
      </c>
      <c r="BP280" s="3">
        <v>87.739392000000009</v>
      </c>
      <c r="BQ280" s="3">
        <v>91.248967680000007</v>
      </c>
      <c r="BR280" s="3">
        <v>94.898926387200021</v>
      </c>
      <c r="BS280" s="3">
        <v>98.694883442688024</v>
      </c>
      <c r="BT280" s="3">
        <v>102.6426787803955</v>
      </c>
      <c r="BU280" s="3">
        <v>106.74838593161139</v>
      </c>
      <c r="BV280" s="3">
        <v>111.0183213688758</v>
      </c>
      <c r="BW280" s="3">
        <v>115.4590542236309</v>
      </c>
      <c r="BY280" s="17" t="s">
        <v>1804</v>
      </c>
      <c r="BZ280" s="3">
        <v>54.80176537514879</v>
      </c>
      <c r="CA280" s="3">
        <v>56.993835990154743</v>
      </c>
      <c r="CB280" s="3">
        <v>59.273589429760939</v>
      </c>
      <c r="CC280" s="3">
        <v>61.644533006951377</v>
      </c>
      <c r="CD280" s="3">
        <v>64.110314327229432</v>
      </c>
      <c r="CE280" s="3">
        <v>66.674726900318603</v>
      </c>
      <c r="CF280" s="3">
        <v>69.341715976331358</v>
      </c>
      <c r="CG280" s="3">
        <v>72.115384615384613</v>
      </c>
      <c r="CH280" s="3">
        <v>75</v>
      </c>
      <c r="CI280" s="3">
        <v>78</v>
      </c>
      <c r="CJ280" s="3">
        <v>81.12</v>
      </c>
      <c r="CK280" s="3">
        <v>84.364800000000002</v>
      </c>
      <c r="CL280" s="3">
        <v>87.739392000000009</v>
      </c>
      <c r="CM280" s="3">
        <v>91.248967680000007</v>
      </c>
      <c r="CN280" s="3">
        <v>94.898926387200021</v>
      </c>
      <c r="CO280" s="3">
        <v>98.694883442688024</v>
      </c>
      <c r="CP280" s="3">
        <v>102.6426787803955</v>
      </c>
      <c r="CQ280" s="3">
        <v>106.74838593161139</v>
      </c>
      <c r="CR280" s="3">
        <v>111.0183213688758</v>
      </c>
      <c r="CS280" s="3">
        <v>115.4590542236309</v>
      </c>
      <c r="CU280" s="17" t="s">
        <v>1805</v>
      </c>
      <c r="CV280" s="3">
        <v>54.80176537514879</v>
      </c>
      <c r="CW280" s="3">
        <v>56.993835990154743</v>
      </c>
      <c r="CX280" s="3">
        <v>59.273589429760939</v>
      </c>
      <c r="CY280" s="3">
        <v>61.644533006951377</v>
      </c>
      <c r="CZ280" s="3">
        <v>64.110314327229432</v>
      </c>
      <c r="DA280" s="3">
        <v>66.674726900318603</v>
      </c>
      <c r="DB280" s="3">
        <v>69.341715976331358</v>
      </c>
      <c r="DC280" s="3">
        <v>72.115384615384613</v>
      </c>
      <c r="DD280" s="3">
        <v>75</v>
      </c>
      <c r="DE280" s="3">
        <v>78</v>
      </c>
      <c r="DF280" s="3">
        <v>81.12</v>
      </c>
      <c r="DG280" s="3">
        <v>84.364800000000002</v>
      </c>
      <c r="DH280" s="3">
        <v>87.739392000000009</v>
      </c>
      <c r="DI280" s="3">
        <v>91.248967680000007</v>
      </c>
      <c r="DJ280" s="3">
        <v>94.898926387200021</v>
      </c>
      <c r="DK280" s="3">
        <v>98.694883442688024</v>
      </c>
      <c r="DL280" s="3">
        <v>102.6426787803955</v>
      </c>
      <c r="DM280" s="3">
        <v>106.74838593161139</v>
      </c>
      <c r="DN280" s="3">
        <v>111.0183213688758</v>
      </c>
      <c r="DO280" s="3">
        <v>115.4590542236309</v>
      </c>
    </row>
    <row r="281" spans="1:119" x14ac:dyDescent="0.45">
      <c r="A281" s="16" t="s">
        <v>1806</v>
      </c>
      <c r="B281" s="3" t="s">
        <v>89</v>
      </c>
      <c r="C281" s="16" t="s">
        <v>1807</v>
      </c>
      <c r="H281" s="3" t="s">
        <v>1808</v>
      </c>
      <c r="I281" s="3" t="s">
        <v>860</v>
      </c>
      <c r="K281" s="17" t="s">
        <v>1809</v>
      </c>
      <c r="L281" s="3">
        <v>19.25490285565434</v>
      </c>
      <c r="M281" s="3">
        <v>12.58830693540154</v>
      </c>
      <c r="N281" s="3">
        <v>11.99848631665396</v>
      </c>
      <c r="O281" s="3">
        <v>11.030390763012971</v>
      </c>
      <c r="P281" s="3">
        <v>11.89531691499937</v>
      </c>
      <c r="Q281" s="3">
        <v>12.28643446885043</v>
      </c>
      <c r="R281" s="3">
        <v>12.517008817836141</v>
      </c>
      <c r="S281" s="3">
        <v>12.75114659743234</v>
      </c>
      <c r="T281" s="3">
        <v>12.98866554465703</v>
      </c>
      <c r="U281" s="3">
        <v>13.2175182242039</v>
      </c>
      <c r="V281" s="3">
        <v>13.53762946084832</v>
      </c>
      <c r="W281" s="3">
        <v>13.87029318752189</v>
      </c>
      <c r="X281" s="3">
        <v>14.215977213349531</v>
      </c>
      <c r="Y281" s="3">
        <v>14.575189103500319</v>
      </c>
      <c r="Z281" s="3">
        <v>14.948425581838221</v>
      </c>
      <c r="AA281" s="3">
        <v>15.33625349745728</v>
      </c>
      <c r="AB281" s="3">
        <v>15.73917641725666</v>
      </c>
      <c r="AC281" s="3">
        <v>16.15775810895105</v>
      </c>
      <c r="AD281" s="3">
        <v>16.592582551107959</v>
      </c>
      <c r="AE281" s="3">
        <v>17.01723197413396</v>
      </c>
      <c r="AG281" s="17" t="s">
        <v>1810</v>
      </c>
      <c r="AH281" s="3">
        <v>19.25490285565434</v>
      </c>
      <c r="AI281" s="3">
        <v>12.58830693540154</v>
      </c>
      <c r="AJ281" s="3">
        <v>11.99848631665396</v>
      </c>
      <c r="AK281" s="3">
        <v>11.030390763012971</v>
      </c>
      <c r="AL281" s="3">
        <v>11.89531691499937</v>
      </c>
      <c r="AM281" s="3">
        <v>12.28643446885043</v>
      </c>
      <c r="AN281" s="3">
        <v>12.517008817836141</v>
      </c>
      <c r="AO281" s="3">
        <v>12.75114659743234</v>
      </c>
      <c r="AP281" s="3">
        <v>12.98866554465703</v>
      </c>
      <c r="AQ281" s="3">
        <v>13.2175182242039</v>
      </c>
      <c r="AR281" s="3">
        <v>13.53762946084832</v>
      </c>
      <c r="AS281" s="3">
        <v>13.87029318752189</v>
      </c>
      <c r="AT281" s="3">
        <v>14.215977213349531</v>
      </c>
      <c r="AU281" s="3">
        <v>14.575189103500319</v>
      </c>
      <c r="AV281" s="3">
        <v>14.948425581838221</v>
      </c>
      <c r="AW281" s="3">
        <v>15.33625349745728</v>
      </c>
      <c r="AX281" s="3">
        <v>15.73917641725666</v>
      </c>
      <c r="AY281" s="3">
        <v>16.15775810895105</v>
      </c>
      <c r="AZ281" s="3">
        <v>16.592582551107959</v>
      </c>
      <c r="BA281" s="3">
        <v>17.01723197413396</v>
      </c>
      <c r="BC281" s="17" t="s">
        <v>1811</v>
      </c>
      <c r="BD281" s="3">
        <v>19.25490285565434</v>
      </c>
      <c r="BE281" s="3">
        <v>12.58830693540154</v>
      </c>
      <c r="BF281" s="3">
        <v>11.99848631665396</v>
      </c>
      <c r="BG281" s="3">
        <v>11.030390763012971</v>
      </c>
      <c r="BH281" s="3">
        <v>11.89531691499937</v>
      </c>
      <c r="BI281" s="3">
        <v>12.28643446885043</v>
      </c>
      <c r="BJ281" s="3">
        <v>12.517008817836141</v>
      </c>
      <c r="BK281" s="3">
        <v>12.75114659743234</v>
      </c>
      <c r="BL281" s="3">
        <v>12.98866554465703</v>
      </c>
      <c r="BM281" s="3">
        <v>13.2175182242039</v>
      </c>
      <c r="BN281" s="3">
        <v>13.53762946084832</v>
      </c>
      <c r="BO281" s="3">
        <v>13.87029318752189</v>
      </c>
      <c r="BP281" s="3">
        <v>14.215977213349531</v>
      </c>
      <c r="BQ281" s="3">
        <v>14.575189103500319</v>
      </c>
      <c r="BR281" s="3">
        <v>14.948425581838221</v>
      </c>
      <c r="BS281" s="3">
        <v>15.33625349745728</v>
      </c>
      <c r="BT281" s="3">
        <v>15.73917641725666</v>
      </c>
      <c r="BU281" s="3">
        <v>16.15775810895105</v>
      </c>
      <c r="BV281" s="3">
        <v>16.592582551107959</v>
      </c>
      <c r="BW281" s="3">
        <v>17.01723197413396</v>
      </c>
      <c r="BY281" s="17" t="s">
        <v>1812</v>
      </c>
      <c r="BZ281" s="3">
        <v>19.25490285565434</v>
      </c>
      <c r="CA281" s="3">
        <v>12.58830693540154</v>
      </c>
      <c r="CB281" s="3">
        <v>11.99848631665396</v>
      </c>
      <c r="CC281" s="3">
        <v>11.030390763012971</v>
      </c>
      <c r="CD281" s="3">
        <v>11.89531691499937</v>
      </c>
      <c r="CE281" s="3">
        <v>12.28643446885043</v>
      </c>
      <c r="CF281" s="3">
        <v>12.517008817836141</v>
      </c>
      <c r="CG281" s="3">
        <v>12.75114659743234</v>
      </c>
      <c r="CH281" s="3">
        <v>12.98866554465703</v>
      </c>
      <c r="CI281" s="3">
        <v>13.2175182242039</v>
      </c>
      <c r="CJ281" s="3">
        <v>13.53762946084832</v>
      </c>
      <c r="CK281" s="3">
        <v>13.87029318752189</v>
      </c>
      <c r="CL281" s="3">
        <v>14.215977213349531</v>
      </c>
      <c r="CM281" s="3">
        <v>14.575189103500319</v>
      </c>
      <c r="CN281" s="3">
        <v>14.948425581838221</v>
      </c>
      <c r="CO281" s="3">
        <v>15.33625349745728</v>
      </c>
      <c r="CP281" s="3">
        <v>15.73917641725666</v>
      </c>
      <c r="CQ281" s="3">
        <v>16.15775810895105</v>
      </c>
      <c r="CR281" s="3">
        <v>16.592582551107959</v>
      </c>
      <c r="CS281" s="3">
        <v>17.01723197413396</v>
      </c>
      <c r="CU281" s="17" t="s">
        <v>1813</v>
      </c>
      <c r="CV281" s="3">
        <v>19.25490285565434</v>
      </c>
      <c r="CW281" s="3">
        <v>12.58830693540154</v>
      </c>
      <c r="CX281" s="3">
        <v>11.99848631665396</v>
      </c>
      <c r="CY281" s="3">
        <v>11.030390763012971</v>
      </c>
      <c r="CZ281" s="3">
        <v>11.89531691499937</v>
      </c>
      <c r="DA281" s="3">
        <v>12.28643446885043</v>
      </c>
      <c r="DB281" s="3">
        <v>12.517008817836141</v>
      </c>
      <c r="DC281" s="3">
        <v>12.75114659743234</v>
      </c>
      <c r="DD281" s="3">
        <v>12.98866554465703</v>
      </c>
      <c r="DE281" s="3">
        <v>13.2175182242039</v>
      </c>
      <c r="DF281" s="3">
        <v>13.53762946084832</v>
      </c>
      <c r="DG281" s="3">
        <v>13.87029318752189</v>
      </c>
      <c r="DH281" s="3">
        <v>14.215977213349531</v>
      </c>
      <c r="DI281" s="3">
        <v>14.575189103500319</v>
      </c>
      <c r="DJ281" s="3">
        <v>14.948425581838221</v>
      </c>
      <c r="DK281" s="3">
        <v>15.33625349745728</v>
      </c>
      <c r="DL281" s="3">
        <v>15.73917641725666</v>
      </c>
      <c r="DM281" s="3">
        <v>16.15775810895105</v>
      </c>
      <c r="DN281" s="3">
        <v>16.592582551107959</v>
      </c>
      <c r="DO281" s="3">
        <v>17.01723197413396</v>
      </c>
    </row>
    <row r="282" spans="1:119" x14ac:dyDescent="0.45">
      <c r="A282" s="16" t="s">
        <v>1814</v>
      </c>
      <c r="B282" s="3" t="s">
        <v>89</v>
      </c>
      <c r="C282" s="16" t="s">
        <v>1815</v>
      </c>
      <c r="H282" s="3" t="s">
        <v>1816</v>
      </c>
      <c r="I282" s="3" t="s">
        <v>860</v>
      </c>
      <c r="K282" s="17" t="s">
        <v>1817</v>
      </c>
      <c r="L282" s="3">
        <v>13.46421248673108</v>
      </c>
      <c r="M282" s="3">
        <v>6.5884752723340902</v>
      </c>
      <c r="N282" s="3">
        <v>5.8065680582894004</v>
      </c>
      <c r="O282" s="3">
        <v>4.7532486605082349</v>
      </c>
      <c r="P282" s="3">
        <v>5.3336222070744386</v>
      </c>
      <c r="Q282" s="3">
        <v>5.4645398442557918</v>
      </c>
      <c r="R282" s="3">
        <v>5.4024636206778087</v>
      </c>
      <c r="S282" s="3">
        <v>5.3358943039594733</v>
      </c>
      <c r="T282" s="3">
        <v>5.2646478334587359</v>
      </c>
      <c r="U282" s="3">
        <v>5.1958920895644614</v>
      </c>
      <c r="V282" s="3">
        <v>5.1958920895644614</v>
      </c>
      <c r="W282" s="3">
        <v>5.1958920895644614</v>
      </c>
      <c r="X282" s="3">
        <v>5.1958920895644631</v>
      </c>
      <c r="Y282" s="3">
        <v>5.1958920895644631</v>
      </c>
      <c r="Z282" s="3">
        <v>5.1958920895644631</v>
      </c>
      <c r="AA282" s="3">
        <v>5.1958920895644622</v>
      </c>
      <c r="AB282" s="3">
        <v>5.1958920895644622</v>
      </c>
      <c r="AC282" s="3">
        <v>5.1958920895644631</v>
      </c>
      <c r="AD282" s="3">
        <v>5.1958920895644631</v>
      </c>
      <c r="AE282" s="3">
        <v>5.1958920895644631</v>
      </c>
      <c r="AG282" s="17" t="s">
        <v>1818</v>
      </c>
      <c r="AH282" s="3">
        <v>13.46421248673108</v>
      </c>
      <c r="AI282" s="3">
        <v>6.5884752723340902</v>
      </c>
      <c r="AJ282" s="3">
        <v>5.8065680582894004</v>
      </c>
      <c r="AK282" s="3">
        <v>4.7532486605082349</v>
      </c>
      <c r="AL282" s="3">
        <v>5.3336222070744386</v>
      </c>
      <c r="AM282" s="3">
        <v>5.4645398442557918</v>
      </c>
      <c r="AN282" s="3">
        <v>5.4024636206778087</v>
      </c>
      <c r="AO282" s="3">
        <v>5.3358943039594733</v>
      </c>
      <c r="AP282" s="3">
        <v>5.2646478334587359</v>
      </c>
      <c r="AQ282" s="3">
        <v>5.1958920895644614</v>
      </c>
      <c r="AR282" s="3">
        <v>5.1958920895644614</v>
      </c>
      <c r="AS282" s="3">
        <v>5.1958920895644614</v>
      </c>
      <c r="AT282" s="3">
        <v>5.1958920895644631</v>
      </c>
      <c r="AU282" s="3">
        <v>5.1958920895644631</v>
      </c>
      <c r="AV282" s="3">
        <v>5.1958920895644631</v>
      </c>
      <c r="AW282" s="3">
        <v>5.1958920895644622</v>
      </c>
      <c r="AX282" s="3">
        <v>5.1958920895644622</v>
      </c>
      <c r="AY282" s="3">
        <v>5.1958920895644631</v>
      </c>
      <c r="AZ282" s="3">
        <v>5.1958920895644631</v>
      </c>
      <c r="BA282" s="3">
        <v>5.1958920895644631</v>
      </c>
      <c r="BC282" s="17" t="s">
        <v>1819</v>
      </c>
      <c r="BD282" s="3">
        <v>13.46421248673108</v>
      </c>
      <c r="BE282" s="3">
        <v>6.5884752723340902</v>
      </c>
      <c r="BF282" s="3">
        <v>5.8065680582894004</v>
      </c>
      <c r="BG282" s="3">
        <v>4.7532486605082349</v>
      </c>
      <c r="BH282" s="3">
        <v>5.3336222070744386</v>
      </c>
      <c r="BI282" s="3">
        <v>5.4645398442557918</v>
      </c>
      <c r="BJ282" s="3">
        <v>5.4024636206778087</v>
      </c>
      <c r="BK282" s="3">
        <v>5.3358943039594733</v>
      </c>
      <c r="BL282" s="3">
        <v>5.2646478334587359</v>
      </c>
      <c r="BM282" s="3">
        <v>5.1958920895644614</v>
      </c>
      <c r="BN282" s="3">
        <v>5.1958920895644614</v>
      </c>
      <c r="BO282" s="3">
        <v>5.1958920895644614</v>
      </c>
      <c r="BP282" s="3">
        <v>5.1958920895644631</v>
      </c>
      <c r="BQ282" s="3">
        <v>5.1958920895644631</v>
      </c>
      <c r="BR282" s="3">
        <v>5.1958920895644631</v>
      </c>
      <c r="BS282" s="3">
        <v>5.1958920895644622</v>
      </c>
      <c r="BT282" s="3">
        <v>5.1958920895644622</v>
      </c>
      <c r="BU282" s="3">
        <v>5.1958920895644631</v>
      </c>
      <c r="BV282" s="3">
        <v>5.1958920895644631</v>
      </c>
      <c r="BW282" s="3">
        <v>5.1958920895644631</v>
      </c>
      <c r="BY282" s="17" t="s">
        <v>1820</v>
      </c>
      <c r="BZ282" s="3">
        <v>13.46421248673108</v>
      </c>
      <c r="CA282" s="3">
        <v>6.5884752723340902</v>
      </c>
      <c r="CB282" s="3">
        <v>5.8065680582894004</v>
      </c>
      <c r="CC282" s="3">
        <v>4.7532486605082349</v>
      </c>
      <c r="CD282" s="3">
        <v>5.3336222070744386</v>
      </c>
      <c r="CE282" s="3">
        <v>5.4645398442557918</v>
      </c>
      <c r="CF282" s="3">
        <v>5.4024636206778087</v>
      </c>
      <c r="CG282" s="3">
        <v>5.3358943039594733</v>
      </c>
      <c r="CH282" s="3">
        <v>5.2646478334587359</v>
      </c>
      <c r="CI282" s="3">
        <v>5.1958920895644614</v>
      </c>
      <c r="CJ282" s="3">
        <v>5.1958920895644614</v>
      </c>
      <c r="CK282" s="3">
        <v>5.1958920895644614</v>
      </c>
      <c r="CL282" s="3">
        <v>5.1958920895644631</v>
      </c>
      <c r="CM282" s="3">
        <v>5.1958920895644631</v>
      </c>
      <c r="CN282" s="3">
        <v>5.1958920895644631</v>
      </c>
      <c r="CO282" s="3">
        <v>5.1958920895644622</v>
      </c>
      <c r="CP282" s="3">
        <v>5.1958920895644622</v>
      </c>
      <c r="CQ282" s="3">
        <v>5.1958920895644631</v>
      </c>
      <c r="CR282" s="3">
        <v>5.1958920895644631</v>
      </c>
      <c r="CS282" s="3">
        <v>5.1958920895644631</v>
      </c>
      <c r="CU282" s="17" t="s">
        <v>1821</v>
      </c>
      <c r="CV282" s="3">
        <v>13.46421248673108</v>
      </c>
      <c r="CW282" s="3">
        <v>6.5884752723340902</v>
      </c>
      <c r="CX282" s="3">
        <v>5.8065680582894004</v>
      </c>
      <c r="CY282" s="3">
        <v>4.7532486605082349</v>
      </c>
      <c r="CZ282" s="3">
        <v>5.3336222070744386</v>
      </c>
      <c r="DA282" s="3">
        <v>5.4645398442557918</v>
      </c>
      <c r="DB282" s="3">
        <v>5.4024636206778087</v>
      </c>
      <c r="DC282" s="3">
        <v>5.3358943039594733</v>
      </c>
      <c r="DD282" s="3">
        <v>5.2646478334587359</v>
      </c>
      <c r="DE282" s="3">
        <v>5.1958920895644614</v>
      </c>
      <c r="DF282" s="3">
        <v>5.1958920895644614</v>
      </c>
      <c r="DG282" s="3">
        <v>5.1958920895644614</v>
      </c>
      <c r="DH282" s="3">
        <v>5.1958920895644631</v>
      </c>
      <c r="DI282" s="3">
        <v>5.1958920895644631</v>
      </c>
      <c r="DJ282" s="3">
        <v>5.1958920895644631</v>
      </c>
      <c r="DK282" s="3">
        <v>5.1958920895644622</v>
      </c>
      <c r="DL282" s="3">
        <v>5.1958920895644622</v>
      </c>
      <c r="DM282" s="3">
        <v>5.1958920895644631</v>
      </c>
      <c r="DN282" s="3">
        <v>5.1958920895644631</v>
      </c>
      <c r="DO282" s="3">
        <v>5.1958920895644631</v>
      </c>
    </row>
    <row r="283" spans="1:119" x14ac:dyDescent="0.45">
      <c r="A283" s="16" t="s">
        <v>1822</v>
      </c>
      <c r="B283" s="3" t="s">
        <v>89</v>
      </c>
      <c r="C283" s="16" t="s">
        <v>1823</v>
      </c>
      <c r="H283" s="3" t="s">
        <v>1824</v>
      </c>
      <c r="I283" s="3" t="s">
        <v>1300</v>
      </c>
      <c r="K283" s="17" t="s">
        <v>1825</v>
      </c>
      <c r="L283" s="3">
        <v>0.51861440179294471</v>
      </c>
      <c r="M283" s="3">
        <v>0.51687265725192411</v>
      </c>
      <c r="N283" s="3">
        <v>0.48964089231641328</v>
      </c>
      <c r="O283" s="3">
        <v>0.34677364181466119</v>
      </c>
      <c r="P283" s="3">
        <v>0.39411150880725149</v>
      </c>
      <c r="Q283" s="3">
        <v>0.40760809751225352</v>
      </c>
      <c r="R283" s="3">
        <v>0.4436872089926524</v>
      </c>
      <c r="S283" s="3">
        <v>0.47755998578056308</v>
      </c>
      <c r="T283" s="3">
        <v>0.50881771119829111</v>
      </c>
      <c r="U283" s="3">
        <v>0.51781813463944315</v>
      </c>
      <c r="V283" s="3">
        <v>0.53777705128385811</v>
      </c>
      <c r="W283" s="3">
        <v>0.55828236515742868</v>
      </c>
      <c r="X283" s="3">
        <v>0.57932164167306144</v>
      </c>
      <c r="Y283" s="3">
        <v>0.60090299253937463</v>
      </c>
      <c r="Z283" s="3">
        <v>0.62300371002141985</v>
      </c>
      <c r="AA283" s="3">
        <v>0.64565043435038483</v>
      </c>
      <c r="AB283" s="3">
        <v>0.66878491520807037</v>
      </c>
      <c r="AC283" s="3">
        <v>0.6923866304030869</v>
      </c>
      <c r="AD283" s="3">
        <v>0.71643189700065424</v>
      </c>
      <c r="AE283" s="3">
        <v>0.71387097744494399</v>
      </c>
      <c r="AG283" s="17" t="s">
        <v>1826</v>
      </c>
      <c r="AH283" s="3">
        <v>0.51861440179294471</v>
      </c>
      <c r="AI283" s="3">
        <v>0.51687265725192411</v>
      </c>
      <c r="AJ283" s="3">
        <v>0.48964089231641328</v>
      </c>
      <c r="AK283" s="3">
        <v>0.34677364181466119</v>
      </c>
      <c r="AL283" s="3">
        <v>0.39411150880725149</v>
      </c>
      <c r="AM283" s="3">
        <v>0.40760809751225352</v>
      </c>
      <c r="AN283" s="3">
        <v>0.4436872089926524</v>
      </c>
      <c r="AO283" s="3">
        <v>0.47755998578056308</v>
      </c>
      <c r="AP283" s="3">
        <v>0.50881771119829111</v>
      </c>
      <c r="AQ283" s="3">
        <v>0.51781813463944315</v>
      </c>
      <c r="AR283" s="3">
        <v>0.53777705128385811</v>
      </c>
      <c r="AS283" s="3">
        <v>0.55828236515742868</v>
      </c>
      <c r="AT283" s="3">
        <v>0.57932164167306144</v>
      </c>
      <c r="AU283" s="3">
        <v>0.60090299253937463</v>
      </c>
      <c r="AV283" s="3">
        <v>0.62300371002141985</v>
      </c>
      <c r="AW283" s="3">
        <v>0.64565043435038483</v>
      </c>
      <c r="AX283" s="3">
        <v>0.66878491520807037</v>
      </c>
      <c r="AY283" s="3">
        <v>0.6923866304030869</v>
      </c>
      <c r="AZ283" s="3">
        <v>0.71643189700065424</v>
      </c>
      <c r="BA283" s="3">
        <v>0.71387097744494399</v>
      </c>
      <c r="BC283" s="17" t="s">
        <v>1827</v>
      </c>
      <c r="BD283" s="3">
        <v>0.51861440179294471</v>
      </c>
      <c r="BE283" s="3">
        <v>0.51687265725192411</v>
      </c>
      <c r="BF283" s="3">
        <v>0.48964089231641328</v>
      </c>
      <c r="BG283" s="3">
        <v>0.34677364181466119</v>
      </c>
      <c r="BH283" s="3">
        <v>0.39411150880725149</v>
      </c>
      <c r="BI283" s="3">
        <v>0.40760809751225352</v>
      </c>
      <c r="BJ283" s="3">
        <v>0.4436872089926524</v>
      </c>
      <c r="BK283" s="3">
        <v>0.47755998578056308</v>
      </c>
      <c r="BL283" s="3">
        <v>0.50881771119829111</v>
      </c>
      <c r="BM283" s="3">
        <v>0.51781813463944315</v>
      </c>
      <c r="BN283" s="3">
        <v>0.53777705128385811</v>
      </c>
      <c r="BO283" s="3">
        <v>0.55828236515742868</v>
      </c>
      <c r="BP283" s="3">
        <v>0.57932164167306144</v>
      </c>
      <c r="BQ283" s="3">
        <v>0.60090299253937463</v>
      </c>
      <c r="BR283" s="3">
        <v>0.62300371002141985</v>
      </c>
      <c r="BS283" s="3">
        <v>0.64565043435038483</v>
      </c>
      <c r="BT283" s="3">
        <v>0.66878491520807037</v>
      </c>
      <c r="BU283" s="3">
        <v>0.6923866304030869</v>
      </c>
      <c r="BV283" s="3">
        <v>0.71643189700065424</v>
      </c>
      <c r="BW283" s="3">
        <v>0.71387097744494399</v>
      </c>
      <c r="BY283" s="17" t="s">
        <v>1828</v>
      </c>
      <c r="BZ283" s="3">
        <v>0.51861440179294471</v>
      </c>
      <c r="CA283" s="3">
        <v>0.51687265725192411</v>
      </c>
      <c r="CB283" s="3">
        <v>0.48964089231641328</v>
      </c>
      <c r="CC283" s="3">
        <v>0.34677364181466119</v>
      </c>
      <c r="CD283" s="3">
        <v>0.39411150880725149</v>
      </c>
      <c r="CE283" s="3">
        <v>0.40760809751225352</v>
      </c>
      <c r="CF283" s="3">
        <v>0.4436872089926524</v>
      </c>
      <c r="CG283" s="3">
        <v>0.47755998578056308</v>
      </c>
      <c r="CH283" s="3">
        <v>0.50881771119829111</v>
      </c>
      <c r="CI283" s="3">
        <v>0.51781813463944315</v>
      </c>
      <c r="CJ283" s="3">
        <v>0.53777705128385811</v>
      </c>
      <c r="CK283" s="3">
        <v>0.55828236515742868</v>
      </c>
      <c r="CL283" s="3">
        <v>0.57932164167306144</v>
      </c>
      <c r="CM283" s="3">
        <v>0.60090299253937463</v>
      </c>
      <c r="CN283" s="3">
        <v>0.62300371002141985</v>
      </c>
      <c r="CO283" s="3">
        <v>0.64565043435038483</v>
      </c>
      <c r="CP283" s="3">
        <v>0.66878491520807037</v>
      </c>
      <c r="CQ283" s="3">
        <v>0.6923866304030869</v>
      </c>
      <c r="CR283" s="3">
        <v>0.71643189700065424</v>
      </c>
      <c r="CS283" s="3">
        <v>0.71387097744494399</v>
      </c>
      <c r="CU283" s="17" t="s">
        <v>1829</v>
      </c>
      <c r="CV283" s="3">
        <v>0.51861440179294471</v>
      </c>
      <c r="CW283" s="3">
        <v>0.51687265725192411</v>
      </c>
      <c r="CX283" s="3">
        <v>0.48964089231641328</v>
      </c>
      <c r="CY283" s="3">
        <v>0.34677364181466119</v>
      </c>
      <c r="CZ283" s="3">
        <v>0.39411150880725149</v>
      </c>
      <c r="DA283" s="3">
        <v>0.40760809751225352</v>
      </c>
      <c r="DB283" s="3">
        <v>0.4436872089926524</v>
      </c>
      <c r="DC283" s="3">
        <v>0.47755998578056308</v>
      </c>
      <c r="DD283" s="3">
        <v>0.50881771119829111</v>
      </c>
      <c r="DE283" s="3">
        <v>0.51781813463944315</v>
      </c>
      <c r="DF283" s="3">
        <v>0.53777705128385811</v>
      </c>
      <c r="DG283" s="3">
        <v>0.55828236515742868</v>
      </c>
      <c r="DH283" s="3">
        <v>0.57932164167306144</v>
      </c>
      <c r="DI283" s="3">
        <v>0.60090299253937463</v>
      </c>
      <c r="DJ283" s="3">
        <v>0.62300371002141985</v>
      </c>
      <c r="DK283" s="3">
        <v>0.64565043435038483</v>
      </c>
      <c r="DL283" s="3">
        <v>0.66878491520807037</v>
      </c>
      <c r="DM283" s="3">
        <v>0.6923866304030869</v>
      </c>
      <c r="DN283" s="3">
        <v>0.71643189700065424</v>
      </c>
      <c r="DO283" s="3">
        <v>0.71387097744494399</v>
      </c>
    </row>
    <row r="284" spans="1:119" x14ac:dyDescent="0.45">
      <c r="A284" s="16" t="s">
        <v>1830</v>
      </c>
      <c r="B284" s="3" t="s">
        <v>89</v>
      </c>
      <c r="C284" s="16" t="s">
        <v>1831</v>
      </c>
      <c r="H284" s="3" t="s">
        <v>1832</v>
      </c>
      <c r="I284" s="3" t="s">
        <v>860</v>
      </c>
      <c r="K284" s="17" t="s">
        <v>1833</v>
      </c>
      <c r="L284" s="3">
        <v>5.2720759671303137</v>
      </c>
      <c r="M284" s="3">
        <v>5.482959005815526</v>
      </c>
      <c r="N284" s="3">
        <v>5.7022773660481478</v>
      </c>
      <c r="O284" s="3">
        <v>5.9303684606900742</v>
      </c>
      <c r="P284" s="3">
        <v>6.1675831991176766</v>
      </c>
      <c r="Q284" s="3">
        <v>6.4142865270823837</v>
      </c>
      <c r="R284" s="3">
        <v>6.6708579881656798</v>
      </c>
      <c r="S284" s="3">
        <v>6.9376923076923056</v>
      </c>
      <c r="T284" s="3">
        <v>7.2151999999999994</v>
      </c>
      <c r="U284" s="3">
        <v>7.5038079999999994</v>
      </c>
      <c r="V284" s="3">
        <v>7.8039603199999998</v>
      </c>
      <c r="W284" s="3">
        <v>8.1161187328000004</v>
      </c>
      <c r="X284" s="3">
        <v>8.4407634821120006</v>
      </c>
      <c r="Y284" s="3">
        <v>8.7783940213964797</v>
      </c>
      <c r="Z284" s="3">
        <v>9.1295297822523409</v>
      </c>
      <c r="AA284" s="3">
        <v>9.4947109735424338</v>
      </c>
      <c r="AB284" s="3">
        <v>9.8744994124841305</v>
      </c>
      <c r="AC284" s="3">
        <v>10.2694793889835</v>
      </c>
      <c r="AD284" s="3">
        <v>10.680258564542839</v>
      </c>
      <c r="AE284" s="3">
        <v>11.10746890712455</v>
      </c>
      <c r="AG284" s="17" t="s">
        <v>1834</v>
      </c>
      <c r="AH284" s="3">
        <v>5.2720759671303137</v>
      </c>
      <c r="AI284" s="3">
        <v>5.482959005815526</v>
      </c>
      <c r="AJ284" s="3">
        <v>5.7022773660481478</v>
      </c>
      <c r="AK284" s="3">
        <v>5.9303684606900742</v>
      </c>
      <c r="AL284" s="3">
        <v>6.1675831991176766</v>
      </c>
      <c r="AM284" s="3">
        <v>6.4142865270823837</v>
      </c>
      <c r="AN284" s="3">
        <v>6.6708579881656798</v>
      </c>
      <c r="AO284" s="3">
        <v>6.9376923076923056</v>
      </c>
      <c r="AP284" s="3">
        <v>7.2151999999999994</v>
      </c>
      <c r="AQ284" s="3">
        <v>7.5038079999999994</v>
      </c>
      <c r="AR284" s="3">
        <v>7.8039603199999998</v>
      </c>
      <c r="AS284" s="3">
        <v>8.1161187328000004</v>
      </c>
      <c r="AT284" s="3">
        <v>8.4407634821120006</v>
      </c>
      <c r="AU284" s="3">
        <v>8.7783940213964797</v>
      </c>
      <c r="AV284" s="3">
        <v>9.1295297822523409</v>
      </c>
      <c r="AW284" s="3">
        <v>9.4947109735424338</v>
      </c>
      <c r="AX284" s="3">
        <v>9.8744994124841305</v>
      </c>
      <c r="AY284" s="3">
        <v>10.2694793889835</v>
      </c>
      <c r="AZ284" s="3">
        <v>10.680258564542839</v>
      </c>
      <c r="BA284" s="3">
        <v>11.10746890712455</v>
      </c>
      <c r="BC284" s="17" t="s">
        <v>1835</v>
      </c>
      <c r="BD284" s="3">
        <v>5.2720759671303137</v>
      </c>
      <c r="BE284" s="3">
        <v>5.482959005815526</v>
      </c>
      <c r="BF284" s="3">
        <v>5.7022773660481478</v>
      </c>
      <c r="BG284" s="3">
        <v>5.9303684606900742</v>
      </c>
      <c r="BH284" s="3">
        <v>6.1675831991176766</v>
      </c>
      <c r="BI284" s="3">
        <v>6.4142865270823837</v>
      </c>
      <c r="BJ284" s="3">
        <v>6.6708579881656798</v>
      </c>
      <c r="BK284" s="3">
        <v>6.9376923076923056</v>
      </c>
      <c r="BL284" s="3">
        <v>7.2151999999999994</v>
      </c>
      <c r="BM284" s="3">
        <v>7.5038079999999994</v>
      </c>
      <c r="BN284" s="3">
        <v>7.8039603199999998</v>
      </c>
      <c r="BO284" s="3">
        <v>8.1161187328000004</v>
      </c>
      <c r="BP284" s="3">
        <v>8.4407634821120006</v>
      </c>
      <c r="BQ284" s="3">
        <v>8.7783940213964797</v>
      </c>
      <c r="BR284" s="3">
        <v>9.1295297822523409</v>
      </c>
      <c r="BS284" s="3">
        <v>9.4947109735424338</v>
      </c>
      <c r="BT284" s="3">
        <v>9.8744994124841305</v>
      </c>
      <c r="BU284" s="3">
        <v>10.2694793889835</v>
      </c>
      <c r="BV284" s="3">
        <v>10.680258564542839</v>
      </c>
      <c r="BW284" s="3">
        <v>11.10746890712455</v>
      </c>
      <c r="BY284" s="17" t="s">
        <v>1836</v>
      </c>
      <c r="BZ284" s="3">
        <v>5.2720759671303137</v>
      </c>
      <c r="CA284" s="3">
        <v>5.482959005815526</v>
      </c>
      <c r="CB284" s="3">
        <v>5.7022773660481478</v>
      </c>
      <c r="CC284" s="3">
        <v>5.9303684606900742</v>
      </c>
      <c r="CD284" s="3">
        <v>6.1675831991176766</v>
      </c>
      <c r="CE284" s="3">
        <v>6.4142865270823837</v>
      </c>
      <c r="CF284" s="3">
        <v>6.6708579881656798</v>
      </c>
      <c r="CG284" s="3">
        <v>6.9376923076923056</v>
      </c>
      <c r="CH284" s="3">
        <v>7.2151999999999994</v>
      </c>
      <c r="CI284" s="3">
        <v>7.5038079999999994</v>
      </c>
      <c r="CJ284" s="3">
        <v>7.8039603199999998</v>
      </c>
      <c r="CK284" s="3">
        <v>8.1161187328000004</v>
      </c>
      <c r="CL284" s="3">
        <v>8.4407634821120006</v>
      </c>
      <c r="CM284" s="3">
        <v>8.7783940213964797</v>
      </c>
      <c r="CN284" s="3">
        <v>9.1295297822523409</v>
      </c>
      <c r="CO284" s="3">
        <v>9.4947109735424338</v>
      </c>
      <c r="CP284" s="3">
        <v>9.8744994124841305</v>
      </c>
      <c r="CQ284" s="3">
        <v>10.2694793889835</v>
      </c>
      <c r="CR284" s="3">
        <v>10.680258564542839</v>
      </c>
      <c r="CS284" s="3">
        <v>11.10746890712455</v>
      </c>
      <c r="CU284" s="17" t="s">
        <v>1837</v>
      </c>
      <c r="CV284" s="3">
        <v>5.2720759671303137</v>
      </c>
      <c r="CW284" s="3">
        <v>5.482959005815526</v>
      </c>
      <c r="CX284" s="3">
        <v>5.7022773660481478</v>
      </c>
      <c r="CY284" s="3">
        <v>5.9303684606900742</v>
      </c>
      <c r="CZ284" s="3">
        <v>6.1675831991176766</v>
      </c>
      <c r="DA284" s="3">
        <v>6.4142865270823837</v>
      </c>
      <c r="DB284" s="3">
        <v>6.6708579881656798</v>
      </c>
      <c r="DC284" s="3">
        <v>6.9376923076923056</v>
      </c>
      <c r="DD284" s="3">
        <v>7.2151999999999994</v>
      </c>
      <c r="DE284" s="3">
        <v>7.5038079999999994</v>
      </c>
      <c r="DF284" s="3">
        <v>7.8039603199999998</v>
      </c>
      <c r="DG284" s="3">
        <v>8.1161187328000004</v>
      </c>
      <c r="DH284" s="3">
        <v>8.4407634821120006</v>
      </c>
      <c r="DI284" s="3">
        <v>8.7783940213964797</v>
      </c>
      <c r="DJ284" s="3">
        <v>9.1295297822523409</v>
      </c>
      <c r="DK284" s="3">
        <v>9.4947109735424338</v>
      </c>
      <c r="DL284" s="3">
        <v>9.8744994124841305</v>
      </c>
      <c r="DM284" s="3">
        <v>10.2694793889835</v>
      </c>
      <c r="DN284" s="3">
        <v>10.680258564542839</v>
      </c>
      <c r="DO284" s="3">
        <v>11.10746890712455</v>
      </c>
    </row>
    <row r="285" spans="1:119" x14ac:dyDescent="0.45">
      <c r="A285" s="16" t="s">
        <v>1838</v>
      </c>
      <c r="B285" s="3" t="s">
        <v>89</v>
      </c>
      <c r="C285" s="16" t="s">
        <v>1839</v>
      </c>
      <c r="H285" s="3" t="s">
        <v>1840</v>
      </c>
      <c r="I285" s="3" t="s">
        <v>860</v>
      </c>
      <c r="K285" s="17" t="s">
        <v>1841</v>
      </c>
      <c r="L285" s="3">
        <v>0</v>
      </c>
      <c r="M285" s="3">
        <v>0</v>
      </c>
      <c r="N285" s="3">
        <v>0</v>
      </c>
      <c r="O285" s="3">
        <v>0</v>
      </c>
      <c r="P285" s="3">
        <v>0</v>
      </c>
      <c r="Q285" s="3">
        <v>0</v>
      </c>
      <c r="R285" s="3">
        <v>0</v>
      </c>
      <c r="S285" s="3">
        <v>0</v>
      </c>
      <c r="T285" s="3">
        <v>0</v>
      </c>
      <c r="U285" s="3">
        <v>0</v>
      </c>
      <c r="V285" s="3">
        <v>0</v>
      </c>
      <c r="W285" s="3">
        <v>0</v>
      </c>
      <c r="X285" s="3">
        <v>0</v>
      </c>
      <c r="Y285" s="3">
        <v>0</v>
      </c>
      <c r="Z285" s="3">
        <v>0</v>
      </c>
      <c r="AA285" s="3">
        <v>0</v>
      </c>
      <c r="AB285" s="3">
        <v>0</v>
      </c>
      <c r="AC285" s="3">
        <v>0</v>
      </c>
      <c r="AD285" s="3">
        <v>0</v>
      </c>
      <c r="AE285" s="3">
        <v>0</v>
      </c>
      <c r="AG285" s="17" t="s">
        <v>1842</v>
      </c>
      <c r="AH285" s="3">
        <v>0</v>
      </c>
      <c r="AI285" s="3">
        <v>0</v>
      </c>
      <c r="AJ285" s="3">
        <v>0</v>
      </c>
      <c r="AK285" s="3">
        <v>0</v>
      </c>
      <c r="AL285" s="3">
        <v>0</v>
      </c>
      <c r="AM285" s="3">
        <v>0</v>
      </c>
      <c r="AN285" s="3">
        <v>0</v>
      </c>
      <c r="AO285" s="3">
        <v>0</v>
      </c>
      <c r="AP285" s="3">
        <v>0</v>
      </c>
      <c r="AQ285" s="3">
        <v>0</v>
      </c>
      <c r="AR285" s="3">
        <v>0</v>
      </c>
      <c r="AS285" s="3">
        <v>0</v>
      </c>
      <c r="AT285" s="3">
        <v>0</v>
      </c>
      <c r="AU285" s="3">
        <v>0</v>
      </c>
      <c r="AV285" s="3">
        <v>0</v>
      </c>
      <c r="AW285" s="3">
        <v>0</v>
      </c>
      <c r="AX285" s="3">
        <v>0</v>
      </c>
      <c r="AY285" s="3">
        <v>0</v>
      </c>
      <c r="AZ285" s="3">
        <v>0</v>
      </c>
      <c r="BA285" s="3">
        <v>0</v>
      </c>
      <c r="BC285" s="17" t="s">
        <v>1843</v>
      </c>
      <c r="BD285" s="3">
        <v>0</v>
      </c>
      <c r="BE285" s="3">
        <v>0</v>
      </c>
      <c r="BF285" s="3">
        <v>0</v>
      </c>
      <c r="BG285" s="3">
        <v>0</v>
      </c>
      <c r="BH285" s="3">
        <v>0</v>
      </c>
      <c r="BI285" s="3">
        <v>0</v>
      </c>
      <c r="BJ285" s="3">
        <v>0</v>
      </c>
      <c r="BK285" s="3">
        <v>0</v>
      </c>
      <c r="BL285" s="3">
        <v>0</v>
      </c>
      <c r="BM285" s="3">
        <v>0</v>
      </c>
      <c r="BN285" s="3">
        <v>0</v>
      </c>
      <c r="BO285" s="3">
        <v>0</v>
      </c>
      <c r="BP285" s="3">
        <v>0</v>
      </c>
      <c r="BQ285" s="3">
        <v>0</v>
      </c>
      <c r="BR285" s="3">
        <v>0</v>
      </c>
      <c r="BS285" s="3">
        <v>0</v>
      </c>
      <c r="BT285" s="3">
        <v>0</v>
      </c>
      <c r="BU285" s="3">
        <v>0</v>
      </c>
      <c r="BV285" s="3">
        <v>0</v>
      </c>
      <c r="BW285" s="3">
        <v>0</v>
      </c>
      <c r="BY285" s="17" t="s">
        <v>1844</v>
      </c>
      <c r="BZ285" s="3">
        <v>0</v>
      </c>
      <c r="CA285" s="3">
        <v>0</v>
      </c>
      <c r="CB285" s="3">
        <v>0</v>
      </c>
      <c r="CC285" s="3">
        <v>0</v>
      </c>
      <c r="CD285" s="3">
        <v>0</v>
      </c>
      <c r="CE285" s="3">
        <v>0</v>
      </c>
      <c r="CF285" s="3">
        <v>0</v>
      </c>
      <c r="CG285" s="3">
        <v>0</v>
      </c>
      <c r="CH285" s="3">
        <v>0</v>
      </c>
      <c r="CI285" s="3">
        <v>0</v>
      </c>
      <c r="CJ285" s="3">
        <v>0</v>
      </c>
      <c r="CK285" s="3">
        <v>0</v>
      </c>
      <c r="CL285" s="3">
        <v>0</v>
      </c>
      <c r="CM285" s="3">
        <v>0</v>
      </c>
      <c r="CN285" s="3">
        <v>0</v>
      </c>
      <c r="CO285" s="3">
        <v>0</v>
      </c>
      <c r="CP285" s="3">
        <v>0</v>
      </c>
      <c r="CQ285" s="3">
        <v>0</v>
      </c>
      <c r="CR285" s="3">
        <v>0</v>
      </c>
      <c r="CS285" s="3">
        <v>0</v>
      </c>
      <c r="CU285" s="17" t="s">
        <v>1845</v>
      </c>
      <c r="CV285" s="3">
        <v>0</v>
      </c>
      <c r="CW285" s="3">
        <v>0</v>
      </c>
      <c r="CX285" s="3">
        <v>0</v>
      </c>
      <c r="CY285" s="3">
        <v>0</v>
      </c>
      <c r="CZ285" s="3">
        <v>0</v>
      </c>
      <c r="DA285" s="3">
        <v>0</v>
      </c>
      <c r="DB285" s="3">
        <v>0</v>
      </c>
      <c r="DC285" s="3">
        <v>0</v>
      </c>
      <c r="DD285" s="3">
        <v>0</v>
      </c>
      <c r="DE285" s="3">
        <v>0</v>
      </c>
      <c r="DF285" s="3">
        <v>0</v>
      </c>
      <c r="DG285" s="3">
        <v>0</v>
      </c>
      <c r="DH285" s="3">
        <v>0</v>
      </c>
      <c r="DI285" s="3">
        <v>0</v>
      </c>
      <c r="DJ285" s="3">
        <v>0</v>
      </c>
      <c r="DK285" s="3">
        <v>0</v>
      </c>
      <c r="DL285" s="3">
        <v>0</v>
      </c>
      <c r="DM285" s="3">
        <v>0</v>
      </c>
      <c r="DN285" s="3">
        <v>0</v>
      </c>
      <c r="DO285" s="3">
        <v>0</v>
      </c>
    </row>
    <row r="286" spans="1:119" x14ac:dyDescent="0.45">
      <c r="A286" s="16" t="s">
        <v>1846</v>
      </c>
      <c r="B286" s="3" t="s">
        <v>89</v>
      </c>
      <c r="C286" s="16" t="s">
        <v>1847</v>
      </c>
      <c r="H286" s="3" t="s">
        <v>1848</v>
      </c>
      <c r="I286" s="3" t="s">
        <v>860</v>
      </c>
      <c r="K286" s="17" t="s">
        <v>1849</v>
      </c>
      <c r="L286" s="3">
        <v>13.46421248673108</v>
      </c>
      <c r="M286" s="3">
        <v>6.5884752723340902</v>
      </c>
      <c r="N286" s="3">
        <v>5.8065680582894004</v>
      </c>
      <c r="O286" s="3">
        <v>4.7532486605082349</v>
      </c>
      <c r="P286" s="3">
        <v>5.3336222070744386</v>
      </c>
      <c r="Q286" s="3">
        <v>5.4645398442557918</v>
      </c>
      <c r="R286" s="3">
        <v>5.4024636206778087</v>
      </c>
      <c r="S286" s="3">
        <v>5.3358943039594733</v>
      </c>
      <c r="T286" s="3">
        <v>5.2646478334587359</v>
      </c>
      <c r="U286" s="3">
        <v>5.1958920895644614</v>
      </c>
      <c r="V286" s="3">
        <v>5.1958920895644614</v>
      </c>
      <c r="W286" s="3">
        <v>5.1958920895644614</v>
      </c>
      <c r="X286" s="3">
        <v>5.1958920895644631</v>
      </c>
      <c r="Y286" s="3">
        <v>5.1958920895644631</v>
      </c>
      <c r="Z286" s="3">
        <v>5.1958920895644631</v>
      </c>
      <c r="AA286" s="3">
        <v>5.1958920895644622</v>
      </c>
      <c r="AB286" s="3">
        <v>5.1958920895644622</v>
      </c>
      <c r="AC286" s="3">
        <v>5.1958920895644631</v>
      </c>
      <c r="AD286" s="3">
        <v>5.1958920895644631</v>
      </c>
      <c r="AE286" s="3">
        <v>5.1958920895644631</v>
      </c>
      <c r="AG286" s="17" t="s">
        <v>1850</v>
      </c>
      <c r="AH286" s="3">
        <v>13.46421248673108</v>
      </c>
      <c r="AI286" s="3">
        <v>6.5884752723340902</v>
      </c>
      <c r="AJ286" s="3">
        <v>5.8065680582894004</v>
      </c>
      <c r="AK286" s="3">
        <v>4.7532486605082349</v>
      </c>
      <c r="AL286" s="3">
        <v>5.3336222070744386</v>
      </c>
      <c r="AM286" s="3">
        <v>5.4645398442557918</v>
      </c>
      <c r="AN286" s="3">
        <v>5.4024636206778087</v>
      </c>
      <c r="AO286" s="3">
        <v>5.3358943039594733</v>
      </c>
      <c r="AP286" s="3">
        <v>5.2646478334587359</v>
      </c>
      <c r="AQ286" s="3">
        <v>5.1958920895644614</v>
      </c>
      <c r="AR286" s="3">
        <v>5.1958920895644614</v>
      </c>
      <c r="AS286" s="3">
        <v>5.1958920895644614</v>
      </c>
      <c r="AT286" s="3">
        <v>5.1958920895644631</v>
      </c>
      <c r="AU286" s="3">
        <v>5.1958920895644631</v>
      </c>
      <c r="AV286" s="3">
        <v>5.1958920895644631</v>
      </c>
      <c r="AW286" s="3">
        <v>5.1958920895644622</v>
      </c>
      <c r="AX286" s="3">
        <v>5.1958920895644622</v>
      </c>
      <c r="AY286" s="3">
        <v>5.1958920895644631</v>
      </c>
      <c r="AZ286" s="3">
        <v>5.1958920895644631</v>
      </c>
      <c r="BA286" s="3">
        <v>5.1958920895644631</v>
      </c>
      <c r="BC286" s="17" t="s">
        <v>1851</v>
      </c>
      <c r="BD286" s="3">
        <v>13.46421248673108</v>
      </c>
      <c r="BE286" s="3">
        <v>6.5884752723340902</v>
      </c>
      <c r="BF286" s="3">
        <v>5.8065680582894004</v>
      </c>
      <c r="BG286" s="3">
        <v>4.7532486605082349</v>
      </c>
      <c r="BH286" s="3">
        <v>5.3336222070744386</v>
      </c>
      <c r="BI286" s="3">
        <v>5.4645398442557918</v>
      </c>
      <c r="BJ286" s="3">
        <v>5.4024636206778087</v>
      </c>
      <c r="BK286" s="3">
        <v>5.3358943039594733</v>
      </c>
      <c r="BL286" s="3">
        <v>5.2646478334587359</v>
      </c>
      <c r="BM286" s="3">
        <v>5.1958920895644614</v>
      </c>
      <c r="BN286" s="3">
        <v>5.1958920895644614</v>
      </c>
      <c r="BO286" s="3">
        <v>5.1958920895644614</v>
      </c>
      <c r="BP286" s="3">
        <v>5.1958920895644631</v>
      </c>
      <c r="BQ286" s="3">
        <v>5.1958920895644631</v>
      </c>
      <c r="BR286" s="3">
        <v>5.1958920895644631</v>
      </c>
      <c r="BS286" s="3">
        <v>5.1958920895644622</v>
      </c>
      <c r="BT286" s="3">
        <v>5.1958920895644622</v>
      </c>
      <c r="BU286" s="3">
        <v>5.1958920895644631</v>
      </c>
      <c r="BV286" s="3">
        <v>5.1958920895644631</v>
      </c>
      <c r="BW286" s="3">
        <v>5.1958920895644631</v>
      </c>
      <c r="BY286" s="17" t="s">
        <v>1852</v>
      </c>
      <c r="BZ286" s="3">
        <v>13.46421248673108</v>
      </c>
      <c r="CA286" s="3">
        <v>6.5884752723340902</v>
      </c>
      <c r="CB286" s="3">
        <v>5.8065680582894004</v>
      </c>
      <c r="CC286" s="3">
        <v>4.7532486605082349</v>
      </c>
      <c r="CD286" s="3">
        <v>5.3336222070744386</v>
      </c>
      <c r="CE286" s="3">
        <v>5.4645398442557918</v>
      </c>
      <c r="CF286" s="3">
        <v>5.4024636206778087</v>
      </c>
      <c r="CG286" s="3">
        <v>5.3358943039594733</v>
      </c>
      <c r="CH286" s="3">
        <v>5.2646478334587359</v>
      </c>
      <c r="CI286" s="3">
        <v>5.1958920895644614</v>
      </c>
      <c r="CJ286" s="3">
        <v>5.1958920895644614</v>
      </c>
      <c r="CK286" s="3">
        <v>5.1958920895644614</v>
      </c>
      <c r="CL286" s="3">
        <v>5.1958920895644631</v>
      </c>
      <c r="CM286" s="3">
        <v>5.1958920895644631</v>
      </c>
      <c r="CN286" s="3">
        <v>5.1958920895644631</v>
      </c>
      <c r="CO286" s="3">
        <v>5.1958920895644622</v>
      </c>
      <c r="CP286" s="3">
        <v>5.1958920895644622</v>
      </c>
      <c r="CQ286" s="3">
        <v>5.1958920895644631</v>
      </c>
      <c r="CR286" s="3">
        <v>5.1958920895644631</v>
      </c>
      <c r="CS286" s="3">
        <v>5.1958920895644631</v>
      </c>
      <c r="CU286" s="17" t="s">
        <v>1853</v>
      </c>
      <c r="CV286" s="3">
        <v>13.46421248673108</v>
      </c>
      <c r="CW286" s="3">
        <v>6.5884752723340902</v>
      </c>
      <c r="CX286" s="3">
        <v>5.8065680582894004</v>
      </c>
      <c r="CY286" s="3">
        <v>4.7532486605082349</v>
      </c>
      <c r="CZ286" s="3">
        <v>5.3336222070744386</v>
      </c>
      <c r="DA286" s="3">
        <v>5.4645398442557918</v>
      </c>
      <c r="DB286" s="3">
        <v>5.4024636206778087</v>
      </c>
      <c r="DC286" s="3">
        <v>5.3358943039594733</v>
      </c>
      <c r="DD286" s="3">
        <v>5.2646478334587359</v>
      </c>
      <c r="DE286" s="3">
        <v>5.1958920895644614</v>
      </c>
      <c r="DF286" s="3">
        <v>5.1958920895644614</v>
      </c>
      <c r="DG286" s="3">
        <v>5.1958920895644614</v>
      </c>
      <c r="DH286" s="3">
        <v>5.1958920895644631</v>
      </c>
      <c r="DI286" s="3">
        <v>5.1958920895644631</v>
      </c>
      <c r="DJ286" s="3">
        <v>5.1958920895644631</v>
      </c>
      <c r="DK286" s="3">
        <v>5.1958920895644622</v>
      </c>
      <c r="DL286" s="3">
        <v>5.1958920895644622</v>
      </c>
      <c r="DM286" s="3">
        <v>5.1958920895644631</v>
      </c>
      <c r="DN286" s="3">
        <v>5.1958920895644631</v>
      </c>
      <c r="DO286" s="3">
        <v>5.1958920895644631</v>
      </c>
    </row>
    <row r="287" spans="1:119" x14ac:dyDescent="0.45">
      <c r="A287" s="16" t="s">
        <v>1854</v>
      </c>
      <c r="B287" s="3" t="s">
        <v>89</v>
      </c>
      <c r="C287" s="16" t="s">
        <v>1855</v>
      </c>
      <c r="H287" s="3" t="s">
        <v>1856</v>
      </c>
      <c r="I287" s="3" t="s">
        <v>860</v>
      </c>
      <c r="K287" s="17" t="s">
        <v>1857</v>
      </c>
      <c r="L287" s="3">
        <v>-5.7906903689232596</v>
      </c>
      <c r="M287" s="3">
        <v>-5.9998316630674502</v>
      </c>
      <c r="N287" s="3">
        <v>-6.1919182583645611</v>
      </c>
      <c r="O287" s="3">
        <v>-6.2771421025047358</v>
      </c>
      <c r="P287" s="3">
        <v>-6.5616947079249286</v>
      </c>
      <c r="Q287" s="3">
        <v>-6.8218946245946368</v>
      </c>
      <c r="R287" s="3">
        <v>-7.114545197158332</v>
      </c>
      <c r="S287" s="3">
        <v>-7.4152522934728688</v>
      </c>
      <c r="T287" s="3">
        <v>-7.7240177111982904</v>
      </c>
      <c r="U287" s="3">
        <v>-8.0216261346394422</v>
      </c>
      <c r="V287" s="3">
        <v>-8.3417373712838572</v>
      </c>
      <c r="W287" s="3">
        <v>-8.6744010979574284</v>
      </c>
      <c r="X287" s="3">
        <v>-9.0200851237850621</v>
      </c>
      <c r="Y287" s="3">
        <v>-9.3792970139358545</v>
      </c>
      <c r="Z287" s="3">
        <v>-9.752533492273761</v>
      </c>
      <c r="AA287" s="3">
        <v>-10.14036140789282</v>
      </c>
      <c r="AB287" s="3">
        <v>-10.5432843276922</v>
      </c>
      <c r="AC287" s="3">
        <v>-10.96186601938658</v>
      </c>
      <c r="AD287" s="3">
        <v>-11.396690461543489</v>
      </c>
      <c r="AE287" s="3">
        <v>-11.8213398845695</v>
      </c>
      <c r="AG287" s="17" t="s">
        <v>1858</v>
      </c>
      <c r="AH287" s="3">
        <v>-5.7906903689232596</v>
      </c>
      <c r="AI287" s="3">
        <v>-5.9998316630674502</v>
      </c>
      <c r="AJ287" s="3">
        <v>-6.1919182583645611</v>
      </c>
      <c r="AK287" s="3">
        <v>-6.2771421025047358</v>
      </c>
      <c r="AL287" s="3">
        <v>-6.5616947079249286</v>
      </c>
      <c r="AM287" s="3">
        <v>-6.8218946245946368</v>
      </c>
      <c r="AN287" s="3">
        <v>-7.114545197158332</v>
      </c>
      <c r="AO287" s="3">
        <v>-7.4152522934728688</v>
      </c>
      <c r="AP287" s="3">
        <v>-7.7240177111982904</v>
      </c>
      <c r="AQ287" s="3">
        <v>-8.0216261346394422</v>
      </c>
      <c r="AR287" s="3">
        <v>-8.3417373712838572</v>
      </c>
      <c r="AS287" s="3">
        <v>-8.6744010979574284</v>
      </c>
      <c r="AT287" s="3">
        <v>-9.0200851237850621</v>
      </c>
      <c r="AU287" s="3">
        <v>-9.3792970139358545</v>
      </c>
      <c r="AV287" s="3">
        <v>-9.752533492273761</v>
      </c>
      <c r="AW287" s="3">
        <v>-10.14036140789282</v>
      </c>
      <c r="AX287" s="3">
        <v>-10.5432843276922</v>
      </c>
      <c r="AY287" s="3">
        <v>-10.96186601938658</v>
      </c>
      <c r="AZ287" s="3">
        <v>-11.396690461543489</v>
      </c>
      <c r="BA287" s="3">
        <v>-11.8213398845695</v>
      </c>
      <c r="BC287" s="17" t="s">
        <v>1859</v>
      </c>
      <c r="BD287" s="3">
        <v>-5.7906903689232596</v>
      </c>
      <c r="BE287" s="3">
        <v>-5.9998316630674502</v>
      </c>
      <c r="BF287" s="3">
        <v>-6.1919182583645611</v>
      </c>
      <c r="BG287" s="3">
        <v>-6.2771421025047358</v>
      </c>
      <c r="BH287" s="3">
        <v>-6.5616947079249286</v>
      </c>
      <c r="BI287" s="3">
        <v>-6.8218946245946368</v>
      </c>
      <c r="BJ287" s="3">
        <v>-7.114545197158332</v>
      </c>
      <c r="BK287" s="3">
        <v>-7.4152522934728688</v>
      </c>
      <c r="BL287" s="3">
        <v>-7.7240177111982904</v>
      </c>
      <c r="BM287" s="3">
        <v>-8.0216261346394422</v>
      </c>
      <c r="BN287" s="3">
        <v>-8.3417373712838572</v>
      </c>
      <c r="BO287" s="3">
        <v>-8.6744010979574284</v>
      </c>
      <c r="BP287" s="3">
        <v>-9.0200851237850621</v>
      </c>
      <c r="BQ287" s="3">
        <v>-9.3792970139358545</v>
      </c>
      <c r="BR287" s="3">
        <v>-9.752533492273761</v>
      </c>
      <c r="BS287" s="3">
        <v>-10.14036140789282</v>
      </c>
      <c r="BT287" s="3">
        <v>-10.5432843276922</v>
      </c>
      <c r="BU287" s="3">
        <v>-10.96186601938658</v>
      </c>
      <c r="BV287" s="3">
        <v>-11.396690461543489</v>
      </c>
      <c r="BW287" s="3">
        <v>-11.8213398845695</v>
      </c>
      <c r="BY287" s="17" t="s">
        <v>1860</v>
      </c>
      <c r="BZ287" s="3">
        <v>-5.7906903689232596</v>
      </c>
      <c r="CA287" s="3">
        <v>-5.9998316630674502</v>
      </c>
      <c r="CB287" s="3">
        <v>-6.1919182583645611</v>
      </c>
      <c r="CC287" s="3">
        <v>-6.2771421025047358</v>
      </c>
      <c r="CD287" s="3">
        <v>-6.5616947079249286</v>
      </c>
      <c r="CE287" s="3">
        <v>-6.8218946245946368</v>
      </c>
      <c r="CF287" s="3">
        <v>-7.114545197158332</v>
      </c>
      <c r="CG287" s="3">
        <v>-7.4152522934728688</v>
      </c>
      <c r="CH287" s="3">
        <v>-7.7240177111982904</v>
      </c>
      <c r="CI287" s="3">
        <v>-8.0216261346394422</v>
      </c>
      <c r="CJ287" s="3">
        <v>-8.3417373712838572</v>
      </c>
      <c r="CK287" s="3">
        <v>-8.6744010979574284</v>
      </c>
      <c r="CL287" s="3">
        <v>-9.0200851237850621</v>
      </c>
      <c r="CM287" s="3">
        <v>-9.3792970139358545</v>
      </c>
      <c r="CN287" s="3">
        <v>-9.752533492273761</v>
      </c>
      <c r="CO287" s="3">
        <v>-10.14036140789282</v>
      </c>
      <c r="CP287" s="3">
        <v>-10.5432843276922</v>
      </c>
      <c r="CQ287" s="3">
        <v>-10.96186601938658</v>
      </c>
      <c r="CR287" s="3">
        <v>-11.396690461543489</v>
      </c>
      <c r="CS287" s="3">
        <v>-11.8213398845695</v>
      </c>
      <c r="CU287" s="17" t="s">
        <v>1861</v>
      </c>
      <c r="CV287" s="3">
        <v>-5.7906903689232596</v>
      </c>
      <c r="CW287" s="3">
        <v>-5.9998316630674502</v>
      </c>
      <c r="CX287" s="3">
        <v>-6.1919182583645611</v>
      </c>
      <c r="CY287" s="3">
        <v>-6.2771421025047358</v>
      </c>
      <c r="CZ287" s="3">
        <v>-6.5616947079249286</v>
      </c>
      <c r="DA287" s="3">
        <v>-6.8218946245946368</v>
      </c>
      <c r="DB287" s="3">
        <v>-7.114545197158332</v>
      </c>
      <c r="DC287" s="3">
        <v>-7.4152522934728688</v>
      </c>
      <c r="DD287" s="3">
        <v>-7.7240177111982904</v>
      </c>
      <c r="DE287" s="3">
        <v>-8.0216261346394422</v>
      </c>
      <c r="DF287" s="3">
        <v>-8.3417373712838572</v>
      </c>
      <c r="DG287" s="3">
        <v>-8.6744010979574284</v>
      </c>
      <c r="DH287" s="3">
        <v>-9.0200851237850621</v>
      </c>
      <c r="DI287" s="3">
        <v>-9.3792970139358545</v>
      </c>
      <c r="DJ287" s="3">
        <v>-9.752533492273761</v>
      </c>
      <c r="DK287" s="3">
        <v>-10.14036140789282</v>
      </c>
      <c r="DL287" s="3">
        <v>-10.5432843276922</v>
      </c>
      <c r="DM287" s="3">
        <v>-10.96186601938658</v>
      </c>
      <c r="DN287" s="3">
        <v>-11.396690461543489</v>
      </c>
      <c r="DO287" s="3">
        <v>-11.8213398845695</v>
      </c>
    </row>
    <row r="288" spans="1:119" x14ac:dyDescent="0.45">
      <c r="A288" s="16" t="s">
        <v>1010</v>
      </c>
      <c r="B288" s="3" t="s">
        <v>89</v>
      </c>
      <c r="C288" s="16" t="s">
        <v>1011</v>
      </c>
      <c r="H288" s="3" t="s">
        <v>1012</v>
      </c>
      <c r="I288" s="3" t="s">
        <v>651</v>
      </c>
      <c r="K288" s="17" t="s">
        <v>1013</v>
      </c>
      <c r="L288" s="3">
        <v>0</v>
      </c>
      <c r="M288" s="3">
        <v>0</v>
      </c>
      <c r="N288" s="3">
        <v>0</v>
      </c>
      <c r="O288" s="3">
        <v>0</v>
      </c>
      <c r="P288" s="3">
        <v>0</v>
      </c>
      <c r="Q288" s="3">
        <v>0</v>
      </c>
      <c r="R288" s="3">
        <v>0</v>
      </c>
      <c r="S288" s="3">
        <v>0</v>
      </c>
      <c r="T288" s="3">
        <v>0</v>
      </c>
      <c r="U288" s="3">
        <v>0</v>
      </c>
      <c r="V288" s="3">
        <v>0</v>
      </c>
      <c r="W288" s="3">
        <v>0</v>
      </c>
      <c r="X288" s="3">
        <v>0</v>
      </c>
      <c r="Y288" s="3">
        <v>0</v>
      </c>
      <c r="Z288" s="3">
        <v>0</v>
      </c>
      <c r="AA288" s="3">
        <v>0</v>
      </c>
      <c r="AB288" s="3">
        <v>0</v>
      </c>
      <c r="AC288" s="3">
        <v>0</v>
      </c>
      <c r="AD288" s="3">
        <v>0</v>
      </c>
      <c r="AE288" s="3">
        <v>0</v>
      </c>
      <c r="AG288" s="17" t="s">
        <v>1014</v>
      </c>
      <c r="AH288" s="3">
        <v>0</v>
      </c>
      <c r="AI288" s="3">
        <v>0</v>
      </c>
      <c r="AJ288" s="3">
        <v>0</v>
      </c>
      <c r="AK288" s="3">
        <v>0</v>
      </c>
      <c r="AL288" s="3">
        <v>0</v>
      </c>
      <c r="AM288" s="3">
        <v>0</v>
      </c>
      <c r="AN288" s="3">
        <v>0</v>
      </c>
      <c r="AO288" s="3">
        <v>0</v>
      </c>
      <c r="AP288" s="3">
        <v>0</v>
      </c>
      <c r="AQ288" s="3">
        <v>0</v>
      </c>
      <c r="AR288" s="3">
        <v>0</v>
      </c>
      <c r="AS288" s="3">
        <v>0</v>
      </c>
      <c r="AT288" s="3">
        <v>0</v>
      </c>
      <c r="AU288" s="3">
        <v>0</v>
      </c>
      <c r="AV288" s="3">
        <v>0</v>
      </c>
      <c r="AW288" s="3">
        <v>0</v>
      </c>
      <c r="AX288" s="3">
        <v>0</v>
      </c>
      <c r="AY288" s="3">
        <v>0</v>
      </c>
      <c r="AZ288" s="3">
        <v>0</v>
      </c>
      <c r="BA288" s="3">
        <v>0</v>
      </c>
      <c r="BC288" s="17" t="s">
        <v>1015</v>
      </c>
      <c r="BD288" s="3">
        <v>0</v>
      </c>
      <c r="BE288" s="3">
        <v>0</v>
      </c>
      <c r="BF288" s="3">
        <v>0</v>
      </c>
      <c r="BG288" s="3">
        <v>0</v>
      </c>
      <c r="BH288" s="3">
        <v>0</v>
      </c>
      <c r="BI288" s="3">
        <v>0</v>
      </c>
      <c r="BJ288" s="3">
        <v>0</v>
      </c>
      <c r="BK288" s="3">
        <v>0</v>
      </c>
      <c r="BL288" s="3">
        <v>0</v>
      </c>
      <c r="BM288" s="3">
        <v>0</v>
      </c>
      <c r="BN288" s="3">
        <v>0</v>
      </c>
      <c r="BO288" s="3">
        <v>0</v>
      </c>
      <c r="BP288" s="3">
        <v>0</v>
      </c>
      <c r="BQ288" s="3">
        <v>0</v>
      </c>
      <c r="BR288" s="3">
        <v>0</v>
      </c>
      <c r="BS288" s="3">
        <v>0</v>
      </c>
      <c r="BT288" s="3">
        <v>0</v>
      </c>
      <c r="BU288" s="3">
        <v>0</v>
      </c>
      <c r="BV288" s="3">
        <v>0</v>
      </c>
      <c r="BW288" s="3">
        <v>0</v>
      </c>
      <c r="BY288" s="17" t="s">
        <v>1016</v>
      </c>
      <c r="BZ288" s="3">
        <v>0</v>
      </c>
      <c r="CA288" s="3">
        <v>0</v>
      </c>
      <c r="CB288" s="3">
        <v>0</v>
      </c>
      <c r="CC288" s="3">
        <v>0</v>
      </c>
      <c r="CD288" s="3">
        <v>0</v>
      </c>
      <c r="CE288" s="3">
        <v>0</v>
      </c>
      <c r="CF288" s="3">
        <v>0</v>
      </c>
      <c r="CG288" s="3">
        <v>0</v>
      </c>
      <c r="CH288" s="3">
        <v>0</v>
      </c>
      <c r="CI288" s="3">
        <v>0</v>
      </c>
      <c r="CJ288" s="3">
        <v>0</v>
      </c>
      <c r="CK288" s="3">
        <v>0</v>
      </c>
      <c r="CL288" s="3">
        <v>0</v>
      </c>
      <c r="CM288" s="3">
        <v>0</v>
      </c>
      <c r="CN288" s="3">
        <v>0</v>
      </c>
      <c r="CO288" s="3">
        <v>0</v>
      </c>
      <c r="CP288" s="3">
        <v>0</v>
      </c>
      <c r="CQ288" s="3">
        <v>0</v>
      </c>
      <c r="CR288" s="3">
        <v>0</v>
      </c>
      <c r="CS288" s="3">
        <v>0</v>
      </c>
      <c r="CU288" s="17" t="s">
        <v>1017</v>
      </c>
      <c r="CV288" s="3">
        <v>0</v>
      </c>
      <c r="CW288" s="3">
        <v>0</v>
      </c>
      <c r="CX288" s="3">
        <v>0</v>
      </c>
      <c r="CY288" s="3">
        <v>0</v>
      </c>
      <c r="CZ288" s="3">
        <v>0</v>
      </c>
      <c r="DA288" s="3">
        <v>0</v>
      </c>
      <c r="DB288" s="3">
        <v>0</v>
      </c>
      <c r="DC288" s="3">
        <v>0</v>
      </c>
      <c r="DD288" s="3">
        <v>0</v>
      </c>
      <c r="DE288" s="3">
        <v>0</v>
      </c>
      <c r="DF288" s="3">
        <v>0</v>
      </c>
      <c r="DG288" s="3">
        <v>0</v>
      </c>
      <c r="DH288" s="3">
        <v>0</v>
      </c>
      <c r="DI288" s="3">
        <v>0</v>
      </c>
      <c r="DJ288" s="3">
        <v>0</v>
      </c>
      <c r="DK288" s="3">
        <v>0</v>
      </c>
      <c r="DL288" s="3">
        <v>0</v>
      </c>
      <c r="DM288" s="3">
        <v>0</v>
      </c>
      <c r="DN288" s="3">
        <v>0</v>
      </c>
      <c r="DO288" s="3">
        <v>0</v>
      </c>
    </row>
    <row r="289" spans="1:119" x14ac:dyDescent="0.45">
      <c r="A289" s="16" t="s">
        <v>1862</v>
      </c>
      <c r="B289" s="3" t="s">
        <v>89</v>
      </c>
      <c r="C289" s="16" t="s">
        <v>1863</v>
      </c>
      <c r="H289" s="3" t="s">
        <v>1864</v>
      </c>
      <c r="I289" s="3" t="s">
        <v>109</v>
      </c>
      <c r="K289" s="17" t="s">
        <v>1865</v>
      </c>
      <c r="L289" s="3">
        <v>0</v>
      </c>
      <c r="M289" s="3">
        <v>0</v>
      </c>
      <c r="N289" s="3">
        <v>0</v>
      </c>
      <c r="O289" s="3">
        <v>0</v>
      </c>
      <c r="P289" s="3">
        <v>0</v>
      </c>
      <c r="Q289" s="3">
        <v>0</v>
      </c>
      <c r="R289" s="3">
        <v>0</v>
      </c>
      <c r="S289" s="3">
        <v>0</v>
      </c>
      <c r="T289" s="3">
        <v>0</v>
      </c>
      <c r="U289" s="3">
        <v>0</v>
      </c>
      <c r="V289" s="3">
        <v>0</v>
      </c>
      <c r="W289" s="3">
        <v>0</v>
      </c>
      <c r="X289" s="3">
        <v>0</v>
      </c>
      <c r="Y289" s="3">
        <v>0</v>
      </c>
      <c r="Z289" s="3">
        <v>0</v>
      </c>
      <c r="AA289" s="3">
        <v>0</v>
      </c>
      <c r="AB289" s="3">
        <v>0</v>
      </c>
      <c r="AC289" s="3">
        <v>0</v>
      </c>
      <c r="AD289" s="3">
        <v>0</v>
      </c>
      <c r="AE289" s="3">
        <v>0</v>
      </c>
      <c r="AG289" s="17" t="s">
        <v>1866</v>
      </c>
      <c r="AH289" s="3">
        <v>0</v>
      </c>
      <c r="AI289" s="3">
        <v>0</v>
      </c>
      <c r="AJ289" s="3">
        <v>0</v>
      </c>
      <c r="AK289" s="3">
        <v>0</v>
      </c>
      <c r="AL289" s="3">
        <v>0</v>
      </c>
      <c r="AM289" s="3">
        <v>0</v>
      </c>
      <c r="AN289" s="3">
        <v>0</v>
      </c>
      <c r="AO289" s="3">
        <v>0</v>
      </c>
      <c r="AP289" s="3">
        <v>0</v>
      </c>
      <c r="AQ289" s="3">
        <v>0</v>
      </c>
      <c r="AR289" s="3">
        <v>0</v>
      </c>
      <c r="AS289" s="3">
        <v>0</v>
      </c>
      <c r="AT289" s="3">
        <v>0</v>
      </c>
      <c r="AU289" s="3">
        <v>0</v>
      </c>
      <c r="AV289" s="3">
        <v>0</v>
      </c>
      <c r="AW289" s="3">
        <v>0</v>
      </c>
      <c r="AX289" s="3">
        <v>0</v>
      </c>
      <c r="AY289" s="3">
        <v>0</v>
      </c>
      <c r="AZ289" s="3">
        <v>0</v>
      </c>
      <c r="BA289" s="3">
        <v>0</v>
      </c>
      <c r="BC289" s="17" t="s">
        <v>1867</v>
      </c>
      <c r="BD289" s="3">
        <v>0</v>
      </c>
      <c r="BE289" s="3">
        <v>0</v>
      </c>
      <c r="BF289" s="3">
        <v>0</v>
      </c>
      <c r="BG289" s="3">
        <v>0</v>
      </c>
      <c r="BH289" s="3">
        <v>0</v>
      </c>
      <c r="BI289" s="3">
        <v>0</v>
      </c>
      <c r="BJ289" s="3">
        <v>0</v>
      </c>
      <c r="BK289" s="3">
        <v>0</v>
      </c>
      <c r="BL289" s="3">
        <v>0</v>
      </c>
      <c r="BM289" s="3">
        <v>0</v>
      </c>
      <c r="BN289" s="3">
        <v>0</v>
      </c>
      <c r="BO289" s="3">
        <v>0</v>
      </c>
      <c r="BP289" s="3">
        <v>0</v>
      </c>
      <c r="BQ289" s="3">
        <v>0</v>
      </c>
      <c r="BR289" s="3">
        <v>0</v>
      </c>
      <c r="BS289" s="3">
        <v>0</v>
      </c>
      <c r="BT289" s="3">
        <v>0</v>
      </c>
      <c r="BU289" s="3">
        <v>0</v>
      </c>
      <c r="BV289" s="3">
        <v>0</v>
      </c>
      <c r="BW289" s="3">
        <v>0</v>
      </c>
      <c r="BY289" s="17" t="s">
        <v>1868</v>
      </c>
      <c r="BZ289" s="3">
        <v>0</v>
      </c>
      <c r="CA289" s="3">
        <v>0</v>
      </c>
      <c r="CB289" s="3">
        <v>0</v>
      </c>
      <c r="CC289" s="3">
        <v>0</v>
      </c>
      <c r="CD289" s="3">
        <v>0</v>
      </c>
      <c r="CE289" s="3">
        <v>0</v>
      </c>
      <c r="CF289" s="3">
        <v>0</v>
      </c>
      <c r="CG289" s="3">
        <v>0</v>
      </c>
      <c r="CH289" s="3">
        <v>0</v>
      </c>
      <c r="CI289" s="3">
        <v>0</v>
      </c>
      <c r="CJ289" s="3">
        <v>0</v>
      </c>
      <c r="CK289" s="3">
        <v>0</v>
      </c>
      <c r="CL289" s="3">
        <v>0</v>
      </c>
      <c r="CM289" s="3">
        <v>0</v>
      </c>
      <c r="CN289" s="3">
        <v>0</v>
      </c>
      <c r="CO289" s="3">
        <v>0</v>
      </c>
      <c r="CP289" s="3">
        <v>0</v>
      </c>
      <c r="CQ289" s="3">
        <v>0</v>
      </c>
      <c r="CR289" s="3">
        <v>0</v>
      </c>
      <c r="CS289" s="3">
        <v>0</v>
      </c>
      <c r="CU289" s="17" t="s">
        <v>1869</v>
      </c>
      <c r="CV289" s="3">
        <v>0</v>
      </c>
      <c r="CW289" s="3">
        <v>0</v>
      </c>
      <c r="CX289" s="3">
        <v>0</v>
      </c>
      <c r="CY289" s="3">
        <v>0</v>
      </c>
      <c r="CZ289" s="3">
        <v>0</v>
      </c>
      <c r="DA289" s="3">
        <v>0</v>
      </c>
      <c r="DB289" s="3">
        <v>0</v>
      </c>
      <c r="DC289" s="3">
        <v>0</v>
      </c>
      <c r="DD289" s="3">
        <v>0</v>
      </c>
      <c r="DE289" s="3">
        <v>0</v>
      </c>
      <c r="DF289" s="3">
        <v>0</v>
      </c>
      <c r="DG289" s="3">
        <v>0</v>
      </c>
      <c r="DH289" s="3">
        <v>0</v>
      </c>
      <c r="DI289" s="3">
        <v>0</v>
      </c>
      <c r="DJ289" s="3">
        <v>0</v>
      </c>
      <c r="DK289" s="3">
        <v>0</v>
      </c>
      <c r="DL289" s="3">
        <v>0</v>
      </c>
      <c r="DM289" s="3">
        <v>0</v>
      </c>
      <c r="DN289" s="3">
        <v>0</v>
      </c>
      <c r="DO289" s="3">
        <v>0</v>
      </c>
    </row>
    <row r="290" spans="1:119" x14ac:dyDescent="0.45">
      <c r="A290" s="16" t="s">
        <v>1870</v>
      </c>
      <c r="B290" s="3" t="s">
        <v>89</v>
      </c>
      <c r="C290" s="16" t="s">
        <v>1871</v>
      </c>
      <c r="H290" s="3" t="s">
        <v>1872</v>
      </c>
      <c r="I290" s="3" t="s">
        <v>860</v>
      </c>
      <c r="K290" s="17" t="s">
        <v>1873</v>
      </c>
      <c r="L290" s="3">
        <v>5.7906903689232587</v>
      </c>
      <c r="M290" s="3">
        <v>5.9998316630674502</v>
      </c>
      <c r="N290" s="3">
        <v>6.1919182583645611</v>
      </c>
      <c r="O290" s="3">
        <v>6.2771421025047358</v>
      </c>
      <c r="P290" s="3">
        <v>6.5616947079249286</v>
      </c>
      <c r="Q290" s="3">
        <v>6.8218946245946368</v>
      </c>
      <c r="R290" s="3">
        <v>7.114545197158332</v>
      </c>
      <c r="S290" s="3">
        <v>7.4152522934728697</v>
      </c>
      <c r="T290" s="3">
        <v>7.7240177111982904</v>
      </c>
      <c r="U290" s="3">
        <v>8.0216261346394422</v>
      </c>
      <c r="V290" s="3">
        <v>8.3417373712838572</v>
      </c>
      <c r="W290" s="3">
        <v>8.6744010979574284</v>
      </c>
      <c r="X290" s="3">
        <v>9.0200851237850621</v>
      </c>
      <c r="Y290" s="3">
        <v>9.3792970139358545</v>
      </c>
      <c r="Z290" s="3">
        <v>9.752533492273761</v>
      </c>
      <c r="AA290" s="3">
        <v>10.14036140789282</v>
      </c>
      <c r="AB290" s="3">
        <v>10.5432843276922</v>
      </c>
      <c r="AC290" s="3">
        <v>10.96186601938658</v>
      </c>
      <c r="AD290" s="3">
        <v>11.396690461543489</v>
      </c>
      <c r="AE290" s="3">
        <v>11.8213398845695</v>
      </c>
      <c r="AG290" s="17" t="s">
        <v>1874</v>
      </c>
      <c r="AH290" s="3">
        <v>5.7906903689232587</v>
      </c>
      <c r="AI290" s="3">
        <v>5.9998316630674502</v>
      </c>
      <c r="AJ290" s="3">
        <v>6.1919182583645611</v>
      </c>
      <c r="AK290" s="3">
        <v>6.2771421025047358</v>
      </c>
      <c r="AL290" s="3">
        <v>6.5616947079249286</v>
      </c>
      <c r="AM290" s="3">
        <v>6.8218946245946368</v>
      </c>
      <c r="AN290" s="3">
        <v>7.114545197158332</v>
      </c>
      <c r="AO290" s="3">
        <v>7.4152522934728697</v>
      </c>
      <c r="AP290" s="3">
        <v>7.7240177111982904</v>
      </c>
      <c r="AQ290" s="3">
        <v>8.0216261346394422</v>
      </c>
      <c r="AR290" s="3">
        <v>8.3417373712838572</v>
      </c>
      <c r="AS290" s="3">
        <v>8.6744010979574284</v>
      </c>
      <c r="AT290" s="3">
        <v>9.0200851237850621</v>
      </c>
      <c r="AU290" s="3">
        <v>9.3792970139358545</v>
      </c>
      <c r="AV290" s="3">
        <v>9.752533492273761</v>
      </c>
      <c r="AW290" s="3">
        <v>10.14036140789282</v>
      </c>
      <c r="AX290" s="3">
        <v>10.5432843276922</v>
      </c>
      <c r="AY290" s="3">
        <v>10.96186601938658</v>
      </c>
      <c r="AZ290" s="3">
        <v>11.396690461543489</v>
      </c>
      <c r="BA290" s="3">
        <v>11.8213398845695</v>
      </c>
      <c r="BC290" s="17" t="s">
        <v>1875</v>
      </c>
      <c r="BD290" s="3">
        <v>5.7906903689232587</v>
      </c>
      <c r="BE290" s="3">
        <v>5.9998316630674502</v>
      </c>
      <c r="BF290" s="3">
        <v>6.1919182583645611</v>
      </c>
      <c r="BG290" s="3">
        <v>6.2771421025047358</v>
      </c>
      <c r="BH290" s="3">
        <v>6.5616947079249286</v>
      </c>
      <c r="BI290" s="3">
        <v>6.8218946245946368</v>
      </c>
      <c r="BJ290" s="3">
        <v>7.114545197158332</v>
      </c>
      <c r="BK290" s="3">
        <v>7.4152522934728697</v>
      </c>
      <c r="BL290" s="3">
        <v>7.7240177111982904</v>
      </c>
      <c r="BM290" s="3">
        <v>8.0216261346394422</v>
      </c>
      <c r="BN290" s="3">
        <v>8.3417373712838572</v>
      </c>
      <c r="BO290" s="3">
        <v>8.6744010979574284</v>
      </c>
      <c r="BP290" s="3">
        <v>9.0200851237850621</v>
      </c>
      <c r="BQ290" s="3">
        <v>9.3792970139358545</v>
      </c>
      <c r="BR290" s="3">
        <v>9.752533492273761</v>
      </c>
      <c r="BS290" s="3">
        <v>10.14036140789282</v>
      </c>
      <c r="BT290" s="3">
        <v>10.5432843276922</v>
      </c>
      <c r="BU290" s="3">
        <v>10.96186601938658</v>
      </c>
      <c r="BV290" s="3">
        <v>11.396690461543489</v>
      </c>
      <c r="BW290" s="3">
        <v>11.8213398845695</v>
      </c>
      <c r="BY290" s="17" t="s">
        <v>1876</v>
      </c>
      <c r="BZ290" s="3">
        <v>5.7906903689232587</v>
      </c>
      <c r="CA290" s="3">
        <v>5.9998316630674502</v>
      </c>
      <c r="CB290" s="3">
        <v>6.1919182583645611</v>
      </c>
      <c r="CC290" s="3">
        <v>6.2771421025047358</v>
      </c>
      <c r="CD290" s="3">
        <v>6.5616947079249286</v>
      </c>
      <c r="CE290" s="3">
        <v>6.8218946245946368</v>
      </c>
      <c r="CF290" s="3">
        <v>7.114545197158332</v>
      </c>
      <c r="CG290" s="3">
        <v>7.4152522934728697</v>
      </c>
      <c r="CH290" s="3">
        <v>7.7240177111982904</v>
      </c>
      <c r="CI290" s="3">
        <v>8.0216261346394422</v>
      </c>
      <c r="CJ290" s="3">
        <v>8.3417373712838572</v>
      </c>
      <c r="CK290" s="3">
        <v>8.6744010979574284</v>
      </c>
      <c r="CL290" s="3">
        <v>9.0200851237850621</v>
      </c>
      <c r="CM290" s="3">
        <v>9.3792970139358545</v>
      </c>
      <c r="CN290" s="3">
        <v>9.752533492273761</v>
      </c>
      <c r="CO290" s="3">
        <v>10.14036140789282</v>
      </c>
      <c r="CP290" s="3">
        <v>10.5432843276922</v>
      </c>
      <c r="CQ290" s="3">
        <v>10.96186601938658</v>
      </c>
      <c r="CR290" s="3">
        <v>11.396690461543489</v>
      </c>
      <c r="CS290" s="3">
        <v>11.8213398845695</v>
      </c>
      <c r="CU290" s="17" t="s">
        <v>1877</v>
      </c>
      <c r="CV290" s="3">
        <v>5.7906903689232587</v>
      </c>
      <c r="CW290" s="3">
        <v>5.9998316630674502</v>
      </c>
      <c r="CX290" s="3">
        <v>6.1919182583645611</v>
      </c>
      <c r="CY290" s="3">
        <v>6.2771421025047358</v>
      </c>
      <c r="CZ290" s="3">
        <v>6.5616947079249286</v>
      </c>
      <c r="DA290" s="3">
        <v>6.8218946245946368</v>
      </c>
      <c r="DB290" s="3">
        <v>7.114545197158332</v>
      </c>
      <c r="DC290" s="3">
        <v>7.4152522934728697</v>
      </c>
      <c r="DD290" s="3">
        <v>7.7240177111982904</v>
      </c>
      <c r="DE290" s="3">
        <v>8.0216261346394422</v>
      </c>
      <c r="DF290" s="3">
        <v>8.3417373712838572</v>
      </c>
      <c r="DG290" s="3">
        <v>8.6744010979574284</v>
      </c>
      <c r="DH290" s="3">
        <v>9.0200851237850621</v>
      </c>
      <c r="DI290" s="3">
        <v>9.3792970139358545</v>
      </c>
      <c r="DJ290" s="3">
        <v>9.752533492273761</v>
      </c>
      <c r="DK290" s="3">
        <v>10.14036140789282</v>
      </c>
      <c r="DL290" s="3">
        <v>10.5432843276922</v>
      </c>
      <c r="DM290" s="3">
        <v>10.96186601938658</v>
      </c>
      <c r="DN290" s="3">
        <v>11.396690461543489</v>
      </c>
      <c r="DO290" s="3">
        <v>11.8213398845695</v>
      </c>
    </row>
    <row r="291" spans="1:119" x14ac:dyDescent="0.45">
      <c r="A291" s="16" t="s">
        <v>1878</v>
      </c>
      <c r="B291" s="3" t="s">
        <v>89</v>
      </c>
      <c r="C291" s="16" t="s">
        <v>1879</v>
      </c>
      <c r="H291" s="3" t="s">
        <v>1880</v>
      </c>
      <c r="I291" s="3" t="s">
        <v>109</v>
      </c>
      <c r="K291" s="17" t="s">
        <v>1881</v>
      </c>
      <c r="L291" s="3">
        <v>60.192618038203292</v>
      </c>
      <c r="M291" s="3">
        <v>62.366583702469633</v>
      </c>
      <c r="N291" s="3">
        <v>64.363270509111615</v>
      </c>
      <c r="O291" s="3">
        <v>65.24914869828352</v>
      </c>
      <c r="P291" s="3">
        <v>68.206993998000016</v>
      </c>
      <c r="Q291" s="3">
        <v>70.911699862040933</v>
      </c>
      <c r="R291" s="3">
        <v>73.953721281028237</v>
      </c>
      <c r="S291" s="3">
        <v>77.079488026730417</v>
      </c>
      <c r="T291" s="3">
        <v>80.289018785324302</v>
      </c>
      <c r="U291" s="3">
        <v>83.382575687154656</v>
      </c>
      <c r="V291" s="3">
        <v>86.710043082144537</v>
      </c>
      <c r="W291" s="3">
        <v>90.167990124571347</v>
      </c>
      <c r="X291" s="3">
        <v>93.761279560355874</v>
      </c>
      <c r="Y291" s="3">
        <v>97.495187388456188</v>
      </c>
      <c r="Z291" s="3">
        <v>101.3748769154746</v>
      </c>
      <c r="AA291" s="3">
        <v>105.4062403803029</v>
      </c>
      <c r="AB291" s="3">
        <v>109.59451222099391</v>
      </c>
      <c r="AC291" s="3">
        <v>113.9455526463568</v>
      </c>
      <c r="AD291" s="3">
        <v>118.46543195140291</v>
      </c>
      <c r="AE291" s="3">
        <v>122.879544758664</v>
      </c>
      <c r="AG291" s="17" t="s">
        <v>1882</v>
      </c>
      <c r="AH291" s="3">
        <v>60.192618038203292</v>
      </c>
      <c r="AI291" s="3">
        <v>62.366583702469633</v>
      </c>
      <c r="AJ291" s="3">
        <v>64.363270509111615</v>
      </c>
      <c r="AK291" s="3">
        <v>65.24914869828352</v>
      </c>
      <c r="AL291" s="3">
        <v>68.206993998000016</v>
      </c>
      <c r="AM291" s="3">
        <v>70.911699862040933</v>
      </c>
      <c r="AN291" s="3">
        <v>73.953721281028237</v>
      </c>
      <c r="AO291" s="3">
        <v>77.079488026730417</v>
      </c>
      <c r="AP291" s="3">
        <v>80.289018785324302</v>
      </c>
      <c r="AQ291" s="3">
        <v>83.382575687154656</v>
      </c>
      <c r="AR291" s="3">
        <v>86.710043082144537</v>
      </c>
      <c r="AS291" s="3">
        <v>90.167990124571347</v>
      </c>
      <c r="AT291" s="3">
        <v>93.761279560355874</v>
      </c>
      <c r="AU291" s="3">
        <v>97.495187388456188</v>
      </c>
      <c r="AV291" s="3">
        <v>101.3748769154746</v>
      </c>
      <c r="AW291" s="3">
        <v>105.4062403803029</v>
      </c>
      <c r="AX291" s="3">
        <v>109.59451222099391</v>
      </c>
      <c r="AY291" s="3">
        <v>113.9455526463568</v>
      </c>
      <c r="AZ291" s="3">
        <v>118.46543195140291</v>
      </c>
      <c r="BA291" s="3">
        <v>122.879544758664</v>
      </c>
      <c r="BC291" s="17" t="s">
        <v>1883</v>
      </c>
      <c r="BD291" s="3">
        <v>60.192618038203292</v>
      </c>
      <c r="BE291" s="3">
        <v>62.366583702469633</v>
      </c>
      <c r="BF291" s="3">
        <v>64.363270509111615</v>
      </c>
      <c r="BG291" s="3">
        <v>65.24914869828352</v>
      </c>
      <c r="BH291" s="3">
        <v>68.206993998000016</v>
      </c>
      <c r="BI291" s="3">
        <v>70.911699862040933</v>
      </c>
      <c r="BJ291" s="3">
        <v>73.953721281028237</v>
      </c>
      <c r="BK291" s="3">
        <v>77.079488026730417</v>
      </c>
      <c r="BL291" s="3">
        <v>80.289018785324302</v>
      </c>
      <c r="BM291" s="3">
        <v>83.382575687154656</v>
      </c>
      <c r="BN291" s="3">
        <v>86.710043082144537</v>
      </c>
      <c r="BO291" s="3">
        <v>90.167990124571347</v>
      </c>
      <c r="BP291" s="3">
        <v>93.761279560355874</v>
      </c>
      <c r="BQ291" s="3">
        <v>97.495187388456188</v>
      </c>
      <c r="BR291" s="3">
        <v>101.3748769154746</v>
      </c>
      <c r="BS291" s="3">
        <v>105.4062403803029</v>
      </c>
      <c r="BT291" s="3">
        <v>109.59451222099391</v>
      </c>
      <c r="BU291" s="3">
        <v>113.9455526463568</v>
      </c>
      <c r="BV291" s="3">
        <v>118.46543195140291</v>
      </c>
      <c r="BW291" s="3">
        <v>122.879544758664</v>
      </c>
      <c r="BY291" s="17" t="s">
        <v>1884</v>
      </c>
      <c r="BZ291" s="3">
        <v>60.192618038203292</v>
      </c>
      <c r="CA291" s="3">
        <v>62.366583702469633</v>
      </c>
      <c r="CB291" s="3">
        <v>64.363270509111615</v>
      </c>
      <c r="CC291" s="3">
        <v>65.24914869828352</v>
      </c>
      <c r="CD291" s="3">
        <v>68.206993998000016</v>
      </c>
      <c r="CE291" s="3">
        <v>70.911699862040933</v>
      </c>
      <c r="CF291" s="3">
        <v>73.953721281028237</v>
      </c>
      <c r="CG291" s="3">
        <v>77.079488026730417</v>
      </c>
      <c r="CH291" s="3">
        <v>80.289018785324302</v>
      </c>
      <c r="CI291" s="3">
        <v>83.382575687154656</v>
      </c>
      <c r="CJ291" s="3">
        <v>86.710043082144537</v>
      </c>
      <c r="CK291" s="3">
        <v>90.167990124571347</v>
      </c>
      <c r="CL291" s="3">
        <v>93.761279560355874</v>
      </c>
      <c r="CM291" s="3">
        <v>97.495187388456188</v>
      </c>
      <c r="CN291" s="3">
        <v>101.3748769154746</v>
      </c>
      <c r="CO291" s="3">
        <v>105.4062403803029</v>
      </c>
      <c r="CP291" s="3">
        <v>109.59451222099391</v>
      </c>
      <c r="CQ291" s="3">
        <v>113.9455526463568</v>
      </c>
      <c r="CR291" s="3">
        <v>118.46543195140291</v>
      </c>
      <c r="CS291" s="3">
        <v>122.879544758664</v>
      </c>
      <c r="CU291" s="17" t="s">
        <v>1885</v>
      </c>
      <c r="CV291" s="3">
        <v>60.192618038203292</v>
      </c>
      <c r="CW291" s="3">
        <v>62.366583702469633</v>
      </c>
      <c r="CX291" s="3">
        <v>64.363270509111615</v>
      </c>
      <c r="CY291" s="3">
        <v>65.24914869828352</v>
      </c>
      <c r="CZ291" s="3">
        <v>68.206993998000016</v>
      </c>
      <c r="DA291" s="3">
        <v>70.911699862040933</v>
      </c>
      <c r="DB291" s="3">
        <v>73.953721281028237</v>
      </c>
      <c r="DC291" s="3">
        <v>77.079488026730417</v>
      </c>
      <c r="DD291" s="3">
        <v>80.289018785324302</v>
      </c>
      <c r="DE291" s="3">
        <v>83.382575687154656</v>
      </c>
      <c r="DF291" s="3">
        <v>86.710043082144537</v>
      </c>
      <c r="DG291" s="3">
        <v>90.167990124571347</v>
      </c>
      <c r="DH291" s="3">
        <v>93.761279560355874</v>
      </c>
      <c r="DI291" s="3">
        <v>97.495187388456188</v>
      </c>
      <c r="DJ291" s="3">
        <v>101.3748769154746</v>
      </c>
      <c r="DK291" s="3">
        <v>105.4062403803029</v>
      </c>
      <c r="DL291" s="3">
        <v>109.59451222099391</v>
      </c>
      <c r="DM291" s="3">
        <v>113.9455526463568</v>
      </c>
      <c r="DN291" s="3">
        <v>118.46543195140291</v>
      </c>
      <c r="DO291" s="3">
        <v>122.879544758664</v>
      </c>
    </row>
    <row r="292" spans="1:119" x14ac:dyDescent="0.45">
      <c r="A292" s="16" t="s">
        <v>1886</v>
      </c>
      <c r="B292" s="3" t="s">
        <v>89</v>
      </c>
      <c r="C292" s="16" t="s">
        <v>1887</v>
      </c>
      <c r="H292" s="3" t="s">
        <v>1888</v>
      </c>
      <c r="I292" s="3" t="s">
        <v>860</v>
      </c>
      <c r="K292" s="17" t="s">
        <v>1889</v>
      </c>
      <c r="L292" s="3">
        <v>15.24360186652304</v>
      </c>
      <c r="M292" s="3">
        <v>13.63740099867776</v>
      </c>
      <c r="N292" s="3">
        <v>12.920477779835929</v>
      </c>
      <c r="O292" s="3">
        <v>12.97362223641505</v>
      </c>
      <c r="P292" s="3">
        <v>13.074359521425571</v>
      </c>
      <c r="Q292" s="3">
        <v>13.290043817805699</v>
      </c>
      <c r="R292" s="3">
        <v>13.53223425805643</v>
      </c>
      <c r="S292" s="3">
        <v>13.729078915256061</v>
      </c>
      <c r="T292" s="3">
        <v>13.911141569269949</v>
      </c>
      <c r="U292" s="3">
        <v>14.087356418910639</v>
      </c>
      <c r="V292" s="3">
        <v>14.270220913723589</v>
      </c>
      <c r="W292" s="3">
        <v>14.46033142068721</v>
      </c>
      <c r="X292" s="3">
        <v>14.65796440751784</v>
      </c>
      <c r="Y292" s="3">
        <v>14.863415824593719</v>
      </c>
      <c r="Z292" s="3">
        <v>15.07698069934599</v>
      </c>
      <c r="AA292" s="3">
        <v>15.298986266768781</v>
      </c>
      <c r="AB292" s="3">
        <v>15.52973754316921</v>
      </c>
      <c r="AC292" s="3">
        <v>15.76956787054262</v>
      </c>
      <c r="AD292" s="3">
        <v>16.018822756947142</v>
      </c>
      <c r="AE292" s="3">
        <v>16.266615385591731</v>
      </c>
      <c r="AG292" s="17" t="s">
        <v>1890</v>
      </c>
      <c r="AH292" s="3">
        <v>15.24360186652304</v>
      </c>
      <c r="AI292" s="3">
        <v>13.63740099867776</v>
      </c>
      <c r="AJ292" s="3">
        <v>12.920477779835929</v>
      </c>
      <c r="AK292" s="3">
        <v>12.97362223641505</v>
      </c>
      <c r="AL292" s="3">
        <v>13.074359521425571</v>
      </c>
      <c r="AM292" s="3">
        <v>13.290043817805699</v>
      </c>
      <c r="AN292" s="3">
        <v>13.53223425805643</v>
      </c>
      <c r="AO292" s="3">
        <v>13.729078915256061</v>
      </c>
      <c r="AP292" s="3">
        <v>13.911141569269949</v>
      </c>
      <c r="AQ292" s="3">
        <v>14.087356418910639</v>
      </c>
      <c r="AR292" s="3">
        <v>14.270220913723589</v>
      </c>
      <c r="AS292" s="3">
        <v>14.46033142068721</v>
      </c>
      <c r="AT292" s="3">
        <v>14.65796440751784</v>
      </c>
      <c r="AU292" s="3">
        <v>14.863415824593719</v>
      </c>
      <c r="AV292" s="3">
        <v>15.07698069934599</v>
      </c>
      <c r="AW292" s="3">
        <v>15.298986266768781</v>
      </c>
      <c r="AX292" s="3">
        <v>15.52973754316921</v>
      </c>
      <c r="AY292" s="3">
        <v>15.76956787054262</v>
      </c>
      <c r="AZ292" s="3">
        <v>16.018822756947142</v>
      </c>
      <c r="BA292" s="3">
        <v>16.266615385591731</v>
      </c>
      <c r="BC292" s="17" t="s">
        <v>1891</v>
      </c>
      <c r="BD292" s="3">
        <v>15.24360186652304</v>
      </c>
      <c r="BE292" s="3">
        <v>13.63740099867776</v>
      </c>
      <c r="BF292" s="3">
        <v>12.920477779835929</v>
      </c>
      <c r="BG292" s="3">
        <v>12.97362223641505</v>
      </c>
      <c r="BH292" s="3">
        <v>13.074359521425571</v>
      </c>
      <c r="BI292" s="3">
        <v>13.290043817805699</v>
      </c>
      <c r="BJ292" s="3">
        <v>13.53223425805643</v>
      </c>
      <c r="BK292" s="3">
        <v>13.729078915256061</v>
      </c>
      <c r="BL292" s="3">
        <v>13.911141569269949</v>
      </c>
      <c r="BM292" s="3">
        <v>14.087356418910639</v>
      </c>
      <c r="BN292" s="3">
        <v>14.270220913723589</v>
      </c>
      <c r="BO292" s="3">
        <v>14.46033142068721</v>
      </c>
      <c r="BP292" s="3">
        <v>14.65796440751784</v>
      </c>
      <c r="BQ292" s="3">
        <v>14.863415824593719</v>
      </c>
      <c r="BR292" s="3">
        <v>15.07698069934599</v>
      </c>
      <c r="BS292" s="3">
        <v>15.298986266768781</v>
      </c>
      <c r="BT292" s="3">
        <v>15.52973754316921</v>
      </c>
      <c r="BU292" s="3">
        <v>15.76956787054262</v>
      </c>
      <c r="BV292" s="3">
        <v>16.018822756947142</v>
      </c>
      <c r="BW292" s="3">
        <v>16.266615385591731</v>
      </c>
      <c r="BY292" s="17" t="s">
        <v>1892</v>
      </c>
      <c r="BZ292" s="3">
        <v>15.24360186652304</v>
      </c>
      <c r="CA292" s="3">
        <v>13.63740099867776</v>
      </c>
      <c r="CB292" s="3">
        <v>12.920477779835929</v>
      </c>
      <c r="CC292" s="3">
        <v>12.97362223641505</v>
      </c>
      <c r="CD292" s="3">
        <v>13.074359521425571</v>
      </c>
      <c r="CE292" s="3">
        <v>13.290043815589399</v>
      </c>
      <c r="CF292" s="3">
        <v>13.532234255826941</v>
      </c>
      <c r="CG292" s="3">
        <v>13.729078913228101</v>
      </c>
      <c r="CH292" s="3">
        <v>13.91114156767089</v>
      </c>
      <c r="CI292" s="3">
        <v>14.087356417995419</v>
      </c>
      <c r="CJ292" s="3">
        <v>14.27022091365612</v>
      </c>
      <c r="CK292" s="3">
        <v>14.46033142169742</v>
      </c>
      <c r="CL292" s="3">
        <v>14.65796440982523</v>
      </c>
      <c r="CM292" s="3">
        <v>14.86341582843918</v>
      </c>
      <c r="CN292" s="3">
        <v>15.07698070429409</v>
      </c>
      <c r="CO292" s="3">
        <v>15.298986272991881</v>
      </c>
      <c r="CP292" s="3">
        <v>15.529737550843921</v>
      </c>
      <c r="CQ292" s="3">
        <v>15.76956787985741</v>
      </c>
      <c r="CR292" s="3">
        <v>16.018822768107491</v>
      </c>
      <c r="CS292" s="3">
        <v>16.266615398334459</v>
      </c>
      <c r="CU292" s="17" t="s">
        <v>1893</v>
      </c>
      <c r="CV292" s="3">
        <v>15.24360186652304</v>
      </c>
      <c r="CW292" s="3">
        <v>13.63740099867776</v>
      </c>
      <c r="CX292" s="3">
        <v>12.920477779835929</v>
      </c>
      <c r="CY292" s="3">
        <v>12.97362223641505</v>
      </c>
      <c r="CZ292" s="3">
        <v>13.074359521425571</v>
      </c>
      <c r="DA292" s="3">
        <v>13.290043817805699</v>
      </c>
      <c r="DB292" s="3">
        <v>13.53223425805643</v>
      </c>
      <c r="DC292" s="3">
        <v>13.729078915256061</v>
      </c>
      <c r="DD292" s="3">
        <v>13.911141569269949</v>
      </c>
      <c r="DE292" s="3">
        <v>14.087356418910639</v>
      </c>
      <c r="DF292" s="3">
        <v>14.270220913723589</v>
      </c>
      <c r="DG292" s="3">
        <v>14.46033142068721</v>
      </c>
      <c r="DH292" s="3">
        <v>14.65796440751784</v>
      </c>
      <c r="DI292" s="3">
        <v>14.863415824593719</v>
      </c>
      <c r="DJ292" s="3">
        <v>15.07698069934599</v>
      </c>
      <c r="DK292" s="3">
        <v>15.298986266768781</v>
      </c>
      <c r="DL292" s="3">
        <v>15.52973754316921</v>
      </c>
      <c r="DM292" s="3">
        <v>15.76956787054262</v>
      </c>
      <c r="DN292" s="3">
        <v>16.018822756947142</v>
      </c>
      <c r="DO292" s="3">
        <v>16.266615385591731</v>
      </c>
    </row>
    <row r="293" spans="1:119" x14ac:dyDescent="0.45">
      <c r="A293" s="16" t="s">
        <v>1894</v>
      </c>
      <c r="B293" s="3" t="s">
        <v>89</v>
      </c>
      <c r="C293" s="16" t="s">
        <v>1895</v>
      </c>
      <c r="H293" s="3" t="s">
        <v>1896</v>
      </c>
      <c r="I293" s="3" t="s">
        <v>860</v>
      </c>
      <c r="K293" s="17" t="s">
        <v>1897</v>
      </c>
      <c r="L293" s="3">
        <v>11.983620492474531</v>
      </c>
      <c r="M293" s="3">
        <v>10.255102264307411</v>
      </c>
      <c r="N293" s="3">
        <v>9.4209665734146721</v>
      </c>
      <c r="O293" s="3">
        <v>9.3973858659795368</v>
      </c>
      <c r="P293" s="3">
        <v>9.3413750637348123</v>
      </c>
      <c r="Q293" s="3">
        <v>9.4080858704257864</v>
      </c>
      <c r="R293" s="3">
        <v>9.4865601343435895</v>
      </c>
      <c r="S293" s="3">
        <v>9.5145136788987337</v>
      </c>
      <c r="T293" s="3">
        <v>9.5224438493655583</v>
      </c>
      <c r="U293" s="3">
        <v>9.526937785601195</v>
      </c>
      <c r="V293" s="3">
        <v>9.526937785601195</v>
      </c>
      <c r="W293" s="3">
        <v>9.526937785601195</v>
      </c>
      <c r="X293" s="3">
        <v>9.526937785601195</v>
      </c>
      <c r="Y293" s="3">
        <v>9.526937785601195</v>
      </c>
      <c r="Z293" s="3">
        <v>9.526937785601195</v>
      </c>
      <c r="AA293" s="3">
        <v>9.526937785601195</v>
      </c>
      <c r="AB293" s="3">
        <v>9.526937785601195</v>
      </c>
      <c r="AC293" s="3">
        <v>9.526937785601195</v>
      </c>
      <c r="AD293" s="3">
        <v>9.526937785601195</v>
      </c>
      <c r="AE293" s="3">
        <v>9.526937785601195</v>
      </c>
      <c r="AG293" s="17" t="s">
        <v>1898</v>
      </c>
      <c r="AH293" s="3">
        <v>11.983620492474531</v>
      </c>
      <c r="AI293" s="3">
        <v>10.255102264307411</v>
      </c>
      <c r="AJ293" s="3">
        <v>9.4209665734146721</v>
      </c>
      <c r="AK293" s="3">
        <v>9.3973858659795368</v>
      </c>
      <c r="AL293" s="3">
        <v>9.3413750637348123</v>
      </c>
      <c r="AM293" s="3">
        <v>9.4080858704257864</v>
      </c>
      <c r="AN293" s="3">
        <v>9.4865601343435895</v>
      </c>
      <c r="AO293" s="3">
        <v>9.5145136788987337</v>
      </c>
      <c r="AP293" s="3">
        <v>9.5224438493655583</v>
      </c>
      <c r="AQ293" s="3">
        <v>9.526937785601195</v>
      </c>
      <c r="AR293" s="3">
        <v>9.526937785601195</v>
      </c>
      <c r="AS293" s="3">
        <v>9.526937785601195</v>
      </c>
      <c r="AT293" s="3">
        <v>9.526937785601195</v>
      </c>
      <c r="AU293" s="3">
        <v>9.526937785601195</v>
      </c>
      <c r="AV293" s="3">
        <v>9.526937785601195</v>
      </c>
      <c r="AW293" s="3">
        <v>9.526937785601195</v>
      </c>
      <c r="AX293" s="3">
        <v>9.526937785601195</v>
      </c>
      <c r="AY293" s="3">
        <v>9.526937785601195</v>
      </c>
      <c r="AZ293" s="3">
        <v>9.526937785601195</v>
      </c>
      <c r="BA293" s="3">
        <v>9.526937785601195</v>
      </c>
      <c r="BC293" s="17" t="s">
        <v>1899</v>
      </c>
      <c r="BD293" s="3">
        <v>11.983620492474531</v>
      </c>
      <c r="BE293" s="3">
        <v>10.255102264307411</v>
      </c>
      <c r="BF293" s="3">
        <v>9.4209665734146721</v>
      </c>
      <c r="BG293" s="3">
        <v>9.3973858659795368</v>
      </c>
      <c r="BH293" s="3">
        <v>9.3413750637348123</v>
      </c>
      <c r="BI293" s="3">
        <v>9.4080858704257864</v>
      </c>
      <c r="BJ293" s="3">
        <v>9.4865601343435895</v>
      </c>
      <c r="BK293" s="3">
        <v>9.5145136788987337</v>
      </c>
      <c r="BL293" s="3">
        <v>9.5224438493655583</v>
      </c>
      <c r="BM293" s="3">
        <v>9.526937785601195</v>
      </c>
      <c r="BN293" s="3">
        <v>9.526937785601195</v>
      </c>
      <c r="BO293" s="3">
        <v>9.526937785601195</v>
      </c>
      <c r="BP293" s="3">
        <v>9.526937785601195</v>
      </c>
      <c r="BQ293" s="3">
        <v>9.526937785601195</v>
      </c>
      <c r="BR293" s="3">
        <v>9.526937785601195</v>
      </c>
      <c r="BS293" s="3">
        <v>9.526937785601195</v>
      </c>
      <c r="BT293" s="3">
        <v>9.526937785601195</v>
      </c>
      <c r="BU293" s="3">
        <v>9.526937785601195</v>
      </c>
      <c r="BV293" s="3">
        <v>9.526937785601195</v>
      </c>
      <c r="BW293" s="3">
        <v>9.526937785601195</v>
      </c>
      <c r="BY293" s="17" t="s">
        <v>1900</v>
      </c>
      <c r="BZ293" s="3">
        <v>11.983620492474531</v>
      </c>
      <c r="CA293" s="3">
        <v>10.255102264307411</v>
      </c>
      <c r="CB293" s="3">
        <v>9.4209665734146721</v>
      </c>
      <c r="CC293" s="3">
        <v>9.3973858659795368</v>
      </c>
      <c r="CD293" s="3">
        <v>9.3413750637348123</v>
      </c>
      <c r="CE293" s="3">
        <v>9.4080858704257864</v>
      </c>
      <c r="CF293" s="3">
        <v>9.4865601343435895</v>
      </c>
      <c r="CG293" s="3">
        <v>9.5145136788987337</v>
      </c>
      <c r="CH293" s="3">
        <v>9.5224438493655583</v>
      </c>
      <c r="CI293" s="3">
        <v>9.526937785601195</v>
      </c>
      <c r="CJ293" s="3">
        <v>9.526937785601195</v>
      </c>
      <c r="CK293" s="3">
        <v>9.526937785601195</v>
      </c>
      <c r="CL293" s="3">
        <v>9.526937785601195</v>
      </c>
      <c r="CM293" s="3">
        <v>9.526937785601195</v>
      </c>
      <c r="CN293" s="3">
        <v>9.526937785601195</v>
      </c>
      <c r="CO293" s="3">
        <v>9.526937785601195</v>
      </c>
      <c r="CP293" s="3">
        <v>9.526937785601195</v>
      </c>
      <c r="CQ293" s="3">
        <v>9.526937785601195</v>
      </c>
      <c r="CR293" s="3">
        <v>9.526937785601195</v>
      </c>
      <c r="CS293" s="3">
        <v>9.526937785601195</v>
      </c>
      <c r="CU293" s="17" t="s">
        <v>1901</v>
      </c>
      <c r="CV293" s="3">
        <v>11.983620492474531</v>
      </c>
      <c r="CW293" s="3">
        <v>10.255102264307411</v>
      </c>
      <c r="CX293" s="3">
        <v>9.4209665734146721</v>
      </c>
      <c r="CY293" s="3">
        <v>9.3973858659795368</v>
      </c>
      <c r="CZ293" s="3">
        <v>9.3413750637348123</v>
      </c>
      <c r="DA293" s="3">
        <v>9.4080858704257864</v>
      </c>
      <c r="DB293" s="3">
        <v>9.4865601343435895</v>
      </c>
      <c r="DC293" s="3">
        <v>9.5145136788987337</v>
      </c>
      <c r="DD293" s="3">
        <v>9.5224438493655583</v>
      </c>
      <c r="DE293" s="3">
        <v>9.526937785601195</v>
      </c>
      <c r="DF293" s="3">
        <v>9.526937785601195</v>
      </c>
      <c r="DG293" s="3">
        <v>9.526937785601195</v>
      </c>
      <c r="DH293" s="3">
        <v>9.526937785601195</v>
      </c>
      <c r="DI293" s="3">
        <v>9.526937785601195</v>
      </c>
      <c r="DJ293" s="3">
        <v>9.526937785601195</v>
      </c>
      <c r="DK293" s="3">
        <v>9.526937785601195</v>
      </c>
      <c r="DL293" s="3">
        <v>9.526937785601195</v>
      </c>
      <c r="DM293" s="3">
        <v>9.526937785601195</v>
      </c>
      <c r="DN293" s="3">
        <v>9.526937785601195</v>
      </c>
      <c r="DO293" s="3">
        <v>9.526937785601195</v>
      </c>
    </row>
    <row r="294" spans="1:119" x14ac:dyDescent="0.45">
      <c r="A294" s="16" t="s">
        <v>1902</v>
      </c>
      <c r="B294" s="3" t="s">
        <v>89</v>
      </c>
      <c r="C294" s="16" t="s">
        <v>1903</v>
      </c>
      <c r="H294" s="3" t="s">
        <v>1904</v>
      </c>
      <c r="I294" s="3" t="s">
        <v>1300</v>
      </c>
      <c r="K294" s="17" t="s">
        <v>1905</v>
      </c>
      <c r="L294" s="3">
        <v>0.2020428661152153</v>
      </c>
      <c r="M294" s="3">
        <v>0.20204268611971729</v>
      </c>
      <c r="N294" s="3">
        <v>0.19204491624059569</v>
      </c>
      <c r="O294" s="3">
        <v>0.13647142864762959</v>
      </c>
      <c r="P294" s="3">
        <v>0.15562891823135511</v>
      </c>
      <c r="Q294" s="3">
        <v>0.16150818634213729</v>
      </c>
      <c r="R294" s="3">
        <v>0.1764063722335561</v>
      </c>
      <c r="S294" s="3">
        <v>0.19052677481886951</v>
      </c>
      <c r="T294" s="3">
        <v>0.2036977199043904</v>
      </c>
      <c r="U294" s="3">
        <v>0.2080186333094487</v>
      </c>
      <c r="V294" s="3">
        <v>0.21678712812239209</v>
      </c>
      <c r="W294" s="3">
        <v>0.22583779508601429</v>
      </c>
      <c r="X294" s="3">
        <v>0.23516854831664241</v>
      </c>
      <c r="Y294" s="3">
        <v>0.2447856424485271</v>
      </c>
      <c r="Z294" s="3">
        <v>0.25468282133903408</v>
      </c>
      <c r="AA294" s="3">
        <v>0.26487398506559728</v>
      </c>
      <c r="AB294" s="3">
        <v>0.27533828162194263</v>
      </c>
      <c r="AC294" s="3">
        <v>0.28607014995751268</v>
      </c>
      <c r="AD294" s="3">
        <v>0.29706263896267587</v>
      </c>
      <c r="AE294" s="3">
        <v>0.2970623743119305</v>
      </c>
      <c r="AG294" s="17" t="s">
        <v>1906</v>
      </c>
      <c r="AH294" s="3">
        <v>0.2020428661152153</v>
      </c>
      <c r="AI294" s="3">
        <v>0.20204268611971729</v>
      </c>
      <c r="AJ294" s="3">
        <v>0.19204491624059569</v>
      </c>
      <c r="AK294" s="3">
        <v>0.13647142864762959</v>
      </c>
      <c r="AL294" s="3">
        <v>0.15562891823135511</v>
      </c>
      <c r="AM294" s="3">
        <v>0.16150818634213729</v>
      </c>
      <c r="AN294" s="3">
        <v>0.1764063722335561</v>
      </c>
      <c r="AO294" s="3">
        <v>0.19052677481886951</v>
      </c>
      <c r="AP294" s="3">
        <v>0.20369771990439051</v>
      </c>
      <c r="AQ294" s="3">
        <v>0.2080186333094487</v>
      </c>
      <c r="AR294" s="3">
        <v>0.21678712812239209</v>
      </c>
      <c r="AS294" s="3">
        <v>0.22583779508601429</v>
      </c>
      <c r="AT294" s="3">
        <v>0.23516854831664241</v>
      </c>
      <c r="AU294" s="3">
        <v>0.2447856424485271</v>
      </c>
      <c r="AV294" s="3">
        <v>0.25468282133903408</v>
      </c>
      <c r="AW294" s="3">
        <v>0.26487398506559739</v>
      </c>
      <c r="AX294" s="3">
        <v>0.27533828162194252</v>
      </c>
      <c r="AY294" s="3">
        <v>0.28607014995751279</v>
      </c>
      <c r="AZ294" s="3">
        <v>0.29706263896267582</v>
      </c>
      <c r="BA294" s="3">
        <v>0.29706237431193061</v>
      </c>
      <c r="BC294" s="17" t="s">
        <v>1907</v>
      </c>
      <c r="BD294" s="3">
        <v>0.2020428661152153</v>
      </c>
      <c r="BE294" s="3">
        <v>0.20204268611971729</v>
      </c>
      <c r="BF294" s="3">
        <v>0.19204491624059569</v>
      </c>
      <c r="BG294" s="3">
        <v>0.13647142864762959</v>
      </c>
      <c r="BH294" s="3">
        <v>0.15562891823135511</v>
      </c>
      <c r="BI294" s="3">
        <v>0.16150818634213721</v>
      </c>
      <c r="BJ294" s="3">
        <v>0.1764063722335561</v>
      </c>
      <c r="BK294" s="3">
        <v>0.19052677481886951</v>
      </c>
      <c r="BL294" s="3">
        <v>0.2036977199043904</v>
      </c>
      <c r="BM294" s="3">
        <v>0.2080186333094487</v>
      </c>
      <c r="BN294" s="3">
        <v>0.21678712812239209</v>
      </c>
      <c r="BO294" s="3">
        <v>0.22583779508601429</v>
      </c>
      <c r="BP294" s="3">
        <v>0.23516854831664241</v>
      </c>
      <c r="BQ294" s="3">
        <v>0.2447856424485271</v>
      </c>
      <c r="BR294" s="3">
        <v>0.25468282133903408</v>
      </c>
      <c r="BS294" s="3">
        <v>0.26487398506559739</v>
      </c>
      <c r="BT294" s="3">
        <v>0.27533828162194263</v>
      </c>
      <c r="BU294" s="3">
        <v>0.28607014995751279</v>
      </c>
      <c r="BV294" s="3">
        <v>0.29706263896267582</v>
      </c>
      <c r="BW294" s="3">
        <v>0.2970623743119305</v>
      </c>
      <c r="BY294" s="17" t="s">
        <v>1908</v>
      </c>
      <c r="BZ294" s="3">
        <v>0.2020428661152153</v>
      </c>
      <c r="CA294" s="3">
        <v>0.20204268611971729</v>
      </c>
      <c r="CB294" s="3">
        <v>0.19204491624059569</v>
      </c>
      <c r="CC294" s="3">
        <v>0.13647142864762959</v>
      </c>
      <c r="CD294" s="3">
        <v>0.15562891823135511</v>
      </c>
      <c r="CE294" s="3">
        <v>0.16150818412583959</v>
      </c>
      <c r="CF294" s="3">
        <v>0.17640637000405859</v>
      </c>
      <c r="CG294" s="3">
        <v>0.19052677279090449</v>
      </c>
      <c r="CH294" s="3">
        <v>0.20369771830532721</v>
      </c>
      <c r="CI294" s="3">
        <v>0.20801863239422419</v>
      </c>
      <c r="CJ294" s="3">
        <v>0.21678712805492861</v>
      </c>
      <c r="CK294" s="3">
        <v>0.22583779609622581</v>
      </c>
      <c r="CL294" s="3">
        <v>0.23516855062403511</v>
      </c>
      <c r="CM294" s="3">
        <v>0.24478564629398319</v>
      </c>
      <c r="CN294" s="3">
        <v>0.25468282628713262</v>
      </c>
      <c r="CO294" s="3">
        <v>0.26487399128869737</v>
      </c>
      <c r="CP294" s="3">
        <v>0.27533828929665127</v>
      </c>
      <c r="CQ294" s="3">
        <v>0.2860701592722994</v>
      </c>
      <c r="CR294" s="3">
        <v>0.2970626501230279</v>
      </c>
      <c r="CS294" s="3">
        <v>0.29706238705465859</v>
      </c>
      <c r="CU294" s="17" t="s">
        <v>1909</v>
      </c>
      <c r="CV294" s="3">
        <v>0.2020428661152153</v>
      </c>
      <c r="CW294" s="3">
        <v>0.20204268611971729</v>
      </c>
      <c r="CX294" s="3">
        <v>0.19204491624059569</v>
      </c>
      <c r="CY294" s="3">
        <v>0.13647142864762959</v>
      </c>
      <c r="CZ294" s="3">
        <v>0.15562891823135511</v>
      </c>
      <c r="DA294" s="3">
        <v>0.16150818634213721</v>
      </c>
      <c r="DB294" s="3">
        <v>0.1764063722335561</v>
      </c>
      <c r="DC294" s="3">
        <v>0.19052677481886951</v>
      </c>
      <c r="DD294" s="3">
        <v>0.2036977199043904</v>
      </c>
      <c r="DE294" s="3">
        <v>0.2080186333094487</v>
      </c>
      <c r="DF294" s="3">
        <v>0.21678712812239209</v>
      </c>
      <c r="DG294" s="3">
        <v>0.22583779508601429</v>
      </c>
      <c r="DH294" s="3">
        <v>0.23516854831664241</v>
      </c>
      <c r="DI294" s="3">
        <v>0.2447856424485271</v>
      </c>
      <c r="DJ294" s="3">
        <v>0.25468282133903408</v>
      </c>
      <c r="DK294" s="3">
        <v>0.26487398506559739</v>
      </c>
      <c r="DL294" s="3">
        <v>0.27533828162194263</v>
      </c>
      <c r="DM294" s="3">
        <v>0.28607014995751279</v>
      </c>
      <c r="DN294" s="3">
        <v>0.29706263896267587</v>
      </c>
      <c r="DO294" s="3">
        <v>0.29706237431193061</v>
      </c>
    </row>
    <row r="295" spans="1:119" x14ac:dyDescent="0.45">
      <c r="A295" s="16" t="s">
        <v>1910</v>
      </c>
      <c r="B295" s="3" t="s">
        <v>89</v>
      </c>
      <c r="C295" s="16" t="s">
        <v>1911</v>
      </c>
      <c r="H295" s="3" t="s">
        <v>1912</v>
      </c>
      <c r="I295" s="3" t="s">
        <v>860</v>
      </c>
      <c r="K295" s="17" t="s">
        <v>1913</v>
      </c>
      <c r="L295" s="3">
        <v>3.0579385079333021</v>
      </c>
      <c r="M295" s="3">
        <v>3.180256048250635</v>
      </c>
      <c r="N295" s="3">
        <v>3.3074662901806602</v>
      </c>
      <c r="O295" s="3">
        <v>3.4397649417878871</v>
      </c>
      <c r="P295" s="3">
        <v>3.5773555394594019</v>
      </c>
      <c r="Q295" s="3">
        <v>3.720449761037778</v>
      </c>
      <c r="R295" s="3">
        <v>3.8692677514792888</v>
      </c>
      <c r="S295" s="3">
        <v>4.0240384615384608</v>
      </c>
      <c r="T295" s="3">
        <v>4.1849999999999996</v>
      </c>
      <c r="U295" s="3">
        <v>4.3523999999999994</v>
      </c>
      <c r="V295" s="3">
        <v>4.5264959999999999</v>
      </c>
      <c r="W295" s="3">
        <v>4.7075558399999986</v>
      </c>
      <c r="X295" s="3">
        <v>4.8958580736000004</v>
      </c>
      <c r="Y295" s="3">
        <v>5.0916923965440004</v>
      </c>
      <c r="Z295" s="3">
        <v>5.2953600924057609</v>
      </c>
      <c r="AA295" s="3">
        <v>5.5071744961019924</v>
      </c>
      <c r="AB295" s="3">
        <v>5.7274614759460709</v>
      </c>
      <c r="AC295" s="3">
        <v>5.9565599349839138</v>
      </c>
      <c r="AD295" s="3">
        <v>6.1948223323832714</v>
      </c>
      <c r="AE295" s="3">
        <v>6.442615225678602</v>
      </c>
      <c r="AG295" s="17" t="s">
        <v>1914</v>
      </c>
      <c r="AH295" s="3">
        <v>3.0579385079333021</v>
      </c>
      <c r="AI295" s="3">
        <v>3.180256048250635</v>
      </c>
      <c r="AJ295" s="3">
        <v>3.3074662901806602</v>
      </c>
      <c r="AK295" s="3">
        <v>3.4397649417878871</v>
      </c>
      <c r="AL295" s="3">
        <v>3.5773555394594019</v>
      </c>
      <c r="AM295" s="3">
        <v>3.720449761037778</v>
      </c>
      <c r="AN295" s="3">
        <v>3.8692677514792888</v>
      </c>
      <c r="AO295" s="3">
        <v>4.0240384615384608</v>
      </c>
      <c r="AP295" s="3">
        <v>4.1849999999999996</v>
      </c>
      <c r="AQ295" s="3">
        <v>4.3523999999999994</v>
      </c>
      <c r="AR295" s="3">
        <v>4.5264959999999999</v>
      </c>
      <c r="AS295" s="3">
        <v>4.7075558399999986</v>
      </c>
      <c r="AT295" s="3">
        <v>4.8958580736000004</v>
      </c>
      <c r="AU295" s="3">
        <v>5.0916923965440004</v>
      </c>
      <c r="AV295" s="3">
        <v>5.2953600924057609</v>
      </c>
      <c r="AW295" s="3">
        <v>5.5071744961019924</v>
      </c>
      <c r="AX295" s="3">
        <v>5.7274614759460709</v>
      </c>
      <c r="AY295" s="3">
        <v>5.9565599349839138</v>
      </c>
      <c r="AZ295" s="3">
        <v>6.1948223323832714</v>
      </c>
      <c r="BA295" s="3">
        <v>6.442615225678602</v>
      </c>
      <c r="BC295" s="17" t="s">
        <v>1915</v>
      </c>
      <c r="BD295" s="3">
        <v>3.0579385079333021</v>
      </c>
      <c r="BE295" s="3">
        <v>3.180256048250635</v>
      </c>
      <c r="BF295" s="3">
        <v>3.3074662901806602</v>
      </c>
      <c r="BG295" s="3">
        <v>3.4397649417878871</v>
      </c>
      <c r="BH295" s="3">
        <v>3.5773555394594019</v>
      </c>
      <c r="BI295" s="3">
        <v>3.720449761037778</v>
      </c>
      <c r="BJ295" s="3">
        <v>3.8692677514792888</v>
      </c>
      <c r="BK295" s="3">
        <v>4.0240384615384608</v>
      </c>
      <c r="BL295" s="3">
        <v>4.1849999999999996</v>
      </c>
      <c r="BM295" s="3">
        <v>4.3523999999999994</v>
      </c>
      <c r="BN295" s="3">
        <v>4.5264959999999999</v>
      </c>
      <c r="BO295" s="3">
        <v>4.7075558399999986</v>
      </c>
      <c r="BP295" s="3">
        <v>4.8958580736000004</v>
      </c>
      <c r="BQ295" s="3">
        <v>5.0916923965440004</v>
      </c>
      <c r="BR295" s="3">
        <v>5.2953600924057609</v>
      </c>
      <c r="BS295" s="3">
        <v>5.5071744961019924</v>
      </c>
      <c r="BT295" s="3">
        <v>5.7274614759460709</v>
      </c>
      <c r="BU295" s="3">
        <v>5.9565599349839138</v>
      </c>
      <c r="BV295" s="3">
        <v>6.1948223323832714</v>
      </c>
      <c r="BW295" s="3">
        <v>6.442615225678602</v>
      </c>
      <c r="BY295" s="17" t="s">
        <v>1916</v>
      </c>
      <c r="BZ295" s="3">
        <v>3.0579385079333021</v>
      </c>
      <c r="CA295" s="3">
        <v>3.180256048250635</v>
      </c>
      <c r="CB295" s="3">
        <v>3.3074662901806602</v>
      </c>
      <c r="CC295" s="3">
        <v>3.4397649417878871</v>
      </c>
      <c r="CD295" s="3">
        <v>3.5773555394594019</v>
      </c>
      <c r="CE295" s="3">
        <v>3.720449761037778</v>
      </c>
      <c r="CF295" s="3">
        <v>3.8692677514792888</v>
      </c>
      <c r="CG295" s="3">
        <v>4.0240384615384608</v>
      </c>
      <c r="CH295" s="3">
        <v>4.1849999999999996</v>
      </c>
      <c r="CI295" s="3">
        <v>4.3523999999999994</v>
      </c>
      <c r="CJ295" s="3">
        <v>4.5264959999999999</v>
      </c>
      <c r="CK295" s="3">
        <v>4.7075558399999986</v>
      </c>
      <c r="CL295" s="3">
        <v>4.8958580736000004</v>
      </c>
      <c r="CM295" s="3">
        <v>5.0916923965440004</v>
      </c>
      <c r="CN295" s="3">
        <v>5.2953600924057609</v>
      </c>
      <c r="CO295" s="3">
        <v>5.5071744961019924</v>
      </c>
      <c r="CP295" s="3">
        <v>5.7274614759460709</v>
      </c>
      <c r="CQ295" s="3">
        <v>5.9565599349839138</v>
      </c>
      <c r="CR295" s="3">
        <v>6.1948223323832714</v>
      </c>
      <c r="CS295" s="3">
        <v>6.442615225678602</v>
      </c>
      <c r="CU295" s="17" t="s">
        <v>1917</v>
      </c>
      <c r="CV295" s="3">
        <v>3.0579385079333021</v>
      </c>
      <c r="CW295" s="3">
        <v>3.180256048250635</v>
      </c>
      <c r="CX295" s="3">
        <v>3.3074662901806602</v>
      </c>
      <c r="CY295" s="3">
        <v>3.4397649417878871</v>
      </c>
      <c r="CZ295" s="3">
        <v>3.5773555394594019</v>
      </c>
      <c r="DA295" s="3">
        <v>3.720449761037778</v>
      </c>
      <c r="DB295" s="3">
        <v>3.8692677514792888</v>
      </c>
      <c r="DC295" s="3">
        <v>4.0240384615384608</v>
      </c>
      <c r="DD295" s="3">
        <v>4.1849999999999996</v>
      </c>
      <c r="DE295" s="3">
        <v>4.3523999999999994</v>
      </c>
      <c r="DF295" s="3">
        <v>4.5264959999999999</v>
      </c>
      <c r="DG295" s="3">
        <v>4.7075558399999986</v>
      </c>
      <c r="DH295" s="3">
        <v>4.8958580736000004</v>
      </c>
      <c r="DI295" s="3">
        <v>5.0916923965440004</v>
      </c>
      <c r="DJ295" s="3">
        <v>5.2953600924057609</v>
      </c>
      <c r="DK295" s="3">
        <v>5.5071744961019924</v>
      </c>
      <c r="DL295" s="3">
        <v>5.7274614759460709</v>
      </c>
      <c r="DM295" s="3">
        <v>5.9565599349839138</v>
      </c>
      <c r="DN295" s="3">
        <v>6.1948223323832714</v>
      </c>
      <c r="DO295" s="3">
        <v>6.442615225678602</v>
      </c>
    </row>
    <row r="296" spans="1:119" x14ac:dyDescent="0.45">
      <c r="A296" s="16" t="s">
        <v>1918</v>
      </c>
      <c r="B296" s="3" t="s">
        <v>89</v>
      </c>
      <c r="C296" s="16" t="s">
        <v>1919</v>
      </c>
      <c r="H296" s="3" t="s">
        <v>1920</v>
      </c>
      <c r="I296" s="3" t="s">
        <v>860</v>
      </c>
      <c r="K296" s="17" t="s">
        <v>1921</v>
      </c>
      <c r="L296" s="3">
        <v>0</v>
      </c>
      <c r="M296" s="3">
        <v>0</v>
      </c>
      <c r="N296" s="3">
        <v>0</v>
      </c>
      <c r="O296" s="3">
        <v>0</v>
      </c>
      <c r="P296" s="3">
        <v>0</v>
      </c>
      <c r="Q296" s="3">
        <v>0</v>
      </c>
      <c r="R296" s="3">
        <v>0</v>
      </c>
      <c r="S296" s="3">
        <v>0</v>
      </c>
      <c r="T296" s="3">
        <v>0</v>
      </c>
      <c r="U296" s="3">
        <v>0</v>
      </c>
      <c r="V296" s="3">
        <v>0</v>
      </c>
      <c r="W296" s="3">
        <v>0</v>
      </c>
      <c r="X296" s="3">
        <v>0</v>
      </c>
      <c r="Y296" s="3">
        <v>0</v>
      </c>
      <c r="Z296" s="3">
        <v>0</v>
      </c>
      <c r="AA296" s="3">
        <v>0</v>
      </c>
      <c r="AB296" s="3">
        <v>0</v>
      </c>
      <c r="AC296" s="3">
        <v>0</v>
      </c>
      <c r="AD296" s="3">
        <v>0</v>
      </c>
      <c r="AE296" s="3">
        <v>0</v>
      </c>
      <c r="AG296" s="17" t="s">
        <v>1922</v>
      </c>
      <c r="AH296" s="3">
        <v>0</v>
      </c>
      <c r="AI296" s="3">
        <v>0</v>
      </c>
      <c r="AJ296" s="3">
        <v>0</v>
      </c>
      <c r="AK296" s="3">
        <v>0</v>
      </c>
      <c r="AL296" s="3">
        <v>0</v>
      </c>
      <c r="AM296" s="3">
        <v>0</v>
      </c>
      <c r="AN296" s="3">
        <v>0</v>
      </c>
      <c r="AO296" s="3">
        <v>0</v>
      </c>
      <c r="AP296" s="3">
        <v>0</v>
      </c>
      <c r="AQ296" s="3">
        <v>0</v>
      </c>
      <c r="AR296" s="3">
        <v>0</v>
      </c>
      <c r="AS296" s="3">
        <v>0</v>
      </c>
      <c r="AT296" s="3">
        <v>0</v>
      </c>
      <c r="AU296" s="3">
        <v>0</v>
      </c>
      <c r="AV296" s="3">
        <v>0</v>
      </c>
      <c r="AW296" s="3">
        <v>0</v>
      </c>
      <c r="AX296" s="3">
        <v>0</v>
      </c>
      <c r="AY296" s="3">
        <v>0</v>
      </c>
      <c r="AZ296" s="3">
        <v>0</v>
      </c>
      <c r="BA296" s="3">
        <v>0</v>
      </c>
      <c r="BC296" s="17" t="s">
        <v>1923</v>
      </c>
      <c r="BD296" s="3">
        <v>0</v>
      </c>
      <c r="BE296" s="3">
        <v>0</v>
      </c>
      <c r="BF296" s="3">
        <v>0</v>
      </c>
      <c r="BG296" s="3">
        <v>0</v>
      </c>
      <c r="BH296" s="3">
        <v>0</v>
      </c>
      <c r="BI296" s="3">
        <v>0</v>
      </c>
      <c r="BJ296" s="3">
        <v>0</v>
      </c>
      <c r="BK296" s="3">
        <v>0</v>
      </c>
      <c r="BL296" s="3">
        <v>0</v>
      </c>
      <c r="BM296" s="3">
        <v>0</v>
      </c>
      <c r="BN296" s="3">
        <v>0</v>
      </c>
      <c r="BO296" s="3">
        <v>0</v>
      </c>
      <c r="BP296" s="3">
        <v>0</v>
      </c>
      <c r="BQ296" s="3">
        <v>0</v>
      </c>
      <c r="BR296" s="3">
        <v>0</v>
      </c>
      <c r="BS296" s="3">
        <v>0</v>
      </c>
      <c r="BT296" s="3">
        <v>0</v>
      </c>
      <c r="BU296" s="3">
        <v>0</v>
      </c>
      <c r="BV296" s="3">
        <v>0</v>
      </c>
      <c r="BW296" s="3">
        <v>0</v>
      </c>
      <c r="BY296" s="17" t="s">
        <v>1924</v>
      </c>
      <c r="BZ296" s="3">
        <v>0</v>
      </c>
      <c r="CA296" s="3">
        <v>0</v>
      </c>
      <c r="CB296" s="3">
        <v>0</v>
      </c>
      <c r="CC296" s="3">
        <v>0</v>
      </c>
      <c r="CD296" s="3">
        <v>0</v>
      </c>
      <c r="CE296" s="3">
        <v>0</v>
      </c>
      <c r="CF296" s="3">
        <v>0</v>
      </c>
      <c r="CG296" s="3">
        <v>0</v>
      </c>
      <c r="CH296" s="3">
        <v>0</v>
      </c>
      <c r="CI296" s="3">
        <v>0</v>
      </c>
      <c r="CJ296" s="3">
        <v>0</v>
      </c>
      <c r="CK296" s="3">
        <v>0</v>
      </c>
      <c r="CL296" s="3">
        <v>0</v>
      </c>
      <c r="CM296" s="3">
        <v>0</v>
      </c>
      <c r="CN296" s="3">
        <v>0</v>
      </c>
      <c r="CO296" s="3">
        <v>0</v>
      </c>
      <c r="CP296" s="3">
        <v>0</v>
      </c>
      <c r="CQ296" s="3">
        <v>0</v>
      </c>
      <c r="CR296" s="3">
        <v>0</v>
      </c>
      <c r="CS296" s="3">
        <v>0</v>
      </c>
      <c r="CU296" s="17" t="s">
        <v>1925</v>
      </c>
      <c r="CV296" s="3">
        <v>0</v>
      </c>
      <c r="CW296" s="3">
        <v>0</v>
      </c>
      <c r="CX296" s="3">
        <v>0</v>
      </c>
      <c r="CY296" s="3">
        <v>0</v>
      </c>
      <c r="CZ296" s="3">
        <v>0</v>
      </c>
      <c r="DA296" s="3">
        <v>0</v>
      </c>
      <c r="DB296" s="3">
        <v>0</v>
      </c>
      <c r="DC296" s="3">
        <v>0</v>
      </c>
      <c r="DD296" s="3">
        <v>0</v>
      </c>
      <c r="DE296" s="3">
        <v>0</v>
      </c>
      <c r="DF296" s="3">
        <v>0</v>
      </c>
      <c r="DG296" s="3">
        <v>0</v>
      </c>
      <c r="DH296" s="3">
        <v>0</v>
      </c>
      <c r="DI296" s="3">
        <v>0</v>
      </c>
      <c r="DJ296" s="3">
        <v>0</v>
      </c>
      <c r="DK296" s="3">
        <v>0</v>
      </c>
      <c r="DL296" s="3">
        <v>0</v>
      </c>
      <c r="DM296" s="3">
        <v>0</v>
      </c>
      <c r="DN296" s="3">
        <v>0</v>
      </c>
      <c r="DO296" s="3">
        <v>0</v>
      </c>
    </row>
    <row r="297" spans="1:119" x14ac:dyDescent="0.45">
      <c r="A297" s="16" t="s">
        <v>1926</v>
      </c>
      <c r="B297" s="3" t="s">
        <v>89</v>
      </c>
      <c r="C297" s="16" t="s">
        <v>1927</v>
      </c>
      <c r="H297" s="3" t="s">
        <v>1928</v>
      </c>
      <c r="I297" s="3" t="s">
        <v>860</v>
      </c>
      <c r="K297" s="17" t="s">
        <v>1929</v>
      </c>
      <c r="L297" s="3">
        <v>4.8997949629715043</v>
      </c>
      <c r="M297" s="3">
        <v>5.118455079782481</v>
      </c>
      <c r="N297" s="3">
        <v>4.8850072384069456</v>
      </c>
      <c r="O297" s="3">
        <v>4.8850072384069456</v>
      </c>
      <c r="P297" s="3">
        <v>4.8850072384069456</v>
      </c>
      <c r="Q297" s="3">
        <v>4.8850072384069474</v>
      </c>
      <c r="R297" s="3">
        <v>4.8850072384069456</v>
      </c>
      <c r="S297" s="3">
        <v>4.8850072384069456</v>
      </c>
      <c r="T297" s="3">
        <v>4.8850072384069456</v>
      </c>
      <c r="U297" s="3">
        <v>4.8850072384069456</v>
      </c>
      <c r="V297" s="3">
        <v>4.8850072384069456</v>
      </c>
      <c r="W297" s="3">
        <v>4.8850072384069456</v>
      </c>
      <c r="X297" s="3">
        <v>4.8850072384069456</v>
      </c>
      <c r="Y297" s="3">
        <v>4.8850072384069456</v>
      </c>
      <c r="Z297" s="3">
        <v>4.8850072384069456</v>
      </c>
      <c r="AA297" s="3">
        <v>4.8850072384069447</v>
      </c>
      <c r="AB297" s="3">
        <v>4.8850072384069456</v>
      </c>
      <c r="AC297" s="3">
        <v>4.8850072384069474</v>
      </c>
      <c r="AD297" s="3">
        <v>4.8850072384069456</v>
      </c>
      <c r="AE297" s="3">
        <v>4.8850072384069474</v>
      </c>
      <c r="AG297" s="17" t="s">
        <v>1930</v>
      </c>
      <c r="AH297" s="3">
        <v>4.8997949629715043</v>
      </c>
      <c r="AI297" s="3">
        <v>5.118455079782481</v>
      </c>
      <c r="AJ297" s="3">
        <v>4.8850072384069456</v>
      </c>
      <c r="AK297" s="3">
        <v>4.8850072384069456</v>
      </c>
      <c r="AL297" s="3">
        <v>4.8850072384069456</v>
      </c>
      <c r="AM297" s="3">
        <v>5.9960303616078896</v>
      </c>
      <c r="AN297" s="3">
        <v>5.9960303616078896</v>
      </c>
      <c r="AO297" s="3">
        <v>5.9960303616078896</v>
      </c>
      <c r="AP297" s="3">
        <v>5.9960303616078896</v>
      </c>
      <c r="AQ297" s="3">
        <v>5.9960303616078896</v>
      </c>
      <c r="AR297" s="3">
        <v>5.9960303616078887</v>
      </c>
      <c r="AS297" s="3">
        <v>5.9960303616078896</v>
      </c>
      <c r="AT297" s="3">
        <v>5.9960303616078887</v>
      </c>
      <c r="AU297" s="3">
        <v>5.9960303616078896</v>
      </c>
      <c r="AV297" s="3">
        <v>5.9960303616078896</v>
      </c>
      <c r="AW297" s="3">
        <v>5.9960303616078896</v>
      </c>
      <c r="AX297" s="3">
        <v>5.9960303616078896</v>
      </c>
      <c r="AY297" s="3">
        <v>5.9960303616078896</v>
      </c>
      <c r="AZ297" s="3">
        <v>5.9960303616078896</v>
      </c>
      <c r="BA297" s="3">
        <v>5.9960303616078896</v>
      </c>
      <c r="BC297" s="17" t="s">
        <v>1931</v>
      </c>
      <c r="BD297" s="3">
        <v>4.8997949629715043</v>
      </c>
      <c r="BE297" s="3">
        <v>5.118455079782481</v>
      </c>
      <c r="BF297" s="3">
        <v>4.8850072384069456</v>
      </c>
      <c r="BG297" s="3">
        <v>4.8850072384069456</v>
      </c>
      <c r="BH297" s="3">
        <v>4.8850072384069456</v>
      </c>
      <c r="BI297" s="3">
        <v>5.4405188000074176</v>
      </c>
      <c r="BJ297" s="3">
        <v>6.1812008821413809</v>
      </c>
      <c r="BK297" s="3">
        <v>6.9218829642753423</v>
      </c>
      <c r="BL297" s="3">
        <v>7.6625650464093056</v>
      </c>
      <c r="BM297" s="3">
        <v>8.4032471285432688</v>
      </c>
      <c r="BN297" s="3">
        <v>9.1439292106772321</v>
      </c>
      <c r="BO297" s="3">
        <v>9.8846112928111936</v>
      </c>
      <c r="BP297" s="3">
        <v>10.62529337494516</v>
      </c>
      <c r="BQ297" s="3">
        <v>11.36597545707912</v>
      </c>
      <c r="BR297" s="3">
        <v>12.10665753921308</v>
      </c>
      <c r="BS297" s="3">
        <v>12.847339621347039</v>
      </c>
      <c r="BT297" s="3">
        <v>13.58802170348101</v>
      </c>
      <c r="BU297" s="3">
        <v>14.328703785614969</v>
      </c>
      <c r="BV297" s="3">
        <v>15.069385867748929</v>
      </c>
      <c r="BW297" s="3">
        <v>15.8100679498829</v>
      </c>
      <c r="BY297" s="17" t="s">
        <v>1932</v>
      </c>
      <c r="BZ297" s="3">
        <v>4.8997949629715043</v>
      </c>
      <c r="CA297" s="3">
        <v>5.118455079782481</v>
      </c>
      <c r="CB297" s="3">
        <v>4.8850072384069456</v>
      </c>
      <c r="CC297" s="3">
        <v>4.8850072384069456</v>
      </c>
      <c r="CD297" s="3">
        <v>4.8850072384069456</v>
      </c>
      <c r="CE297" s="3">
        <v>5.8363954055685774</v>
      </c>
      <c r="CF297" s="3">
        <v>5.8438204236838418</v>
      </c>
      <c r="CG297" s="3">
        <v>5.8506372590963034</v>
      </c>
      <c r="CH297" s="3">
        <v>5.8569125934902102</v>
      </c>
      <c r="CI297" s="3">
        <v>5.862642373030317</v>
      </c>
      <c r="CJ297" s="3">
        <v>5.8679686555250834</v>
      </c>
      <c r="CK297" s="3">
        <v>5.8730625950222199</v>
      </c>
      <c r="CL297" s="3">
        <v>5.8778448428442394</v>
      </c>
      <c r="CM297" s="3">
        <v>5.8823920116405386</v>
      </c>
      <c r="CN297" s="3">
        <v>5.8844786448098017</v>
      </c>
      <c r="CO297" s="3">
        <v>5.8865563168959332</v>
      </c>
      <c r="CP297" s="3">
        <v>5.8886019624061063</v>
      </c>
      <c r="CQ297" s="3">
        <v>5.8906179457859587</v>
      </c>
      <c r="CR297" s="3">
        <v>5.8926170260434034</v>
      </c>
      <c r="CS297" s="3">
        <v>5.8946010074522333</v>
      </c>
      <c r="CU297" s="17" t="s">
        <v>1933</v>
      </c>
      <c r="CV297" s="3">
        <v>4.8997949629715043</v>
      </c>
      <c r="CW297" s="3">
        <v>5.118455079782481</v>
      </c>
      <c r="CX297" s="3">
        <v>4.8850072384069456</v>
      </c>
      <c r="CY297" s="3">
        <v>4.8850072384069456</v>
      </c>
      <c r="CZ297" s="3">
        <v>4.8850072384069456</v>
      </c>
      <c r="DA297" s="3">
        <v>7.6625650464093056</v>
      </c>
      <c r="DB297" s="3">
        <v>7.6625650464093056</v>
      </c>
      <c r="DC297" s="3">
        <v>7.6625650464093056</v>
      </c>
      <c r="DD297" s="3">
        <v>7.6625650464093056</v>
      </c>
      <c r="DE297" s="3">
        <v>7.6625650464093047</v>
      </c>
      <c r="DF297" s="3">
        <v>7.6625650464093047</v>
      </c>
      <c r="DG297" s="3">
        <v>7.6625650464093056</v>
      </c>
      <c r="DH297" s="3">
        <v>7.6625650464093056</v>
      </c>
      <c r="DI297" s="3">
        <v>7.6625650464093047</v>
      </c>
      <c r="DJ297" s="3">
        <v>7.6625650464093056</v>
      </c>
      <c r="DK297" s="3">
        <v>7.6625650464093056</v>
      </c>
      <c r="DL297" s="3">
        <v>7.6625650464093056</v>
      </c>
      <c r="DM297" s="3">
        <v>7.6625650464093047</v>
      </c>
      <c r="DN297" s="3">
        <v>7.6625650464093047</v>
      </c>
      <c r="DO297" s="3">
        <v>7.6625650464093056</v>
      </c>
    </row>
    <row r="298" spans="1:119" x14ac:dyDescent="0.45">
      <c r="A298" s="16" t="s">
        <v>1934</v>
      </c>
      <c r="B298" s="3" t="s">
        <v>89</v>
      </c>
      <c r="C298" s="16" t="s">
        <v>1935</v>
      </c>
      <c r="H298" s="3" t="s">
        <v>1936</v>
      </c>
      <c r="I298" s="3" t="s">
        <v>860</v>
      </c>
      <c r="K298" s="17" t="s">
        <v>1937</v>
      </c>
      <c r="L298" s="3">
        <v>-10.34380690355154</v>
      </c>
      <c r="M298" s="3">
        <v>-8.5189459188952767</v>
      </c>
      <c r="N298" s="3">
        <v>-8.0354705414289818</v>
      </c>
      <c r="O298" s="3">
        <v>-8.0886149980081079</v>
      </c>
      <c r="P298" s="3">
        <v>-8.1893522830186232</v>
      </c>
      <c r="Q298" s="3">
        <v>-8.4050365793987538</v>
      </c>
      <c r="R298" s="3">
        <v>-8.6472270196494883</v>
      </c>
      <c r="S298" s="3">
        <v>-8.8440716768491185</v>
      </c>
      <c r="T298" s="3">
        <v>-9.0261343308630018</v>
      </c>
      <c r="U298" s="3">
        <v>-9.2023491805036972</v>
      </c>
      <c r="V298" s="3">
        <v>-9.385213675316642</v>
      </c>
      <c r="W298" s="3">
        <v>-9.5753241822802622</v>
      </c>
      <c r="X298" s="3">
        <v>-9.7729571691108923</v>
      </c>
      <c r="Y298" s="3">
        <v>-9.9784085861867773</v>
      </c>
      <c r="Z298" s="3">
        <v>-10.191973460939041</v>
      </c>
      <c r="AA298" s="3">
        <v>-10.41397902836184</v>
      </c>
      <c r="AB298" s="3">
        <v>-10.644730304762261</v>
      </c>
      <c r="AC298" s="3">
        <v>-10.88456063213567</v>
      </c>
      <c r="AD298" s="3">
        <v>-11.133815518540199</v>
      </c>
      <c r="AE298" s="3">
        <v>-11.38160814718478</v>
      </c>
      <c r="AG298" s="17" t="s">
        <v>1938</v>
      </c>
      <c r="AH298" s="3">
        <v>-10.34380690355154</v>
      </c>
      <c r="AI298" s="3">
        <v>-8.5189459188952767</v>
      </c>
      <c r="AJ298" s="3">
        <v>-8.0354705414289818</v>
      </c>
      <c r="AK298" s="3">
        <v>-8.0886149980081079</v>
      </c>
      <c r="AL298" s="3">
        <v>-8.1893522830186232</v>
      </c>
      <c r="AM298" s="3">
        <v>-7.2940134561978116</v>
      </c>
      <c r="AN298" s="3">
        <v>-7.5362038964485434</v>
      </c>
      <c r="AO298" s="3">
        <v>-7.7330485536481746</v>
      </c>
      <c r="AP298" s="3">
        <v>-7.9151112076620578</v>
      </c>
      <c r="AQ298" s="3">
        <v>-8.0913260573027532</v>
      </c>
      <c r="AR298" s="3">
        <v>-8.274190552115698</v>
      </c>
      <c r="AS298" s="3">
        <v>-8.4643010590793182</v>
      </c>
      <c r="AT298" s="3">
        <v>-8.6619340459099483</v>
      </c>
      <c r="AU298" s="3">
        <v>-8.8673854629858333</v>
      </c>
      <c r="AV298" s="3">
        <v>-9.0809503377381002</v>
      </c>
      <c r="AW298" s="3">
        <v>-9.3029559051608945</v>
      </c>
      <c r="AX298" s="3">
        <v>-9.5337071815613186</v>
      </c>
      <c r="AY298" s="3">
        <v>-9.7735375089347318</v>
      </c>
      <c r="AZ298" s="3">
        <v>-10.02279239533925</v>
      </c>
      <c r="BA298" s="3">
        <v>-10.270585023983839</v>
      </c>
      <c r="BC298" s="17" t="s">
        <v>1939</v>
      </c>
      <c r="BD298" s="3">
        <v>-10.34380690355154</v>
      </c>
      <c r="BE298" s="3">
        <v>-8.5189459188952767</v>
      </c>
      <c r="BF298" s="3">
        <v>-8.0354705414289818</v>
      </c>
      <c r="BG298" s="3">
        <v>-8.0886149980081079</v>
      </c>
      <c r="BH298" s="3">
        <v>-8.1893522830186232</v>
      </c>
      <c r="BI298" s="3">
        <v>-7.8495250177982836</v>
      </c>
      <c r="BJ298" s="3">
        <v>-7.351033375915053</v>
      </c>
      <c r="BK298" s="3">
        <v>-6.8071959509807218</v>
      </c>
      <c r="BL298" s="3">
        <v>-6.2485765228606418</v>
      </c>
      <c r="BM298" s="3">
        <v>-5.684109290367374</v>
      </c>
      <c r="BN298" s="3">
        <v>-5.1262917030463564</v>
      </c>
      <c r="BO298" s="3">
        <v>-4.5757201278760142</v>
      </c>
      <c r="BP298" s="3">
        <v>-4.0326710325726811</v>
      </c>
      <c r="BQ298" s="3">
        <v>-3.4974403675146029</v>
      </c>
      <c r="BR298" s="3">
        <v>-2.9703231601329079</v>
      </c>
      <c r="BS298" s="3">
        <v>-2.4516466454217389</v>
      </c>
      <c r="BT298" s="3">
        <v>-1.9417158396882019</v>
      </c>
      <c r="BU298" s="3">
        <v>-1.4408640849276519</v>
      </c>
      <c r="BV298" s="3">
        <v>-0.94943688919820879</v>
      </c>
      <c r="BW298" s="3">
        <v>-0.45654743570883127</v>
      </c>
      <c r="BY298" s="17" t="s">
        <v>1940</v>
      </c>
      <c r="BZ298" s="3">
        <v>-10.34380690355154</v>
      </c>
      <c r="CA298" s="3">
        <v>-8.5189459188952767</v>
      </c>
      <c r="CB298" s="3">
        <v>-8.0354705414289818</v>
      </c>
      <c r="CC298" s="3">
        <v>-8.0886149980081079</v>
      </c>
      <c r="CD298" s="3">
        <v>-8.1893522830186232</v>
      </c>
      <c r="CE298" s="3">
        <v>-7.4536484100208256</v>
      </c>
      <c r="CF298" s="3">
        <v>-7.6884138321430946</v>
      </c>
      <c r="CG298" s="3">
        <v>-7.8784416541317954</v>
      </c>
      <c r="CH298" s="3">
        <v>-8.0542289741806741</v>
      </c>
      <c r="CI298" s="3">
        <v>-8.2247140449651024</v>
      </c>
      <c r="CJ298" s="3">
        <v>-8.4022522581310408</v>
      </c>
      <c r="CK298" s="3">
        <v>-8.5872688266751993</v>
      </c>
      <c r="CL298" s="3">
        <v>-8.7801195669809893</v>
      </c>
      <c r="CM298" s="3">
        <v>-8.9810238167986398</v>
      </c>
      <c r="CN298" s="3">
        <v>-9.192502059484287</v>
      </c>
      <c r="CO298" s="3">
        <v>-9.4124299560959486</v>
      </c>
      <c r="CP298" s="3">
        <v>-9.6411355884378107</v>
      </c>
      <c r="CQ298" s="3">
        <v>-9.8789499340714499</v>
      </c>
      <c r="CR298" s="3">
        <v>-10.126205742064091</v>
      </c>
      <c r="CS298" s="3">
        <v>-10.372014390882221</v>
      </c>
      <c r="CU298" s="17" t="s">
        <v>1941</v>
      </c>
      <c r="CV298" s="3">
        <v>-10.34380690355154</v>
      </c>
      <c r="CW298" s="3">
        <v>-8.5189459188952767</v>
      </c>
      <c r="CX298" s="3">
        <v>-8.0354705414289818</v>
      </c>
      <c r="CY298" s="3">
        <v>-8.0886149980081079</v>
      </c>
      <c r="CZ298" s="3">
        <v>-8.1893522830186232</v>
      </c>
      <c r="DA298" s="3">
        <v>-5.6274787713963947</v>
      </c>
      <c r="DB298" s="3">
        <v>-5.8696692116471283</v>
      </c>
      <c r="DC298" s="3">
        <v>-6.0665138688467577</v>
      </c>
      <c r="DD298" s="3">
        <v>-6.2485765228606418</v>
      </c>
      <c r="DE298" s="3">
        <v>-6.4247913725013381</v>
      </c>
      <c r="DF298" s="3">
        <v>-6.6076558673142829</v>
      </c>
      <c r="DG298" s="3">
        <v>-6.7977663742779013</v>
      </c>
      <c r="DH298" s="3">
        <v>-6.9953993611085306</v>
      </c>
      <c r="DI298" s="3">
        <v>-7.2008507781844182</v>
      </c>
      <c r="DJ298" s="3">
        <v>-7.4144156529366843</v>
      </c>
      <c r="DK298" s="3">
        <v>-7.6364212203594786</v>
      </c>
      <c r="DL298" s="3">
        <v>-7.8671724967599017</v>
      </c>
      <c r="DM298" s="3">
        <v>-8.1070028241333176</v>
      </c>
      <c r="DN298" s="3">
        <v>-8.3562577105378359</v>
      </c>
      <c r="DO298" s="3">
        <v>-8.6040503391824217</v>
      </c>
    </row>
    <row r="299" spans="1:119" x14ac:dyDescent="0.45">
      <c r="A299" s="16" t="s">
        <v>986</v>
      </c>
      <c r="B299" s="3" t="s">
        <v>89</v>
      </c>
      <c r="C299" s="16" t="s">
        <v>987</v>
      </c>
      <c r="H299" s="3" t="s">
        <v>988</v>
      </c>
      <c r="I299" s="3" t="s">
        <v>651</v>
      </c>
      <c r="K299" s="17" t="s">
        <v>989</v>
      </c>
      <c r="L299" s="3">
        <v>-7.083825529503021</v>
      </c>
      <c r="M299" s="3">
        <v>-5.1366471845249269</v>
      </c>
      <c r="N299" s="3">
        <v>-4.5359593350077274</v>
      </c>
      <c r="O299" s="3">
        <v>-4.5123786275725912</v>
      </c>
      <c r="P299" s="3">
        <v>-4.4563678253278667</v>
      </c>
      <c r="Q299" s="3">
        <v>-4.5230786320188408</v>
      </c>
      <c r="R299" s="3">
        <v>-4.6015528959366438</v>
      </c>
      <c r="S299" s="3">
        <v>-4.6295064404917881</v>
      </c>
      <c r="T299" s="3">
        <v>-4.6374366109586127</v>
      </c>
      <c r="U299" s="3">
        <v>-4.6419305471942494</v>
      </c>
      <c r="V299" s="3">
        <v>-4.6419305471942494</v>
      </c>
      <c r="W299" s="3">
        <v>-4.6419305471942494</v>
      </c>
      <c r="X299" s="3">
        <v>-4.6419305471942494</v>
      </c>
      <c r="Y299" s="3">
        <v>-4.6419305471942494</v>
      </c>
      <c r="Z299" s="3">
        <v>-4.6419305471942494</v>
      </c>
      <c r="AA299" s="3">
        <v>-4.6419305471942494</v>
      </c>
      <c r="AB299" s="3">
        <v>-4.6419305471942494</v>
      </c>
      <c r="AC299" s="3">
        <v>-4.6419305471942494</v>
      </c>
      <c r="AD299" s="3">
        <v>-4.6419305471942494</v>
      </c>
      <c r="AE299" s="3">
        <v>-4.6419305471942494</v>
      </c>
      <c r="AG299" s="17" t="s">
        <v>990</v>
      </c>
      <c r="AH299" s="3">
        <v>-7.083825529503021</v>
      </c>
      <c r="AI299" s="3">
        <v>-5.1366471845249269</v>
      </c>
      <c r="AJ299" s="3">
        <v>-4.5359593350077274</v>
      </c>
      <c r="AK299" s="3">
        <v>-4.5123786275725912</v>
      </c>
      <c r="AL299" s="3">
        <v>-4.4563678253278667</v>
      </c>
      <c r="AM299" s="3">
        <v>-4.5230786320188408</v>
      </c>
      <c r="AN299" s="3">
        <v>-4.6015528959366438</v>
      </c>
      <c r="AO299" s="3">
        <v>-4.6295064404917881</v>
      </c>
      <c r="AP299" s="3">
        <v>-4.6374366109586127</v>
      </c>
      <c r="AQ299" s="3">
        <v>-4.6419305471942494</v>
      </c>
      <c r="AR299" s="3">
        <v>-4.6419305471942494</v>
      </c>
      <c r="AS299" s="3">
        <v>-4.6419305471942494</v>
      </c>
      <c r="AT299" s="3">
        <v>-4.6419305471942494</v>
      </c>
      <c r="AU299" s="3">
        <v>-4.6419305471942494</v>
      </c>
      <c r="AV299" s="3">
        <v>-4.6419305471942494</v>
      </c>
      <c r="AW299" s="3">
        <v>-4.6419305471942494</v>
      </c>
      <c r="AX299" s="3">
        <v>-4.6419305471942494</v>
      </c>
      <c r="AY299" s="3">
        <v>-4.6419305471942494</v>
      </c>
      <c r="AZ299" s="3">
        <v>-4.6419305471942494</v>
      </c>
      <c r="BA299" s="3">
        <v>-4.6419305471942494</v>
      </c>
      <c r="BC299" s="17" t="s">
        <v>991</v>
      </c>
      <c r="BD299" s="3">
        <v>-7.083825529503021</v>
      </c>
      <c r="BE299" s="3">
        <v>-5.1366471845249269</v>
      </c>
      <c r="BF299" s="3">
        <v>-4.5359593350077274</v>
      </c>
      <c r="BG299" s="3">
        <v>-4.5123786275725912</v>
      </c>
      <c r="BH299" s="3">
        <v>-4.4563678253278667</v>
      </c>
      <c r="BI299" s="3">
        <v>-4.5230786320188408</v>
      </c>
      <c r="BJ299" s="3">
        <v>-4.6015528959366438</v>
      </c>
      <c r="BK299" s="3">
        <v>-4.6295064404917881</v>
      </c>
      <c r="BL299" s="3">
        <v>-4.6374366109586127</v>
      </c>
      <c r="BM299" s="3">
        <v>-4.6419305471942494</v>
      </c>
      <c r="BN299" s="3">
        <v>-4.6419305471942494</v>
      </c>
      <c r="BO299" s="3">
        <v>-4.6419305471942494</v>
      </c>
      <c r="BP299" s="3">
        <v>-4.6419305471942494</v>
      </c>
      <c r="BQ299" s="3">
        <v>-4.6419305471942494</v>
      </c>
      <c r="BR299" s="3">
        <v>-4.6419305471942494</v>
      </c>
      <c r="BS299" s="3">
        <v>-4.6419305471942494</v>
      </c>
      <c r="BT299" s="3">
        <v>-4.6419305471942494</v>
      </c>
      <c r="BU299" s="3">
        <v>-4.6419305471942494</v>
      </c>
      <c r="BV299" s="3">
        <v>-4.6419305471942494</v>
      </c>
      <c r="BW299" s="3">
        <v>-4.6419305471942494</v>
      </c>
      <c r="BY299" s="17" t="s">
        <v>992</v>
      </c>
      <c r="BZ299" s="3">
        <v>-7.083825529503021</v>
      </c>
      <c r="CA299" s="3">
        <v>-5.1366471845249269</v>
      </c>
      <c r="CB299" s="3">
        <v>-4.5359593350077274</v>
      </c>
      <c r="CC299" s="3">
        <v>-4.5123786275725912</v>
      </c>
      <c r="CD299" s="3">
        <v>-4.4563678253278667</v>
      </c>
      <c r="CE299" s="3">
        <v>-4.5230786320188408</v>
      </c>
      <c r="CF299" s="3">
        <v>-4.6015528959366438</v>
      </c>
      <c r="CG299" s="3">
        <v>-4.6295064404917881</v>
      </c>
      <c r="CH299" s="3">
        <v>-4.6374366109586127</v>
      </c>
      <c r="CI299" s="3">
        <v>-4.6419305471942494</v>
      </c>
      <c r="CJ299" s="3">
        <v>-4.6419305471942494</v>
      </c>
      <c r="CK299" s="3">
        <v>-4.6419305471942494</v>
      </c>
      <c r="CL299" s="3">
        <v>-4.6419305471942494</v>
      </c>
      <c r="CM299" s="3">
        <v>-4.6419305471942494</v>
      </c>
      <c r="CN299" s="3">
        <v>-4.6419305471942494</v>
      </c>
      <c r="CO299" s="3">
        <v>-4.6419305471942494</v>
      </c>
      <c r="CP299" s="3">
        <v>-4.6419305471942494</v>
      </c>
      <c r="CQ299" s="3">
        <v>-4.6419305471942494</v>
      </c>
      <c r="CR299" s="3">
        <v>-4.6419305471942494</v>
      </c>
      <c r="CS299" s="3">
        <v>-4.6419305471942494</v>
      </c>
      <c r="CU299" s="17" t="s">
        <v>993</v>
      </c>
      <c r="CV299" s="3">
        <v>-7.083825529503021</v>
      </c>
      <c r="CW299" s="3">
        <v>-5.1366471845249269</v>
      </c>
      <c r="CX299" s="3">
        <v>-4.5359593350077274</v>
      </c>
      <c r="CY299" s="3">
        <v>-4.5123786275725912</v>
      </c>
      <c r="CZ299" s="3">
        <v>-4.4563678253278667</v>
      </c>
      <c r="DA299" s="3">
        <v>-4.5230786320188408</v>
      </c>
      <c r="DB299" s="3">
        <v>-4.6015528959366438</v>
      </c>
      <c r="DC299" s="3">
        <v>-4.6295064404917881</v>
      </c>
      <c r="DD299" s="3">
        <v>-4.6374366109586127</v>
      </c>
      <c r="DE299" s="3">
        <v>-4.6419305471942494</v>
      </c>
      <c r="DF299" s="3">
        <v>-4.6419305471942494</v>
      </c>
      <c r="DG299" s="3">
        <v>-4.6419305471942494</v>
      </c>
      <c r="DH299" s="3">
        <v>-4.6419305471942494</v>
      </c>
      <c r="DI299" s="3">
        <v>-4.6419305471942494</v>
      </c>
      <c r="DJ299" s="3">
        <v>-4.6419305471942494</v>
      </c>
      <c r="DK299" s="3">
        <v>-4.6419305471942494</v>
      </c>
      <c r="DL299" s="3">
        <v>-4.6419305471942494</v>
      </c>
      <c r="DM299" s="3">
        <v>-4.6419305471942494</v>
      </c>
      <c r="DN299" s="3">
        <v>-4.6419305471942494</v>
      </c>
      <c r="DO299" s="3">
        <v>-4.6419305471942494</v>
      </c>
    </row>
    <row r="300" spans="1:119" x14ac:dyDescent="0.45">
      <c r="A300" s="16" t="s">
        <v>1942</v>
      </c>
      <c r="B300" s="3" t="s">
        <v>89</v>
      </c>
      <c r="C300" s="16" t="s">
        <v>1943</v>
      </c>
      <c r="H300" s="3" t="s">
        <v>1944</v>
      </c>
      <c r="I300" s="3" t="s">
        <v>109</v>
      </c>
      <c r="K300" s="17" t="s">
        <v>1945</v>
      </c>
      <c r="L300" s="3">
        <v>-126.95027830650579</v>
      </c>
      <c r="M300" s="3">
        <v>-92.054609041665373</v>
      </c>
      <c r="N300" s="3">
        <v>-81.289593817342777</v>
      </c>
      <c r="O300" s="3">
        <v>-80.867000494132469</v>
      </c>
      <c r="P300" s="3">
        <v>-79.863222676126654</v>
      </c>
      <c r="Q300" s="3">
        <v>-81.058756846215786</v>
      </c>
      <c r="R300" s="3">
        <v>-82.465105661947035</v>
      </c>
      <c r="S300" s="3">
        <v>-82.966065241788328</v>
      </c>
      <c r="T300" s="3">
        <v>-83.108182992089837</v>
      </c>
      <c r="U300" s="3">
        <v>-83.188719483767926</v>
      </c>
      <c r="V300" s="3">
        <v>-83.188719483767912</v>
      </c>
      <c r="W300" s="3">
        <v>-83.188719483767926</v>
      </c>
      <c r="X300" s="3">
        <v>-83.188719483767912</v>
      </c>
      <c r="Y300" s="3">
        <v>-83.188719483767912</v>
      </c>
      <c r="Z300" s="3">
        <v>-83.188719483767912</v>
      </c>
      <c r="AA300" s="3">
        <v>-83.188719483767912</v>
      </c>
      <c r="AB300" s="3">
        <v>-83.188719483767912</v>
      </c>
      <c r="AC300" s="3">
        <v>-83.188719483767912</v>
      </c>
      <c r="AD300" s="3">
        <v>-83.188719483767912</v>
      </c>
      <c r="AE300" s="3">
        <v>-83.188719483767912</v>
      </c>
      <c r="AG300" s="17" t="s">
        <v>1946</v>
      </c>
      <c r="AH300" s="3">
        <v>-126.95027830650579</v>
      </c>
      <c r="AI300" s="3">
        <v>-92.054609041665373</v>
      </c>
      <c r="AJ300" s="3">
        <v>-81.289593817342777</v>
      </c>
      <c r="AK300" s="3">
        <v>-80.867000494132469</v>
      </c>
      <c r="AL300" s="3">
        <v>-79.863222676126654</v>
      </c>
      <c r="AM300" s="3">
        <v>-81.058756846215786</v>
      </c>
      <c r="AN300" s="3">
        <v>-82.465105661947035</v>
      </c>
      <c r="AO300" s="3">
        <v>-82.966065241788328</v>
      </c>
      <c r="AP300" s="3">
        <v>-83.108182992089837</v>
      </c>
      <c r="AQ300" s="3">
        <v>-83.188719483767926</v>
      </c>
      <c r="AR300" s="3">
        <v>-83.188719483767912</v>
      </c>
      <c r="AS300" s="3">
        <v>-83.188719483767926</v>
      </c>
      <c r="AT300" s="3">
        <v>-83.188719483767912</v>
      </c>
      <c r="AU300" s="3">
        <v>-83.188719483767912</v>
      </c>
      <c r="AV300" s="3">
        <v>-83.188719483767912</v>
      </c>
      <c r="AW300" s="3">
        <v>-83.188719483767912</v>
      </c>
      <c r="AX300" s="3">
        <v>-83.188719483767912</v>
      </c>
      <c r="AY300" s="3">
        <v>-83.188719483767912</v>
      </c>
      <c r="AZ300" s="3">
        <v>-83.188719483767912</v>
      </c>
      <c r="BA300" s="3">
        <v>-83.188719483767912</v>
      </c>
      <c r="BC300" s="17" t="s">
        <v>1947</v>
      </c>
      <c r="BD300" s="3">
        <v>-126.95027830650579</v>
      </c>
      <c r="BE300" s="3">
        <v>-92.054609041665373</v>
      </c>
      <c r="BF300" s="3">
        <v>-81.289593817342777</v>
      </c>
      <c r="BG300" s="3">
        <v>-80.867000494132469</v>
      </c>
      <c r="BH300" s="3">
        <v>-79.863222676126654</v>
      </c>
      <c r="BI300" s="3">
        <v>-81.058756846215786</v>
      </c>
      <c r="BJ300" s="3">
        <v>-82.465105661947035</v>
      </c>
      <c r="BK300" s="3">
        <v>-82.966065241788328</v>
      </c>
      <c r="BL300" s="3">
        <v>-83.108182992089837</v>
      </c>
      <c r="BM300" s="3">
        <v>-83.188719483767926</v>
      </c>
      <c r="BN300" s="3">
        <v>-83.188719483767912</v>
      </c>
      <c r="BO300" s="3">
        <v>-83.188719483767926</v>
      </c>
      <c r="BP300" s="3">
        <v>-83.188719483767912</v>
      </c>
      <c r="BQ300" s="3">
        <v>-83.188719483767912</v>
      </c>
      <c r="BR300" s="3">
        <v>-83.188719483767912</v>
      </c>
      <c r="BS300" s="3">
        <v>-83.188719483767912</v>
      </c>
      <c r="BT300" s="3">
        <v>-83.188719483767912</v>
      </c>
      <c r="BU300" s="3">
        <v>-83.188719483767912</v>
      </c>
      <c r="BV300" s="3">
        <v>-83.188719483767912</v>
      </c>
      <c r="BW300" s="3">
        <v>-83.188719483767912</v>
      </c>
      <c r="BY300" s="17" t="s">
        <v>1948</v>
      </c>
      <c r="BZ300" s="3">
        <v>-126.95027830650579</v>
      </c>
      <c r="CA300" s="3">
        <v>-92.054609041665373</v>
      </c>
      <c r="CB300" s="3">
        <v>-81.289593817342777</v>
      </c>
      <c r="CC300" s="3">
        <v>-80.867000494132469</v>
      </c>
      <c r="CD300" s="3">
        <v>-79.863222676126654</v>
      </c>
      <c r="CE300" s="3">
        <v>-81.058756846215786</v>
      </c>
      <c r="CF300" s="3">
        <v>-82.465105661947035</v>
      </c>
      <c r="CG300" s="3">
        <v>-82.966065241788328</v>
      </c>
      <c r="CH300" s="3">
        <v>-83.108182992089837</v>
      </c>
      <c r="CI300" s="3">
        <v>-83.188719483767926</v>
      </c>
      <c r="CJ300" s="3">
        <v>-83.188719483767912</v>
      </c>
      <c r="CK300" s="3">
        <v>-83.188719483767926</v>
      </c>
      <c r="CL300" s="3">
        <v>-83.188719483767912</v>
      </c>
      <c r="CM300" s="3">
        <v>-83.188719483767912</v>
      </c>
      <c r="CN300" s="3">
        <v>-83.188719483767912</v>
      </c>
      <c r="CO300" s="3">
        <v>-83.188719483767912</v>
      </c>
      <c r="CP300" s="3">
        <v>-83.188719483767912</v>
      </c>
      <c r="CQ300" s="3">
        <v>-83.188719483767912</v>
      </c>
      <c r="CR300" s="3">
        <v>-83.188719483767912</v>
      </c>
      <c r="CS300" s="3">
        <v>-83.188719483767912</v>
      </c>
      <c r="CU300" s="17" t="s">
        <v>1949</v>
      </c>
      <c r="CV300" s="3">
        <v>-126.95027830650579</v>
      </c>
      <c r="CW300" s="3">
        <v>-92.054609041665373</v>
      </c>
      <c r="CX300" s="3">
        <v>-81.289593817342777</v>
      </c>
      <c r="CY300" s="3">
        <v>-80.867000494132469</v>
      </c>
      <c r="CZ300" s="3">
        <v>-79.863222676126654</v>
      </c>
      <c r="DA300" s="3">
        <v>-81.058756846215786</v>
      </c>
      <c r="DB300" s="3">
        <v>-82.465105661947035</v>
      </c>
      <c r="DC300" s="3">
        <v>-82.966065241788328</v>
      </c>
      <c r="DD300" s="3">
        <v>-83.108182992089837</v>
      </c>
      <c r="DE300" s="3">
        <v>-83.188719483767926</v>
      </c>
      <c r="DF300" s="3">
        <v>-83.188719483767912</v>
      </c>
      <c r="DG300" s="3">
        <v>-83.188719483767926</v>
      </c>
      <c r="DH300" s="3">
        <v>-83.188719483767912</v>
      </c>
      <c r="DI300" s="3">
        <v>-83.188719483767912</v>
      </c>
      <c r="DJ300" s="3">
        <v>-83.188719483767912</v>
      </c>
      <c r="DK300" s="3">
        <v>-83.188719483767912</v>
      </c>
      <c r="DL300" s="3">
        <v>-83.188719483767912</v>
      </c>
      <c r="DM300" s="3">
        <v>-83.188719483767912</v>
      </c>
      <c r="DN300" s="3">
        <v>-83.188719483767912</v>
      </c>
      <c r="DO300" s="3">
        <v>-83.188719483767912</v>
      </c>
    </row>
    <row r="301" spans="1:119" x14ac:dyDescent="0.45">
      <c r="A301" s="16" t="s">
        <v>1950</v>
      </c>
      <c r="B301" s="3" t="s">
        <v>89</v>
      </c>
      <c r="C301" s="16" t="s">
        <v>1951</v>
      </c>
      <c r="H301" s="3" t="s">
        <v>1952</v>
      </c>
      <c r="I301" s="3" t="s">
        <v>860</v>
      </c>
      <c r="K301" s="17" t="s">
        <v>1953</v>
      </c>
      <c r="L301" s="3">
        <v>3.2599813740485168</v>
      </c>
      <c r="M301" s="3">
        <v>3.3822987343703521</v>
      </c>
      <c r="N301" s="3">
        <v>3.4995112064212561</v>
      </c>
      <c r="O301" s="3">
        <v>3.5762363704355158</v>
      </c>
      <c r="P301" s="3">
        <v>3.7329844576907569</v>
      </c>
      <c r="Q301" s="3">
        <v>3.8819579473799148</v>
      </c>
      <c r="R301" s="3">
        <v>4.0456741237128453</v>
      </c>
      <c r="S301" s="3">
        <v>4.2145652363573296</v>
      </c>
      <c r="T301" s="3">
        <v>4.3886977199043899</v>
      </c>
      <c r="U301" s="3">
        <v>4.5604186333094479</v>
      </c>
      <c r="V301" s="3">
        <v>4.7432831281223917</v>
      </c>
      <c r="W301" s="3">
        <v>4.9333936350860137</v>
      </c>
      <c r="X301" s="3">
        <v>5.1310266219166429</v>
      </c>
      <c r="Y301" s="3">
        <v>5.3364780389925279</v>
      </c>
      <c r="Z301" s="3">
        <v>5.5500429137447949</v>
      </c>
      <c r="AA301" s="3">
        <v>5.7720484811675892</v>
      </c>
      <c r="AB301" s="3">
        <v>6.0027997575680132</v>
      </c>
      <c r="AC301" s="3">
        <v>6.2426300849414256</v>
      </c>
      <c r="AD301" s="3">
        <v>6.4918849713459474</v>
      </c>
      <c r="AE301" s="3">
        <v>6.7396775999905323</v>
      </c>
      <c r="AG301" s="17" t="s">
        <v>1954</v>
      </c>
      <c r="AH301" s="3">
        <v>3.2599813740485168</v>
      </c>
      <c r="AI301" s="3">
        <v>3.3822987343703521</v>
      </c>
      <c r="AJ301" s="3">
        <v>3.4995112064212561</v>
      </c>
      <c r="AK301" s="3">
        <v>3.5762363704355158</v>
      </c>
      <c r="AL301" s="3">
        <v>3.7329844576907569</v>
      </c>
      <c r="AM301" s="3">
        <v>3.8819579473799148</v>
      </c>
      <c r="AN301" s="3">
        <v>4.0456741237128453</v>
      </c>
      <c r="AO301" s="3">
        <v>4.2145652363573296</v>
      </c>
      <c r="AP301" s="3">
        <v>4.3886977199043899</v>
      </c>
      <c r="AQ301" s="3">
        <v>4.5604186333094479</v>
      </c>
      <c r="AR301" s="3">
        <v>4.7432831281223917</v>
      </c>
      <c r="AS301" s="3">
        <v>4.9333936350860137</v>
      </c>
      <c r="AT301" s="3">
        <v>5.1310266219166429</v>
      </c>
      <c r="AU301" s="3">
        <v>5.3364780389925279</v>
      </c>
      <c r="AV301" s="3">
        <v>5.5500429137447949</v>
      </c>
      <c r="AW301" s="3">
        <v>5.7720484811675892</v>
      </c>
      <c r="AX301" s="3">
        <v>6.0027997575680132</v>
      </c>
      <c r="AY301" s="3">
        <v>6.2426300849414256</v>
      </c>
      <c r="AZ301" s="3">
        <v>6.4918849713459474</v>
      </c>
      <c r="BA301" s="3">
        <v>6.7396775999905323</v>
      </c>
      <c r="BC301" s="17" t="s">
        <v>1955</v>
      </c>
      <c r="BD301" s="3">
        <v>3.2599813740485168</v>
      </c>
      <c r="BE301" s="3">
        <v>3.3822987343703521</v>
      </c>
      <c r="BF301" s="3">
        <v>3.4995112064212561</v>
      </c>
      <c r="BG301" s="3">
        <v>3.5762363704355158</v>
      </c>
      <c r="BH301" s="3">
        <v>3.7329844576907569</v>
      </c>
      <c r="BI301" s="3">
        <v>3.8819579473799148</v>
      </c>
      <c r="BJ301" s="3">
        <v>4.0456741237128453</v>
      </c>
      <c r="BK301" s="3">
        <v>4.2145652363573296</v>
      </c>
      <c r="BL301" s="3">
        <v>4.3886977199043899</v>
      </c>
      <c r="BM301" s="3">
        <v>4.5604186333094479</v>
      </c>
      <c r="BN301" s="3">
        <v>4.7432831281223917</v>
      </c>
      <c r="BO301" s="3">
        <v>4.9333936350860137</v>
      </c>
      <c r="BP301" s="3">
        <v>5.1310266219166429</v>
      </c>
      <c r="BQ301" s="3">
        <v>5.3364780389925279</v>
      </c>
      <c r="BR301" s="3">
        <v>5.5500429137447949</v>
      </c>
      <c r="BS301" s="3">
        <v>5.7720484811675892</v>
      </c>
      <c r="BT301" s="3">
        <v>6.0027997575680132</v>
      </c>
      <c r="BU301" s="3">
        <v>6.2426300849414256</v>
      </c>
      <c r="BV301" s="3">
        <v>6.4918849713459474</v>
      </c>
      <c r="BW301" s="3">
        <v>6.7396775999905323</v>
      </c>
      <c r="BY301" s="17" t="s">
        <v>1956</v>
      </c>
      <c r="BZ301" s="3">
        <v>3.2599813740485168</v>
      </c>
      <c r="CA301" s="3">
        <v>3.3822987343703521</v>
      </c>
      <c r="CB301" s="3">
        <v>3.4995112064212561</v>
      </c>
      <c r="CC301" s="3">
        <v>3.5762363704355158</v>
      </c>
      <c r="CD301" s="3">
        <v>3.7329844576907569</v>
      </c>
      <c r="CE301" s="3">
        <v>3.881957945163617</v>
      </c>
      <c r="CF301" s="3">
        <v>4.0456741214833478</v>
      </c>
      <c r="CG301" s="3">
        <v>4.2145652343293651</v>
      </c>
      <c r="CH301" s="3">
        <v>4.3886977183053268</v>
      </c>
      <c r="CI301" s="3">
        <v>4.5604186323942244</v>
      </c>
      <c r="CJ301" s="3">
        <v>4.7432831280549284</v>
      </c>
      <c r="CK301" s="3">
        <v>4.9333936360962252</v>
      </c>
      <c r="CL301" s="3">
        <v>5.1310266242240354</v>
      </c>
      <c r="CM301" s="3">
        <v>5.3364780428379834</v>
      </c>
      <c r="CN301" s="3">
        <v>5.5500429186928937</v>
      </c>
      <c r="CO301" s="3">
        <v>5.7720484873906894</v>
      </c>
      <c r="CP301" s="3">
        <v>6.0027997652427221</v>
      </c>
      <c r="CQ301" s="3">
        <v>6.2426300942562136</v>
      </c>
      <c r="CR301" s="3">
        <v>6.4918849825062983</v>
      </c>
      <c r="CS301" s="3">
        <v>6.7396776127332609</v>
      </c>
      <c r="CU301" s="17" t="s">
        <v>1957</v>
      </c>
      <c r="CV301" s="3">
        <v>3.2599813740485168</v>
      </c>
      <c r="CW301" s="3">
        <v>3.3822987343703521</v>
      </c>
      <c r="CX301" s="3">
        <v>3.4995112064212561</v>
      </c>
      <c r="CY301" s="3">
        <v>3.5762363704355158</v>
      </c>
      <c r="CZ301" s="3">
        <v>3.7329844576907569</v>
      </c>
      <c r="DA301" s="3">
        <v>3.8819579473799148</v>
      </c>
      <c r="DB301" s="3">
        <v>4.0456741237128453</v>
      </c>
      <c r="DC301" s="3">
        <v>4.2145652363573296</v>
      </c>
      <c r="DD301" s="3">
        <v>4.3886977199043899</v>
      </c>
      <c r="DE301" s="3">
        <v>4.5604186333094479</v>
      </c>
      <c r="DF301" s="3">
        <v>4.7432831281223917</v>
      </c>
      <c r="DG301" s="3">
        <v>4.9333936350860137</v>
      </c>
      <c r="DH301" s="3">
        <v>5.1310266219166429</v>
      </c>
      <c r="DI301" s="3">
        <v>5.3364780389925279</v>
      </c>
      <c r="DJ301" s="3">
        <v>5.5500429137447949</v>
      </c>
      <c r="DK301" s="3">
        <v>5.7720484811675892</v>
      </c>
      <c r="DL301" s="3">
        <v>6.0027997575680132</v>
      </c>
      <c r="DM301" s="3">
        <v>6.2426300849414256</v>
      </c>
      <c r="DN301" s="3">
        <v>6.4918849713459474</v>
      </c>
      <c r="DO301" s="3">
        <v>6.7396775999905323</v>
      </c>
    </row>
    <row r="302" spans="1:119" x14ac:dyDescent="0.45">
      <c r="A302" s="16" t="s">
        <v>1958</v>
      </c>
      <c r="B302" s="3" t="s">
        <v>89</v>
      </c>
      <c r="C302" s="16" t="s">
        <v>1959</v>
      </c>
      <c r="H302" s="3" t="s">
        <v>1960</v>
      </c>
      <c r="I302" s="3" t="s">
        <v>109</v>
      </c>
      <c r="K302" s="17" t="s">
        <v>1961</v>
      </c>
      <c r="L302" s="3">
        <v>58.422605269686692</v>
      </c>
      <c r="M302" s="3">
        <v>60.614672658966889</v>
      </c>
      <c r="N302" s="3">
        <v>62.715254595363021</v>
      </c>
      <c r="O302" s="3">
        <v>64.090257534686671</v>
      </c>
      <c r="P302" s="3">
        <v>66.899363041052993</v>
      </c>
      <c r="Q302" s="3">
        <v>69.569138841933963</v>
      </c>
      <c r="R302" s="3">
        <v>72.503120496645991</v>
      </c>
      <c r="S302" s="3">
        <v>75.529842945471884</v>
      </c>
      <c r="T302" s="3">
        <v>78.650496772480125</v>
      </c>
      <c r="U302" s="3">
        <v>81.727932496585098</v>
      </c>
      <c r="V302" s="3">
        <v>85.005073980688039</v>
      </c>
      <c r="W302" s="3">
        <v>88.412072313369436</v>
      </c>
      <c r="X302" s="3">
        <v>91.953882113201487</v>
      </c>
      <c r="Y302" s="3">
        <v>95.635807150403735</v>
      </c>
      <c r="Z302" s="3">
        <v>99.463134654924644</v>
      </c>
      <c r="AA302" s="3">
        <v>103.4417290531826</v>
      </c>
      <c r="AB302" s="3">
        <v>107.57705658724041</v>
      </c>
      <c r="AC302" s="3">
        <v>111.8750911279826</v>
      </c>
      <c r="AD302" s="3">
        <v>116.3420245760922</v>
      </c>
      <c r="AE302" s="3">
        <v>120.7827526880024</v>
      </c>
      <c r="AG302" s="17" t="s">
        <v>1962</v>
      </c>
      <c r="AH302" s="3">
        <v>58.422605269686692</v>
      </c>
      <c r="AI302" s="3">
        <v>60.614672658966889</v>
      </c>
      <c r="AJ302" s="3">
        <v>62.715254595363021</v>
      </c>
      <c r="AK302" s="3">
        <v>64.090257534686671</v>
      </c>
      <c r="AL302" s="3">
        <v>66.899363041052993</v>
      </c>
      <c r="AM302" s="3">
        <v>69.569138841933963</v>
      </c>
      <c r="AN302" s="3">
        <v>72.503120496645991</v>
      </c>
      <c r="AO302" s="3">
        <v>75.529842945471884</v>
      </c>
      <c r="AP302" s="3">
        <v>78.650496772480125</v>
      </c>
      <c r="AQ302" s="3">
        <v>81.727932496585098</v>
      </c>
      <c r="AR302" s="3">
        <v>85.005073980688039</v>
      </c>
      <c r="AS302" s="3">
        <v>88.412072313369436</v>
      </c>
      <c r="AT302" s="3">
        <v>91.953882113201487</v>
      </c>
      <c r="AU302" s="3">
        <v>95.635807150403735</v>
      </c>
      <c r="AV302" s="3">
        <v>99.463134654924644</v>
      </c>
      <c r="AW302" s="3">
        <v>103.4417290531826</v>
      </c>
      <c r="AX302" s="3">
        <v>107.57705658724041</v>
      </c>
      <c r="AY302" s="3">
        <v>111.8750911279826</v>
      </c>
      <c r="AZ302" s="3">
        <v>116.3420245760922</v>
      </c>
      <c r="BA302" s="3">
        <v>120.7827526880024</v>
      </c>
      <c r="BC302" s="17" t="s">
        <v>1963</v>
      </c>
      <c r="BD302" s="3">
        <v>58.422605269686692</v>
      </c>
      <c r="BE302" s="3">
        <v>60.614672658966889</v>
      </c>
      <c r="BF302" s="3">
        <v>62.715254595363021</v>
      </c>
      <c r="BG302" s="3">
        <v>64.090257534686671</v>
      </c>
      <c r="BH302" s="3">
        <v>66.899363041052993</v>
      </c>
      <c r="BI302" s="3">
        <v>69.569138841933963</v>
      </c>
      <c r="BJ302" s="3">
        <v>72.503120496645991</v>
      </c>
      <c r="BK302" s="3">
        <v>75.529842945471884</v>
      </c>
      <c r="BL302" s="3">
        <v>78.650496772480125</v>
      </c>
      <c r="BM302" s="3">
        <v>81.727932496585098</v>
      </c>
      <c r="BN302" s="3">
        <v>85.005073980688039</v>
      </c>
      <c r="BO302" s="3">
        <v>88.412072313369436</v>
      </c>
      <c r="BP302" s="3">
        <v>91.953882113201487</v>
      </c>
      <c r="BQ302" s="3">
        <v>95.635807150403735</v>
      </c>
      <c r="BR302" s="3">
        <v>99.463134654924644</v>
      </c>
      <c r="BS302" s="3">
        <v>103.4417290531826</v>
      </c>
      <c r="BT302" s="3">
        <v>107.57705658724041</v>
      </c>
      <c r="BU302" s="3">
        <v>111.8750911279826</v>
      </c>
      <c r="BV302" s="3">
        <v>116.3420245760922</v>
      </c>
      <c r="BW302" s="3">
        <v>120.7827526880024</v>
      </c>
      <c r="BY302" s="17" t="s">
        <v>1964</v>
      </c>
      <c r="BZ302" s="3">
        <v>58.422605269686692</v>
      </c>
      <c r="CA302" s="3">
        <v>60.614672658966889</v>
      </c>
      <c r="CB302" s="3">
        <v>62.715254595363021</v>
      </c>
      <c r="CC302" s="3">
        <v>64.090257534686671</v>
      </c>
      <c r="CD302" s="3">
        <v>66.899363041052993</v>
      </c>
      <c r="CE302" s="3">
        <v>69.569138802215377</v>
      </c>
      <c r="CF302" s="3">
        <v>72.503120456690823</v>
      </c>
      <c r="CG302" s="3">
        <v>75.529842909128419</v>
      </c>
      <c r="CH302" s="3">
        <v>78.650496743823069</v>
      </c>
      <c r="CI302" s="3">
        <v>81.727932480183227</v>
      </c>
      <c r="CJ302" s="3">
        <v>85.005073979479008</v>
      </c>
      <c r="CK302" s="3">
        <v>88.412072331473581</v>
      </c>
      <c r="CL302" s="3">
        <v>91.953882154552616</v>
      </c>
      <c r="CM302" s="3">
        <v>95.635807219318707</v>
      </c>
      <c r="CN302" s="3">
        <v>99.46313474360025</v>
      </c>
      <c r="CO302" s="3">
        <v>103.4417291647077</v>
      </c>
      <c r="CP302" s="3">
        <v>107.57705672477999</v>
      </c>
      <c r="CQ302" s="3">
        <v>111.8750912949142</v>
      </c>
      <c r="CR302" s="3">
        <v>116.3420247760985</v>
      </c>
      <c r="CS302" s="3">
        <v>120.7827529163667</v>
      </c>
      <c r="CU302" s="17" t="s">
        <v>1965</v>
      </c>
      <c r="CV302" s="3">
        <v>58.422605269686692</v>
      </c>
      <c r="CW302" s="3">
        <v>60.614672658966889</v>
      </c>
      <c r="CX302" s="3">
        <v>62.715254595363021</v>
      </c>
      <c r="CY302" s="3">
        <v>64.090257534686671</v>
      </c>
      <c r="CZ302" s="3">
        <v>66.899363041052993</v>
      </c>
      <c r="DA302" s="3">
        <v>69.569138841933963</v>
      </c>
      <c r="DB302" s="3">
        <v>72.503120496645991</v>
      </c>
      <c r="DC302" s="3">
        <v>75.529842945471884</v>
      </c>
      <c r="DD302" s="3">
        <v>78.650496772480125</v>
      </c>
      <c r="DE302" s="3">
        <v>81.727932496585098</v>
      </c>
      <c r="DF302" s="3">
        <v>85.005073980688039</v>
      </c>
      <c r="DG302" s="3">
        <v>88.412072313369436</v>
      </c>
      <c r="DH302" s="3">
        <v>91.953882113201487</v>
      </c>
      <c r="DI302" s="3">
        <v>95.635807150403735</v>
      </c>
      <c r="DJ302" s="3">
        <v>99.463134654924644</v>
      </c>
      <c r="DK302" s="3">
        <v>103.4417290531826</v>
      </c>
      <c r="DL302" s="3">
        <v>107.57705658724041</v>
      </c>
      <c r="DM302" s="3">
        <v>111.8750911279826</v>
      </c>
      <c r="DN302" s="3">
        <v>116.3420245760922</v>
      </c>
      <c r="DO302" s="3">
        <v>120.7827526880024</v>
      </c>
    </row>
    <row r="303" spans="1:119" x14ac:dyDescent="0.45">
      <c r="A303" s="16" t="s">
        <v>1966</v>
      </c>
      <c r="B303" s="3" t="s">
        <v>89</v>
      </c>
      <c r="C303" s="16" t="s">
        <v>1967</v>
      </c>
      <c r="H303" s="3" t="s">
        <v>1968</v>
      </c>
      <c r="I303" s="3" t="s">
        <v>860</v>
      </c>
      <c r="K303" s="17" t="s">
        <v>1969</v>
      </c>
      <c r="L303" s="3">
        <v>22.86260117049401</v>
      </c>
      <c r="M303" s="3">
        <v>20.453043214718519</v>
      </c>
      <c r="N303" s="3">
        <v>19.97525963148836</v>
      </c>
      <c r="O303" s="3">
        <v>20.04541177219371</v>
      </c>
      <c r="P303" s="3">
        <v>20.032327210170251</v>
      </c>
      <c r="Q303" s="3">
        <v>20.401970800807721</v>
      </c>
      <c r="R303" s="3">
        <v>20.815699964070461</v>
      </c>
      <c r="S303" s="3">
        <v>21.080345449766519</v>
      </c>
      <c r="T303" s="3">
        <v>21.29017914907952</v>
      </c>
      <c r="U303" s="3">
        <v>21.495489738544041</v>
      </c>
      <c r="V303" s="3">
        <v>21.695216368654432</v>
      </c>
      <c r="W303" s="3">
        <v>21.902922234448582</v>
      </c>
      <c r="X303" s="3">
        <v>22.11892458807915</v>
      </c>
      <c r="Y303" s="3">
        <v>22.34355457954835</v>
      </c>
      <c r="Z303" s="3">
        <v>22.57715477527622</v>
      </c>
      <c r="AA303" s="3">
        <v>22.820084370076842</v>
      </c>
      <c r="AB303" s="3">
        <v>23.072711864313892</v>
      </c>
      <c r="AC303" s="3">
        <v>23.335422810256102</v>
      </c>
      <c r="AD303" s="3">
        <v>23.608618014850169</v>
      </c>
      <c r="AE303" s="3">
        <v>23.89110191320685</v>
      </c>
      <c r="AG303" s="17" t="s">
        <v>1970</v>
      </c>
      <c r="AH303" s="3">
        <v>22.86260117049401</v>
      </c>
      <c r="AI303" s="3">
        <v>20.453043214718519</v>
      </c>
      <c r="AJ303" s="3">
        <v>19.97525963148836</v>
      </c>
      <c r="AK303" s="3">
        <v>20.04541177219371</v>
      </c>
      <c r="AL303" s="3">
        <v>20.032327210170251</v>
      </c>
      <c r="AM303" s="3">
        <v>20.401970800807721</v>
      </c>
      <c r="AN303" s="3">
        <v>20.815699964070461</v>
      </c>
      <c r="AO303" s="3">
        <v>21.080345449766519</v>
      </c>
      <c r="AP303" s="3">
        <v>21.29017914907952</v>
      </c>
      <c r="AQ303" s="3">
        <v>21.495489738544041</v>
      </c>
      <c r="AR303" s="3">
        <v>21.695216368654432</v>
      </c>
      <c r="AS303" s="3">
        <v>21.902922234448582</v>
      </c>
      <c r="AT303" s="3">
        <v>22.11892458807915</v>
      </c>
      <c r="AU303" s="3">
        <v>22.34355457954835</v>
      </c>
      <c r="AV303" s="3">
        <v>22.57715477527622</v>
      </c>
      <c r="AW303" s="3">
        <v>22.820084370076842</v>
      </c>
      <c r="AX303" s="3">
        <v>23.072711864313892</v>
      </c>
      <c r="AY303" s="3">
        <v>23.335422810256102</v>
      </c>
      <c r="AZ303" s="3">
        <v>23.608618014850169</v>
      </c>
      <c r="BA303" s="3">
        <v>23.89110191320685</v>
      </c>
      <c r="BC303" s="17" t="s">
        <v>1971</v>
      </c>
      <c r="BD303" s="3">
        <v>22.86260117049401</v>
      </c>
      <c r="BE303" s="3">
        <v>20.453043214718519</v>
      </c>
      <c r="BF303" s="3">
        <v>19.97525963148836</v>
      </c>
      <c r="BG303" s="3">
        <v>20.04541177219371</v>
      </c>
      <c r="BH303" s="3">
        <v>20.032327210170251</v>
      </c>
      <c r="BI303" s="3">
        <v>20.401970800807721</v>
      </c>
      <c r="BJ303" s="3">
        <v>20.815699964070461</v>
      </c>
      <c r="BK303" s="3">
        <v>21.080345449766519</v>
      </c>
      <c r="BL303" s="3">
        <v>21.29017914907952</v>
      </c>
      <c r="BM303" s="3">
        <v>21.495489738544041</v>
      </c>
      <c r="BN303" s="3">
        <v>21.695216368654432</v>
      </c>
      <c r="BO303" s="3">
        <v>21.902922234448582</v>
      </c>
      <c r="BP303" s="3">
        <v>22.11892458807915</v>
      </c>
      <c r="BQ303" s="3">
        <v>22.34355457954835</v>
      </c>
      <c r="BR303" s="3">
        <v>22.57715477527622</v>
      </c>
      <c r="BS303" s="3">
        <v>22.820084370076842</v>
      </c>
      <c r="BT303" s="3">
        <v>23.072711864313892</v>
      </c>
      <c r="BU303" s="3">
        <v>23.335422810256102</v>
      </c>
      <c r="BV303" s="3">
        <v>23.608618014850169</v>
      </c>
      <c r="BW303" s="3">
        <v>23.89110191320685</v>
      </c>
      <c r="BY303" s="17" t="s">
        <v>1972</v>
      </c>
      <c r="BZ303" s="3">
        <v>22.86260117049401</v>
      </c>
      <c r="CA303" s="3">
        <v>20.453043214718519</v>
      </c>
      <c r="CB303" s="3">
        <v>19.97525963148836</v>
      </c>
      <c r="CC303" s="3">
        <v>20.04541177219371</v>
      </c>
      <c r="CD303" s="3">
        <v>20.032327210170251</v>
      </c>
      <c r="CE303" s="3">
        <v>20.401970800807721</v>
      </c>
      <c r="CF303" s="3">
        <v>20.815699964070461</v>
      </c>
      <c r="CG303" s="3">
        <v>21.080345449766519</v>
      </c>
      <c r="CH303" s="3">
        <v>21.29017914907952</v>
      </c>
      <c r="CI303" s="3">
        <v>21.495489738544041</v>
      </c>
      <c r="CJ303" s="3">
        <v>21.695216368654432</v>
      </c>
      <c r="CK303" s="3">
        <v>21.902922234448582</v>
      </c>
      <c r="CL303" s="3">
        <v>22.11892458807915</v>
      </c>
      <c r="CM303" s="3">
        <v>22.34355457954835</v>
      </c>
      <c r="CN303" s="3">
        <v>22.57715477527622</v>
      </c>
      <c r="CO303" s="3">
        <v>22.820084370076842</v>
      </c>
      <c r="CP303" s="3">
        <v>23.072711864313892</v>
      </c>
      <c r="CQ303" s="3">
        <v>23.335422810256102</v>
      </c>
      <c r="CR303" s="3">
        <v>23.608618014850169</v>
      </c>
      <c r="CS303" s="3">
        <v>23.89110191320685</v>
      </c>
      <c r="CU303" s="17" t="s">
        <v>1973</v>
      </c>
      <c r="CV303" s="3">
        <v>22.86260117049401</v>
      </c>
      <c r="CW303" s="3">
        <v>20.453043214718519</v>
      </c>
      <c r="CX303" s="3">
        <v>19.97525963148836</v>
      </c>
      <c r="CY303" s="3">
        <v>20.04541177219371</v>
      </c>
      <c r="CZ303" s="3">
        <v>20.032327210170251</v>
      </c>
      <c r="DA303" s="3">
        <v>20.401970800807721</v>
      </c>
      <c r="DB303" s="3">
        <v>20.815699964070461</v>
      </c>
      <c r="DC303" s="3">
        <v>21.080345449766519</v>
      </c>
      <c r="DD303" s="3">
        <v>21.29017914907952</v>
      </c>
      <c r="DE303" s="3">
        <v>21.495489738544041</v>
      </c>
      <c r="DF303" s="3">
        <v>21.695216368654432</v>
      </c>
      <c r="DG303" s="3">
        <v>21.902922234448582</v>
      </c>
      <c r="DH303" s="3">
        <v>22.11892458807915</v>
      </c>
      <c r="DI303" s="3">
        <v>22.34355457954835</v>
      </c>
      <c r="DJ303" s="3">
        <v>22.57715477527622</v>
      </c>
      <c r="DK303" s="3">
        <v>22.820084370076842</v>
      </c>
      <c r="DL303" s="3">
        <v>23.072711864313892</v>
      </c>
      <c r="DM303" s="3">
        <v>23.335422810256102</v>
      </c>
      <c r="DN303" s="3">
        <v>23.608618014850169</v>
      </c>
      <c r="DO303" s="3">
        <v>23.89110191320685</v>
      </c>
    </row>
    <row r="304" spans="1:119" x14ac:dyDescent="0.45">
      <c r="A304" s="16" t="s">
        <v>1974</v>
      </c>
      <c r="B304" s="3" t="s">
        <v>89</v>
      </c>
      <c r="C304" s="16" t="s">
        <v>1975</v>
      </c>
      <c r="H304" s="3" t="s">
        <v>1976</v>
      </c>
      <c r="I304" s="3" t="s">
        <v>860</v>
      </c>
      <c r="K304" s="17" t="s">
        <v>1977</v>
      </c>
      <c r="L304" s="3">
        <v>16.97156498304895</v>
      </c>
      <c r="M304" s="3">
        <v>14.735600113104001</v>
      </c>
      <c r="N304" s="3">
        <v>14.190538808788419</v>
      </c>
      <c r="O304" s="3">
        <v>14.12676629077407</v>
      </c>
      <c r="P304" s="3">
        <v>13.97528865148035</v>
      </c>
      <c r="Q304" s="3">
        <v>14.155703769778</v>
      </c>
      <c r="R304" s="3">
        <v>14.367932407240531</v>
      </c>
      <c r="S304" s="3">
        <v>14.44353098411155</v>
      </c>
      <c r="T304" s="3">
        <v>14.46497762392689</v>
      </c>
      <c r="U304" s="3">
        <v>14.47713118761156</v>
      </c>
      <c r="V304" s="3">
        <v>14.47713118761156</v>
      </c>
      <c r="W304" s="3">
        <v>14.47713118761156</v>
      </c>
      <c r="X304" s="3">
        <v>14.47713118761156</v>
      </c>
      <c r="Y304" s="3">
        <v>14.47713118761156</v>
      </c>
      <c r="Z304" s="3">
        <v>14.47713118761156</v>
      </c>
      <c r="AA304" s="3">
        <v>14.47713118761156</v>
      </c>
      <c r="AB304" s="3">
        <v>14.47713118761156</v>
      </c>
      <c r="AC304" s="3">
        <v>14.47713118761156</v>
      </c>
      <c r="AD304" s="3">
        <v>14.47713118761156</v>
      </c>
      <c r="AE304" s="3">
        <v>14.47713118761156</v>
      </c>
      <c r="AG304" s="17" t="s">
        <v>1978</v>
      </c>
      <c r="AH304" s="3">
        <v>16.97156498304895</v>
      </c>
      <c r="AI304" s="3">
        <v>14.735600113104001</v>
      </c>
      <c r="AJ304" s="3">
        <v>14.190538808788419</v>
      </c>
      <c r="AK304" s="3">
        <v>14.12676629077407</v>
      </c>
      <c r="AL304" s="3">
        <v>13.97528865148035</v>
      </c>
      <c r="AM304" s="3">
        <v>14.155703769778</v>
      </c>
      <c r="AN304" s="3">
        <v>14.367932407240531</v>
      </c>
      <c r="AO304" s="3">
        <v>14.44353098411155</v>
      </c>
      <c r="AP304" s="3">
        <v>14.46497762392689</v>
      </c>
      <c r="AQ304" s="3">
        <v>14.47713118761156</v>
      </c>
      <c r="AR304" s="3">
        <v>14.47713118761156</v>
      </c>
      <c r="AS304" s="3">
        <v>14.47713118761156</v>
      </c>
      <c r="AT304" s="3">
        <v>14.47713118761156</v>
      </c>
      <c r="AU304" s="3">
        <v>14.47713118761156</v>
      </c>
      <c r="AV304" s="3">
        <v>14.47713118761156</v>
      </c>
      <c r="AW304" s="3">
        <v>14.47713118761156</v>
      </c>
      <c r="AX304" s="3">
        <v>14.47713118761156</v>
      </c>
      <c r="AY304" s="3">
        <v>14.47713118761156</v>
      </c>
      <c r="AZ304" s="3">
        <v>14.47713118761156</v>
      </c>
      <c r="BA304" s="3">
        <v>14.47713118761156</v>
      </c>
      <c r="BC304" s="17" t="s">
        <v>1979</v>
      </c>
      <c r="BD304" s="3">
        <v>16.97156498304895</v>
      </c>
      <c r="BE304" s="3">
        <v>14.735600113104001</v>
      </c>
      <c r="BF304" s="3">
        <v>14.190538808788419</v>
      </c>
      <c r="BG304" s="3">
        <v>14.12676629077407</v>
      </c>
      <c r="BH304" s="3">
        <v>13.97528865148035</v>
      </c>
      <c r="BI304" s="3">
        <v>14.155703769778</v>
      </c>
      <c r="BJ304" s="3">
        <v>14.367932407240531</v>
      </c>
      <c r="BK304" s="3">
        <v>14.44353098411155</v>
      </c>
      <c r="BL304" s="3">
        <v>14.46497762392689</v>
      </c>
      <c r="BM304" s="3">
        <v>14.47713118761156</v>
      </c>
      <c r="BN304" s="3">
        <v>14.47713118761156</v>
      </c>
      <c r="BO304" s="3">
        <v>14.47713118761156</v>
      </c>
      <c r="BP304" s="3">
        <v>14.47713118761156</v>
      </c>
      <c r="BQ304" s="3">
        <v>14.47713118761156</v>
      </c>
      <c r="BR304" s="3">
        <v>14.47713118761156</v>
      </c>
      <c r="BS304" s="3">
        <v>14.47713118761156</v>
      </c>
      <c r="BT304" s="3">
        <v>14.47713118761156</v>
      </c>
      <c r="BU304" s="3">
        <v>14.47713118761156</v>
      </c>
      <c r="BV304" s="3">
        <v>14.47713118761156</v>
      </c>
      <c r="BW304" s="3">
        <v>14.47713118761156</v>
      </c>
      <c r="BY304" s="17" t="s">
        <v>1980</v>
      </c>
      <c r="BZ304" s="3">
        <v>16.97156498304895</v>
      </c>
      <c r="CA304" s="3">
        <v>14.735600113104001</v>
      </c>
      <c r="CB304" s="3">
        <v>14.190538808788419</v>
      </c>
      <c r="CC304" s="3">
        <v>14.12676629077407</v>
      </c>
      <c r="CD304" s="3">
        <v>13.97528865148035</v>
      </c>
      <c r="CE304" s="3">
        <v>14.155703769778</v>
      </c>
      <c r="CF304" s="3">
        <v>14.367932407240531</v>
      </c>
      <c r="CG304" s="3">
        <v>14.44353098411155</v>
      </c>
      <c r="CH304" s="3">
        <v>14.46497762392689</v>
      </c>
      <c r="CI304" s="3">
        <v>14.47713118761156</v>
      </c>
      <c r="CJ304" s="3">
        <v>14.47713118761156</v>
      </c>
      <c r="CK304" s="3">
        <v>14.47713118761156</v>
      </c>
      <c r="CL304" s="3">
        <v>14.47713118761156</v>
      </c>
      <c r="CM304" s="3">
        <v>14.47713118761156</v>
      </c>
      <c r="CN304" s="3">
        <v>14.47713118761156</v>
      </c>
      <c r="CO304" s="3">
        <v>14.47713118761156</v>
      </c>
      <c r="CP304" s="3">
        <v>14.47713118761156</v>
      </c>
      <c r="CQ304" s="3">
        <v>14.47713118761156</v>
      </c>
      <c r="CR304" s="3">
        <v>14.47713118761156</v>
      </c>
      <c r="CS304" s="3">
        <v>14.47713118761156</v>
      </c>
      <c r="CU304" s="17" t="s">
        <v>1981</v>
      </c>
      <c r="CV304" s="3">
        <v>16.97156498304895</v>
      </c>
      <c r="CW304" s="3">
        <v>14.735600113104001</v>
      </c>
      <c r="CX304" s="3">
        <v>14.190538808788419</v>
      </c>
      <c r="CY304" s="3">
        <v>14.12676629077407</v>
      </c>
      <c r="CZ304" s="3">
        <v>13.97528865148035</v>
      </c>
      <c r="DA304" s="3">
        <v>14.155703769778</v>
      </c>
      <c r="DB304" s="3">
        <v>14.367932407240531</v>
      </c>
      <c r="DC304" s="3">
        <v>14.44353098411155</v>
      </c>
      <c r="DD304" s="3">
        <v>14.46497762392689</v>
      </c>
      <c r="DE304" s="3">
        <v>14.47713118761156</v>
      </c>
      <c r="DF304" s="3">
        <v>14.47713118761156</v>
      </c>
      <c r="DG304" s="3">
        <v>14.47713118761156</v>
      </c>
      <c r="DH304" s="3">
        <v>14.47713118761156</v>
      </c>
      <c r="DI304" s="3">
        <v>14.47713118761156</v>
      </c>
      <c r="DJ304" s="3">
        <v>14.47713118761156</v>
      </c>
      <c r="DK304" s="3">
        <v>14.47713118761156</v>
      </c>
      <c r="DL304" s="3">
        <v>14.47713118761156</v>
      </c>
      <c r="DM304" s="3">
        <v>14.47713118761156</v>
      </c>
      <c r="DN304" s="3">
        <v>14.47713118761156</v>
      </c>
      <c r="DO304" s="3">
        <v>14.47713118761156</v>
      </c>
    </row>
    <row r="305" spans="1:119" x14ac:dyDescent="0.45">
      <c r="A305" s="16" t="s">
        <v>1982</v>
      </c>
      <c r="B305" s="3" t="s">
        <v>89</v>
      </c>
      <c r="C305" s="16" t="s">
        <v>1983</v>
      </c>
      <c r="H305" s="3" t="s">
        <v>1984</v>
      </c>
      <c r="I305" s="3" t="s">
        <v>1300</v>
      </c>
      <c r="K305" s="17" t="s">
        <v>1985</v>
      </c>
      <c r="L305" s="3">
        <v>2.5409816468629252E-2</v>
      </c>
      <c r="M305" s="3">
        <v>2.5409816468629252E-2</v>
      </c>
      <c r="N305" s="3">
        <v>2.415247251193078E-2</v>
      </c>
      <c r="O305" s="3">
        <v>1.7163304450071609E-2</v>
      </c>
      <c r="P305" s="3">
        <v>1.9572660086784599E-2</v>
      </c>
      <c r="Q305" s="3">
        <v>2.031208392783802E-2</v>
      </c>
      <c r="R305" s="3">
        <v>2.2185774675323521E-2</v>
      </c>
      <c r="S305" s="3">
        <v>2.3961650636411268E-2</v>
      </c>
      <c r="T305" s="3">
        <v>2.5618120879697961E-2</v>
      </c>
      <c r="U305" s="3">
        <v>2.6161565497244851E-2</v>
      </c>
      <c r="V305" s="3">
        <v>2.7264363839688381E-2</v>
      </c>
      <c r="W305" s="3">
        <v>2.8402651729296791E-2</v>
      </c>
      <c r="X305" s="3">
        <v>2.9576166928036839E-2</v>
      </c>
      <c r="Y305" s="3">
        <v>3.078569615000824E-2</v>
      </c>
      <c r="Z305" s="3">
        <v>3.2030452681111293E-2</v>
      </c>
      <c r="AA305" s="3">
        <v>3.3312184774900881E-2</v>
      </c>
      <c r="AB305" s="3">
        <v>3.4628270051044657E-2</v>
      </c>
      <c r="AC305" s="3">
        <v>3.5978009208120637E-2</v>
      </c>
      <c r="AD305" s="3">
        <v>3.7360528119351373E-2</v>
      </c>
      <c r="AE305" s="3">
        <v>3.7360528119351373E-2</v>
      </c>
      <c r="AG305" s="17" t="s">
        <v>1986</v>
      </c>
      <c r="AH305" s="3">
        <v>2.5409816468629252E-2</v>
      </c>
      <c r="AI305" s="3">
        <v>2.5409816468629252E-2</v>
      </c>
      <c r="AJ305" s="3">
        <v>2.415247251193078E-2</v>
      </c>
      <c r="AK305" s="3">
        <v>1.7163304450071609E-2</v>
      </c>
      <c r="AL305" s="3">
        <v>1.9572660086784599E-2</v>
      </c>
      <c r="AM305" s="3">
        <v>2.031208392783802E-2</v>
      </c>
      <c r="AN305" s="3">
        <v>2.2185774675323521E-2</v>
      </c>
      <c r="AO305" s="3">
        <v>2.3961650636411268E-2</v>
      </c>
      <c r="AP305" s="3">
        <v>2.5618120879697961E-2</v>
      </c>
      <c r="AQ305" s="3">
        <v>2.6161565497244851E-2</v>
      </c>
      <c r="AR305" s="3">
        <v>2.7264363839688392E-2</v>
      </c>
      <c r="AS305" s="3">
        <v>2.8402651729296801E-2</v>
      </c>
      <c r="AT305" s="3">
        <v>2.9576166928036839E-2</v>
      </c>
      <c r="AU305" s="3">
        <v>3.078569615000824E-2</v>
      </c>
      <c r="AV305" s="3">
        <v>3.2030452681111293E-2</v>
      </c>
      <c r="AW305" s="3">
        <v>3.3312184774900881E-2</v>
      </c>
      <c r="AX305" s="3">
        <v>3.4628270051044657E-2</v>
      </c>
      <c r="AY305" s="3">
        <v>3.5978009208120637E-2</v>
      </c>
      <c r="AZ305" s="3">
        <v>3.736052811935138E-2</v>
      </c>
      <c r="BA305" s="3">
        <v>3.7360528119351373E-2</v>
      </c>
      <c r="BC305" s="17" t="s">
        <v>1987</v>
      </c>
      <c r="BD305" s="3">
        <v>2.5409816468629252E-2</v>
      </c>
      <c r="BE305" s="3">
        <v>2.5409816468629252E-2</v>
      </c>
      <c r="BF305" s="3">
        <v>2.415247251193078E-2</v>
      </c>
      <c r="BG305" s="3">
        <v>1.7163304450071609E-2</v>
      </c>
      <c r="BH305" s="3">
        <v>1.9572660086784599E-2</v>
      </c>
      <c r="BI305" s="3">
        <v>2.031208392783802E-2</v>
      </c>
      <c r="BJ305" s="3">
        <v>2.2185774675323521E-2</v>
      </c>
      <c r="BK305" s="3">
        <v>2.3961650636411268E-2</v>
      </c>
      <c r="BL305" s="3">
        <v>2.5618120879697961E-2</v>
      </c>
      <c r="BM305" s="3">
        <v>2.6161565497244851E-2</v>
      </c>
      <c r="BN305" s="3">
        <v>2.7264363839688381E-2</v>
      </c>
      <c r="BO305" s="3">
        <v>2.8402651729296801E-2</v>
      </c>
      <c r="BP305" s="3">
        <v>2.9576166928036839E-2</v>
      </c>
      <c r="BQ305" s="3">
        <v>3.078569615000824E-2</v>
      </c>
      <c r="BR305" s="3">
        <v>3.2030452681111293E-2</v>
      </c>
      <c r="BS305" s="3">
        <v>3.3312184774900881E-2</v>
      </c>
      <c r="BT305" s="3">
        <v>3.4628270051044657E-2</v>
      </c>
      <c r="BU305" s="3">
        <v>3.5978009208120637E-2</v>
      </c>
      <c r="BV305" s="3">
        <v>3.736052811935138E-2</v>
      </c>
      <c r="BW305" s="3">
        <v>3.7360528119351373E-2</v>
      </c>
      <c r="BY305" s="17" t="s">
        <v>1988</v>
      </c>
      <c r="BZ305" s="3">
        <v>2.5409816468629252E-2</v>
      </c>
      <c r="CA305" s="3">
        <v>2.5409816468629252E-2</v>
      </c>
      <c r="CB305" s="3">
        <v>2.415247251193078E-2</v>
      </c>
      <c r="CC305" s="3">
        <v>1.7163304450071609E-2</v>
      </c>
      <c r="CD305" s="3">
        <v>1.9572660086784599E-2</v>
      </c>
      <c r="CE305" s="3">
        <v>2.031208392783802E-2</v>
      </c>
      <c r="CF305" s="3">
        <v>2.2185774675323521E-2</v>
      </c>
      <c r="CG305" s="3">
        <v>2.3961650636411268E-2</v>
      </c>
      <c r="CH305" s="3">
        <v>2.5618120879697961E-2</v>
      </c>
      <c r="CI305" s="3">
        <v>2.6161565497244851E-2</v>
      </c>
      <c r="CJ305" s="3">
        <v>2.7264363839688392E-2</v>
      </c>
      <c r="CK305" s="3">
        <v>2.8402651729296791E-2</v>
      </c>
      <c r="CL305" s="3">
        <v>2.9576166928036839E-2</v>
      </c>
      <c r="CM305" s="3">
        <v>3.078569615000825E-2</v>
      </c>
      <c r="CN305" s="3">
        <v>3.2030452681111293E-2</v>
      </c>
      <c r="CO305" s="3">
        <v>3.3312184774900881E-2</v>
      </c>
      <c r="CP305" s="3">
        <v>3.4628270051044657E-2</v>
      </c>
      <c r="CQ305" s="3">
        <v>3.5978009208120637E-2</v>
      </c>
      <c r="CR305" s="3">
        <v>3.736052811935138E-2</v>
      </c>
      <c r="CS305" s="3">
        <v>3.7360528119351373E-2</v>
      </c>
      <c r="CU305" s="17" t="s">
        <v>1989</v>
      </c>
      <c r="CV305" s="3">
        <v>2.5409816468629252E-2</v>
      </c>
      <c r="CW305" s="3">
        <v>2.5409816468629252E-2</v>
      </c>
      <c r="CX305" s="3">
        <v>2.415247251193078E-2</v>
      </c>
      <c r="CY305" s="3">
        <v>1.7163304450071609E-2</v>
      </c>
      <c r="CZ305" s="3">
        <v>1.9572660086784599E-2</v>
      </c>
      <c r="DA305" s="3">
        <v>2.031208392783802E-2</v>
      </c>
      <c r="DB305" s="3">
        <v>2.2185774675323521E-2</v>
      </c>
      <c r="DC305" s="3">
        <v>2.3961650636411268E-2</v>
      </c>
      <c r="DD305" s="3">
        <v>2.5618120879697961E-2</v>
      </c>
      <c r="DE305" s="3">
        <v>2.6161565497244851E-2</v>
      </c>
      <c r="DF305" s="3">
        <v>2.7264363839688381E-2</v>
      </c>
      <c r="DG305" s="3">
        <v>2.8402651729296801E-2</v>
      </c>
      <c r="DH305" s="3">
        <v>2.9576166928036839E-2</v>
      </c>
      <c r="DI305" s="3">
        <v>3.078569615000824E-2</v>
      </c>
      <c r="DJ305" s="3">
        <v>3.2030452681111293E-2</v>
      </c>
      <c r="DK305" s="3">
        <v>3.3312184774900881E-2</v>
      </c>
      <c r="DL305" s="3">
        <v>3.4628270051044657E-2</v>
      </c>
      <c r="DM305" s="3">
        <v>3.5978009208120637E-2</v>
      </c>
      <c r="DN305" s="3">
        <v>3.736052811935138E-2</v>
      </c>
      <c r="DO305" s="3">
        <v>3.7360528119351373E-2</v>
      </c>
    </row>
    <row r="306" spans="1:119" x14ac:dyDescent="0.45">
      <c r="A306" s="16" t="s">
        <v>1990</v>
      </c>
      <c r="B306" s="3" t="s">
        <v>89</v>
      </c>
      <c r="C306" s="16" t="s">
        <v>1991</v>
      </c>
      <c r="H306" s="3" t="s">
        <v>1992</v>
      </c>
      <c r="I306" s="3" t="s">
        <v>860</v>
      </c>
      <c r="K306" s="17" t="s">
        <v>1993</v>
      </c>
      <c r="L306" s="3">
        <v>3.0579385079333021</v>
      </c>
      <c r="M306" s="3">
        <v>3.180256048250635</v>
      </c>
      <c r="N306" s="3">
        <v>3.3074662901806602</v>
      </c>
      <c r="O306" s="3">
        <v>3.4397649417878871</v>
      </c>
      <c r="P306" s="3">
        <v>3.5773555394594019</v>
      </c>
      <c r="Q306" s="3">
        <v>3.720449761037778</v>
      </c>
      <c r="R306" s="3">
        <v>3.8692677514792888</v>
      </c>
      <c r="S306" s="3">
        <v>4.0240384615384608</v>
      </c>
      <c r="T306" s="3">
        <v>4.1849999999999996</v>
      </c>
      <c r="U306" s="3">
        <v>4.3523999999999994</v>
      </c>
      <c r="V306" s="3">
        <v>4.5264959999999999</v>
      </c>
      <c r="W306" s="3">
        <v>4.7075558399999986</v>
      </c>
      <c r="X306" s="3">
        <v>4.8958580736000004</v>
      </c>
      <c r="Y306" s="3">
        <v>5.0916923965440004</v>
      </c>
      <c r="Z306" s="3">
        <v>5.2953600924057609</v>
      </c>
      <c r="AA306" s="3">
        <v>5.5071744961019924</v>
      </c>
      <c r="AB306" s="3">
        <v>5.7274614759460709</v>
      </c>
      <c r="AC306" s="3">
        <v>5.9565599349839138</v>
      </c>
      <c r="AD306" s="3">
        <v>6.1948223323832714</v>
      </c>
      <c r="AE306" s="3">
        <v>6.442615225678602</v>
      </c>
      <c r="AG306" s="17" t="s">
        <v>1994</v>
      </c>
      <c r="AH306" s="3">
        <v>3.0579385079333021</v>
      </c>
      <c r="AI306" s="3">
        <v>3.180256048250635</v>
      </c>
      <c r="AJ306" s="3">
        <v>3.3074662901806602</v>
      </c>
      <c r="AK306" s="3">
        <v>3.4397649417878871</v>
      </c>
      <c r="AL306" s="3">
        <v>3.5773555394594019</v>
      </c>
      <c r="AM306" s="3">
        <v>3.720449761037778</v>
      </c>
      <c r="AN306" s="3">
        <v>3.8692677514792888</v>
      </c>
      <c r="AO306" s="3">
        <v>4.0240384615384608</v>
      </c>
      <c r="AP306" s="3">
        <v>4.1849999999999996</v>
      </c>
      <c r="AQ306" s="3">
        <v>4.3523999999999994</v>
      </c>
      <c r="AR306" s="3">
        <v>4.5264959999999999</v>
      </c>
      <c r="AS306" s="3">
        <v>4.7075558399999986</v>
      </c>
      <c r="AT306" s="3">
        <v>4.8958580736000004</v>
      </c>
      <c r="AU306" s="3">
        <v>5.0916923965440004</v>
      </c>
      <c r="AV306" s="3">
        <v>5.2953600924057609</v>
      </c>
      <c r="AW306" s="3">
        <v>5.5071744961019924</v>
      </c>
      <c r="AX306" s="3">
        <v>5.7274614759460709</v>
      </c>
      <c r="AY306" s="3">
        <v>5.9565599349839138</v>
      </c>
      <c r="AZ306" s="3">
        <v>6.1948223323832714</v>
      </c>
      <c r="BA306" s="3">
        <v>6.442615225678602</v>
      </c>
      <c r="BC306" s="17" t="s">
        <v>1995</v>
      </c>
      <c r="BD306" s="3">
        <v>3.0579385079333021</v>
      </c>
      <c r="BE306" s="3">
        <v>3.180256048250635</v>
      </c>
      <c r="BF306" s="3">
        <v>3.3074662901806602</v>
      </c>
      <c r="BG306" s="3">
        <v>3.4397649417878871</v>
      </c>
      <c r="BH306" s="3">
        <v>3.5773555394594019</v>
      </c>
      <c r="BI306" s="3">
        <v>3.720449761037778</v>
      </c>
      <c r="BJ306" s="3">
        <v>3.8692677514792888</v>
      </c>
      <c r="BK306" s="3">
        <v>4.0240384615384608</v>
      </c>
      <c r="BL306" s="3">
        <v>4.1849999999999996</v>
      </c>
      <c r="BM306" s="3">
        <v>4.3523999999999994</v>
      </c>
      <c r="BN306" s="3">
        <v>4.5264959999999999</v>
      </c>
      <c r="BO306" s="3">
        <v>4.7075558399999986</v>
      </c>
      <c r="BP306" s="3">
        <v>4.8958580736000004</v>
      </c>
      <c r="BQ306" s="3">
        <v>5.0916923965440004</v>
      </c>
      <c r="BR306" s="3">
        <v>5.2953600924057609</v>
      </c>
      <c r="BS306" s="3">
        <v>5.5071744961019924</v>
      </c>
      <c r="BT306" s="3">
        <v>5.7274614759460709</v>
      </c>
      <c r="BU306" s="3">
        <v>5.9565599349839138</v>
      </c>
      <c r="BV306" s="3">
        <v>6.1948223323832714</v>
      </c>
      <c r="BW306" s="3">
        <v>6.442615225678602</v>
      </c>
      <c r="BY306" s="17" t="s">
        <v>1996</v>
      </c>
      <c r="BZ306" s="3">
        <v>3.0579385079333021</v>
      </c>
      <c r="CA306" s="3">
        <v>3.180256048250635</v>
      </c>
      <c r="CB306" s="3">
        <v>3.3074662901806602</v>
      </c>
      <c r="CC306" s="3">
        <v>3.4397649417878871</v>
      </c>
      <c r="CD306" s="3">
        <v>3.5773555394594019</v>
      </c>
      <c r="CE306" s="3">
        <v>3.720449761037778</v>
      </c>
      <c r="CF306" s="3">
        <v>3.8692677514792888</v>
      </c>
      <c r="CG306" s="3">
        <v>4.0240384615384608</v>
      </c>
      <c r="CH306" s="3">
        <v>4.1849999999999996</v>
      </c>
      <c r="CI306" s="3">
        <v>4.3523999999999994</v>
      </c>
      <c r="CJ306" s="3">
        <v>4.5264959999999999</v>
      </c>
      <c r="CK306" s="3">
        <v>4.7075558399999986</v>
      </c>
      <c r="CL306" s="3">
        <v>4.8958580736000004</v>
      </c>
      <c r="CM306" s="3">
        <v>5.0916923965440004</v>
      </c>
      <c r="CN306" s="3">
        <v>5.2953600924057609</v>
      </c>
      <c r="CO306" s="3">
        <v>5.5071744961019924</v>
      </c>
      <c r="CP306" s="3">
        <v>5.7274614759460709</v>
      </c>
      <c r="CQ306" s="3">
        <v>5.9565599349839138</v>
      </c>
      <c r="CR306" s="3">
        <v>6.1948223323832714</v>
      </c>
      <c r="CS306" s="3">
        <v>6.442615225678602</v>
      </c>
      <c r="CU306" s="17" t="s">
        <v>1997</v>
      </c>
      <c r="CV306" s="3">
        <v>3.0579385079333021</v>
      </c>
      <c r="CW306" s="3">
        <v>3.180256048250635</v>
      </c>
      <c r="CX306" s="3">
        <v>3.3074662901806602</v>
      </c>
      <c r="CY306" s="3">
        <v>3.4397649417878871</v>
      </c>
      <c r="CZ306" s="3">
        <v>3.5773555394594019</v>
      </c>
      <c r="DA306" s="3">
        <v>3.720449761037778</v>
      </c>
      <c r="DB306" s="3">
        <v>3.8692677514792888</v>
      </c>
      <c r="DC306" s="3">
        <v>4.0240384615384608</v>
      </c>
      <c r="DD306" s="3">
        <v>4.1849999999999996</v>
      </c>
      <c r="DE306" s="3">
        <v>4.3523999999999994</v>
      </c>
      <c r="DF306" s="3">
        <v>4.5264959999999999</v>
      </c>
      <c r="DG306" s="3">
        <v>4.7075558399999986</v>
      </c>
      <c r="DH306" s="3">
        <v>4.8958580736000004</v>
      </c>
      <c r="DI306" s="3">
        <v>5.0916923965440004</v>
      </c>
      <c r="DJ306" s="3">
        <v>5.2953600924057609</v>
      </c>
      <c r="DK306" s="3">
        <v>5.5071744961019924</v>
      </c>
      <c r="DL306" s="3">
        <v>5.7274614759460709</v>
      </c>
      <c r="DM306" s="3">
        <v>5.9565599349839138</v>
      </c>
      <c r="DN306" s="3">
        <v>6.1948223323832714</v>
      </c>
      <c r="DO306" s="3">
        <v>6.442615225678602</v>
      </c>
    </row>
    <row r="307" spans="1:119" x14ac:dyDescent="0.45">
      <c r="A307" s="16" t="s">
        <v>1998</v>
      </c>
      <c r="B307" s="3" t="s">
        <v>89</v>
      </c>
      <c r="C307" s="16" t="s">
        <v>1999</v>
      </c>
      <c r="H307" s="3" t="s">
        <v>2000</v>
      </c>
      <c r="I307" s="3" t="s">
        <v>860</v>
      </c>
      <c r="K307" s="17" t="s">
        <v>2001</v>
      </c>
      <c r="L307" s="3">
        <v>2.8076878630431241</v>
      </c>
      <c r="M307" s="3">
        <v>2.5117772368952571</v>
      </c>
      <c r="N307" s="3">
        <v>2.4531020600073421</v>
      </c>
      <c r="O307" s="3">
        <v>2.4617172351816841</v>
      </c>
      <c r="P307" s="3">
        <v>2.460110359143715</v>
      </c>
      <c r="Q307" s="3">
        <v>2.5055051860641062</v>
      </c>
      <c r="R307" s="3">
        <v>2.55631403067532</v>
      </c>
      <c r="S307" s="3">
        <v>2.5888143534800978</v>
      </c>
      <c r="T307" s="3">
        <v>2.6145834042729228</v>
      </c>
      <c r="U307" s="3">
        <v>2.639796985435233</v>
      </c>
      <c r="V307" s="3">
        <v>2.664324817203175</v>
      </c>
      <c r="W307" s="3">
        <v>2.6898325551077211</v>
      </c>
      <c r="X307" s="3">
        <v>2.716359159939544</v>
      </c>
      <c r="Y307" s="3">
        <v>2.74394529924278</v>
      </c>
      <c r="Z307" s="3">
        <v>2.7726330425777812</v>
      </c>
      <c r="AA307" s="3">
        <v>2.802466501588385</v>
      </c>
      <c r="AB307" s="3">
        <v>2.833490930705215</v>
      </c>
      <c r="AC307" s="3">
        <v>2.8657536784525042</v>
      </c>
      <c r="AD307" s="3">
        <v>2.899303966735987</v>
      </c>
      <c r="AE307" s="3">
        <v>2.933994971797333</v>
      </c>
      <c r="AG307" s="17" t="s">
        <v>2002</v>
      </c>
      <c r="AH307" s="3">
        <v>2.8076878630431241</v>
      </c>
      <c r="AI307" s="3">
        <v>2.5117772368952571</v>
      </c>
      <c r="AJ307" s="3">
        <v>2.4531020600073421</v>
      </c>
      <c r="AK307" s="3">
        <v>2.4617172351816841</v>
      </c>
      <c r="AL307" s="3">
        <v>2.460110359143715</v>
      </c>
      <c r="AM307" s="3">
        <v>2.5055051860641062</v>
      </c>
      <c r="AN307" s="3">
        <v>2.55631403067532</v>
      </c>
      <c r="AO307" s="3">
        <v>2.5888143534800978</v>
      </c>
      <c r="AP307" s="3">
        <v>2.6145834042729228</v>
      </c>
      <c r="AQ307" s="3">
        <v>2.639796985435233</v>
      </c>
      <c r="AR307" s="3">
        <v>2.664324817203175</v>
      </c>
      <c r="AS307" s="3">
        <v>2.6898325551077211</v>
      </c>
      <c r="AT307" s="3">
        <v>2.716359159939544</v>
      </c>
      <c r="AU307" s="3">
        <v>2.74394529924278</v>
      </c>
      <c r="AV307" s="3">
        <v>2.7726330425777812</v>
      </c>
      <c r="AW307" s="3">
        <v>2.802466501588385</v>
      </c>
      <c r="AX307" s="3">
        <v>2.833490930705215</v>
      </c>
      <c r="AY307" s="3">
        <v>2.8657536784525042</v>
      </c>
      <c r="AZ307" s="3">
        <v>2.899303966735987</v>
      </c>
      <c r="BA307" s="3">
        <v>2.933994971797333</v>
      </c>
      <c r="BC307" s="17" t="s">
        <v>2003</v>
      </c>
      <c r="BD307" s="3">
        <v>2.8076878630431241</v>
      </c>
      <c r="BE307" s="3">
        <v>2.5117772368952571</v>
      </c>
      <c r="BF307" s="3">
        <v>2.4531020600073421</v>
      </c>
      <c r="BG307" s="3">
        <v>2.4617172351816841</v>
      </c>
      <c r="BH307" s="3">
        <v>2.460110359143715</v>
      </c>
      <c r="BI307" s="3">
        <v>2.5055051860641062</v>
      </c>
      <c r="BJ307" s="3">
        <v>2.55631403067532</v>
      </c>
      <c r="BK307" s="3">
        <v>2.5888143534800978</v>
      </c>
      <c r="BL307" s="3">
        <v>2.6145834042729228</v>
      </c>
      <c r="BM307" s="3">
        <v>2.639796985435233</v>
      </c>
      <c r="BN307" s="3">
        <v>2.664324817203175</v>
      </c>
      <c r="BO307" s="3">
        <v>2.6898325551077211</v>
      </c>
      <c r="BP307" s="3">
        <v>2.716359159939544</v>
      </c>
      <c r="BQ307" s="3">
        <v>2.74394529924278</v>
      </c>
      <c r="BR307" s="3">
        <v>2.7726330425777812</v>
      </c>
      <c r="BS307" s="3">
        <v>2.802466501588385</v>
      </c>
      <c r="BT307" s="3">
        <v>2.833490930705215</v>
      </c>
      <c r="BU307" s="3">
        <v>2.8657536784525042</v>
      </c>
      <c r="BV307" s="3">
        <v>2.899303966735987</v>
      </c>
      <c r="BW307" s="3">
        <v>2.933994971797333</v>
      </c>
      <c r="BY307" s="17" t="s">
        <v>2004</v>
      </c>
      <c r="BZ307" s="3">
        <v>2.8076878630431241</v>
      </c>
      <c r="CA307" s="3">
        <v>2.5117772368952571</v>
      </c>
      <c r="CB307" s="3">
        <v>2.4531020600073421</v>
      </c>
      <c r="CC307" s="3">
        <v>2.4617172351816841</v>
      </c>
      <c r="CD307" s="3">
        <v>2.460110359143715</v>
      </c>
      <c r="CE307" s="3">
        <v>2.5055051860641062</v>
      </c>
      <c r="CF307" s="3">
        <v>2.55631403067532</v>
      </c>
      <c r="CG307" s="3">
        <v>2.5888143534800978</v>
      </c>
      <c r="CH307" s="3">
        <v>2.6145834042729228</v>
      </c>
      <c r="CI307" s="3">
        <v>2.639796985435233</v>
      </c>
      <c r="CJ307" s="3">
        <v>2.664324817203175</v>
      </c>
      <c r="CK307" s="3">
        <v>2.6898325551077211</v>
      </c>
      <c r="CL307" s="3">
        <v>2.716359159939544</v>
      </c>
      <c r="CM307" s="3">
        <v>2.74394529924278</v>
      </c>
      <c r="CN307" s="3">
        <v>2.7726330425777812</v>
      </c>
      <c r="CO307" s="3">
        <v>2.802466501588385</v>
      </c>
      <c r="CP307" s="3">
        <v>2.833490930705215</v>
      </c>
      <c r="CQ307" s="3">
        <v>2.8657536784525042</v>
      </c>
      <c r="CR307" s="3">
        <v>2.899303966735987</v>
      </c>
      <c r="CS307" s="3">
        <v>2.933994971797333</v>
      </c>
      <c r="CU307" s="17" t="s">
        <v>2005</v>
      </c>
      <c r="CV307" s="3">
        <v>2.8076878630431241</v>
      </c>
      <c r="CW307" s="3">
        <v>2.5117772368952571</v>
      </c>
      <c r="CX307" s="3">
        <v>2.4531020600073421</v>
      </c>
      <c r="CY307" s="3">
        <v>2.4617172351816841</v>
      </c>
      <c r="CZ307" s="3">
        <v>2.460110359143715</v>
      </c>
      <c r="DA307" s="3">
        <v>2.5055051860641062</v>
      </c>
      <c r="DB307" s="3">
        <v>2.55631403067532</v>
      </c>
      <c r="DC307" s="3">
        <v>2.5888143534800978</v>
      </c>
      <c r="DD307" s="3">
        <v>2.6145834042729228</v>
      </c>
      <c r="DE307" s="3">
        <v>2.639796985435233</v>
      </c>
      <c r="DF307" s="3">
        <v>2.664324817203175</v>
      </c>
      <c r="DG307" s="3">
        <v>2.6898325551077211</v>
      </c>
      <c r="DH307" s="3">
        <v>2.716359159939544</v>
      </c>
      <c r="DI307" s="3">
        <v>2.74394529924278</v>
      </c>
      <c r="DJ307" s="3">
        <v>2.7726330425777812</v>
      </c>
      <c r="DK307" s="3">
        <v>2.802466501588385</v>
      </c>
      <c r="DL307" s="3">
        <v>2.833490930705215</v>
      </c>
      <c r="DM307" s="3">
        <v>2.8657536784525042</v>
      </c>
      <c r="DN307" s="3">
        <v>2.899303966735987</v>
      </c>
      <c r="DO307" s="3">
        <v>2.933994971797333</v>
      </c>
    </row>
    <row r="308" spans="1:119" x14ac:dyDescent="0.45">
      <c r="A308" s="16" t="s">
        <v>2006</v>
      </c>
      <c r="B308" s="3" t="s">
        <v>89</v>
      </c>
      <c r="C308" s="16" t="s">
        <v>2007</v>
      </c>
      <c r="H308" s="3" t="s">
        <v>2008</v>
      </c>
      <c r="I308" s="3" t="s">
        <v>860</v>
      </c>
      <c r="K308" s="17" t="s">
        <v>2009</v>
      </c>
      <c r="L308" s="3">
        <v>4.9564885072313949</v>
      </c>
      <c r="M308" s="3">
        <v>2.7348469350648341</v>
      </c>
      <c r="N308" s="3">
        <v>1.797160127284108</v>
      </c>
      <c r="O308" s="3">
        <v>1.7971601272841089</v>
      </c>
      <c r="P308" s="3">
        <v>1.797160127284108</v>
      </c>
      <c r="Q308" s="3">
        <v>1.797160127284108</v>
      </c>
      <c r="R308" s="3">
        <v>1.7971601272841089</v>
      </c>
      <c r="S308" s="3">
        <v>1.797160127284108</v>
      </c>
      <c r="T308" s="3">
        <v>1.797160127284108</v>
      </c>
      <c r="U308" s="3">
        <v>1.7971601272841089</v>
      </c>
      <c r="V308" s="3">
        <v>1.797160127284108</v>
      </c>
      <c r="W308" s="3">
        <v>1.797160127284108</v>
      </c>
      <c r="X308" s="3">
        <v>1.797160127284108</v>
      </c>
      <c r="Y308" s="3">
        <v>1.7971601272841089</v>
      </c>
      <c r="Z308" s="3">
        <v>1.7971601272841089</v>
      </c>
      <c r="AA308" s="3">
        <v>1.797160127284108</v>
      </c>
      <c r="AB308" s="3">
        <v>1.797160127284108</v>
      </c>
      <c r="AC308" s="3">
        <v>1.797160127284108</v>
      </c>
      <c r="AD308" s="3">
        <v>1.797160127284108</v>
      </c>
      <c r="AE308" s="3">
        <v>1.797160127284108</v>
      </c>
      <c r="AG308" s="17" t="s">
        <v>2010</v>
      </c>
      <c r="AH308" s="3">
        <v>4.9564885072313949</v>
      </c>
      <c r="AI308" s="3">
        <v>2.7348469350648341</v>
      </c>
      <c r="AJ308" s="3">
        <v>1.797160127284108</v>
      </c>
      <c r="AK308" s="3">
        <v>1.7971601272841089</v>
      </c>
      <c r="AL308" s="3">
        <v>1.797160127284108</v>
      </c>
      <c r="AM308" s="3">
        <v>2.9081832504850529</v>
      </c>
      <c r="AN308" s="3">
        <v>2.908183250485052</v>
      </c>
      <c r="AO308" s="3">
        <v>2.908183250485052</v>
      </c>
      <c r="AP308" s="3">
        <v>2.908183250485052</v>
      </c>
      <c r="AQ308" s="3">
        <v>2.908183250485052</v>
      </c>
      <c r="AR308" s="3">
        <v>2.9081832504850529</v>
      </c>
      <c r="AS308" s="3">
        <v>2.908183250485052</v>
      </c>
      <c r="AT308" s="3">
        <v>2.908183250485052</v>
      </c>
      <c r="AU308" s="3">
        <v>2.908183250485052</v>
      </c>
      <c r="AV308" s="3">
        <v>2.9081832504850529</v>
      </c>
      <c r="AW308" s="3">
        <v>2.9081832504850529</v>
      </c>
      <c r="AX308" s="3">
        <v>2.908183250485052</v>
      </c>
      <c r="AY308" s="3">
        <v>2.9081832504850529</v>
      </c>
      <c r="AZ308" s="3">
        <v>2.908183250485052</v>
      </c>
      <c r="BA308" s="3">
        <v>2.9081832504850529</v>
      </c>
      <c r="BC308" s="17" t="s">
        <v>2011</v>
      </c>
      <c r="BD308" s="3">
        <v>4.9564885072313949</v>
      </c>
      <c r="BE308" s="3">
        <v>2.7348469350648341</v>
      </c>
      <c r="BF308" s="3">
        <v>1.797160127284108</v>
      </c>
      <c r="BG308" s="3">
        <v>1.7971601272841089</v>
      </c>
      <c r="BH308" s="3">
        <v>1.797160127284108</v>
      </c>
      <c r="BI308" s="3">
        <v>2.35267168888458</v>
      </c>
      <c r="BJ308" s="3">
        <v>3.0933537710185441</v>
      </c>
      <c r="BK308" s="3">
        <v>3.8340358531525069</v>
      </c>
      <c r="BL308" s="3">
        <v>4.5747179352864684</v>
      </c>
      <c r="BM308" s="3">
        <v>5.3154000174204317</v>
      </c>
      <c r="BN308" s="3">
        <v>6.056082099554394</v>
      </c>
      <c r="BO308" s="3">
        <v>6.7967641816883564</v>
      </c>
      <c r="BP308" s="3">
        <v>7.5374462638223196</v>
      </c>
      <c r="BQ308" s="3">
        <v>8.2781283459562829</v>
      </c>
      <c r="BR308" s="3">
        <v>9.0188104280902444</v>
      </c>
      <c r="BS308" s="3">
        <v>9.7594925102242076</v>
      </c>
      <c r="BT308" s="3">
        <v>10.500174592358171</v>
      </c>
      <c r="BU308" s="3">
        <v>11.240856674492131</v>
      </c>
      <c r="BV308" s="3">
        <v>11.98153875662609</v>
      </c>
      <c r="BW308" s="3">
        <v>12.722220838760061</v>
      </c>
      <c r="BY308" s="17" t="s">
        <v>2012</v>
      </c>
      <c r="BZ308" s="3">
        <v>4.9564885072313949</v>
      </c>
      <c r="CA308" s="3">
        <v>2.7348469350648341</v>
      </c>
      <c r="CB308" s="3">
        <v>1.797160127284108</v>
      </c>
      <c r="CC308" s="3">
        <v>1.7971601272841089</v>
      </c>
      <c r="CD308" s="3">
        <v>1.797160127284108</v>
      </c>
      <c r="CE308" s="3">
        <v>3.185939031285288</v>
      </c>
      <c r="CF308" s="3">
        <v>3.1859390312852889</v>
      </c>
      <c r="CG308" s="3">
        <v>3.185939031285288</v>
      </c>
      <c r="CH308" s="3">
        <v>3.185939031285288</v>
      </c>
      <c r="CI308" s="3">
        <v>3.185939031285288</v>
      </c>
      <c r="CJ308" s="3">
        <v>3.185939031285288</v>
      </c>
      <c r="CK308" s="3">
        <v>3.185939031285288</v>
      </c>
      <c r="CL308" s="3">
        <v>3.185939031285288</v>
      </c>
      <c r="CM308" s="3">
        <v>3.185939031285288</v>
      </c>
      <c r="CN308" s="3">
        <v>3.1859390312852889</v>
      </c>
      <c r="CO308" s="3">
        <v>3.185939031285288</v>
      </c>
      <c r="CP308" s="3">
        <v>3.185939031285288</v>
      </c>
      <c r="CQ308" s="3">
        <v>3.185939031285288</v>
      </c>
      <c r="CR308" s="3">
        <v>3.185939031285288</v>
      </c>
      <c r="CS308" s="3">
        <v>3.185939031285288</v>
      </c>
      <c r="CU308" s="17" t="s">
        <v>2013</v>
      </c>
      <c r="CV308" s="3">
        <v>4.9564885072313949</v>
      </c>
      <c r="CW308" s="3">
        <v>2.7348469350648341</v>
      </c>
      <c r="CX308" s="3">
        <v>1.797160127284108</v>
      </c>
      <c r="CY308" s="3">
        <v>1.7971601272841089</v>
      </c>
      <c r="CZ308" s="3">
        <v>1.797160127284108</v>
      </c>
      <c r="DA308" s="3">
        <v>4.5747179352864684</v>
      </c>
      <c r="DB308" s="3">
        <v>4.5747179352864684</v>
      </c>
      <c r="DC308" s="3">
        <v>4.5747179352864684</v>
      </c>
      <c r="DD308" s="3">
        <v>4.5747179352864693</v>
      </c>
      <c r="DE308" s="3">
        <v>4.5747179352864684</v>
      </c>
      <c r="DF308" s="3">
        <v>4.5747179352864684</v>
      </c>
      <c r="DG308" s="3">
        <v>4.5747179352864684</v>
      </c>
      <c r="DH308" s="3">
        <v>4.5747179352864684</v>
      </c>
      <c r="DI308" s="3">
        <v>4.5747179352864684</v>
      </c>
      <c r="DJ308" s="3">
        <v>4.5747179352864684</v>
      </c>
      <c r="DK308" s="3">
        <v>4.5747179352864684</v>
      </c>
      <c r="DL308" s="3">
        <v>4.5747179352864684</v>
      </c>
      <c r="DM308" s="3">
        <v>4.5747179352864684</v>
      </c>
      <c r="DN308" s="3">
        <v>4.5747179352864684</v>
      </c>
      <c r="DO308" s="3">
        <v>4.5747179352864684</v>
      </c>
    </row>
    <row r="309" spans="1:119" x14ac:dyDescent="0.45">
      <c r="A309" s="16" t="s">
        <v>2014</v>
      </c>
      <c r="B309" s="3" t="s">
        <v>89</v>
      </c>
      <c r="C309" s="16" t="s">
        <v>2015</v>
      </c>
      <c r="H309" s="3" t="s">
        <v>2016</v>
      </c>
      <c r="I309" s="3" t="s">
        <v>860</v>
      </c>
      <c r="K309" s="17" t="s">
        <v>2017</v>
      </c>
      <c r="L309" s="3">
        <v>-17.906112663262611</v>
      </c>
      <c r="M309" s="3">
        <v>-17.718196279653679</v>
      </c>
      <c r="N309" s="3">
        <v>-18.178099504204251</v>
      </c>
      <c r="O309" s="3">
        <v>-18.248251644909601</v>
      </c>
      <c r="P309" s="3">
        <v>-18.235167082886139</v>
      </c>
      <c r="Q309" s="3">
        <v>-18.604810673523609</v>
      </c>
      <c r="R309" s="3">
        <v>-19.018539836786349</v>
      </c>
      <c r="S309" s="3">
        <v>-19.28318532248241</v>
      </c>
      <c r="T309" s="3">
        <v>-19.493019021795408</v>
      </c>
      <c r="U309" s="3">
        <v>-19.698329611259929</v>
      </c>
      <c r="V309" s="3">
        <v>-19.89805624137032</v>
      </c>
      <c r="W309" s="3">
        <v>-20.10576210716447</v>
      </c>
      <c r="X309" s="3">
        <v>-20.321764460795041</v>
      </c>
      <c r="Y309" s="3">
        <v>-20.546394452264241</v>
      </c>
      <c r="Z309" s="3">
        <v>-20.779994647992108</v>
      </c>
      <c r="AA309" s="3">
        <v>-21.02292424279273</v>
      </c>
      <c r="AB309" s="3">
        <v>-21.27555173702978</v>
      </c>
      <c r="AC309" s="3">
        <v>-21.53826268297199</v>
      </c>
      <c r="AD309" s="3">
        <v>-21.811457887566061</v>
      </c>
      <c r="AE309" s="3">
        <v>-22.093941785922741</v>
      </c>
      <c r="AG309" s="17" t="s">
        <v>2018</v>
      </c>
      <c r="AH309" s="3">
        <v>-17.906112663262611</v>
      </c>
      <c r="AI309" s="3">
        <v>-17.718196279653679</v>
      </c>
      <c r="AJ309" s="3">
        <v>-18.178099504204251</v>
      </c>
      <c r="AK309" s="3">
        <v>-18.248251644909601</v>
      </c>
      <c r="AL309" s="3">
        <v>-18.235167082886139</v>
      </c>
      <c r="AM309" s="3">
        <v>-17.493787550322669</v>
      </c>
      <c r="AN309" s="3">
        <v>-17.907516713585409</v>
      </c>
      <c r="AO309" s="3">
        <v>-18.172162199281459</v>
      </c>
      <c r="AP309" s="3">
        <v>-18.381995898594461</v>
      </c>
      <c r="AQ309" s="3">
        <v>-18.587306488058989</v>
      </c>
      <c r="AR309" s="3">
        <v>-18.787033118169379</v>
      </c>
      <c r="AS309" s="3">
        <v>-18.994738983963529</v>
      </c>
      <c r="AT309" s="3">
        <v>-19.21074133759409</v>
      </c>
      <c r="AU309" s="3">
        <v>-19.435371329063301</v>
      </c>
      <c r="AV309" s="3">
        <v>-19.668971524791161</v>
      </c>
      <c r="AW309" s="3">
        <v>-19.911901119591789</v>
      </c>
      <c r="AX309" s="3">
        <v>-20.164528613828839</v>
      </c>
      <c r="AY309" s="3">
        <v>-20.427239559771049</v>
      </c>
      <c r="AZ309" s="3">
        <v>-20.70043476436512</v>
      </c>
      <c r="BA309" s="3">
        <v>-20.982918662721801</v>
      </c>
      <c r="BC309" s="17" t="s">
        <v>2019</v>
      </c>
      <c r="BD309" s="3">
        <v>-17.906112663262611</v>
      </c>
      <c r="BE309" s="3">
        <v>-17.718196279653679</v>
      </c>
      <c r="BF309" s="3">
        <v>-18.178099504204251</v>
      </c>
      <c r="BG309" s="3">
        <v>-18.248251644909601</v>
      </c>
      <c r="BH309" s="3">
        <v>-18.235167082886139</v>
      </c>
      <c r="BI309" s="3">
        <v>-18.049299111923141</v>
      </c>
      <c r="BJ309" s="3">
        <v>-17.722346193051919</v>
      </c>
      <c r="BK309" s="3">
        <v>-17.246309596614012</v>
      </c>
      <c r="BL309" s="3">
        <v>-16.715461213793049</v>
      </c>
      <c r="BM309" s="3">
        <v>-16.180089721123611</v>
      </c>
      <c r="BN309" s="3">
        <v>-15.63913426910003</v>
      </c>
      <c r="BO309" s="3">
        <v>-15.106158052760231</v>
      </c>
      <c r="BP309" s="3">
        <v>-14.58147832425683</v>
      </c>
      <c r="BQ309" s="3">
        <v>-14.065426233592071</v>
      </c>
      <c r="BR309" s="3">
        <v>-13.558344347185971</v>
      </c>
      <c r="BS309" s="3">
        <v>-13.06059185985263</v>
      </c>
      <c r="BT309" s="3">
        <v>-12.572537271955721</v>
      </c>
      <c r="BU309" s="3">
        <v>-12.094566135763969</v>
      </c>
      <c r="BV309" s="3">
        <v>-11.627079258224081</v>
      </c>
      <c r="BW309" s="3">
        <v>-11.168881074446791</v>
      </c>
      <c r="BY309" s="17" t="s">
        <v>2020</v>
      </c>
      <c r="BZ309" s="3">
        <v>-17.906112663262611</v>
      </c>
      <c r="CA309" s="3">
        <v>-17.718196279653679</v>
      </c>
      <c r="CB309" s="3">
        <v>-18.178099504204251</v>
      </c>
      <c r="CC309" s="3">
        <v>-18.248251644909601</v>
      </c>
      <c r="CD309" s="3">
        <v>-18.235167082886139</v>
      </c>
      <c r="CE309" s="3">
        <v>-17.216031769522431</v>
      </c>
      <c r="CF309" s="3">
        <v>-17.629760932785171</v>
      </c>
      <c r="CG309" s="3">
        <v>-17.894406418481221</v>
      </c>
      <c r="CH309" s="3">
        <v>-18.10424011779423</v>
      </c>
      <c r="CI309" s="3">
        <v>-18.309550707258751</v>
      </c>
      <c r="CJ309" s="3">
        <v>-18.509277337369141</v>
      </c>
      <c r="CK309" s="3">
        <v>-18.716983203163299</v>
      </c>
      <c r="CL309" s="3">
        <v>-18.932985556793859</v>
      </c>
      <c r="CM309" s="3">
        <v>-19.15761554826307</v>
      </c>
      <c r="CN309" s="3">
        <v>-19.39121574399093</v>
      </c>
      <c r="CO309" s="3">
        <v>-19.634145338791551</v>
      </c>
      <c r="CP309" s="3">
        <v>-19.886772833028601</v>
      </c>
      <c r="CQ309" s="3">
        <v>-20.149483778970811</v>
      </c>
      <c r="CR309" s="3">
        <v>-20.422678983564889</v>
      </c>
      <c r="CS309" s="3">
        <v>-20.705162881921559</v>
      </c>
      <c r="CU309" s="17" t="s">
        <v>2021</v>
      </c>
      <c r="CV309" s="3">
        <v>-17.906112663262611</v>
      </c>
      <c r="CW309" s="3">
        <v>-17.718196279653679</v>
      </c>
      <c r="CX309" s="3">
        <v>-18.178099504204251</v>
      </c>
      <c r="CY309" s="3">
        <v>-18.248251644909601</v>
      </c>
      <c r="CZ309" s="3">
        <v>-18.235167082886139</v>
      </c>
      <c r="DA309" s="3">
        <v>-15.827252865521251</v>
      </c>
      <c r="DB309" s="3">
        <v>-16.240982028783989</v>
      </c>
      <c r="DC309" s="3">
        <v>-16.50562751448005</v>
      </c>
      <c r="DD309" s="3">
        <v>-16.715461213793049</v>
      </c>
      <c r="DE309" s="3">
        <v>-16.920771803257569</v>
      </c>
      <c r="DF309" s="3">
        <v>-17.12049843336796</v>
      </c>
      <c r="DG309" s="3">
        <v>-17.32820429916211</v>
      </c>
      <c r="DH309" s="3">
        <v>-17.544206652792681</v>
      </c>
      <c r="DI309" s="3">
        <v>-17.768836644261889</v>
      </c>
      <c r="DJ309" s="3">
        <v>-18.002436839989748</v>
      </c>
      <c r="DK309" s="3">
        <v>-18.24536643479037</v>
      </c>
      <c r="DL309" s="3">
        <v>-18.49799392902742</v>
      </c>
      <c r="DM309" s="3">
        <v>-18.76070487496963</v>
      </c>
      <c r="DN309" s="3">
        <v>-19.033900079563701</v>
      </c>
      <c r="DO309" s="3">
        <v>-19.316383977920381</v>
      </c>
    </row>
    <row r="310" spans="1:119" x14ac:dyDescent="0.45">
      <c r="A310" s="16" t="s">
        <v>1002</v>
      </c>
      <c r="B310" s="3" t="s">
        <v>89</v>
      </c>
      <c r="C310" s="16" t="s">
        <v>1003</v>
      </c>
      <c r="H310" s="3" t="s">
        <v>1004</v>
      </c>
      <c r="I310" s="3" t="s">
        <v>651</v>
      </c>
      <c r="K310" s="17" t="s">
        <v>1005</v>
      </c>
      <c r="L310" s="3">
        <v>-12.01507647581756</v>
      </c>
      <c r="M310" s="3">
        <v>-12.00075317803916</v>
      </c>
      <c r="N310" s="3">
        <v>-12.393378681504309</v>
      </c>
      <c r="O310" s="3">
        <v>-12.329606163489959</v>
      </c>
      <c r="P310" s="3">
        <v>-12.178128524196239</v>
      </c>
      <c r="Q310" s="3">
        <v>-12.35854364249389</v>
      </c>
      <c r="R310" s="3">
        <v>-12.570772279956421</v>
      </c>
      <c r="S310" s="3">
        <v>-12.64637085682744</v>
      </c>
      <c r="T310" s="3">
        <v>-12.66781749664279</v>
      </c>
      <c r="U310" s="3">
        <v>-12.67997106032746</v>
      </c>
      <c r="V310" s="3">
        <v>-12.67997106032746</v>
      </c>
      <c r="W310" s="3">
        <v>-12.67997106032746</v>
      </c>
      <c r="X310" s="3">
        <v>-12.67997106032746</v>
      </c>
      <c r="Y310" s="3">
        <v>-12.67997106032746</v>
      </c>
      <c r="Z310" s="3">
        <v>-12.67997106032746</v>
      </c>
      <c r="AA310" s="3">
        <v>-12.67997106032746</v>
      </c>
      <c r="AB310" s="3">
        <v>-12.67997106032746</v>
      </c>
      <c r="AC310" s="3">
        <v>-12.67997106032746</v>
      </c>
      <c r="AD310" s="3">
        <v>-12.67997106032746</v>
      </c>
      <c r="AE310" s="3">
        <v>-12.67997106032746</v>
      </c>
      <c r="AG310" s="17" t="s">
        <v>1006</v>
      </c>
      <c r="AH310" s="3">
        <v>-12.01507647581756</v>
      </c>
      <c r="AI310" s="3">
        <v>-12.00075317803916</v>
      </c>
      <c r="AJ310" s="3">
        <v>-12.393378681504309</v>
      </c>
      <c r="AK310" s="3">
        <v>-12.329606163489959</v>
      </c>
      <c r="AL310" s="3">
        <v>-12.178128524196239</v>
      </c>
      <c r="AM310" s="3">
        <v>-12.35854364249389</v>
      </c>
      <c r="AN310" s="3">
        <v>-12.570772279956421</v>
      </c>
      <c r="AO310" s="3">
        <v>-12.64637085682744</v>
      </c>
      <c r="AP310" s="3">
        <v>-12.66781749664279</v>
      </c>
      <c r="AQ310" s="3">
        <v>-12.67997106032746</v>
      </c>
      <c r="AR310" s="3">
        <v>-12.67997106032746</v>
      </c>
      <c r="AS310" s="3">
        <v>-12.67997106032746</v>
      </c>
      <c r="AT310" s="3">
        <v>-12.67997106032746</v>
      </c>
      <c r="AU310" s="3">
        <v>-12.67997106032746</v>
      </c>
      <c r="AV310" s="3">
        <v>-12.67997106032746</v>
      </c>
      <c r="AW310" s="3">
        <v>-12.67997106032746</v>
      </c>
      <c r="AX310" s="3">
        <v>-12.67997106032746</v>
      </c>
      <c r="AY310" s="3">
        <v>-12.67997106032746</v>
      </c>
      <c r="AZ310" s="3">
        <v>-12.67997106032746</v>
      </c>
      <c r="BA310" s="3">
        <v>-12.67997106032746</v>
      </c>
      <c r="BC310" s="17" t="s">
        <v>1007</v>
      </c>
      <c r="BD310" s="3">
        <v>-12.01507647581756</v>
      </c>
      <c r="BE310" s="3">
        <v>-12.00075317803916</v>
      </c>
      <c r="BF310" s="3">
        <v>-12.393378681504309</v>
      </c>
      <c r="BG310" s="3">
        <v>-12.329606163489959</v>
      </c>
      <c r="BH310" s="3">
        <v>-12.178128524196239</v>
      </c>
      <c r="BI310" s="3">
        <v>-12.35854364249389</v>
      </c>
      <c r="BJ310" s="3">
        <v>-12.570772279956421</v>
      </c>
      <c r="BK310" s="3">
        <v>-12.64637085682744</v>
      </c>
      <c r="BL310" s="3">
        <v>-12.66781749664279</v>
      </c>
      <c r="BM310" s="3">
        <v>-12.67997106032746</v>
      </c>
      <c r="BN310" s="3">
        <v>-12.67997106032746</v>
      </c>
      <c r="BO310" s="3">
        <v>-12.67997106032746</v>
      </c>
      <c r="BP310" s="3">
        <v>-12.67997106032746</v>
      </c>
      <c r="BQ310" s="3">
        <v>-12.67997106032746</v>
      </c>
      <c r="BR310" s="3">
        <v>-12.67997106032746</v>
      </c>
      <c r="BS310" s="3">
        <v>-12.67997106032746</v>
      </c>
      <c r="BT310" s="3">
        <v>-12.67997106032746</v>
      </c>
      <c r="BU310" s="3">
        <v>-12.67997106032746</v>
      </c>
      <c r="BV310" s="3">
        <v>-12.67997106032746</v>
      </c>
      <c r="BW310" s="3">
        <v>-12.67997106032746</v>
      </c>
      <c r="BY310" s="17" t="s">
        <v>1008</v>
      </c>
      <c r="BZ310" s="3">
        <v>-12.01507647581756</v>
      </c>
      <c r="CA310" s="3">
        <v>-12.00075317803916</v>
      </c>
      <c r="CB310" s="3">
        <v>-12.393378681504309</v>
      </c>
      <c r="CC310" s="3">
        <v>-12.329606163489959</v>
      </c>
      <c r="CD310" s="3">
        <v>-12.178128524196239</v>
      </c>
      <c r="CE310" s="3">
        <v>-12.35854364249389</v>
      </c>
      <c r="CF310" s="3">
        <v>-12.570772279956421</v>
      </c>
      <c r="CG310" s="3">
        <v>-12.64637085682744</v>
      </c>
      <c r="CH310" s="3">
        <v>-12.66781749664279</v>
      </c>
      <c r="CI310" s="3">
        <v>-12.67997106032746</v>
      </c>
      <c r="CJ310" s="3">
        <v>-12.67997106032746</v>
      </c>
      <c r="CK310" s="3">
        <v>-12.67997106032746</v>
      </c>
      <c r="CL310" s="3">
        <v>-12.67997106032746</v>
      </c>
      <c r="CM310" s="3">
        <v>-12.67997106032746</v>
      </c>
      <c r="CN310" s="3">
        <v>-12.67997106032746</v>
      </c>
      <c r="CO310" s="3">
        <v>-12.67997106032746</v>
      </c>
      <c r="CP310" s="3">
        <v>-12.67997106032746</v>
      </c>
      <c r="CQ310" s="3">
        <v>-12.67997106032746</v>
      </c>
      <c r="CR310" s="3">
        <v>-12.67997106032746</v>
      </c>
      <c r="CS310" s="3">
        <v>-12.67997106032746</v>
      </c>
      <c r="CU310" s="17" t="s">
        <v>1009</v>
      </c>
      <c r="CV310" s="3">
        <v>-12.01507647581756</v>
      </c>
      <c r="CW310" s="3">
        <v>-12.00075317803916</v>
      </c>
      <c r="CX310" s="3">
        <v>-12.393378681504309</v>
      </c>
      <c r="CY310" s="3">
        <v>-12.329606163489959</v>
      </c>
      <c r="CZ310" s="3">
        <v>-12.178128524196239</v>
      </c>
      <c r="DA310" s="3">
        <v>-12.35854364249389</v>
      </c>
      <c r="DB310" s="3">
        <v>-12.570772279956421</v>
      </c>
      <c r="DC310" s="3">
        <v>-12.64637085682744</v>
      </c>
      <c r="DD310" s="3">
        <v>-12.66781749664279</v>
      </c>
      <c r="DE310" s="3">
        <v>-12.67997106032746</v>
      </c>
      <c r="DF310" s="3">
        <v>-12.67997106032746</v>
      </c>
      <c r="DG310" s="3">
        <v>-12.67997106032746</v>
      </c>
      <c r="DH310" s="3">
        <v>-12.67997106032746</v>
      </c>
      <c r="DI310" s="3">
        <v>-12.67997106032746</v>
      </c>
      <c r="DJ310" s="3">
        <v>-12.67997106032746</v>
      </c>
      <c r="DK310" s="3">
        <v>-12.67997106032746</v>
      </c>
      <c r="DL310" s="3">
        <v>-12.67997106032746</v>
      </c>
      <c r="DM310" s="3">
        <v>-12.67997106032746</v>
      </c>
      <c r="DN310" s="3">
        <v>-12.67997106032746</v>
      </c>
      <c r="DO310" s="3">
        <v>-12.67997106032746</v>
      </c>
    </row>
    <row r="311" spans="1:119" x14ac:dyDescent="0.45">
      <c r="A311" s="16" t="s">
        <v>2022</v>
      </c>
      <c r="B311" s="3" t="s">
        <v>89</v>
      </c>
      <c r="C311" s="16" t="s">
        <v>2023</v>
      </c>
      <c r="H311" s="3" t="s">
        <v>2024</v>
      </c>
      <c r="I311" s="3" t="s">
        <v>109</v>
      </c>
      <c r="K311" s="17" t="s">
        <v>2025</v>
      </c>
      <c r="L311" s="3">
        <v>-215.32395117952609</v>
      </c>
      <c r="M311" s="3">
        <v>-215.0672612551821</v>
      </c>
      <c r="N311" s="3">
        <v>-222.10356060043571</v>
      </c>
      <c r="O311" s="3">
        <v>-220.9606839335118</v>
      </c>
      <c r="P311" s="3">
        <v>-218.24603089957421</v>
      </c>
      <c r="Q311" s="3">
        <v>-221.47927674720239</v>
      </c>
      <c r="R311" s="3">
        <v>-225.28265734688929</v>
      </c>
      <c r="S311" s="3">
        <v>-226.6374705524631</v>
      </c>
      <c r="T311" s="3">
        <v>-227.02181893625061</v>
      </c>
      <c r="U311" s="3">
        <v>-227.2396247370512</v>
      </c>
      <c r="V311" s="3">
        <v>-227.2396247370512</v>
      </c>
      <c r="W311" s="3">
        <v>-227.2396247370512</v>
      </c>
      <c r="X311" s="3">
        <v>-227.2396247370512</v>
      </c>
      <c r="Y311" s="3">
        <v>-227.2396247370512</v>
      </c>
      <c r="Z311" s="3">
        <v>-227.2396247370512</v>
      </c>
      <c r="AA311" s="3">
        <v>-227.23962473705109</v>
      </c>
      <c r="AB311" s="3">
        <v>-227.2396247370512</v>
      </c>
      <c r="AC311" s="3">
        <v>-227.2396247370512</v>
      </c>
      <c r="AD311" s="3">
        <v>-227.2396247370512</v>
      </c>
      <c r="AE311" s="3">
        <v>-227.2396247370512</v>
      </c>
      <c r="AG311" s="17" t="s">
        <v>2026</v>
      </c>
      <c r="AH311" s="3">
        <v>-215.32395117952609</v>
      </c>
      <c r="AI311" s="3">
        <v>-215.0672612551821</v>
      </c>
      <c r="AJ311" s="3">
        <v>-222.10356060043571</v>
      </c>
      <c r="AK311" s="3">
        <v>-220.9606839335118</v>
      </c>
      <c r="AL311" s="3">
        <v>-218.24603089957421</v>
      </c>
      <c r="AM311" s="3">
        <v>-221.47927674720239</v>
      </c>
      <c r="AN311" s="3">
        <v>-225.28265734688929</v>
      </c>
      <c r="AO311" s="3">
        <v>-226.6374705524631</v>
      </c>
      <c r="AP311" s="3">
        <v>-227.02181893625061</v>
      </c>
      <c r="AQ311" s="3">
        <v>-227.2396247370512</v>
      </c>
      <c r="AR311" s="3">
        <v>-227.2396247370512</v>
      </c>
      <c r="AS311" s="3">
        <v>-227.2396247370512</v>
      </c>
      <c r="AT311" s="3">
        <v>-227.2396247370512</v>
      </c>
      <c r="AU311" s="3">
        <v>-227.2396247370512</v>
      </c>
      <c r="AV311" s="3">
        <v>-227.2396247370512</v>
      </c>
      <c r="AW311" s="3">
        <v>-227.23962473705109</v>
      </c>
      <c r="AX311" s="3">
        <v>-227.2396247370512</v>
      </c>
      <c r="AY311" s="3">
        <v>-227.2396247370512</v>
      </c>
      <c r="AZ311" s="3">
        <v>-227.2396247370512</v>
      </c>
      <c r="BA311" s="3">
        <v>-227.2396247370512</v>
      </c>
      <c r="BC311" s="17" t="s">
        <v>2027</v>
      </c>
      <c r="BD311" s="3">
        <v>-215.32395117952609</v>
      </c>
      <c r="BE311" s="3">
        <v>-215.0672612551821</v>
      </c>
      <c r="BF311" s="3">
        <v>-222.10356060043571</v>
      </c>
      <c r="BG311" s="3">
        <v>-220.9606839335118</v>
      </c>
      <c r="BH311" s="3">
        <v>-218.24603089957421</v>
      </c>
      <c r="BI311" s="3">
        <v>-221.47927674720239</v>
      </c>
      <c r="BJ311" s="3">
        <v>-225.28265734688929</v>
      </c>
      <c r="BK311" s="3">
        <v>-226.6374705524631</v>
      </c>
      <c r="BL311" s="3">
        <v>-227.02181893625061</v>
      </c>
      <c r="BM311" s="3">
        <v>-227.2396247370512</v>
      </c>
      <c r="BN311" s="3">
        <v>-227.2396247370512</v>
      </c>
      <c r="BO311" s="3">
        <v>-227.2396247370512</v>
      </c>
      <c r="BP311" s="3">
        <v>-227.2396247370512</v>
      </c>
      <c r="BQ311" s="3">
        <v>-227.2396247370512</v>
      </c>
      <c r="BR311" s="3">
        <v>-227.2396247370512</v>
      </c>
      <c r="BS311" s="3">
        <v>-227.23962473705109</v>
      </c>
      <c r="BT311" s="3">
        <v>-227.2396247370512</v>
      </c>
      <c r="BU311" s="3">
        <v>-227.2396247370512</v>
      </c>
      <c r="BV311" s="3">
        <v>-227.2396247370512</v>
      </c>
      <c r="BW311" s="3">
        <v>-227.2396247370512</v>
      </c>
      <c r="BY311" s="17" t="s">
        <v>2028</v>
      </c>
      <c r="BZ311" s="3">
        <v>-215.32395117952609</v>
      </c>
      <c r="CA311" s="3">
        <v>-215.0672612551821</v>
      </c>
      <c r="CB311" s="3">
        <v>-222.10356060043571</v>
      </c>
      <c r="CC311" s="3">
        <v>-220.9606839335118</v>
      </c>
      <c r="CD311" s="3">
        <v>-218.24603089957421</v>
      </c>
      <c r="CE311" s="3">
        <v>-221.47927674720239</v>
      </c>
      <c r="CF311" s="3">
        <v>-225.28265734688929</v>
      </c>
      <c r="CG311" s="3">
        <v>-226.6374705524631</v>
      </c>
      <c r="CH311" s="3">
        <v>-227.02181893625061</v>
      </c>
      <c r="CI311" s="3">
        <v>-227.2396247370512</v>
      </c>
      <c r="CJ311" s="3">
        <v>-227.2396247370512</v>
      </c>
      <c r="CK311" s="3">
        <v>-227.2396247370512</v>
      </c>
      <c r="CL311" s="3">
        <v>-227.2396247370512</v>
      </c>
      <c r="CM311" s="3">
        <v>-227.2396247370512</v>
      </c>
      <c r="CN311" s="3">
        <v>-227.2396247370512</v>
      </c>
      <c r="CO311" s="3">
        <v>-227.23962473705109</v>
      </c>
      <c r="CP311" s="3">
        <v>-227.2396247370512</v>
      </c>
      <c r="CQ311" s="3">
        <v>-227.2396247370512</v>
      </c>
      <c r="CR311" s="3">
        <v>-227.2396247370512</v>
      </c>
      <c r="CS311" s="3">
        <v>-227.2396247370512</v>
      </c>
      <c r="CU311" s="17" t="s">
        <v>2029</v>
      </c>
      <c r="CV311" s="3">
        <v>-215.32395117952609</v>
      </c>
      <c r="CW311" s="3">
        <v>-215.0672612551821</v>
      </c>
      <c r="CX311" s="3">
        <v>-222.10356060043571</v>
      </c>
      <c r="CY311" s="3">
        <v>-220.9606839335118</v>
      </c>
      <c r="CZ311" s="3">
        <v>-218.24603089957421</v>
      </c>
      <c r="DA311" s="3">
        <v>-221.47927674720239</v>
      </c>
      <c r="DB311" s="3">
        <v>-225.28265734688929</v>
      </c>
      <c r="DC311" s="3">
        <v>-226.6374705524631</v>
      </c>
      <c r="DD311" s="3">
        <v>-227.02181893625061</v>
      </c>
      <c r="DE311" s="3">
        <v>-227.2396247370512</v>
      </c>
      <c r="DF311" s="3">
        <v>-227.2396247370512</v>
      </c>
      <c r="DG311" s="3">
        <v>-227.2396247370512</v>
      </c>
      <c r="DH311" s="3">
        <v>-227.2396247370512</v>
      </c>
      <c r="DI311" s="3">
        <v>-227.2396247370512</v>
      </c>
      <c r="DJ311" s="3">
        <v>-227.2396247370512</v>
      </c>
      <c r="DK311" s="3">
        <v>-227.23962473705109</v>
      </c>
      <c r="DL311" s="3">
        <v>-227.2396247370512</v>
      </c>
      <c r="DM311" s="3">
        <v>-227.2396247370512</v>
      </c>
      <c r="DN311" s="3">
        <v>-227.2396247370512</v>
      </c>
      <c r="DO311" s="3">
        <v>-227.2396247370512</v>
      </c>
    </row>
    <row r="312" spans="1:119" x14ac:dyDescent="0.45">
      <c r="A312" s="16" t="s">
        <v>2030</v>
      </c>
      <c r="B312" s="3" t="s">
        <v>89</v>
      </c>
      <c r="C312" s="16" t="s">
        <v>2031</v>
      </c>
      <c r="H312" s="3" t="s">
        <v>2032</v>
      </c>
      <c r="I312" s="3" t="s">
        <v>860</v>
      </c>
      <c r="K312" s="17" t="s">
        <v>2033</v>
      </c>
      <c r="L312" s="3">
        <v>3.083348324401932</v>
      </c>
      <c r="M312" s="3">
        <v>3.205665864719264</v>
      </c>
      <c r="N312" s="3">
        <v>3.3316187626925911</v>
      </c>
      <c r="O312" s="3">
        <v>3.456928246237958</v>
      </c>
      <c r="P312" s="3">
        <v>3.5969281995461859</v>
      </c>
      <c r="Q312" s="3">
        <v>3.7407618449656161</v>
      </c>
      <c r="R312" s="3">
        <v>3.891453526154613</v>
      </c>
      <c r="S312" s="3">
        <v>4.0480001121748721</v>
      </c>
      <c r="T312" s="3">
        <v>4.2106181208796976</v>
      </c>
      <c r="U312" s="3">
        <v>4.3785615654972441</v>
      </c>
      <c r="V312" s="3">
        <v>4.5537603638396886</v>
      </c>
      <c r="W312" s="3">
        <v>4.7359584917292974</v>
      </c>
      <c r="X312" s="3">
        <v>4.9254342405280376</v>
      </c>
      <c r="Y312" s="3">
        <v>5.122478092694009</v>
      </c>
      <c r="Z312" s="3">
        <v>5.3273905450868719</v>
      </c>
      <c r="AA312" s="3">
        <v>5.5404866808768922</v>
      </c>
      <c r="AB312" s="3">
        <v>5.7620897459971152</v>
      </c>
      <c r="AC312" s="3">
        <v>5.9925379441920343</v>
      </c>
      <c r="AD312" s="3">
        <v>6.2321828605026219</v>
      </c>
      <c r="AE312" s="3">
        <v>6.4799757537979534</v>
      </c>
      <c r="AG312" s="17" t="s">
        <v>2034</v>
      </c>
      <c r="AH312" s="3">
        <v>3.083348324401932</v>
      </c>
      <c r="AI312" s="3">
        <v>3.205665864719264</v>
      </c>
      <c r="AJ312" s="3">
        <v>3.3316187626925911</v>
      </c>
      <c r="AK312" s="3">
        <v>3.456928246237958</v>
      </c>
      <c r="AL312" s="3">
        <v>3.5969281995461859</v>
      </c>
      <c r="AM312" s="3">
        <v>3.7407618449656161</v>
      </c>
      <c r="AN312" s="3">
        <v>3.891453526154613</v>
      </c>
      <c r="AO312" s="3">
        <v>4.0480001121748721</v>
      </c>
      <c r="AP312" s="3">
        <v>4.2106181208796976</v>
      </c>
      <c r="AQ312" s="3">
        <v>4.3785615654972441</v>
      </c>
      <c r="AR312" s="3">
        <v>4.5537603638396886</v>
      </c>
      <c r="AS312" s="3">
        <v>4.7359584917292974</v>
      </c>
      <c r="AT312" s="3">
        <v>4.9254342405280376</v>
      </c>
      <c r="AU312" s="3">
        <v>5.122478092694009</v>
      </c>
      <c r="AV312" s="3">
        <v>5.3273905450868719</v>
      </c>
      <c r="AW312" s="3">
        <v>5.5404866808768922</v>
      </c>
      <c r="AX312" s="3">
        <v>5.7620897459971152</v>
      </c>
      <c r="AY312" s="3">
        <v>5.9925379441920343</v>
      </c>
      <c r="AZ312" s="3">
        <v>6.2321828605026219</v>
      </c>
      <c r="BA312" s="3">
        <v>6.4799757537979534</v>
      </c>
      <c r="BC312" s="17" t="s">
        <v>2035</v>
      </c>
      <c r="BD312" s="3">
        <v>3.083348324401932</v>
      </c>
      <c r="BE312" s="3">
        <v>3.205665864719264</v>
      </c>
      <c r="BF312" s="3">
        <v>3.3316187626925911</v>
      </c>
      <c r="BG312" s="3">
        <v>3.456928246237958</v>
      </c>
      <c r="BH312" s="3">
        <v>3.5969281995461859</v>
      </c>
      <c r="BI312" s="3">
        <v>3.7407618449656161</v>
      </c>
      <c r="BJ312" s="3">
        <v>3.891453526154613</v>
      </c>
      <c r="BK312" s="3">
        <v>4.0480001121748721</v>
      </c>
      <c r="BL312" s="3">
        <v>4.2106181208796976</v>
      </c>
      <c r="BM312" s="3">
        <v>4.3785615654972441</v>
      </c>
      <c r="BN312" s="3">
        <v>4.5537603638396886</v>
      </c>
      <c r="BO312" s="3">
        <v>4.7359584917292974</v>
      </c>
      <c r="BP312" s="3">
        <v>4.9254342405280376</v>
      </c>
      <c r="BQ312" s="3">
        <v>5.122478092694009</v>
      </c>
      <c r="BR312" s="3">
        <v>5.3273905450868719</v>
      </c>
      <c r="BS312" s="3">
        <v>5.5404866808768922</v>
      </c>
      <c r="BT312" s="3">
        <v>5.7620897459971152</v>
      </c>
      <c r="BU312" s="3">
        <v>5.9925379441920343</v>
      </c>
      <c r="BV312" s="3">
        <v>6.2321828605026219</v>
      </c>
      <c r="BW312" s="3">
        <v>6.4799757537979534</v>
      </c>
      <c r="BY312" s="17" t="s">
        <v>2036</v>
      </c>
      <c r="BZ312" s="3">
        <v>3.083348324401932</v>
      </c>
      <c r="CA312" s="3">
        <v>3.205665864719264</v>
      </c>
      <c r="CB312" s="3">
        <v>3.3316187626925911</v>
      </c>
      <c r="CC312" s="3">
        <v>3.456928246237958</v>
      </c>
      <c r="CD312" s="3">
        <v>3.5969281995461859</v>
      </c>
      <c r="CE312" s="3">
        <v>3.7407618449656161</v>
      </c>
      <c r="CF312" s="3">
        <v>3.891453526154613</v>
      </c>
      <c r="CG312" s="3">
        <v>4.0480001121748721</v>
      </c>
      <c r="CH312" s="3">
        <v>4.2106181208796976</v>
      </c>
      <c r="CI312" s="3">
        <v>4.3785615654972441</v>
      </c>
      <c r="CJ312" s="3">
        <v>4.5537603638396886</v>
      </c>
      <c r="CK312" s="3">
        <v>4.7359584917292974</v>
      </c>
      <c r="CL312" s="3">
        <v>4.9254342405280376</v>
      </c>
      <c r="CM312" s="3">
        <v>5.122478092694009</v>
      </c>
      <c r="CN312" s="3">
        <v>5.3273905450868719</v>
      </c>
      <c r="CO312" s="3">
        <v>5.5404866808768922</v>
      </c>
      <c r="CP312" s="3">
        <v>5.7620897459971152</v>
      </c>
      <c r="CQ312" s="3">
        <v>5.9925379441920343</v>
      </c>
      <c r="CR312" s="3">
        <v>6.2321828605026219</v>
      </c>
      <c r="CS312" s="3">
        <v>6.4799757537979534</v>
      </c>
      <c r="CU312" s="17" t="s">
        <v>2037</v>
      </c>
      <c r="CV312" s="3">
        <v>3.083348324401932</v>
      </c>
      <c r="CW312" s="3">
        <v>3.205665864719264</v>
      </c>
      <c r="CX312" s="3">
        <v>3.3316187626925911</v>
      </c>
      <c r="CY312" s="3">
        <v>3.456928246237958</v>
      </c>
      <c r="CZ312" s="3">
        <v>3.5969281995461859</v>
      </c>
      <c r="DA312" s="3">
        <v>3.7407618449656161</v>
      </c>
      <c r="DB312" s="3">
        <v>3.891453526154613</v>
      </c>
      <c r="DC312" s="3">
        <v>4.0480001121748721</v>
      </c>
      <c r="DD312" s="3">
        <v>4.2106181208796976</v>
      </c>
      <c r="DE312" s="3">
        <v>4.3785615654972441</v>
      </c>
      <c r="DF312" s="3">
        <v>4.5537603638396886</v>
      </c>
      <c r="DG312" s="3">
        <v>4.7359584917292974</v>
      </c>
      <c r="DH312" s="3">
        <v>4.9254342405280376</v>
      </c>
      <c r="DI312" s="3">
        <v>5.122478092694009</v>
      </c>
      <c r="DJ312" s="3">
        <v>5.3273905450868719</v>
      </c>
      <c r="DK312" s="3">
        <v>5.5404866808768922</v>
      </c>
      <c r="DL312" s="3">
        <v>5.7620897459971152</v>
      </c>
      <c r="DM312" s="3">
        <v>5.9925379441920343</v>
      </c>
      <c r="DN312" s="3">
        <v>6.2321828605026219</v>
      </c>
      <c r="DO312" s="3">
        <v>6.4799757537979534</v>
      </c>
    </row>
    <row r="313" spans="1:119" x14ac:dyDescent="0.45">
      <c r="A313" s="16" t="s">
        <v>2038</v>
      </c>
      <c r="B313" s="3" t="s">
        <v>89</v>
      </c>
      <c r="C313" s="16" t="s">
        <v>2039</v>
      </c>
      <c r="H313" s="3" t="s">
        <v>2040</v>
      </c>
      <c r="I313" s="3" t="s">
        <v>109</v>
      </c>
      <c r="K313" s="17" t="s">
        <v>2041</v>
      </c>
      <c r="L313" s="3">
        <v>55.257138430142149</v>
      </c>
      <c r="M313" s="3">
        <v>57.449209045148102</v>
      </c>
      <c r="N313" s="3">
        <v>59.706429438935331</v>
      </c>
      <c r="O313" s="3">
        <v>61.952119108207143</v>
      </c>
      <c r="P313" s="3">
        <v>64.461078844913743</v>
      </c>
      <c r="Q313" s="3">
        <v>67.038742741319282</v>
      </c>
      <c r="R313" s="3">
        <v>69.739310504562965</v>
      </c>
      <c r="S313" s="3">
        <v>72.544804877685891</v>
      </c>
      <c r="T313" s="3">
        <v>75.459106108955154</v>
      </c>
      <c r="U313" s="3">
        <v>78.468845259807253</v>
      </c>
      <c r="V313" s="3">
        <v>81.60860867096217</v>
      </c>
      <c r="W313" s="3">
        <v>84.873808095507115</v>
      </c>
      <c r="X313" s="3">
        <v>88.269430833835798</v>
      </c>
      <c r="Y313" s="3">
        <v>91.800682664767194</v>
      </c>
      <c r="Z313" s="3">
        <v>95.472948836682292</v>
      </c>
      <c r="AA313" s="3">
        <v>99.291876001378014</v>
      </c>
      <c r="AB313" s="3">
        <v>103.2632570967225</v>
      </c>
      <c r="AC313" s="3">
        <v>107.3931531217211</v>
      </c>
      <c r="AD313" s="3">
        <v>111.6878648835595</v>
      </c>
      <c r="AE313" s="3">
        <v>116.1285977383146</v>
      </c>
      <c r="AG313" s="17" t="s">
        <v>2042</v>
      </c>
      <c r="AH313" s="3">
        <v>55.257138430142149</v>
      </c>
      <c r="AI313" s="3">
        <v>57.449209045148102</v>
      </c>
      <c r="AJ313" s="3">
        <v>59.706429438935331</v>
      </c>
      <c r="AK313" s="3">
        <v>61.952119108207143</v>
      </c>
      <c r="AL313" s="3">
        <v>64.461078844913743</v>
      </c>
      <c r="AM313" s="3">
        <v>67.038742741319282</v>
      </c>
      <c r="AN313" s="3">
        <v>69.739310504562965</v>
      </c>
      <c r="AO313" s="3">
        <v>72.544804877685891</v>
      </c>
      <c r="AP313" s="3">
        <v>75.459106108955154</v>
      </c>
      <c r="AQ313" s="3">
        <v>78.468845259807253</v>
      </c>
      <c r="AR313" s="3">
        <v>81.60860867096217</v>
      </c>
      <c r="AS313" s="3">
        <v>84.873808095507115</v>
      </c>
      <c r="AT313" s="3">
        <v>88.269430833835798</v>
      </c>
      <c r="AU313" s="3">
        <v>91.800682664767194</v>
      </c>
      <c r="AV313" s="3">
        <v>95.472948836682292</v>
      </c>
      <c r="AW313" s="3">
        <v>99.291876001378014</v>
      </c>
      <c r="AX313" s="3">
        <v>103.2632570967225</v>
      </c>
      <c r="AY313" s="3">
        <v>107.3931531217211</v>
      </c>
      <c r="AZ313" s="3">
        <v>111.6878648835595</v>
      </c>
      <c r="BA313" s="3">
        <v>116.1285977383146</v>
      </c>
      <c r="BC313" s="17" t="s">
        <v>2043</v>
      </c>
      <c r="BD313" s="3">
        <v>55.257138430142149</v>
      </c>
      <c r="BE313" s="3">
        <v>57.449209045148102</v>
      </c>
      <c r="BF313" s="3">
        <v>59.706429438935331</v>
      </c>
      <c r="BG313" s="3">
        <v>61.952119108207143</v>
      </c>
      <c r="BH313" s="3">
        <v>64.461078844913743</v>
      </c>
      <c r="BI313" s="3">
        <v>67.038742741319282</v>
      </c>
      <c r="BJ313" s="3">
        <v>69.739310504562965</v>
      </c>
      <c r="BK313" s="3">
        <v>72.544804877685891</v>
      </c>
      <c r="BL313" s="3">
        <v>75.459106108955154</v>
      </c>
      <c r="BM313" s="3">
        <v>78.468845259807253</v>
      </c>
      <c r="BN313" s="3">
        <v>81.60860867096217</v>
      </c>
      <c r="BO313" s="3">
        <v>84.873808095507115</v>
      </c>
      <c r="BP313" s="3">
        <v>88.269430833835798</v>
      </c>
      <c r="BQ313" s="3">
        <v>91.800682664767194</v>
      </c>
      <c r="BR313" s="3">
        <v>95.472948836682292</v>
      </c>
      <c r="BS313" s="3">
        <v>99.291876001378014</v>
      </c>
      <c r="BT313" s="3">
        <v>103.2632570967225</v>
      </c>
      <c r="BU313" s="3">
        <v>107.3931531217211</v>
      </c>
      <c r="BV313" s="3">
        <v>111.6878648835595</v>
      </c>
      <c r="BW313" s="3">
        <v>116.1285977383146</v>
      </c>
      <c r="BY313" s="17" t="s">
        <v>2044</v>
      </c>
      <c r="BZ313" s="3">
        <v>55.257138430142149</v>
      </c>
      <c r="CA313" s="3">
        <v>57.449209045148102</v>
      </c>
      <c r="CB313" s="3">
        <v>59.706429438935331</v>
      </c>
      <c r="CC313" s="3">
        <v>61.952119108207143</v>
      </c>
      <c r="CD313" s="3">
        <v>64.461078844913743</v>
      </c>
      <c r="CE313" s="3">
        <v>67.038742741319282</v>
      </c>
      <c r="CF313" s="3">
        <v>69.739310504562965</v>
      </c>
      <c r="CG313" s="3">
        <v>72.544804877685891</v>
      </c>
      <c r="CH313" s="3">
        <v>75.459106108955154</v>
      </c>
      <c r="CI313" s="3">
        <v>78.468845259807253</v>
      </c>
      <c r="CJ313" s="3">
        <v>81.60860867096217</v>
      </c>
      <c r="CK313" s="3">
        <v>84.873808095507115</v>
      </c>
      <c r="CL313" s="3">
        <v>88.269430833835798</v>
      </c>
      <c r="CM313" s="3">
        <v>91.800682664767194</v>
      </c>
      <c r="CN313" s="3">
        <v>95.472948836682292</v>
      </c>
      <c r="CO313" s="3">
        <v>99.291876001378014</v>
      </c>
      <c r="CP313" s="3">
        <v>103.2632570967225</v>
      </c>
      <c r="CQ313" s="3">
        <v>107.3931531217211</v>
      </c>
      <c r="CR313" s="3">
        <v>111.6878648835595</v>
      </c>
      <c r="CS313" s="3">
        <v>116.1285977383146</v>
      </c>
      <c r="CU313" s="17" t="s">
        <v>2045</v>
      </c>
      <c r="CV313" s="3">
        <v>55.257138430142149</v>
      </c>
      <c r="CW313" s="3">
        <v>57.449209045148102</v>
      </c>
      <c r="CX313" s="3">
        <v>59.706429438935331</v>
      </c>
      <c r="CY313" s="3">
        <v>61.952119108207143</v>
      </c>
      <c r="CZ313" s="3">
        <v>64.461078844913743</v>
      </c>
      <c r="DA313" s="3">
        <v>67.038742741319282</v>
      </c>
      <c r="DB313" s="3">
        <v>69.739310504562965</v>
      </c>
      <c r="DC313" s="3">
        <v>72.544804877685891</v>
      </c>
      <c r="DD313" s="3">
        <v>75.459106108955154</v>
      </c>
      <c r="DE313" s="3">
        <v>78.468845259807253</v>
      </c>
      <c r="DF313" s="3">
        <v>81.60860867096217</v>
      </c>
      <c r="DG313" s="3">
        <v>84.873808095507115</v>
      </c>
      <c r="DH313" s="3">
        <v>88.269430833835798</v>
      </c>
      <c r="DI313" s="3">
        <v>91.800682664767194</v>
      </c>
      <c r="DJ313" s="3">
        <v>95.472948836682292</v>
      </c>
      <c r="DK313" s="3">
        <v>99.291876001378014</v>
      </c>
      <c r="DL313" s="3">
        <v>103.2632570967225</v>
      </c>
      <c r="DM313" s="3">
        <v>107.3931531217211</v>
      </c>
      <c r="DN313" s="3">
        <v>111.6878648835595</v>
      </c>
      <c r="DO313" s="3">
        <v>116.1285977383146</v>
      </c>
    </row>
    <row r="314" spans="1:119" x14ac:dyDescent="0.45">
      <c r="A314" s="16" t="s">
        <v>2046</v>
      </c>
      <c r="B314" s="3" t="s">
        <v>89</v>
      </c>
      <c r="C314" s="16" t="s">
        <v>2047</v>
      </c>
      <c r="H314" s="3" t="s">
        <v>2048</v>
      </c>
      <c r="I314" s="3" t="s">
        <v>860</v>
      </c>
      <c r="K314" s="17" t="s">
        <v>2049</v>
      </c>
      <c r="L314" s="3">
        <v>15.0445350246563</v>
      </c>
      <c r="M314" s="3">
        <v>13.07484630861803</v>
      </c>
      <c r="N314" s="3">
        <v>12.56335521643026</v>
      </c>
      <c r="O314" s="3">
        <v>12.602436999922091</v>
      </c>
      <c r="P314" s="3">
        <v>12.805442358163109</v>
      </c>
      <c r="Q314" s="3">
        <v>12.92345276351238</v>
      </c>
      <c r="R314" s="3">
        <v>13.057810435133989</v>
      </c>
      <c r="S314" s="3">
        <v>13.223452303304439</v>
      </c>
      <c r="T314" s="3">
        <v>13.40406202498537</v>
      </c>
      <c r="U314" s="3">
        <v>13.576323001550721</v>
      </c>
      <c r="V314" s="3">
        <v>13.765920049480521</v>
      </c>
      <c r="W314" s="3">
        <v>13.962935646039149</v>
      </c>
      <c r="X314" s="3">
        <v>14.167641120589231</v>
      </c>
      <c r="Y314" s="3">
        <v>14.380334407598379</v>
      </c>
      <c r="Z314" s="3">
        <v>14.60130183492247</v>
      </c>
      <c r="AA314" s="3">
        <v>14.830879009956019</v>
      </c>
      <c r="AB314" s="3">
        <v>15.06934997537247</v>
      </c>
      <c r="AC314" s="3">
        <v>15.317040184913489</v>
      </c>
      <c r="AD314" s="3">
        <v>15.57428619260744</v>
      </c>
      <c r="AE314" s="3">
        <v>15.820900567750879</v>
      </c>
      <c r="AG314" s="17" t="s">
        <v>2050</v>
      </c>
      <c r="AH314" s="3">
        <v>15.0445350246563</v>
      </c>
      <c r="AI314" s="3">
        <v>13.07484630861803</v>
      </c>
      <c r="AJ314" s="3">
        <v>12.56335521643026</v>
      </c>
      <c r="AK314" s="3">
        <v>12.602436999922091</v>
      </c>
      <c r="AL314" s="3">
        <v>12.805442358163109</v>
      </c>
      <c r="AM314" s="3">
        <v>12.92345276351238</v>
      </c>
      <c r="AN314" s="3">
        <v>13.057810435133989</v>
      </c>
      <c r="AO314" s="3">
        <v>13.223452303304439</v>
      </c>
      <c r="AP314" s="3">
        <v>13.40406202498537</v>
      </c>
      <c r="AQ314" s="3">
        <v>13.576323001550721</v>
      </c>
      <c r="AR314" s="3">
        <v>13.765920049480521</v>
      </c>
      <c r="AS314" s="3">
        <v>13.962935646039149</v>
      </c>
      <c r="AT314" s="3">
        <v>14.167641120589231</v>
      </c>
      <c r="AU314" s="3">
        <v>14.380334407598379</v>
      </c>
      <c r="AV314" s="3">
        <v>14.60130183492247</v>
      </c>
      <c r="AW314" s="3">
        <v>14.830879009956019</v>
      </c>
      <c r="AX314" s="3">
        <v>15.06934997537247</v>
      </c>
      <c r="AY314" s="3">
        <v>15.317040184913489</v>
      </c>
      <c r="AZ314" s="3">
        <v>15.57428619260744</v>
      </c>
      <c r="BA314" s="3">
        <v>15.820900567750879</v>
      </c>
      <c r="BC314" s="17" t="s">
        <v>2051</v>
      </c>
      <c r="BD314" s="3">
        <v>15.0445350246563</v>
      </c>
      <c r="BE314" s="3">
        <v>13.07484630861803</v>
      </c>
      <c r="BF314" s="3">
        <v>12.56335521643026</v>
      </c>
      <c r="BG314" s="3">
        <v>12.602436999922091</v>
      </c>
      <c r="BH314" s="3">
        <v>12.805442358163109</v>
      </c>
      <c r="BI314" s="3">
        <v>12.92345276351238</v>
      </c>
      <c r="BJ314" s="3">
        <v>13.057810435133989</v>
      </c>
      <c r="BK314" s="3">
        <v>13.223452303304439</v>
      </c>
      <c r="BL314" s="3">
        <v>13.40406202498537</v>
      </c>
      <c r="BM314" s="3">
        <v>13.576323001550721</v>
      </c>
      <c r="BN314" s="3">
        <v>13.765920049480521</v>
      </c>
      <c r="BO314" s="3">
        <v>13.962935646039149</v>
      </c>
      <c r="BP314" s="3">
        <v>14.167641120589231</v>
      </c>
      <c r="BQ314" s="3">
        <v>14.380334407598379</v>
      </c>
      <c r="BR314" s="3">
        <v>14.60130183492247</v>
      </c>
      <c r="BS314" s="3">
        <v>14.830879009956019</v>
      </c>
      <c r="BT314" s="3">
        <v>15.06934997537247</v>
      </c>
      <c r="BU314" s="3">
        <v>15.317040184913489</v>
      </c>
      <c r="BV314" s="3">
        <v>15.57428619260744</v>
      </c>
      <c r="BW314" s="3">
        <v>15.820900567750879</v>
      </c>
      <c r="BY314" s="17" t="s">
        <v>2052</v>
      </c>
      <c r="BZ314" s="3">
        <v>15.0445350246563</v>
      </c>
      <c r="CA314" s="3">
        <v>13.07484630861803</v>
      </c>
      <c r="CB314" s="3">
        <v>12.56335521643026</v>
      </c>
      <c r="CC314" s="3">
        <v>12.602436999922091</v>
      </c>
      <c r="CD314" s="3">
        <v>12.805442358163109</v>
      </c>
      <c r="CE314" s="3">
        <v>12.92345276351238</v>
      </c>
      <c r="CF314" s="3">
        <v>13.057810435133989</v>
      </c>
      <c r="CG314" s="3">
        <v>13.223452303304439</v>
      </c>
      <c r="CH314" s="3">
        <v>13.40406202498537</v>
      </c>
      <c r="CI314" s="3">
        <v>13.576323001550721</v>
      </c>
      <c r="CJ314" s="3">
        <v>13.765920049480521</v>
      </c>
      <c r="CK314" s="3">
        <v>13.962935646039149</v>
      </c>
      <c r="CL314" s="3">
        <v>14.167641120589231</v>
      </c>
      <c r="CM314" s="3">
        <v>14.380334407598379</v>
      </c>
      <c r="CN314" s="3">
        <v>14.60130183492247</v>
      </c>
      <c r="CO314" s="3">
        <v>14.830879009956019</v>
      </c>
      <c r="CP314" s="3">
        <v>15.06934997537247</v>
      </c>
      <c r="CQ314" s="3">
        <v>15.317040184913489</v>
      </c>
      <c r="CR314" s="3">
        <v>15.57428619260744</v>
      </c>
      <c r="CS314" s="3">
        <v>15.820900567750879</v>
      </c>
      <c r="CU314" s="17" t="s">
        <v>2053</v>
      </c>
      <c r="CV314" s="3">
        <v>15.0445350246563</v>
      </c>
      <c r="CW314" s="3">
        <v>13.07484630861803</v>
      </c>
      <c r="CX314" s="3">
        <v>12.56335521643026</v>
      </c>
      <c r="CY314" s="3">
        <v>12.602436999922091</v>
      </c>
      <c r="CZ314" s="3">
        <v>12.805442358163109</v>
      </c>
      <c r="DA314" s="3">
        <v>12.92345276351238</v>
      </c>
      <c r="DB314" s="3">
        <v>13.057810435133989</v>
      </c>
      <c r="DC314" s="3">
        <v>13.223452303304439</v>
      </c>
      <c r="DD314" s="3">
        <v>13.40406202498537</v>
      </c>
      <c r="DE314" s="3">
        <v>13.576323001550721</v>
      </c>
      <c r="DF314" s="3">
        <v>13.765920049480521</v>
      </c>
      <c r="DG314" s="3">
        <v>13.962935646039149</v>
      </c>
      <c r="DH314" s="3">
        <v>14.167641120589231</v>
      </c>
      <c r="DI314" s="3">
        <v>14.380334407598379</v>
      </c>
      <c r="DJ314" s="3">
        <v>14.60130183492247</v>
      </c>
      <c r="DK314" s="3">
        <v>14.830879009956019</v>
      </c>
      <c r="DL314" s="3">
        <v>15.06934997537247</v>
      </c>
      <c r="DM314" s="3">
        <v>15.317040184913489</v>
      </c>
      <c r="DN314" s="3">
        <v>15.57428619260744</v>
      </c>
      <c r="DO314" s="3">
        <v>15.820900567750879</v>
      </c>
    </row>
    <row r="315" spans="1:119" x14ac:dyDescent="0.45">
      <c r="A315" s="16" t="s">
        <v>2054</v>
      </c>
      <c r="B315" s="3" t="s">
        <v>89</v>
      </c>
      <c r="C315" s="16" t="s">
        <v>2055</v>
      </c>
      <c r="H315" s="3" t="s">
        <v>2056</v>
      </c>
      <c r="I315" s="3" t="s">
        <v>860</v>
      </c>
      <c r="K315" s="17" t="s">
        <v>2057</v>
      </c>
      <c r="L315" s="3">
        <v>11.602403278425079</v>
      </c>
      <c r="M315" s="3">
        <v>9.5111985613263279</v>
      </c>
      <c r="N315" s="3">
        <v>8.8922303249003338</v>
      </c>
      <c r="O315" s="3">
        <v>8.9047892694972273</v>
      </c>
      <c r="P315" s="3">
        <v>8.934620289798632</v>
      </c>
      <c r="Q315" s="3">
        <v>8.8990905107387555</v>
      </c>
      <c r="R315" s="3">
        <v>8.8572955842915047</v>
      </c>
      <c r="S315" s="3">
        <v>8.842407692640224</v>
      </c>
      <c r="T315" s="3">
        <v>8.8381841309930298</v>
      </c>
      <c r="U315" s="3">
        <v>8.8357906872695722</v>
      </c>
      <c r="V315" s="3">
        <v>8.8357906872695722</v>
      </c>
      <c r="W315" s="3">
        <v>8.8357906872695722</v>
      </c>
      <c r="X315" s="3">
        <v>8.8357906872695722</v>
      </c>
      <c r="Y315" s="3">
        <v>8.8357906872695722</v>
      </c>
      <c r="Z315" s="3">
        <v>8.8357906872695722</v>
      </c>
      <c r="AA315" s="3">
        <v>8.8357906872695722</v>
      </c>
      <c r="AB315" s="3">
        <v>8.8357906872695722</v>
      </c>
      <c r="AC315" s="3">
        <v>8.8357906872695722</v>
      </c>
      <c r="AD315" s="3">
        <v>8.8357906872695722</v>
      </c>
      <c r="AE315" s="3">
        <v>8.8357906872695722</v>
      </c>
      <c r="AG315" s="17" t="s">
        <v>2058</v>
      </c>
      <c r="AH315" s="3">
        <v>11.602403278425079</v>
      </c>
      <c r="AI315" s="3">
        <v>9.5111985613263279</v>
      </c>
      <c r="AJ315" s="3">
        <v>8.8922303249003338</v>
      </c>
      <c r="AK315" s="3">
        <v>8.9047892694972273</v>
      </c>
      <c r="AL315" s="3">
        <v>8.934620289798632</v>
      </c>
      <c r="AM315" s="3">
        <v>8.8990905107387555</v>
      </c>
      <c r="AN315" s="3">
        <v>8.8572955842915047</v>
      </c>
      <c r="AO315" s="3">
        <v>8.842407692640224</v>
      </c>
      <c r="AP315" s="3">
        <v>8.8381841309930298</v>
      </c>
      <c r="AQ315" s="3">
        <v>8.8357906872695722</v>
      </c>
      <c r="AR315" s="3">
        <v>8.8357906872695722</v>
      </c>
      <c r="AS315" s="3">
        <v>8.8357906872695722</v>
      </c>
      <c r="AT315" s="3">
        <v>8.8357906872695722</v>
      </c>
      <c r="AU315" s="3">
        <v>8.8357906872695722</v>
      </c>
      <c r="AV315" s="3">
        <v>8.8357906872695722</v>
      </c>
      <c r="AW315" s="3">
        <v>8.8357906872695722</v>
      </c>
      <c r="AX315" s="3">
        <v>8.8357906872695722</v>
      </c>
      <c r="AY315" s="3">
        <v>8.8357906872695722</v>
      </c>
      <c r="AZ315" s="3">
        <v>8.8357906872695722</v>
      </c>
      <c r="BA315" s="3">
        <v>8.8357906872695722</v>
      </c>
      <c r="BC315" s="17" t="s">
        <v>2059</v>
      </c>
      <c r="BD315" s="3">
        <v>11.602403278425079</v>
      </c>
      <c r="BE315" s="3">
        <v>9.5111985613263279</v>
      </c>
      <c r="BF315" s="3">
        <v>8.8922303249003338</v>
      </c>
      <c r="BG315" s="3">
        <v>8.9047892694972273</v>
      </c>
      <c r="BH315" s="3">
        <v>8.934620289798632</v>
      </c>
      <c r="BI315" s="3">
        <v>8.8990905107387555</v>
      </c>
      <c r="BJ315" s="3">
        <v>8.8572955842915047</v>
      </c>
      <c r="BK315" s="3">
        <v>8.842407692640224</v>
      </c>
      <c r="BL315" s="3">
        <v>8.8381841309930298</v>
      </c>
      <c r="BM315" s="3">
        <v>8.8357906872695722</v>
      </c>
      <c r="BN315" s="3">
        <v>8.8357906872695722</v>
      </c>
      <c r="BO315" s="3">
        <v>8.8357906872695722</v>
      </c>
      <c r="BP315" s="3">
        <v>8.8357906872695722</v>
      </c>
      <c r="BQ315" s="3">
        <v>8.8357906872695722</v>
      </c>
      <c r="BR315" s="3">
        <v>8.8357906872695722</v>
      </c>
      <c r="BS315" s="3">
        <v>8.8357906872695722</v>
      </c>
      <c r="BT315" s="3">
        <v>8.8357906872695722</v>
      </c>
      <c r="BU315" s="3">
        <v>8.8357906872695722</v>
      </c>
      <c r="BV315" s="3">
        <v>8.8357906872695722</v>
      </c>
      <c r="BW315" s="3">
        <v>8.8357906872695722</v>
      </c>
      <c r="BY315" s="17" t="s">
        <v>2060</v>
      </c>
      <c r="BZ315" s="3">
        <v>11.602403278425079</v>
      </c>
      <c r="CA315" s="3">
        <v>9.5111985613263279</v>
      </c>
      <c r="CB315" s="3">
        <v>8.8922303249003338</v>
      </c>
      <c r="CC315" s="3">
        <v>8.9047892694972273</v>
      </c>
      <c r="CD315" s="3">
        <v>8.934620289798632</v>
      </c>
      <c r="CE315" s="3">
        <v>8.8990905107387555</v>
      </c>
      <c r="CF315" s="3">
        <v>8.8572955842915047</v>
      </c>
      <c r="CG315" s="3">
        <v>8.842407692640224</v>
      </c>
      <c r="CH315" s="3">
        <v>8.8381841309930298</v>
      </c>
      <c r="CI315" s="3">
        <v>8.8357906872695722</v>
      </c>
      <c r="CJ315" s="3">
        <v>8.8357906872695722</v>
      </c>
      <c r="CK315" s="3">
        <v>8.8357906872695722</v>
      </c>
      <c r="CL315" s="3">
        <v>8.8357906872695722</v>
      </c>
      <c r="CM315" s="3">
        <v>8.8357906872695722</v>
      </c>
      <c r="CN315" s="3">
        <v>8.8357906872695722</v>
      </c>
      <c r="CO315" s="3">
        <v>8.8357906872695722</v>
      </c>
      <c r="CP315" s="3">
        <v>8.8357906872695722</v>
      </c>
      <c r="CQ315" s="3">
        <v>8.8357906872695722</v>
      </c>
      <c r="CR315" s="3">
        <v>8.8357906872695722</v>
      </c>
      <c r="CS315" s="3">
        <v>8.8357906872695722</v>
      </c>
      <c r="CU315" s="17" t="s">
        <v>2061</v>
      </c>
      <c r="CV315" s="3">
        <v>11.602403278425079</v>
      </c>
      <c r="CW315" s="3">
        <v>9.5111985613263279</v>
      </c>
      <c r="CX315" s="3">
        <v>8.8922303249003338</v>
      </c>
      <c r="CY315" s="3">
        <v>8.9047892694972273</v>
      </c>
      <c r="CZ315" s="3">
        <v>8.934620289798632</v>
      </c>
      <c r="DA315" s="3">
        <v>8.8990905107387555</v>
      </c>
      <c r="DB315" s="3">
        <v>8.8572955842915047</v>
      </c>
      <c r="DC315" s="3">
        <v>8.842407692640224</v>
      </c>
      <c r="DD315" s="3">
        <v>8.8381841309930298</v>
      </c>
      <c r="DE315" s="3">
        <v>8.8357906872695722</v>
      </c>
      <c r="DF315" s="3">
        <v>8.8357906872695722</v>
      </c>
      <c r="DG315" s="3">
        <v>8.8357906872695722</v>
      </c>
      <c r="DH315" s="3">
        <v>8.8357906872695722</v>
      </c>
      <c r="DI315" s="3">
        <v>8.8357906872695722</v>
      </c>
      <c r="DJ315" s="3">
        <v>8.8357906872695722</v>
      </c>
      <c r="DK315" s="3">
        <v>8.8357906872695722</v>
      </c>
      <c r="DL315" s="3">
        <v>8.8357906872695722</v>
      </c>
      <c r="DM315" s="3">
        <v>8.8357906872695722</v>
      </c>
      <c r="DN315" s="3">
        <v>8.8357906872695722</v>
      </c>
      <c r="DO315" s="3">
        <v>8.8357906872695722</v>
      </c>
    </row>
    <row r="316" spans="1:119" x14ac:dyDescent="0.45">
      <c r="A316" s="16" t="s">
        <v>2062</v>
      </c>
      <c r="B316" s="3" t="s">
        <v>89</v>
      </c>
      <c r="C316" s="16" t="s">
        <v>2063</v>
      </c>
      <c r="H316" s="3" t="s">
        <v>2064</v>
      </c>
      <c r="I316" s="3" t="s">
        <v>1300</v>
      </c>
      <c r="K316" s="17" t="s">
        <v>2065</v>
      </c>
      <c r="L316" s="3">
        <v>0.38419323829791729</v>
      </c>
      <c r="M316" s="3">
        <v>0.38339169904106313</v>
      </c>
      <c r="N316" s="3">
        <v>0.36365860134926797</v>
      </c>
      <c r="O316" s="3">
        <v>0.25788278863697511</v>
      </c>
      <c r="P316" s="3">
        <v>0.29346652890507691</v>
      </c>
      <c r="Q316" s="3">
        <v>0.3039124917358505</v>
      </c>
      <c r="R316" s="3">
        <v>0.3312470993631918</v>
      </c>
      <c r="S316" s="3">
        <v>0.35700614912575118</v>
      </c>
      <c r="T316" s="3">
        <v>0.38087789399233762</v>
      </c>
      <c r="U316" s="3">
        <v>0.38813231428114842</v>
      </c>
      <c r="V316" s="3">
        <v>0.40363336221094381</v>
      </c>
      <c r="W316" s="3">
        <v>0.41958911876957472</v>
      </c>
      <c r="X316" s="3">
        <v>0.43599235971965739</v>
      </c>
      <c r="Y316" s="3">
        <v>0.45285132378480702</v>
      </c>
      <c r="Z316" s="3">
        <v>0.47015105524714068</v>
      </c>
      <c r="AA316" s="3">
        <v>0.48791382658446109</v>
      </c>
      <c r="AB316" s="3">
        <v>0.5060978121568287</v>
      </c>
      <c r="AC316" s="3">
        <v>0.52468956266000266</v>
      </c>
      <c r="AD316" s="3">
        <v>0.54367317295459461</v>
      </c>
      <c r="AE316" s="3">
        <v>0.54249465480270476</v>
      </c>
      <c r="AG316" s="17" t="s">
        <v>2066</v>
      </c>
      <c r="AH316" s="3">
        <v>0.38419323829791729</v>
      </c>
      <c r="AI316" s="3">
        <v>0.38339169904106313</v>
      </c>
      <c r="AJ316" s="3">
        <v>0.36365860134926797</v>
      </c>
      <c r="AK316" s="3">
        <v>0.25788278863697511</v>
      </c>
      <c r="AL316" s="3">
        <v>0.29346652890507691</v>
      </c>
      <c r="AM316" s="3">
        <v>0.3039124917358505</v>
      </c>
      <c r="AN316" s="3">
        <v>0.3312470993631918</v>
      </c>
      <c r="AO316" s="3">
        <v>0.35700614912575118</v>
      </c>
      <c r="AP316" s="3">
        <v>0.38087789399233762</v>
      </c>
      <c r="AQ316" s="3">
        <v>0.38813231428114842</v>
      </c>
      <c r="AR316" s="3">
        <v>0.40363336221094381</v>
      </c>
      <c r="AS316" s="3">
        <v>0.41958911876957472</v>
      </c>
      <c r="AT316" s="3">
        <v>0.43599235971965739</v>
      </c>
      <c r="AU316" s="3">
        <v>0.45285132378480702</v>
      </c>
      <c r="AV316" s="3">
        <v>0.47015105524714068</v>
      </c>
      <c r="AW316" s="3">
        <v>0.48791382658446109</v>
      </c>
      <c r="AX316" s="3">
        <v>0.5060978121568287</v>
      </c>
      <c r="AY316" s="3">
        <v>0.52468956266000266</v>
      </c>
      <c r="AZ316" s="3">
        <v>0.54367317295459461</v>
      </c>
      <c r="BA316" s="3">
        <v>0.54249465480270476</v>
      </c>
      <c r="BC316" s="17" t="s">
        <v>2067</v>
      </c>
      <c r="BD316" s="3">
        <v>0.38419323829791729</v>
      </c>
      <c r="BE316" s="3">
        <v>0.38339169904106313</v>
      </c>
      <c r="BF316" s="3">
        <v>0.36365860134926797</v>
      </c>
      <c r="BG316" s="3">
        <v>0.25788278863697511</v>
      </c>
      <c r="BH316" s="3">
        <v>0.29346652890507691</v>
      </c>
      <c r="BI316" s="3">
        <v>0.3039124917358505</v>
      </c>
      <c r="BJ316" s="3">
        <v>0.3312470993631918</v>
      </c>
      <c r="BK316" s="3">
        <v>0.35700614912575118</v>
      </c>
      <c r="BL316" s="3">
        <v>0.38087789399233762</v>
      </c>
      <c r="BM316" s="3">
        <v>0.38813231428114842</v>
      </c>
      <c r="BN316" s="3">
        <v>0.40363336221094381</v>
      </c>
      <c r="BO316" s="3">
        <v>0.41958911876957472</v>
      </c>
      <c r="BP316" s="3">
        <v>0.43599235971965739</v>
      </c>
      <c r="BQ316" s="3">
        <v>0.45285132378480702</v>
      </c>
      <c r="BR316" s="3">
        <v>0.47015105524714068</v>
      </c>
      <c r="BS316" s="3">
        <v>0.48791382658446109</v>
      </c>
      <c r="BT316" s="3">
        <v>0.5060978121568287</v>
      </c>
      <c r="BU316" s="3">
        <v>0.52468956266000266</v>
      </c>
      <c r="BV316" s="3">
        <v>0.54367317295459461</v>
      </c>
      <c r="BW316" s="3">
        <v>0.54249465480270476</v>
      </c>
      <c r="BY316" s="17" t="s">
        <v>2068</v>
      </c>
      <c r="BZ316" s="3">
        <v>0.38419323829791729</v>
      </c>
      <c r="CA316" s="3">
        <v>0.38339169904106313</v>
      </c>
      <c r="CB316" s="3">
        <v>0.36365860134926797</v>
      </c>
      <c r="CC316" s="3">
        <v>0.25788278863697511</v>
      </c>
      <c r="CD316" s="3">
        <v>0.29346652890507691</v>
      </c>
      <c r="CE316" s="3">
        <v>0.3039124917358505</v>
      </c>
      <c r="CF316" s="3">
        <v>0.3312470993631918</v>
      </c>
      <c r="CG316" s="3">
        <v>0.35700614912575118</v>
      </c>
      <c r="CH316" s="3">
        <v>0.38087789399233762</v>
      </c>
      <c r="CI316" s="3">
        <v>0.38813231428114842</v>
      </c>
      <c r="CJ316" s="3">
        <v>0.40363336221094381</v>
      </c>
      <c r="CK316" s="3">
        <v>0.41958911876957472</v>
      </c>
      <c r="CL316" s="3">
        <v>0.43599235971965739</v>
      </c>
      <c r="CM316" s="3">
        <v>0.45285132378480702</v>
      </c>
      <c r="CN316" s="3">
        <v>0.47015105524714068</v>
      </c>
      <c r="CO316" s="3">
        <v>0.48791382658446109</v>
      </c>
      <c r="CP316" s="3">
        <v>0.5060978121568287</v>
      </c>
      <c r="CQ316" s="3">
        <v>0.52468956266000266</v>
      </c>
      <c r="CR316" s="3">
        <v>0.54367317295459461</v>
      </c>
      <c r="CS316" s="3">
        <v>0.54249465480270476</v>
      </c>
      <c r="CU316" s="17" t="s">
        <v>2069</v>
      </c>
      <c r="CV316" s="3">
        <v>0.38419323829791729</v>
      </c>
      <c r="CW316" s="3">
        <v>0.38339169904106313</v>
      </c>
      <c r="CX316" s="3">
        <v>0.36365860134926797</v>
      </c>
      <c r="CY316" s="3">
        <v>0.25788278863697511</v>
      </c>
      <c r="CZ316" s="3">
        <v>0.29346652890507691</v>
      </c>
      <c r="DA316" s="3">
        <v>0.3039124917358505</v>
      </c>
      <c r="DB316" s="3">
        <v>0.3312470993631918</v>
      </c>
      <c r="DC316" s="3">
        <v>0.35700614912575118</v>
      </c>
      <c r="DD316" s="3">
        <v>0.38087789399233762</v>
      </c>
      <c r="DE316" s="3">
        <v>0.38813231428114842</v>
      </c>
      <c r="DF316" s="3">
        <v>0.40363336221094381</v>
      </c>
      <c r="DG316" s="3">
        <v>0.41958911876957472</v>
      </c>
      <c r="DH316" s="3">
        <v>0.43599235971965739</v>
      </c>
      <c r="DI316" s="3">
        <v>0.45285132378480702</v>
      </c>
      <c r="DJ316" s="3">
        <v>0.47015105524714068</v>
      </c>
      <c r="DK316" s="3">
        <v>0.48791382658446109</v>
      </c>
      <c r="DL316" s="3">
        <v>0.5060978121568287</v>
      </c>
      <c r="DM316" s="3">
        <v>0.52468956266000266</v>
      </c>
      <c r="DN316" s="3">
        <v>0.54367317295459461</v>
      </c>
      <c r="DO316" s="3">
        <v>0.54249465480270476</v>
      </c>
    </row>
    <row r="317" spans="1:119" x14ac:dyDescent="0.45">
      <c r="A317" s="16" t="s">
        <v>2070</v>
      </c>
      <c r="B317" s="3" t="s">
        <v>89</v>
      </c>
      <c r="C317" s="16" t="s">
        <v>2071</v>
      </c>
      <c r="H317" s="3" t="s">
        <v>2072</v>
      </c>
      <c r="I317" s="3" t="s">
        <v>860</v>
      </c>
      <c r="K317" s="17" t="s">
        <v>2073</v>
      </c>
      <c r="L317" s="3">
        <v>3.0579385079333021</v>
      </c>
      <c r="M317" s="3">
        <v>3.180256048250635</v>
      </c>
      <c r="N317" s="3">
        <v>3.3074662901806602</v>
      </c>
      <c r="O317" s="3">
        <v>3.4397649417878871</v>
      </c>
      <c r="P317" s="3">
        <v>3.5773555394594019</v>
      </c>
      <c r="Q317" s="3">
        <v>3.720449761037778</v>
      </c>
      <c r="R317" s="3">
        <v>3.8692677514792888</v>
      </c>
      <c r="S317" s="3">
        <v>4.0240384615384608</v>
      </c>
      <c r="T317" s="3">
        <v>4.1849999999999996</v>
      </c>
      <c r="U317" s="3">
        <v>4.3523999999999994</v>
      </c>
      <c r="V317" s="3">
        <v>4.5264959999999999</v>
      </c>
      <c r="W317" s="3">
        <v>4.7075558399999986</v>
      </c>
      <c r="X317" s="3">
        <v>4.8958580736000004</v>
      </c>
      <c r="Y317" s="3">
        <v>5.0916923965440004</v>
      </c>
      <c r="Z317" s="3">
        <v>5.2953600924057609</v>
      </c>
      <c r="AA317" s="3">
        <v>5.5071744961019924</v>
      </c>
      <c r="AB317" s="3">
        <v>5.7274614759460709</v>
      </c>
      <c r="AC317" s="3">
        <v>5.9565599349839138</v>
      </c>
      <c r="AD317" s="3">
        <v>6.1948223323832714</v>
      </c>
      <c r="AE317" s="3">
        <v>6.442615225678602</v>
      </c>
      <c r="AG317" s="17" t="s">
        <v>2074</v>
      </c>
      <c r="AH317" s="3">
        <v>3.0579385079333021</v>
      </c>
      <c r="AI317" s="3">
        <v>3.180256048250635</v>
      </c>
      <c r="AJ317" s="3">
        <v>3.3074662901806602</v>
      </c>
      <c r="AK317" s="3">
        <v>3.4397649417878871</v>
      </c>
      <c r="AL317" s="3">
        <v>3.5773555394594019</v>
      </c>
      <c r="AM317" s="3">
        <v>3.720449761037778</v>
      </c>
      <c r="AN317" s="3">
        <v>3.8692677514792888</v>
      </c>
      <c r="AO317" s="3">
        <v>4.0240384615384608</v>
      </c>
      <c r="AP317" s="3">
        <v>4.1849999999999996</v>
      </c>
      <c r="AQ317" s="3">
        <v>4.3523999999999994</v>
      </c>
      <c r="AR317" s="3">
        <v>4.5264959999999999</v>
      </c>
      <c r="AS317" s="3">
        <v>4.7075558399999986</v>
      </c>
      <c r="AT317" s="3">
        <v>4.8958580736000004</v>
      </c>
      <c r="AU317" s="3">
        <v>5.0916923965440004</v>
      </c>
      <c r="AV317" s="3">
        <v>5.2953600924057609</v>
      </c>
      <c r="AW317" s="3">
        <v>5.5071744961019924</v>
      </c>
      <c r="AX317" s="3">
        <v>5.7274614759460709</v>
      </c>
      <c r="AY317" s="3">
        <v>5.9565599349839138</v>
      </c>
      <c r="AZ317" s="3">
        <v>6.1948223323832714</v>
      </c>
      <c r="BA317" s="3">
        <v>6.442615225678602</v>
      </c>
      <c r="BC317" s="17" t="s">
        <v>2075</v>
      </c>
      <c r="BD317" s="3">
        <v>3.0579385079333021</v>
      </c>
      <c r="BE317" s="3">
        <v>3.180256048250635</v>
      </c>
      <c r="BF317" s="3">
        <v>3.3074662901806602</v>
      </c>
      <c r="BG317" s="3">
        <v>3.4397649417878871</v>
      </c>
      <c r="BH317" s="3">
        <v>3.5773555394594019</v>
      </c>
      <c r="BI317" s="3">
        <v>3.720449761037778</v>
      </c>
      <c r="BJ317" s="3">
        <v>3.8692677514792888</v>
      </c>
      <c r="BK317" s="3">
        <v>4.0240384615384608</v>
      </c>
      <c r="BL317" s="3">
        <v>4.1849999999999996</v>
      </c>
      <c r="BM317" s="3">
        <v>4.3523999999999994</v>
      </c>
      <c r="BN317" s="3">
        <v>4.5264959999999999</v>
      </c>
      <c r="BO317" s="3">
        <v>4.7075558399999986</v>
      </c>
      <c r="BP317" s="3">
        <v>4.8958580736000004</v>
      </c>
      <c r="BQ317" s="3">
        <v>5.0916923965440004</v>
      </c>
      <c r="BR317" s="3">
        <v>5.2953600924057609</v>
      </c>
      <c r="BS317" s="3">
        <v>5.5071744961019924</v>
      </c>
      <c r="BT317" s="3">
        <v>5.7274614759460709</v>
      </c>
      <c r="BU317" s="3">
        <v>5.9565599349839138</v>
      </c>
      <c r="BV317" s="3">
        <v>6.1948223323832714</v>
      </c>
      <c r="BW317" s="3">
        <v>6.442615225678602</v>
      </c>
      <c r="BY317" s="17" t="s">
        <v>2076</v>
      </c>
      <c r="BZ317" s="3">
        <v>3.0579385079333021</v>
      </c>
      <c r="CA317" s="3">
        <v>3.180256048250635</v>
      </c>
      <c r="CB317" s="3">
        <v>3.3074662901806602</v>
      </c>
      <c r="CC317" s="3">
        <v>3.4397649417878871</v>
      </c>
      <c r="CD317" s="3">
        <v>3.5773555394594019</v>
      </c>
      <c r="CE317" s="3">
        <v>3.720449761037778</v>
      </c>
      <c r="CF317" s="3">
        <v>3.8692677514792888</v>
      </c>
      <c r="CG317" s="3">
        <v>4.0240384615384608</v>
      </c>
      <c r="CH317" s="3">
        <v>4.1849999999999996</v>
      </c>
      <c r="CI317" s="3">
        <v>4.3523999999999994</v>
      </c>
      <c r="CJ317" s="3">
        <v>4.5264959999999999</v>
      </c>
      <c r="CK317" s="3">
        <v>4.7075558399999986</v>
      </c>
      <c r="CL317" s="3">
        <v>4.8958580736000004</v>
      </c>
      <c r="CM317" s="3">
        <v>5.0916923965440004</v>
      </c>
      <c r="CN317" s="3">
        <v>5.2953600924057609</v>
      </c>
      <c r="CO317" s="3">
        <v>5.5071744961019924</v>
      </c>
      <c r="CP317" s="3">
        <v>5.7274614759460709</v>
      </c>
      <c r="CQ317" s="3">
        <v>5.9565599349839138</v>
      </c>
      <c r="CR317" s="3">
        <v>6.1948223323832714</v>
      </c>
      <c r="CS317" s="3">
        <v>6.442615225678602</v>
      </c>
      <c r="CU317" s="17" t="s">
        <v>2077</v>
      </c>
      <c r="CV317" s="3">
        <v>3.0579385079333021</v>
      </c>
      <c r="CW317" s="3">
        <v>3.180256048250635</v>
      </c>
      <c r="CX317" s="3">
        <v>3.3074662901806602</v>
      </c>
      <c r="CY317" s="3">
        <v>3.4397649417878871</v>
      </c>
      <c r="CZ317" s="3">
        <v>3.5773555394594019</v>
      </c>
      <c r="DA317" s="3">
        <v>3.720449761037778</v>
      </c>
      <c r="DB317" s="3">
        <v>3.8692677514792888</v>
      </c>
      <c r="DC317" s="3">
        <v>4.0240384615384608</v>
      </c>
      <c r="DD317" s="3">
        <v>4.1849999999999996</v>
      </c>
      <c r="DE317" s="3">
        <v>4.3523999999999994</v>
      </c>
      <c r="DF317" s="3">
        <v>4.5264959999999999</v>
      </c>
      <c r="DG317" s="3">
        <v>4.7075558399999986</v>
      </c>
      <c r="DH317" s="3">
        <v>4.8958580736000004</v>
      </c>
      <c r="DI317" s="3">
        <v>5.0916923965440004</v>
      </c>
      <c r="DJ317" s="3">
        <v>5.2953600924057609</v>
      </c>
      <c r="DK317" s="3">
        <v>5.5071744961019924</v>
      </c>
      <c r="DL317" s="3">
        <v>5.7274614759460709</v>
      </c>
      <c r="DM317" s="3">
        <v>5.9565599349839138</v>
      </c>
      <c r="DN317" s="3">
        <v>6.1948223323832714</v>
      </c>
      <c r="DO317" s="3">
        <v>6.442615225678602</v>
      </c>
    </row>
    <row r="318" spans="1:119" x14ac:dyDescent="0.45">
      <c r="A318" s="16" t="s">
        <v>2078</v>
      </c>
      <c r="B318" s="3" t="s">
        <v>89</v>
      </c>
      <c r="C318" s="16" t="s">
        <v>2079</v>
      </c>
      <c r="H318" s="3" t="s">
        <v>2080</v>
      </c>
      <c r="I318" s="3" t="s">
        <v>860</v>
      </c>
      <c r="K318" s="17" t="s">
        <v>2081</v>
      </c>
      <c r="L318" s="3">
        <v>0</v>
      </c>
      <c r="M318" s="3">
        <v>0</v>
      </c>
      <c r="N318" s="3">
        <v>0</v>
      </c>
      <c r="O318" s="3">
        <v>0</v>
      </c>
      <c r="P318" s="3">
        <v>0</v>
      </c>
      <c r="Q318" s="3">
        <v>0</v>
      </c>
      <c r="R318" s="3">
        <v>0</v>
      </c>
      <c r="S318" s="3">
        <v>0</v>
      </c>
      <c r="T318" s="3">
        <v>0</v>
      </c>
      <c r="U318" s="3">
        <v>0</v>
      </c>
      <c r="V318" s="3">
        <v>0</v>
      </c>
      <c r="W318" s="3">
        <v>0</v>
      </c>
      <c r="X318" s="3">
        <v>0</v>
      </c>
      <c r="Y318" s="3">
        <v>0</v>
      </c>
      <c r="Z318" s="3">
        <v>0</v>
      </c>
      <c r="AA318" s="3">
        <v>0</v>
      </c>
      <c r="AB318" s="3">
        <v>0</v>
      </c>
      <c r="AC318" s="3">
        <v>0</v>
      </c>
      <c r="AD318" s="3">
        <v>0</v>
      </c>
      <c r="AE318" s="3">
        <v>0</v>
      </c>
      <c r="AG318" s="17" t="s">
        <v>2082</v>
      </c>
      <c r="AH318" s="3">
        <v>0</v>
      </c>
      <c r="AI318" s="3">
        <v>0</v>
      </c>
      <c r="AJ318" s="3">
        <v>0</v>
      </c>
      <c r="AK318" s="3">
        <v>0</v>
      </c>
      <c r="AL318" s="3">
        <v>0</v>
      </c>
      <c r="AM318" s="3">
        <v>0</v>
      </c>
      <c r="AN318" s="3">
        <v>0</v>
      </c>
      <c r="AO318" s="3">
        <v>0</v>
      </c>
      <c r="AP318" s="3">
        <v>0</v>
      </c>
      <c r="AQ318" s="3">
        <v>0</v>
      </c>
      <c r="AR318" s="3">
        <v>0</v>
      </c>
      <c r="AS318" s="3">
        <v>0</v>
      </c>
      <c r="AT318" s="3">
        <v>0</v>
      </c>
      <c r="AU318" s="3">
        <v>0</v>
      </c>
      <c r="AV318" s="3">
        <v>0</v>
      </c>
      <c r="AW318" s="3">
        <v>0</v>
      </c>
      <c r="AX318" s="3">
        <v>0</v>
      </c>
      <c r="AY318" s="3">
        <v>0</v>
      </c>
      <c r="AZ318" s="3">
        <v>0</v>
      </c>
      <c r="BA318" s="3">
        <v>0</v>
      </c>
      <c r="BC318" s="17" t="s">
        <v>2083</v>
      </c>
      <c r="BD318" s="3">
        <v>0</v>
      </c>
      <c r="BE318" s="3">
        <v>0</v>
      </c>
      <c r="BF318" s="3">
        <v>0</v>
      </c>
      <c r="BG318" s="3">
        <v>0</v>
      </c>
      <c r="BH318" s="3">
        <v>0</v>
      </c>
      <c r="BI318" s="3">
        <v>0</v>
      </c>
      <c r="BJ318" s="3">
        <v>0</v>
      </c>
      <c r="BK318" s="3">
        <v>0</v>
      </c>
      <c r="BL318" s="3">
        <v>0</v>
      </c>
      <c r="BM318" s="3">
        <v>0</v>
      </c>
      <c r="BN318" s="3">
        <v>0</v>
      </c>
      <c r="BO318" s="3">
        <v>0</v>
      </c>
      <c r="BP318" s="3">
        <v>0</v>
      </c>
      <c r="BQ318" s="3">
        <v>0</v>
      </c>
      <c r="BR318" s="3">
        <v>0</v>
      </c>
      <c r="BS318" s="3">
        <v>0</v>
      </c>
      <c r="BT318" s="3">
        <v>0</v>
      </c>
      <c r="BU318" s="3">
        <v>0</v>
      </c>
      <c r="BV318" s="3">
        <v>0</v>
      </c>
      <c r="BW318" s="3">
        <v>0</v>
      </c>
      <c r="BY318" s="17" t="s">
        <v>2084</v>
      </c>
      <c r="BZ318" s="3">
        <v>0</v>
      </c>
      <c r="CA318" s="3">
        <v>0</v>
      </c>
      <c r="CB318" s="3">
        <v>0</v>
      </c>
      <c r="CC318" s="3">
        <v>0</v>
      </c>
      <c r="CD318" s="3">
        <v>0</v>
      </c>
      <c r="CE318" s="3">
        <v>0</v>
      </c>
      <c r="CF318" s="3">
        <v>0</v>
      </c>
      <c r="CG318" s="3">
        <v>0</v>
      </c>
      <c r="CH318" s="3">
        <v>0</v>
      </c>
      <c r="CI318" s="3">
        <v>0</v>
      </c>
      <c r="CJ318" s="3">
        <v>0</v>
      </c>
      <c r="CK318" s="3">
        <v>0</v>
      </c>
      <c r="CL318" s="3">
        <v>0</v>
      </c>
      <c r="CM318" s="3">
        <v>0</v>
      </c>
      <c r="CN318" s="3">
        <v>0</v>
      </c>
      <c r="CO318" s="3">
        <v>0</v>
      </c>
      <c r="CP318" s="3">
        <v>0</v>
      </c>
      <c r="CQ318" s="3">
        <v>0</v>
      </c>
      <c r="CR318" s="3">
        <v>0</v>
      </c>
      <c r="CS318" s="3">
        <v>0</v>
      </c>
      <c r="CU318" s="17" t="s">
        <v>2085</v>
      </c>
      <c r="CV318" s="3">
        <v>0</v>
      </c>
      <c r="CW318" s="3">
        <v>0</v>
      </c>
      <c r="CX318" s="3">
        <v>0</v>
      </c>
      <c r="CY318" s="3">
        <v>0</v>
      </c>
      <c r="CZ318" s="3">
        <v>0</v>
      </c>
      <c r="DA318" s="3">
        <v>0</v>
      </c>
      <c r="DB318" s="3">
        <v>0</v>
      </c>
      <c r="DC318" s="3">
        <v>0</v>
      </c>
      <c r="DD318" s="3">
        <v>0</v>
      </c>
      <c r="DE318" s="3">
        <v>0</v>
      </c>
      <c r="DF318" s="3">
        <v>0</v>
      </c>
      <c r="DG318" s="3">
        <v>0</v>
      </c>
      <c r="DH318" s="3">
        <v>0</v>
      </c>
      <c r="DI318" s="3">
        <v>0</v>
      </c>
      <c r="DJ318" s="3">
        <v>0</v>
      </c>
      <c r="DK318" s="3">
        <v>0</v>
      </c>
      <c r="DL318" s="3">
        <v>0</v>
      </c>
      <c r="DM318" s="3">
        <v>0</v>
      </c>
      <c r="DN318" s="3">
        <v>0</v>
      </c>
      <c r="DO318" s="3">
        <v>0</v>
      </c>
    </row>
    <row r="319" spans="1:119" x14ac:dyDescent="0.45">
      <c r="A319" s="16" t="s">
        <v>2086</v>
      </c>
      <c r="B319" s="3" t="s">
        <v>89</v>
      </c>
      <c r="C319" s="16" t="s">
        <v>2087</v>
      </c>
      <c r="H319" s="3" t="s">
        <v>2088</v>
      </c>
      <c r="I319" s="3" t="s">
        <v>860</v>
      </c>
      <c r="K319" s="17" t="s">
        <v>2089</v>
      </c>
      <c r="L319" s="3">
        <v>3.1542204536504528</v>
      </c>
      <c r="M319" s="3">
        <v>2.6237150486756571</v>
      </c>
      <c r="N319" s="3">
        <v>2.77897804122306</v>
      </c>
      <c r="O319" s="3">
        <v>2.77897804122306</v>
      </c>
      <c r="P319" s="3">
        <v>2.77897804122306</v>
      </c>
      <c r="Q319" s="3">
        <v>2.77897804122306</v>
      </c>
      <c r="R319" s="3">
        <v>2.77897804122306</v>
      </c>
      <c r="S319" s="3">
        <v>2.77897804122306</v>
      </c>
      <c r="T319" s="3">
        <v>2.77897804122306</v>
      </c>
      <c r="U319" s="3">
        <v>2.77897804122306</v>
      </c>
      <c r="V319" s="3">
        <v>2.77897804122306</v>
      </c>
      <c r="W319" s="3">
        <v>2.77897804122306</v>
      </c>
      <c r="X319" s="3">
        <v>2.77897804122306</v>
      </c>
      <c r="Y319" s="3">
        <v>2.77897804122306</v>
      </c>
      <c r="Z319" s="3">
        <v>2.77897804122306</v>
      </c>
      <c r="AA319" s="3">
        <v>2.77897804122306</v>
      </c>
      <c r="AB319" s="3">
        <v>2.77897804122306</v>
      </c>
      <c r="AC319" s="3">
        <v>2.77897804122306</v>
      </c>
      <c r="AD319" s="3">
        <v>2.77897804122306</v>
      </c>
      <c r="AE319" s="3">
        <v>2.77897804122306</v>
      </c>
      <c r="AG319" s="17" t="s">
        <v>2090</v>
      </c>
      <c r="AH319" s="3">
        <v>3.1542204536504528</v>
      </c>
      <c r="AI319" s="3">
        <v>2.6237150486756571</v>
      </c>
      <c r="AJ319" s="3">
        <v>2.77897804122306</v>
      </c>
      <c r="AK319" s="3">
        <v>2.77897804122306</v>
      </c>
      <c r="AL319" s="3">
        <v>2.77897804122306</v>
      </c>
      <c r="AM319" s="3">
        <v>2.77897804122306</v>
      </c>
      <c r="AN319" s="3">
        <v>2.77897804122306</v>
      </c>
      <c r="AO319" s="3">
        <v>2.77897804122306</v>
      </c>
      <c r="AP319" s="3">
        <v>2.77897804122306</v>
      </c>
      <c r="AQ319" s="3">
        <v>2.77897804122306</v>
      </c>
      <c r="AR319" s="3">
        <v>2.77897804122306</v>
      </c>
      <c r="AS319" s="3">
        <v>2.77897804122306</v>
      </c>
      <c r="AT319" s="3">
        <v>2.77897804122306</v>
      </c>
      <c r="AU319" s="3">
        <v>2.77897804122306</v>
      </c>
      <c r="AV319" s="3">
        <v>2.77897804122306</v>
      </c>
      <c r="AW319" s="3">
        <v>2.77897804122306</v>
      </c>
      <c r="AX319" s="3">
        <v>2.77897804122306</v>
      </c>
      <c r="AY319" s="3">
        <v>2.77897804122306</v>
      </c>
      <c r="AZ319" s="3">
        <v>2.77897804122306</v>
      </c>
      <c r="BA319" s="3">
        <v>2.77897804122306</v>
      </c>
      <c r="BC319" s="17" t="s">
        <v>2091</v>
      </c>
      <c r="BD319" s="3">
        <v>3.1542204536504528</v>
      </c>
      <c r="BE319" s="3">
        <v>2.6237150486756571</v>
      </c>
      <c r="BF319" s="3">
        <v>2.77897804122306</v>
      </c>
      <c r="BG319" s="3">
        <v>2.77897804122306</v>
      </c>
      <c r="BH319" s="3">
        <v>2.77897804122306</v>
      </c>
      <c r="BI319" s="3">
        <v>2.77897804122306</v>
      </c>
      <c r="BJ319" s="3">
        <v>2.77897804122306</v>
      </c>
      <c r="BK319" s="3">
        <v>2.77897804122306</v>
      </c>
      <c r="BL319" s="3">
        <v>2.77897804122306</v>
      </c>
      <c r="BM319" s="3">
        <v>2.77897804122306</v>
      </c>
      <c r="BN319" s="3">
        <v>2.77897804122306</v>
      </c>
      <c r="BO319" s="3">
        <v>2.77897804122306</v>
      </c>
      <c r="BP319" s="3">
        <v>2.77897804122306</v>
      </c>
      <c r="BQ319" s="3">
        <v>2.77897804122306</v>
      </c>
      <c r="BR319" s="3">
        <v>2.77897804122306</v>
      </c>
      <c r="BS319" s="3">
        <v>2.77897804122306</v>
      </c>
      <c r="BT319" s="3">
        <v>2.77897804122306</v>
      </c>
      <c r="BU319" s="3">
        <v>2.77897804122306</v>
      </c>
      <c r="BV319" s="3">
        <v>2.77897804122306</v>
      </c>
      <c r="BW319" s="3">
        <v>2.77897804122306</v>
      </c>
      <c r="BY319" s="17" t="s">
        <v>2092</v>
      </c>
      <c r="BZ319" s="3">
        <v>3.1542204536504528</v>
      </c>
      <c r="CA319" s="3">
        <v>2.6237150486756571</v>
      </c>
      <c r="CB319" s="3">
        <v>2.77897804122306</v>
      </c>
      <c r="CC319" s="3">
        <v>2.77897804122306</v>
      </c>
      <c r="CD319" s="3">
        <v>2.77897804122306</v>
      </c>
      <c r="CE319" s="3">
        <v>2.77897804122306</v>
      </c>
      <c r="CF319" s="3">
        <v>2.77897804122306</v>
      </c>
      <c r="CG319" s="3">
        <v>2.77897804122306</v>
      </c>
      <c r="CH319" s="3">
        <v>2.77897804122306</v>
      </c>
      <c r="CI319" s="3">
        <v>2.77897804122306</v>
      </c>
      <c r="CJ319" s="3">
        <v>2.77897804122306</v>
      </c>
      <c r="CK319" s="3">
        <v>2.77897804122306</v>
      </c>
      <c r="CL319" s="3">
        <v>2.77897804122306</v>
      </c>
      <c r="CM319" s="3">
        <v>2.77897804122306</v>
      </c>
      <c r="CN319" s="3">
        <v>2.77897804122306</v>
      </c>
      <c r="CO319" s="3">
        <v>2.77897804122306</v>
      </c>
      <c r="CP319" s="3">
        <v>2.77897804122306</v>
      </c>
      <c r="CQ319" s="3">
        <v>2.77897804122306</v>
      </c>
      <c r="CR319" s="3">
        <v>2.77897804122306</v>
      </c>
      <c r="CS319" s="3">
        <v>2.77897804122306</v>
      </c>
      <c r="CU319" s="17" t="s">
        <v>2093</v>
      </c>
      <c r="CV319" s="3">
        <v>3.1542204536504528</v>
      </c>
      <c r="CW319" s="3">
        <v>2.6237150486756571</v>
      </c>
      <c r="CX319" s="3">
        <v>2.77897804122306</v>
      </c>
      <c r="CY319" s="3">
        <v>2.77897804122306</v>
      </c>
      <c r="CZ319" s="3">
        <v>2.77897804122306</v>
      </c>
      <c r="DA319" s="3">
        <v>2.77897804122306</v>
      </c>
      <c r="DB319" s="3">
        <v>2.77897804122306</v>
      </c>
      <c r="DC319" s="3">
        <v>2.77897804122306</v>
      </c>
      <c r="DD319" s="3">
        <v>2.77897804122306</v>
      </c>
      <c r="DE319" s="3">
        <v>2.77897804122306</v>
      </c>
      <c r="DF319" s="3">
        <v>2.77897804122306</v>
      </c>
      <c r="DG319" s="3">
        <v>2.77897804122306</v>
      </c>
      <c r="DH319" s="3">
        <v>2.77897804122306</v>
      </c>
      <c r="DI319" s="3">
        <v>2.77897804122306</v>
      </c>
      <c r="DJ319" s="3">
        <v>2.77897804122306</v>
      </c>
      <c r="DK319" s="3">
        <v>2.77897804122306</v>
      </c>
      <c r="DL319" s="3">
        <v>2.77897804122306</v>
      </c>
      <c r="DM319" s="3">
        <v>2.77897804122306</v>
      </c>
      <c r="DN319" s="3">
        <v>2.77897804122306</v>
      </c>
      <c r="DO319" s="3">
        <v>2.77897804122306</v>
      </c>
    </row>
    <row r="320" spans="1:119" x14ac:dyDescent="0.45">
      <c r="A320" s="16" t="s">
        <v>2094</v>
      </c>
      <c r="B320" s="3" t="s">
        <v>89</v>
      </c>
      <c r="C320" s="16" t="s">
        <v>2095</v>
      </c>
      <c r="H320" s="3" t="s">
        <v>2096</v>
      </c>
      <c r="I320" s="3" t="s">
        <v>860</v>
      </c>
      <c r="K320" s="17" t="s">
        <v>2097</v>
      </c>
      <c r="L320" s="3">
        <v>-11.890314571005851</v>
      </c>
      <c r="M320" s="3">
        <v>-10.45113125994237</v>
      </c>
      <c r="N320" s="3">
        <v>-9.7843771752072008</v>
      </c>
      <c r="O320" s="3">
        <v>-9.8234589586990282</v>
      </c>
      <c r="P320" s="3">
        <v>-10.02646431694005</v>
      </c>
      <c r="Q320" s="3">
        <v>-10.144474722289321</v>
      </c>
      <c r="R320" s="3">
        <v>-10.278832393910919</v>
      </c>
      <c r="S320" s="3">
        <v>-10.44447426208137</v>
      </c>
      <c r="T320" s="3">
        <v>-10.625083983762311</v>
      </c>
      <c r="U320" s="3">
        <v>-10.79734496032766</v>
      </c>
      <c r="V320" s="3">
        <v>-10.98694200825746</v>
      </c>
      <c r="W320" s="3">
        <v>-11.18395760481609</v>
      </c>
      <c r="X320" s="3">
        <v>-11.38866307936617</v>
      </c>
      <c r="Y320" s="3">
        <v>-11.60135636637532</v>
      </c>
      <c r="Z320" s="3">
        <v>-11.822323793699409</v>
      </c>
      <c r="AA320" s="3">
        <v>-12.051900968732969</v>
      </c>
      <c r="AB320" s="3">
        <v>-12.290371934149411</v>
      </c>
      <c r="AC320" s="3">
        <v>-12.53806214369043</v>
      </c>
      <c r="AD320" s="3">
        <v>-12.795308151384379</v>
      </c>
      <c r="AE320" s="3">
        <v>-13.04192252652782</v>
      </c>
      <c r="AG320" s="17" t="s">
        <v>2098</v>
      </c>
      <c r="AH320" s="3">
        <v>-11.890314571005851</v>
      </c>
      <c r="AI320" s="3">
        <v>-10.45113125994237</v>
      </c>
      <c r="AJ320" s="3">
        <v>-9.7843771752072008</v>
      </c>
      <c r="AK320" s="3">
        <v>-9.8234589586990282</v>
      </c>
      <c r="AL320" s="3">
        <v>-10.02646431694005</v>
      </c>
      <c r="AM320" s="3">
        <v>-10.144474722289321</v>
      </c>
      <c r="AN320" s="3">
        <v>-10.278832393910919</v>
      </c>
      <c r="AO320" s="3">
        <v>-10.44447426208137</v>
      </c>
      <c r="AP320" s="3">
        <v>-10.625083983762311</v>
      </c>
      <c r="AQ320" s="3">
        <v>-10.79734496032766</v>
      </c>
      <c r="AR320" s="3">
        <v>-10.98694200825746</v>
      </c>
      <c r="AS320" s="3">
        <v>-11.18395760481609</v>
      </c>
      <c r="AT320" s="3">
        <v>-11.38866307936617</v>
      </c>
      <c r="AU320" s="3">
        <v>-11.60135636637532</v>
      </c>
      <c r="AV320" s="3">
        <v>-11.822323793699409</v>
      </c>
      <c r="AW320" s="3">
        <v>-12.051900968732969</v>
      </c>
      <c r="AX320" s="3">
        <v>-12.290371934149411</v>
      </c>
      <c r="AY320" s="3">
        <v>-12.53806214369043</v>
      </c>
      <c r="AZ320" s="3">
        <v>-12.795308151384379</v>
      </c>
      <c r="BA320" s="3">
        <v>-13.04192252652782</v>
      </c>
      <c r="BC320" s="17" t="s">
        <v>2099</v>
      </c>
      <c r="BD320" s="3">
        <v>-11.890314571005851</v>
      </c>
      <c r="BE320" s="3">
        <v>-10.45113125994237</v>
      </c>
      <c r="BF320" s="3">
        <v>-9.7843771752072008</v>
      </c>
      <c r="BG320" s="3">
        <v>-9.8234589586990282</v>
      </c>
      <c r="BH320" s="3">
        <v>-10.02646431694005</v>
      </c>
      <c r="BI320" s="3">
        <v>-10.144474722289321</v>
      </c>
      <c r="BJ320" s="3">
        <v>-10.278832393910919</v>
      </c>
      <c r="BK320" s="3">
        <v>-10.44447426208137</v>
      </c>
      <c r="BL320" s="3">
        <v>-10.625083983762311</v>
      </c>
      <c r="BM320" s="3">
        <v>-10.79734496032766</v>
      </c>
      <c r="BN320" s="3">
        <v>-10.98694200825746</v>
      </c>
      <c r="BO320" s="3">
        <v>-11.18395760481609</v>
      </c>
      <c r="BP320" s="3">
        <v>-11.38866307936617</v>
      </c>
      <c r="BQ320" s="3">
        <v>-11.60135636637532</v>
      </c>
      <c r="BR320" s="3">
        <v>-11.822323793699409</v>
      </c>
      <c r="BS320" s="3">
        <v>-12.051900968732969</v>
      </c>
      <c r="BT320" s="3">
        <v>-12.290371934149411</v>
      </c>
      <c r="BU320" s="3">
        <v>-12.53806214369043</v>
      </c>
      <c r="BV320" s="3">
        <v>-12.795308151384379</v>
      </c>
      <c r="BW320" s="3">
        <v>-13.04192252652782</v>
      </c>
      <c r="BY320" s="17" t="s">
        <v>2100</v>
      </c>
      <c r="BZ320" s="3">
        <v>-11.890314571005851</v>
      </c>
      <c r="CA320" s="3">
        <v>-10.45113125994237</v>
      </c>
      <c r="CB320" s="3">
        <v>-9.7843771752072008</v>
      </c>
      <c r="CC320" s="3">
        <v>-9.8234589586990282</v>
      </c>
      <c r="CD320" s="3">
        <v>-10.02646431694005</v>
      </c>
      <c r="CE320" s="3">
        <v>-10.144474722289321</v>
      </c>
      <c r="CF320" s="3">
        <v>-10.278832393910919</v>
      </c>
      <c r="CG320" s="3">
        <v>-10.44447426208137</v>
      </c>
      <c r="CH320" s="3">
        <v>-10.625083983762311</v>
      </c>
      <c r="CI320" s="3">
        <v>-10.79734496032766</v>
      </c>
      <c r="CJ320" s="3">
        <v>-10.98694200825746</v>
      </c>
      <c r="CK320" s="3">
        <v>-11.18395760481609</v>
      </c>
      <c r="CL320" s="3">
        <v>-11.38866307936617</v>
      </c>
      <c r="CM320" s="3">
        <v>-11.60135636637532</v>
      </c>
      <c r="CN320" s="3">
        <v>-11.822323793699409</v>
      </c>
      <c r="CO320" s="3">
        <v>-12.051900968732969</v>
      </c>
      <c r="CP320" s="3">
        <v>-12.290371934149411</v>
      </c>
      <c r="CQ320" s="3">
        <v>-12.53806214369043</v>
      </c>
      <c r="CR320" s="3">
        <v>-12.795308151384379</v>
      </c>
      <c r="CS320" s="3">
        <v>-13.04192252652782</v>
      </c>
      <c r="CU320" s="17" t="s">
        <v>2101</v>
      </c>
      <c r="CV320" s="3">
        <v>-11.890314571005851</v>
      </c>
      <c r="CW320" s="3">
        <v>-10.45113125994237</v>
      </c>
      <c r="CX320" s="3">
        <v>-9.7843771752072008</v>
      </c>
      <c r="CY320" s="3">
        <v>-9.8234589586990282</v>
      </c>
      <c r="CZ320" s="3">
        <v>-10.02646431694005</v>
      </c>
      <c r="DA320" s="3">
        <v>-10.144474722289321</v>
      </c>
      <c r="DB320" s="3">
        <v>-10.278832393910919</v>
      </c>
      <c r="DC320" s="3">
        <v>-10.44447426208137</v>
      </c>
      <c r="DD320" s="3">
        <v>-10.625083983762311</v>
      </c>
      <c r="DE320" s="3">
        <v>-10.79734496032766</v>
      </c>
      <c r="DF320" s="3">
        <v>-10.98694200825746</v>
      </c>
      <c r="DG320" s="3">
        <v>-11.18395760481609</v>
      </c>
      <c r="DH320" s="3">
        <v>-11.38866307936617</v>
      </c>
      <c r="DI320" s="3">
        <v>-11.60135636637532</v>
      </c>
      <c r="DJ320" s="3">
        <v>-11.822323793699409</v>
      </c>
      <c r="DK320" s="3">
        <v>-12.051900968732969</v>
      </c>
      <c r="DL320" s="3">
        <v>-12.290371934149411</v>
      </c>
      <c r="DM320" s="3">
        <v>-12.53806214369043</v>
      </c>
      <c r="DN320" s="3">
        <v>-12.795308151384379</v>
      </c>
      <c r="DO320" s="3">
        <v>-13.04192252652782</v>
      </c>
    </row>
    <row r="321" spans="1:119" x14ac:dyDescent="0.45">
      <c r="A321" s="16" t="s">
        <v>1018</v>
      </c>
      <c r="B321" s="3" t="s">
        <v>89</v>
      </c>
      <c r="C321" s="16" t="s">
        <v>1019</v>
      </c>
      <c r="H321" s="3" t="s">
        <v>1020</v>
      </c>
      <c r="I321" s="3" t="s">
        <v>651</v>
      </c>
      <c r="K321" s="17" t="s">
        <v>1021</v>
      </c>
      <c r="L321" s="3">
        <v>-8.4481828247746282</v>
      </c>
      <c r="M321" s="3">
        <v>-6.8874835126506708</v>
      </c>
      <c r="N321" s="3">
        <v>-6.1132522836772738</v>
      </c>
      <c r="O321" s="3">
        <v>-6.1258112282741672</v>
      </c>
      <c r="P321" s="3">
        <v>-6.155642248575572</v>
      </c>
      <c r="Q321" s="3">
        <v>-6.1201124695156954</v>
      </c>
      <c r="R321" s="3">
        <v>-6.0783175430684446</v>
      </c>
      <c r="S321" s="3">
        <v>-6.0634296514171639</v>
      </c>
      <c r="T321" s="3">
        <v>-6.0592060897699698</v>
      </c>
      <c r="U321" s="3">
        <v>-6.0568126460465121</v>
      </c>
      <c r="V321" s="3">
        <v>-6.0568126460465121</v>
      </c>
      <c r="W321" s="3">
        <v>-6.0568126460465121</v>
      </c>
      <c r="X321" s="3">
        <v>-6.0568126460465121</v>
      </c>
      <c r="Y321" s="3">
        <v>-6.0568126460465121</v>
      </c>
      <c r="Z321" s="3">
        <v>-6.0568126460465121</v>
      </c>
      <c r="AA321" s="3">
        <v>-6.0568126460465121</v>
      </c>
      <c r="AB321" s="3">
        <v>-6.0568126460465121</v>
      </c>
      <c r="AC321" s="3">
        <v>-6.0568126460465121</v>
      </c>
      <c r="AD321" s="3">
        <v>-6.0568126460465121</v>
      </c>
      <c r="AE321" s="3">
        <v>-6.0568126460465121</v>
      </c>
      <c r="AG321" s="17" t="s">
        <v>1022</v>
      </c>
      <c r="AH321" s="3">
        <v>-8.4481828247746282</v>
      </c>
      <c r="AI321" s="3">
        <v>-6.8874835126506708</v>
      </c>
      <c r="AJ321" s="3">
        <v>-6.1132522836772738</v>
      </c>
      <c r="AK321" s="3">
        <v>-6.1258112282741672</v>
      </c>
      <c r="AL321" s="3">
        <v>-6.155642248575572</v>
      </c>
      <c r="AM321" s="3">
        <v>-6.1201124695156954</v>
      </c>
      <c r="AN321" s="3">
        <v>-6.0783175430684446</v>
      </c>
      <c r="AO321" s="3">
        <v>-6.0634296514171639</v>
      </c>
      <c r="AP321" s="3">
        <v>-6.0592060897699698</v>
      </c>
      <c r="AQ321" s="3">
        <v>-6.0568126460465121</v>
      </c>
      <c r="AR321" s="3">
        <v>-6.0568126460465121</v>
      </c>
      <c r="AS321" s="3">
        <v>-6.0568126460465121</v>
      </c>
      <c r="AT321" s="3">
        <v>-6.0568126460465121</v>
      </c>
      <c r="AU321" s="3">
        <v>-6.0568126460465121</v>
      </c>
      <c r="AV321" s="3">
        <v>-6.0568126460465121</v>
      </c>
      <c r="AW321" s="3">
        <v>-6.0568126460465121</v>
      </c>
      <c r="AX321" s="3">
        <v>-6.0568126460465121</v>
      </c>
      <c r="AY321" s="3">
        <v>-6.0568126460465121</v>
      </c>
      <c r="AZ321" s="3">
        <v>-6.0568126460465121</v>
      </c>
      <c r="BA321" s="3">
        <v>-6.0568126460465121</v>
      </c>
      <c r="BC321" s="17" t="s">
        <v>1023</v>
      </c>
      <c r="BD321" s="3">
        <v>-8.4481828247746282</v>
      </c>
      <c r="BE321" s="3">
        <v>-6.8874835126506708</v>
      </c>
      <c r="BF321" s="3">
        <v>-6.1132522836772738</v>
      </c>
      <c r="BG321" s="3">
        <v>-6.1258112282741672</v>
      </c>
      <c r="BH321" s="3">
        <v>-6.155642248575572</v>
      </c>
      <c r="BI321" s="3">
        <v>-6.1201124695156954</v>
      </c>
      <c r="BJ321" s="3">
        <v>-6.0783175430684446</v>
      </c>
      <c r="BK321" s="3">
        <v>-6.0634296514171639</v>
      </c>
      <c r="BL321" s="3">
        <v>-6.0592060897699698</v>
      </c>
      <c r="BM321" s="3">
        <v>-6.0568126460465121</v>
      </c>
      <c r="BN321" s="3">
        <v>-6.0568126460465121</v>
      </c>
      <c r="BO321" s="3">
        <v>-6.0568126460465121</v>
      </c>
      <c r="BP321" s="3">
        <v>-6.0568126460465121</v>
      </c>
      <c r="BQ321" s="3">
        <v>-6.0568126460465121</v>
      </c>
      <c r="BR321" s="3">
        <v>-6.0568126460465121</v>
      </c>
      <c r="BS321" s="3">
        <v>-6.0568126460465121</v>
      </c>
      <c r="BT321" s="3">
        <v>-6.0568126460465121</v>
      </c>
      <c r="BU321" s="3">
        <v>-6.0568126460465121</v>
      </c>
      <c r="BV321" s="3">
        <v>-6.0568126460465121</v>
      </c>
      <c r="BW321" s="3">
        <v>-6.0568126460465121</v>
      </c>
      <c r="BY321" s="17" t="s">
        <v>1024</v>
      </c>
      <c r="BZ321" s="3">
        <v>-8.4481828247746282</v>
      </c>
      <c r="CA321" s="3">
        <v>-6.8874835126506708</v>
      </c>
      <c r="CB321" s="3">
        <v>-6.1132522836772738</v>
      </c>
      <c r="CC321" s="3">
        <v>-6.1258112282741672</v>
      </c>
      <c r="CD321" s="3">
        <v>-6.155642248575572</v>
      </c>
      <c r="CE321" s="3">
        <v>-6.1201124695156954</v>
      </c>
      <c r="CF321" s="3">
        <v>-6.0783175430684446</v>
      </c>
      <c r="CG321" s="3">
        <v>-6.0634296514171639</v>
      </c>
      <c r="CH321" s="3">
        <v>-6.0592060897699698</v>
      </c>
      <c r="CI321" s="3">
        <v>-6.0568126460465121</v>
      </c>
      <c r="CJ321" s="3">
        <v>-6.0568126460465121</v>
      </c>
      <c r="CK321" s="3">
        <v>-6.0568126460465121</v>
      </c>
      <c r="CL321" s="3">
        <v>-6.0568126460465121</v>
      </c>
      <c r="CM321" s="3">
        <v>-6.0568126460465121</v>
      </c>
      <c r="CN321" s="3">
        <v>-6.0568126460465121</v>
      </c>
      <c r="CO321" s="3">
        <v>-6.0568126460465121</v>
      </c>
      <c r="CP321" s="3">
        <v>-6.0568126460465121</v>
      </c>
      <c r="CQ321" s="3">
        <v>-6.0568126460465121</v>
      </c>
      <c r="CR321" s="3">
        <v>-6.0568126460465121</v>
      </c>
      <c r="CS321" s="3">
        <v>-6.0568126460465121</v>
      </c>
      <c r="CU321" s="17" t="s">
        <v>1025</v>
      </c>
      <c r="CV321" s="3">
        <v>-8.4481828247746282</v>
      </c>
      <c r="CW321" s="3">
        <v>-6.8874835126506708</v>
      </c>
      <c r="CX321" s="3">
        <v>-6.1132522836772738</v>
      </c>
      <c r="CY321" s="3">
        <v>-6.1258112282741672</v>
      </c>
      <c r="CZ321" s="3">
        <v>-6.155642248575572</v>
      </c>
      <c r="DA321" s="3">
        <v>-6.1201124695156954</v>
      </c>
      <c r="DB321" s="3">
        <v>-6.0783175430684446</v>
      </c>
      <c r="DC321" s="3">
        <v>-6.0634296514171639</v>
      </c>
      <c r="DD321" s="3">
        <v>-6.0592060897699698</v>
      </c>
      <c r="DE321" s="3">
        <v>-6.0568126460465121</v>
      </c>
      <c r="DF321" s="3">
        <v>-6.0568126460465121</v>
      </c>
      <c r="DG321" s="3">
        <v>-6.0568126460465121</v>
      </c>
      <c r="DH321" s="3">
        <v>-6.0568126460465121</v>
      </c>
      <c r="DI321" s="3">
        <v>-6.0568126460465121</v>
      </c>
      <c r="DJ321" s="3">
        <v>-6.0568126460465121</v>
      </c>
      <c r="DK321" s="3">
        <v>-6.0568126460465121</v>
      </c>
      <c r="DL321" s="3">
        <v>-6.0568126460465121</v>
      </c>
      <c r="DM321" s="3">
        <v>-6.0568126460465121</v>
      </c>
      <c r="DN321" s="3">
        <v>-6.0568126460465121</v>
      </c>
      <c r="DO321" s="3">
        <v>-6.0568126460465121</v>
      </c>
    </row>
    <row r="322" spans="1:119" x14ac:dyDescent="0.45">
      <c r="A322" s="16" t="s">
        <v>2102</v>
      </c>
      <c r="B322" s="3" t="s">
        <v>89</v>
      </c>
      <c r="C322" s="16" t="s">
        <v>2103</v>
      </c>
      <c r="H322" s="3" t="s">
        <v>2104</v>
      </c>
      <c r="I322" s="3" t="s">
        <v>109</v>
      </c>
      <c r="K322" s="17" t="s">
        <v>2105</v>
      </c>
      <c r="L322" s="3">
        <v>-151.40112589201851</v>
      </c>
      <c r="M322" s="3">
        <v>-123.43160416936691</v>
      </c>
      <c r="N322" s="3">
        <v>-109.5564925390192</v>
      </c>
      <c r="O322" s="3">
        <v>-109.7815632307199</v>
      </c>
      <c r="P322" s="3">
        <v>-110.31616932931129</v>
      </c>
      <c r="Q322" s="3">
        <v>-109.6794349375573</v>
      </c>
      <c r="R322" s="3">
        <v>-108.93042191878931</v>
      </c>
      <c r="S322" s="3">
        <v>-108.6636138246804</v>
      </c>
      <c r="T322" s="3">
        <v>-108.5879227557342</v>
      </c>
      <c r="U322" s="3">
        <v>-108.54502949904141</v>
      </c>
      <c r="V322" s="3">
        <v>-108.54502949904141</v>
      </c>
      <c r="W322" s="3">
        <v>-108.54502949904141</v>
      </c>
      <c r="X322" s="3">
        <v>-108.54502949904141</v>
      </c>
      <c r="Y322" s="3">
        <v>-108.54502949904141</v>
      </c>
      <c r="Z322" s="3">
        <v>-108.54502949904141</v>
      </c>
      <c r="AA322" s="3">
        <v>-108.54502949904141</v>
      </c>
      <c r="AB322" s="3">
        <v>-108.54502949904141</v>
      </c>
      <c r="AC322" s="3">
        <v>-108.54502949904141</v>
      </c>
      <c r="AD322" s="3">
        <v>-108.5450294990415</v>
      </c>
      <c r="AE322" s="3">
        <v>-108.54502949904141</v>
      </c>
      <c r="AG322" s="17" t="s">
        <v>2106</v>
      </c>
      <c r="AH322" s="3">
        <v>-151.40112589201851</v>
      </c>
      <c r="AI322" s="3">
        <v>-123.43160416936691</v>
      </c>
      <c r="AJ322" s="3">
        <v>-109.5564925390192</v>
      </c>
      <c r="AK322" s="3">
        <v>-109.7815632307199</v>
      </c>
      <c r="AL322" s="3">
        <v>-110.31616932931129</v>
      </c>
      <c r="AM322" s="3">
        <v>-109.6794349375573</v>
      </c>
      <c r="AN322" s="3">
        <v>-108.93042191878931</v>
      </c>
      <c r="AO322" s="3">
        <v>-108.6636138246804</v>
      </c>
      <c r="AP322" s="3">
        <v>-108.5879227557342</v>
      </c>
      <c r="AQ322" s="3">
        <v>-108.54502949904141</v>
      </c>
      <c r="AR322" s="3">
        <v>-108.54502949904141</v>
      </c>
      <c r="AS322" s="3">
        <v>-108.54502949904141</v>
      </c>
      <c r="AT322" s="3">
        <v>-108.54502949904141</v>
      </c>
      <c r="AU322" s="3">
        <v>-108.54502949904141</v>
      </c>
      <c r="AV322" s="3">
        <v>-108.54502949904141</v>
      </c>
      <c r="AW322" s="3">
        <v>-108.54502949904141</v>
      </c>
      <c r="AX322" s="3">
        <v>-108.54502949904141</v>
      </c>
      <c r="AY322" s="3">
        <v>-108.54502949904141</v>
      </c>
      <c r="AZ322" s="3">
        <v>-108.5450294990415</v>
      </c>
      <c r="BA322" s="3">
        <v>-108.54502949904141</v>
      </c>
      <c r="BC322" s="17" t="s">
        <v>2107</v>
      </c>
      <c r="BD322" s="3">
        <v>-151.40112589201851</v>
      </c>
      <c r="BE322" s="3">
        <v>-123.43160416936691</v>
      </c>
      <c r="BF322" s="3">
        <v>-109.5564925390192</v>
      </c>
      <c r="BG322" s="3">
        <v>-109.7815632307199</v>
      </c>
      <c r="BH322" s="3">
        <v>-110.31616932931129</v>
      </c>
      <c r="BI322" s="3">
        <v>-109.6794349375573</v>
      </c>
      <c r="BJ322" s="3">
        <v>-108.93042191878931</v>
      </c>
      <c r="BK322" s="3">
        <v>-108.6636138246804</v>
      </c>
      <c r="BL322" s="3">
        <v>-108.5879227557342</v>
      </c>
      <c r="BM322" s="3">
        <v>-108.54502949904141</v>
      </c>
      <c r="BN322" s="3">
        <v>-108.54502949904141</v>
      </c>
      <c r="BO322" s="3">
        <v>-108.54502949904141</v>
      </c>
      <c r="BP322" s="3">
        <v>-108.54502949904141</v>
      </c>
      <c r="BQ322" s="3">
        <v>-108.54502949904141</v>
      </c>
      <c r="BR322" s="3">
        <v>-108.54502949904141</v>
      </c>
      <c r="BS322" s="3">
        <v>-108.54502949904141</v>
      </c>
      <c r="BT322" s="3">
        <v>-108.54502949904141</v>
      </c>
      <c r="BU322" s="3">
        <v>-108.54502949904141</v>
      </c>
      <c r="BV322" s="3">
        <v>-108.5450294990415</v>
      </c>
      <c r="BW322" s="3">
        <v>-108.54502949904141</v>
      </c>
      <c r="BY322" s="17" t="s">
        <v>2108</v>
      </c>
      <c r="BZ322" s="3">
        <v>-151.40112589201851</v>
      </c>
      <c r="CA322" s="3">
        <v>-123.43160416936691</v>
      </c>
      <c r="CB322" s="3">
        <v>-109.5564925390192</v>
      </c>
      <c r="CC322" s="3">
        <v>-109.7815632307199</v>
      </c>
      <c r="CD322" s="3">
        <v>-110.31616932931129</v>
      </c>
      <c r="CE322" s="3">
        <v>-109.6794349375573</v>
      </c>
      <c r="CF322" s="3">
        <v>-108.93042191878931</v>
      </c>
      <c r="CG322" s="3">
        <v>-108.6636138246804</v>
      </c>
      <c r="CH322" s="3">
        <v>-108.5879227557342</v>
      </c>
      <c r="CI322" s="3">
        <v>-108.54502949904141</v>
      </c>
      <c r="CJ322" s="3">
        <v>-108.54502949904141</v>
      </c>
      <c r="CK322" s="3">
        <v>-108.54502949904141</v>
      </c>
      <c r="CL322" s="3">
        <v>-108.54502949904141</v>
      </c>
      <c r="CM322" s="3">
        <v>-108.54502949904141</v>
      </c>
      <c r="CN322" s="3">
        <v>-108.54502949904141</v>
      </c>
      <c r="CO322" s="3">
        <v>-108.54502949904141</v>
      </c>
      <c r="CP322" s="3">
        <v>-108.54502949904141</v>
      </c>
      <c r="CQ322" s="3">
        <v>-108.54502949904141</v>
      </c>
      <c r="CR322" s="3">
        <v>-108.5450294990415</v>
      </c>
      <c r="CS322" s="3">
        <v>-108.54502949904141</v>
      </c>
      <c r="CU322" s="17" t="s">
        <v>2109</v>
      </c>
      <c r="CV322" s="3">
        <v>-151.40112589201851</v>
      </c>
      <c r="CW322" s="3">
        <v>-123.43160416936691</v>
      </c>
      <c r="CX322" s="3">
        <v>-109.5564925390192</v>
      </c>
      <c r="CY322" s="3">
        <v>-109.7815632307199</v>
      </c>
      <c r="CZ322" s="3">
        <v>-110.31616932931129</v>
      </c>
      <c r="DA322" s="3">
        <v>-109.6794349375573</v>
      </c>
      <c r="DB322" s="3">
        <v>-108.93042191878931</v>
      </c>
      <c r="DC322" s="3">
        <v>-108.6636138246804</v>
      </c>
      <c r="DD322" s="3">
        <v>-108.5879227557342</v>
      </c>
      <c r="DE322" s="3">
        <v>-108.54502949904141</v>
      </c>
      <c r="DF322" s="3">
        <v>-108.54502949904141</v>
      </c>
      <c r="DG322" s="3">
        <v>-108.54502949904141</v>
      </c>
      <c r="DH322" s="3">
        <v>-108.54502949904141</v>
      </c>
      <c r="DI322" s="3">
        <v>-108.54502949904141</v>
      </c>
      <c r="DJ322" s="3">
        <v>-108.54502949904141</v>
      </c>
      <c r="DK322" s="3">
        <v>-108.54502949904141</v>
      </c>
      <c r="DL322" s="3">
        <v>-108.54502949904141</v>
      </c>
      <c r="DM322" s="3">
        <v>-108.54502949904141</v>
      </c>
      <c r="DN322" s="3">
        <v>-108.5450294990415</v>
      </c>
      <c r="DO322" s="3">
        <v>-108.54502949904141</v>
      </c>
    </row>
    <row r="323" spans="1:119" x14ac:dyDescent="0.45">
      <c r="A323" s="16" t="s">
        <v>2110</v>
      </c>
      <c r="B323" s="3" t="s">
        <v>89</v>
      </c>
      <c r="C323" s="16" t="s">
        <v>2111</v>
      </c>
      <c r="H323" s="3" t="s">
        <v>2112</v>
      </c>
      <c r="I323" s="3" t="s">
        <v>860</v>
      </c>
      <c r="K323" s="17" t="s">
        <v>2113</v>
      </c>
      <c r="L323" s="3">
        <v>3.4421317462312189</v>
      </c>
      <c r="M323" s="3">
        <v>3.5636477472916979</v>
      </c>
      <c r="N323" s="3">
        <v>3.6711248915299279</v>
      </c>
      <c r="O323" s="3">
        <v>3.6976477304248618</v>
      </c>
      <c r="P323" s="3">
        <v>3.870822068364479</v>
      </c>
      <c r="Q323" s="3">
        <v>4.0243622527736278</v>
      </c>
      <c r="R323" s="3">
        <v>4.200514850842481</v>
      </c>
      <c r="S323" s="3">
        <v>4.3810446106642118</v>
      </c>
      <c r="T323" s="3">
        <v>4.5658778939923366</v>
      </c>
      <c r="U323" s="3">
        <v>4.7405323142811477</v>
      </c>
      <c r="V323" s="3">
        <v>4.9301293622109439</v>
      </c>
      <c r="W323" s="3">
        <v>5.1271449587695743</v>
      </c>
      <c r="X323" s="3">
        <v>5.3318504333196577</v>
      </c>
      <c r="Y323" s="3">
        <v>5.5445437203288073</v>
      </c>
      <c r="Z323" s="3">
        <v>5.7655111476529024</v>
      </c>
      <c r="AA323" s="3">
        <v>5.9950883226864526</v>
      </c>
      <c r="AB323" s="3">
        <v>6.2335592881028994</v>
      </c>
      <c r="AC323" s="3">
        <v>6.4812494976439163</v>
      </c>
      <c r="AD323" s="3">
        <v>6.7384955053378652</v>
      </c>
      <c r="AE323" s="3">
        <v>6.985109880481307</v>
      </c>
      <c r="AG323" s="17" t="s">
        <v>2114</v>
      </c>
      <c r="AH323" s="3">
        <v>3.4421317462312189</v>
      </c>
      <c r="AI323" s="3">
        <v>3.5636477472916979</v>
      </c>
      <c r="AJ323" s="3">
        <v>3.6711248915299279</v>
      </c>
      <c r="AK323" s="3">
        <v>3.6976477304248618</v>
      </c>
      <c r="AL323" s="3">
        <v>3.870822068364479</v>
      </c>
      <c r="AM323" s="3">
        <v>4.0243622527736278</v>
      </c>
      <c r="AN323" s="3">
        <v>4.200514850842481</v>
      </c>
      <c r="AO323" s="3">
        <v>4.3810446106642118</v>
      </c>
      <c r="AP323" s="3">
        <v>4.5658778939923366</v>
      </c>
      <c r="AQ323" s="3">
        <v>4.7405323142811477</v>
      </c>
      <c r="AR323" s="3">
        <v>4.9301293622109439</v>
      </c>
      <c r="AS323" s="3">
        <v>5.1271449587695743</v>
      </c>
      <c r="AT323" s="3">
        <v>5.3318504333196577</v>
      </c>
      <c r="AU323" s="3">
        <v>5.5445437203288073</v>
      </c>
      <c r="AV323" s="3">
        <v>5.7655111476529024</v>
      </c>
      <c r="AW323" s="3">
        <v>5.9950883226864526</v>
      </c>
      <c r="AX323" s="3">
        <v>6.2335592881028994</v>
      </c>
      <c r="AY323" s="3">
        <v>6.4812494976439163</v>
      </c>
      <c r="AZ323" s="3">
        <v>6.7384955053378652</v>
      </c>
      <c r="BA323" s="3">
        <v>6.985109880481307</v>
      </c>
      <c r="BC323" s="17" t="s">
        <v>2115</v>
      </c>
      <c r="BD323" s="3">
        <v>3.4421317462312189</v>
      </c>
      <c r="BE323" s="3">
        <v>3.5636477472916979</v>
      </c>
      <c r="BF323" s="3">
        <v>3.6711248915299279</v>
      </c>
      <c r="BG323" s="3">
        <v>3.6976477304248618</v>
      </c>
      <c r="BH323" s="3">
        <v>3.870822068364479</v>
      </c>
      <c r="BI323" s="3">
        <v>4.0243622527736278</v>
      </c>
      <c r="BJ323" s="3">
        <v>4.200514850842481</v>
      </c>
      <c r="BK323" s="3">
        <v>4.3810446106642118</v>
      </c>
      <c r="BL323" s="3">
        <v>4.5658778939923366</v>
      </c>
      <c r="BM323" s="3">
        <v>4.7405323142811477</v>
      </c>
      <c r="BN323" s="3">
        <v>4.9301293622109439</v>
      </c>
      <c r="BO323" s="3">
        <v>5.1271449587695743</v>
      </c>
      <c r="BP323" s="3">
        <v>5.3318504333196577</v>
      </c>
      <c r="BQ323" s="3">
        <v>5.5445437203288073</v>
      </c>
      <c r="BR323" s="3">
        <v>5.7655111476529024</v>
      </c>
      <c r="BS323" s="3">
        <v>5.9950883226864526</v>
      </c>
      <c r="BT323" s="3">
        <v>6.2335592881028994</v>
      </c>
      <c r="BU323" s="3">
        <v>6.4812494976439163</v>
      </c>
      <c r="BV323" s="3">
        <v>6.7384955053378652</v>
      </c>
      <c r="BW323" s="3">
        <v>6.985109880481307</v>
      </c>
      <c r="BY323" s="17" t="s">
        <v>2116</v>
      </c>
      <c r="BZ323" s="3">
        <v>3.4421317462312189</v>
      </c>
      <c r="CA323" s="3">
        <v>3.5636477472916979</v>
      </c>
      <c r="CB323" s="3">
        <v>3.6711248915299279</v>
      </c>
      <c r="CC323" s="3">
        <v>3.6976477304248618</v>
      </c>
      <c r="CD323" s="3">
        <v>3.870822068364479</v>
      </c>
      <c r="CE323" s="3">
        <v>4.0243622527736278</v>
      </c>
      <c r="CF323" s="3">
        <v>4.200514850842481</v>
      </c>
      <c r="CG323" s="3">
        <v>4.3810446106642118</v>
      </c>
      <c r="CH323" s="3">
        <v>4.5658778939923366</v>
      </c>
      <c r="CI323" s="3">
        <v>4.7405323142811477</v>
      </c>
      <c r="CJ323" s="3">
        <v>4.9301293622109439</v>
      </c>
      <c r="CK323" s="3">
        <v>5.1271449587695743</v>
      </c>
      <c r="CL323" s="3">
        <v>5.3318504333196577</v>
      </c>
      <c r="CM323" s="3">
        <v>5.5445437203288073</v>
      </c>
      <c r="CN323" s="3">
        <v>5.7655111476529024</v>
      </c>
      <c r="CO323" s="3">
        <v>5.9950883226864526</v>
      </c>
      <c r="CP323" s="3">
        <v>6.2335592881028994</v>
      </c>
      <c r="CQ323" s="3">
        <v>6.4812494976439163</v>
      </c>
      <c r="CR323" s="3">
        <v>6.7384955053378652</v>
      </c>
      <c r="CS323" s="3">
        <v>6.985109880481307</v>
      </c>
      <c r="CU323" s="17" t="s">
        <v>2117</v>
      </c>
      <c r="CV323" s="3">
        <v>3.4421317462312189</v>
      </c>
      <c r="CW323" s="3">
        <v>3.5636477472916979</v>
      </c>
      <c r="CX323" s="3">
        <v>3.6711248915299279</v>
      </c>
      <c r="CY323" s="3">
        <v>3.6976477304248618</v>
      </c>
      <c r="CZ323" s="3">
        <v>3.870822068364479</v>
      </c>
      <c r="DA323" s="3">
        <v>4.0243622527736278</v>
      </c>
      <c r="DB323" s="3">
        <v>4.200514850842481</v>
      </c>
      <c r="DC323" s="3">
        <v>4.3810446106642118</v>
      </c>
      <c r="DD323" s="3">
        <v>4.5658778939923366</v>
      </c>
      <c r="DE323" s="3">
        <v>4.7405323142811477</v>
      </c>
      <c r="DF323" s="3">
        <v>4.9301293622109439</v>
      </c>
      <c r="DG323" s="3">
        <v>5.1271449587695743</v>
      </c>
      <c r="DH323" s="3">
        <v>5.3318504333196577</v>
      </c>
      <c r="DI323" s="3">
        <v>5.5445437203288073</v>
      </c>
      <c r="DJ323" s="3">
        <v>5.7655111476529024</v>
      </c>
      <c r="DK323" s="3">
        <v>5.9950883226864526</v>
      </c>
      <c r="DL323" s="3">
        <v>6.2335592881028994</v>
      </c>
      <c r="DM323" s="3">
        <v>6.4812494976439163</v>
      </c>
      <c r="DN323" s="3">
        <v>6.7384955053378652</v>
      </c>
      <c r="DO323" s="3">
        <v>6.985109880481307</v>
      </c>
    </row>
    <row r="324" spans="1:119" x14ac:dyDescent="0.45">
      <c r="A324" s="16" t="s">
        <v>2118</v>
      </c>
      <c r="B324" s="3" t="s">
        <v>89</v>
      </c>
      <c r="C324" s="16" t="s">
        <v>2119</v>
      </c>
      <c r="H324" s="3" t="s">
        <v>2120</v>
      </c>
      <c r="I324" s="3" t="s">
        <v>109</v>
      </c>
      <c r="K324" s="17" t="s">
        <v>2121</v>
      </c>
      <c r="L324" s="3">
        <v>61.686948857190323</v>
      </c>
      <c r="M324" s="3">
        <v>63.864654969385271</v>
      </c>
      <c r="N324" s="3">
        <v>65.790768665410909</v>
      </c>
      <c r="O324" s="3">
        <v>66.266088358868487</v>
      </c>
      <c r="P324" s="3">
        <v>69.369571117643005</v>
      </c>
      <c r="Q324" s="3">
        <v>72.121187325692262</v>
      </c>
      <c r="R324" s="3">
        <v>75.278043921908278</v>
      </c>
      <c r="S324" s="3">
        <v>78.513344277136426</v>
      </c>
      <c r="T324" s="3">
        <v>81.825768709540114</v>
      </c>
      <c r="U324" s="3">
        <v>84.955776241597633</v>
      </c>
      <c r="V324" s="3">
        <v>88.353572799479281</v>
      </c>
      <c r="W324" s="3">
        <v>91.884318257519269</v>
      </c>
      <c r="X324" s="3">
        <v>95.552875149097801</v>
      </c>
      <c r="Y324" s="3">
        <v>99.364582801591524</v>
      </c>
      <c r="Z324" s="3">
        <v>103.3245725385825</v>
      </c>
      <c r="AA324" s="3">
        <v>107.4388588295063</v>
      </c>
      <c r="AB324" s="3">
        <v>111.7125320448548</v>
      </c>
      <c r="AC324" s="3">
        <v>116.1514246889591</v>
      </c>
      <c r="AD324" s="3">
        <v>120.7615681960191</v>
      </c>
      <c r="AE324" s="3">
        <v>125.1811806537869</v>
      </c>
      <c r="AG324" s="17" t="s">
        <v>2122</v>
      </c>
      <c r="AH324" s="3">
        <v>61.686948857190323</v>
      </c>
      <c r="AI324" s="3">
        <v>63.864654969385271</v>
      </c>
      <c r="AJ324" s="3">
        <v>65.790768665410909</v>
      </c>
      <c r="AK324" s="3">
        <v>66.266088358868487</v>
      </c>
      <c r="AL324" s="3">
        <v>69.369571117643005</v>
      </c>
      <c r="AM324" s="3">
        <v>72.121187325692262</v>
      </c>
      <c r="AN324" s="3">
        <v>75.278043921908278</v>
      </c>
      <c r="AO324" s="3">
        <v>78.513344277136426</v>
      </c>
      <c r="AP324" s="3">
        <v>81.825768709540114</v>
      </c>
      <c r="AQ324" s="3">
        <v>84.955776241597633</v>
      </c>
      <c r="AR324" s="3">
        <v>88.353572799479281</v>
      </c>
      <c r="AS324" s="3">
        <v>91.884318257519269</v>
      </c>
      <c r="AT324" s="3">
        <v>95.552875149097801</v>
      </c>
      <c r="AU324" s="3">
        <v>99.364582801591524</v>
      </c>
      <c r="AV324" s="3">
        <v>103.3245725385825</v>
      </c>
      <c r="AW324" s="3">
        <v>107.4388588295063</v>
      </c>
      <c r="AX324" s="3">
        <v>111.7125320448548</v>
      </c>
      <c r="AY324" s="3">
        <v>116.1514246889591</v>
      </c>
      <c r="AZ324" s="3">
        <v>120.7615681960191</v>
      </c>
      <c r="BA324" s="3">
        <v>125.1811806537869</v>
      </c>
      <c r="BC324" s="17" t="s">
        <v>2123</v>
      </c>
      <c r="BD324" s="3">
        <v>61.686948857190323</v>
      </c>
      <c r="BE324" s="3">
        <v>63.864654969385271</v>
      </c>
      <c r="BF324" s="3">
        <v>65.790768665410909</v>
      </c>
      <c r="BG324" s="3">
        <v>66.266088358868487</v>
      </c>
      <c r="BH324" s="3">
        <v>69.369571117643005</v>
      </c>
      <c r="BI324" s="3">
        <v>72.121187325692262</v>
      </c>
      <c r="BJ324" s="3">
        <v>75.278043921908278</v>
      </c>
      <c r="BK324" s="3">
        <v>78.513344277136426</v>
      </c>
      <c r="BL324" s="3">
        <v>81.825768709540114</v>
      </c>
      <c r="BM324" s="3">
        <v>84.955776241597633</v>
      </c>
      <c r="BN324" s="3">
        <v>88.353572799479281</v>
      </c>
      <c r="BO324" s="3">
        <v>91.884318257519269</v>
      </c>
      <c r="BP324" s="3">
        <v>95.552875149097801</v>
      </c>
      <c r="BQ324" s="3">
        <v>99.364582801591524</v>
      </c>
      <c r="BR324" s="3">
        <v>103.3245725385825</v>
      </c>
      <c r="BS324" s="3">
        <v>107.4388588295063</v>
      </c>
      <c r="BT324" s="3">
        <v>111.7125320448548</v>
      </c>
      <c r="BU324" s="3">
        <v>116.1514246889591</v>
      </c>
      <c r="BV324" s="3">
        <v>120.7615681960191</v>
      </c>
      <c r="BW324" s="3">
        <v>125.1811806537869</v>
      </c>
      <c r="BY324" s="17" t="s">
        <v>2124</v>
      </c>
      <c r="BZ324" s="3">
        <v>61.686948857190323</v>
      </c>
      <c r="CA324" s="3">
        <v>63.864654969385271</v>
      </c>
      <c r="CB324" s="3">
        <v>65.790768665410909</v>
      </c>
      <c r="CC324" s="3">
        <v>66.266088358868487</v>
      </c>
      <c r="CD324" s="3">
        <v>69.369571117643005</v>
      </c>
      <c r="CE324" s="3">
        <v>72.121187325692262</v>
      </c>
      <c r="CF324" s="3">
        <v>75.278043921908278</v>
      </c>
      <c r="CG324" s="3">
        <v>78.513344277136426</v>
      </c>
      <c r="CH324" s="3">
        <v>81.825768709540114</v>
      </c>
      <c r="CI324" s="3">
        <v>84.955776241597633</v>
      </c>
      <c r="CJ324" s="3">
        <v>88.353572799479281</v>
      </c>
      <c r="CK324" s="3">
        <v>91.884318257519269</v>
      </c>
      <c r="CL324" s="3">
        <v>95.552875149097801</v>
      </c>
      <c r="CM324" s="3">
        <v>99.364582801591524</v>
      </c>
      <c r="CN324" s="3">
        <v>103.3245725385825</v>
      </c>
      <c r="CO324" s="3">
        <v>107.4388588295063</v>
      </c>
      <c r="CP324" s="3">
        <v>111.7125320448548</v>
      </c>
      <c r="CQ324" s="3">
        <v>116.1514246889591</v>
      </c>
      <c r="CR324" s="3">
        <v>120.7615681960191</v>
      </c>
      <c r="CS324" s="3">
        <v>125.1811806537869</v>
      </c>
      <c r="CU324" s="17" t="s">
        <v>2125</v>
      </c>
      <c r="CV324" s="3">
        <v>61.686948857190323</v>
      </c>
      <c r="CW324" s="3">
        <v>63.864654969385271</v>
      </c>
      <c r="CX324" s="3">
        <v>65.790768665410909</v>
      </c>
      <c r="CY324" s="3">
        <v>66.266088358868487</v>
      </c>
      <c r="CZ324" s="3">
        <v>69.369571117643005</v>
      </c>
      <c r="DA324" s="3">
        <v>72.121187325692262</v>
      </c>
      <c r="DB324" s="3">
        <v>75.278043921908278</v>
      </c>
      <c r="DC324" s="3">
        <v>78.513344277136426</v>
      </c>
      <c r="DD324" s="3">
        <v>81.825768709540114</v>
      </c>
      <c r="DE324" s="3">
        <v>84.955776241597633</v>
      </c>
      <c r="DF324" s="3">
        <v>88.353572799479281</v>
      </c>
      <c r="DG324" s="3">
        <v>91.884318257519269</v>
      </c>
      <c r="DH324" s="3">
        <v>95.552875149097801</v>
      </c>
      <c r="DI324" s="3">
        <v>99.364582801591524</v>
      </c>
      <c r="DJ324" s="3">
        <v>103.3245725385825</v>
      </c>
      <c r="DK324" s="3">
        <v>107.4388588295063</v>
      </c>
      <c r="DL324" s="3">
        <v>111.7125320448548</v>
      </c>
      <c r="DM324" s="3">
        <v>116.1514246889591</v>
      </c>
      <c r="DN324" s="3">
        <v>120.7615681960191</v>
      </c>
      <c r="DO324" s="3">
        <v>125.1811806537869</v>
      </c>
    </row>
    <row r="325" spans="1:119" x14ac:dyDescent="0.45">
      <c r="A325" s="16" t="s">
        <v>2126</v>
      </c>
      <c r="B325" s="3" t="s">
        <v>89</v>
      </c>
      <c r="C325" s="16" t="s">
        <v>2127</v>
      </c>
      <c r="H325" s="3" t="s">
        <v>2128</v>
      </c>
      <c r="I325" s="3" t="s">
        <v>860</v>
      </c>
      <c r="K325" s="17" t="s">
        <v>2129</v>
      </c>
      <c r="L325" s="3">
        <v>6.9938336359057995E-2</v>
      </c>
      <c r="M325" s="3">
        <v>7.0978749587745707E-2</v>
      </c>
      <c r="N325" s="3">
        <v>0.1137617628043682</v>
      </c>
      <c r="O325" s="3">
        <v>0.1105333402242985</v>
      </c>
      <c r="P325" s="3">
        <v>0.1114423307551036</v>
      </c>
      <c r="Q325" s="3">
        <v>0.1124359859865048</v>
      </c>
      <c r="R325" s="3">
        <v>0.1134370235512334</v>
      </c>
      <c r="S325" s="3">
        <v>0.1150689758993866</v>
      </c>
      <c r="T325" s="3">
        <v>0.1166128381854904</v>
      </c>
      <c r="U325" s="3">
        <v>0.11706708155493489</v>
      </c>
      <c r="V325" s="3">
        <v>0.1156986318761495</v>
      </c>
      <c r="W325" s="3">
        <v>0.11434803886222809</v>
      </c>
      <c r="X325" s="3">
        <v>0.11294527884429099</v>
      </c>
      <c r="Y325" s="3">
        <v>0.1116404471636387</v>
      </c>
      <c r="Z325" s="3">
        <v>0.1104200754219354</v>
      </c>
      <c r="AA325" s="3">
        <v>0.1092805121236627</v>
      </c>
      <c r="AB325" s="3">
        <v>0.1082128075950371</v>
      </c>
      <c r="AC325" s="3">
        <v>0.10720658058432769</v>
      </c>
      <c r="AD325" s="3">
        <v>0.1062550605212304</v>
      </c>
      <c r="AE325" s="3">
        <v>0.1050985031254011</v>
      </c>
      <c r="AG325" s="17" t="s">
        <v>2130</v>
      </c>
      <c r="AH325" s="3">
        <v>6.9938336359057995E-2</v>
      </c>
      <c r="AI325" s="3">
        <v>7.0978749587745707E-2</v>
      </c>
      <c r="AJ325" s="3">
        <v>0.1137617628043682</v>
      </c>
      <c r="AK325" s="3">
        <v>0.1105333402242985</v>
      </c>
      <c r="AL325" s="3">
        <v>0.1114423307551036</v>
      </c>
      <c r="AM325" s="3">
        <v>0.1124359859865048</v>
      </c>
      <c r="AN325" s="3">
        <v>0.1134370235512334</v>
      </c>
      <c r="AO325" s="3">
        <v>0.1150689758993866</v>
      </c>
      <c r="AP325" s="3">
        <v>0.1166128381854904</v>
      </c>
      <c r="AQ325" s="3">
        <v>0.11706708155493489</v>
      </c>
      <c r="AR325" s="3">
        <v>0.1156986318761495</v>
      </c>
      <c r="AS325" s="3">
        <v>0.11434803886222809</v>
      </c>
      <c r="AT325" s="3">
        <v>0.11294527884429099</v>
      </c>
      <c r="AU325" s="3">
        <v>0.1116404471636387</v>
      </c>
      <c r="AV325" s="3">
        <v>0.1104200754219354</v>
      </c>
      <c r="AW325" s="3">
        <v>0.1092805121236627</v>
      </c>
      <c r="AX325" s="3">
        <v>0.1082128075950371</v>
      </c>
      <c r="AY325" s="3">
        <v>0.10720658058432769</v>
      </c>
      <c r="AZ325" s="3">
        <v>0.1062550605212304</v>
      </c>
      <c r="BA325" s="3">
        <v>0.1050985031254011</v>
      </c>
      <c r="BC325" s="17" t="s">
        <v>2131</v>
      </c>
      <c r="BD325" s="3">
        <v>6.9938336359057995E-2</v>
      </c>
      <c r="BE325" s="3">
        <v>7.0978749587745707E-2</v>
      </c>
      <c r="BF325" s="3">
        <v>0.1137617628043682</v>
      </c>
      <c r="BG325" s="3">
        <v>0.1105333402242985</v>
      </c>
      <c r="BH325" s="3">
        <v>0.1114423307551036</v>
      </c>
      <c r="BI325" s="3">
        <v>0.1124359859865048</v>
      </c>
      <c r="BJ325" s="3">
        <v>0.1134370235512334</v>
      </c>
      <c r="BK325" s="3">
        <v>0.1150689758993866</v>
      </c>
      <c r="BL325" s="3">
        <v>0.1166128381854904</v>
      </c>
      <c r="BM325" s="3">
        <v>0.11706708155493489</v>
      </c>
      <c r="BN325" s="3">
        <v>0.1156986318761495</v>
      </c>
      <c r="BO325" s="3">
        <v>0.11434803886222809</v>
      </c>
      <c r="BP325" s="3">
        <v>0.11294527884429099</v>
      </c>
      <c r="BQ325" s="3">
        <v>0.1116404471636387</v>
      </c>
      <c r="BR325" s="3">
        <v>0.1104200754219354</v>
      </c>
      <c r="BS325" s="3">
        <v>0.1092805121236627</v>
      </c>
      <c r="BT325" s="3">
        <v>0.1082128075950371</v>
      </c>
      <c r="BU325" s="3">
        <v>0.10720658058432769</v>
      </c>
      <c r="BV325" s="3">
        <v>0.1062550605212304</v>
      </c>
      <c r="BW325" s="3">
        <v>0.1050985031254011</v>
      </c>
      <c r="BY325" s="17" t="s">
        <v>2132</v>
      </c>
      <c r="BZ325" s="3">
        <v>6.9938336359057995E-2</v>
      </c>
      <c r="CA325" s="3">
        <v>7.0978749587745707E-2</v>
      </c>
      <c r="CB325" s="3">
        <v>0.1137617628043682</v>
      </c>
      <c r="CC325" s="3">
        <v>0.1105333402242985</v>
      </c>
      <c r="CD325" s="3">
        <v>0.1114423307551036</v>
      </c>
      <c r="CE325" s="3">
        <v>0.1124359859865048</v>
      </c>
      <c r="CF325" s="3">
        <v>0.1134370235512334</v>
      </c>
      <c r="CG325" s="3">
        <v>0.1150689758993866</v>
      </c>
      <c r="CH325" s="3">
        <v>0.1166128381854904</v>
      </c>
      <c r="CI325" s="3">
        <v>0.11706708155493489</v>
      </c>
      <c r="CJ325" s="3">
        <v>0.1156986318761495</v>
      </c>
      <c r="CK325" s="3">
        <v>0.11434803886222809</v>
      </c>
      <c r="CL325" s="3">
        <v>0.11294527884429099</v>
      </c>
      <c r="CM325" s="3">
        <v>0.1116404471636387</v>
      </c>
      <c r="CN325" s="3">
        <v>0.1104200754219354</v>
      </c>
      <c r="CO325" s="3">
        <v>0.1092805121236627</v>
      </c>
      <c r="CP325" s="3">
        <v>0.1082128075950371</v>
      </c>
      <c r="CQ325" s="3">
        <v>0.10720658058432769</v>
      </c>
      <c r="CR325" s="3">
        <v>0.1062550605212304</v>
      </c>
      <c r="CS325" s="3">
        <v>0.1050985031254011</v>
      </c>
      <c r="CU325" s="17" t="s">
        <v>2133</v>
      </c>
      <c r="CV325" s="3">
        <v>6.9938336359057995E-2</v>
      </c>
      <c r="CW325" s="3">
        <v>7.0978749587745707E-2</v>
      </c>
      <c r="CX325" s="3">
        <v>0.1137617628043682</v>
      </c>
      <c r="CY325" s="3">
        <v>0.1105333402242985</v>
      </c>
      <c r="CZ325" s="3">
        <v>0.1114423307551036</v>
      </c>
      <c r="DA325" s="3">
        <v>0.1124359859865048</v>
      </c>
      <c r="DB325" s="3">
        <v>0.1134370235512334</v>
      </c>
      <c r="DC325" s="3">
        <v>0.1150689758993866</v>
      </c>
      <c r="DD325" s="3">
        <v>0.1166128381854904</v>
      </c>
      <c r="DE325" s="3">
        <v>0.11706708155493489</v>
      </c>
      <c r="DF325" s="3">
        <v>0.1156986318761495</v>
      </c>
      <c r="DG325" s="3">
        <v>0.11434803886222809</v>
      </c>
      <c r="DH325" s="3">
        <v>0.11294527884429099</v>
      </c>
      <c r="DI325" s="3">
        <v>0.1116404471636387</v>
      </c>
      <c r="DJ325" s="3">
        <v>0.1104200754219354</v>
      </c>
      <c r="DK325" s="3">
        <v>0.1092805121236627</v>
      </c>
      <c r="DL325" s="3">
        <v>0.1082128075950371</v>
      </c>
      <c r="DM325" s="3">
        <v>0.10720658058432769</v>
      </c>
      <c r="DN325" s="3">
        <v>0.1062550605212304</v>
      </c>
      <c r="DO325" s="3">
        <v>0.1050985031254011</v>
      </c>
    </row>
    <row r="326" spans="1:119" x14ac:dyDescent="0.45">
      <c r="A326" s="16" t="s">
        <v>857</v>
      </c>
      <c r="B326" s="3" t="s">
        <v>89</v>
      </c>
      <c r="C326" s="16" t="s">
        <v>858</v>
      </c>
      <c r="H326" s="3" t="s">
        <v>859</v>
      </c>
      <c r="I326" s="3" t="s">
        <v>860</v>
      </c>
      <c r="K326" s="17" t="s">
        <v>861</v>
      </c>
      <c r="L326" s="3">
        <v>6.2322146649461729E-2</v>
      </c>
      <c r="M326" s="3">
        <v>6.3511140934565197E-2</v>
      </c>
      <c r="N326" s="3">
        <v>0.10710597699475879</v>
      </c>
      <c r="O326" s="3">
        <v>0.10572459202936831</v>
      </c>
      <c r="P326" s="3">
        <v>0.10573359214718819</v>
      </c>
      <c r="Q326" s="3">
        <v>0.10626533175641351</v>
      </c>
      <c r="R326" s="3">
        <v>0.1064352876620497</v>
      </c>
      <c r="S326" s="3">
        <v>0.10723163730223161</v>
      </c>
      <c r="T326" s="3">
        <v>0.10790373445680961</v>
      </c>
      <c r="U326" s="3">
        <v>0.10865902186363841</v>
      </c>
      <c r="V326" s="3">
        <v>0.1074167971917689</v>
      </c>
      <c r="W326" s="3">
        <v>0.1062540049701071</v>
      </c>
      <c r="X326" s="3">
        <v>0.1050394592858352</v>
      </c>
      <c r="Y326" s="3">
        <v>0.1039071524520008</v>
      </c>
      <c r="Z326" s="3">
        <v>0.1028482615038122</v>
      </c>
      <c r="AA326" s="3">
        <v>0.1018583249236122</v>
      </c>
      <c r="AB326" s="3">
        <v>0.10093009328632049</v>
      </c>
      <c r="AC326" s="3">
        <v>0.1000540346692088</v>
      </c>
      <c r="AD326" s="3">
        <v>9.9224149551849133E-2</v>
      </c>
      <c r="AE326" s="3">
        <v>9.8433671234808257E-2</v>
      </c>
      <c r="AG326" s="17" t="s">
        <v>862</v>
      </c>
      <c r="AH326" s="3">
        <v>6.2322146649461729E-2</v>
      </c>
      <c r="AI326" s="3">
        <v>6.3511140934565197E-2</v>
      </c>
      <c r="AJ326" s="3">
        <v>0.10710597699475879</v>
      </c>
      <c r="AK326" s="3">
        <v>0.10572459202936831</v>
      </c>
      <c r="AL326" s="3">
        <v>0.10573359214718819</v>
      </c>
      <c r="AM326" s="3">
        <v>0.10626533175641351</v>
      </c>
      <c r="AN326" s="3">
        <v>0.1064352876620497</v>
      </c>
      <c r="AO326" s="3">
        <v>0.10723163730223161</v>
      </c>
      <c r="AP326" s="3">
        <v>0.10790373445680961</v>
      </c>
      <c r="AQ326" s="3">
        <v>0.10865902186363841</v>
      </c>
      <c r="AR326" s="3">
        <v>0.1074167971917689</v>
      </c>
      <c r="AS326" s="3">
        <v>0.1062540049701071</v>
      </c>
      <c r="AT326" s="3">
        <v>0.1050394592858352</v>
      </c>
      <c r="AU326" s="3">
        <v>0.1039071524520008</v>
      </c>
      <c r="AV326" s="3">
        <v>0.1028482615038122</v>
      </c>
      <c r="AW326" s="3">
        <v>0.1018583249236122</v>
      </c>
      <c r="AX326" s="3">
        <v>0.10093009328632049</v>
      </c>
      <c r="AY326" s="3">
        <v>0.1000540346692088</v>
      </c>
      <c r="AZ326" s="3">
        <v>9.9224149551849133E-2</v>
      </c>
      <c r="BA326" s="3">
        <v>9.8433671234808257E-2</v>
      </c>
      <c r="BC326" s="17" t="s">
        <v>863</v>
      </c>
      <c r="BD326" s="3">
        <v>6.2322146649461729E-2</v>
      </c>
      <c r="BE326" s="3">
        <v>6.3511140934565197E-2</v>
      </c>
      <c r="BF326" s="3">
        <v>0.10710597699475879</v>
      </c>
      <c r="BG326" s="3">
        <v>0.10572459202936831</v>
      </c>
      <c r="BH326" s="3">
        <v>0.10573359214718819</v>
      </c>
      <c r="BI326" s="3">
        <v>0.10626533175641351</v>
      </c>
      <c r="BJ326" s="3">
        <v>0.1064352876620497</v>
      </c>
      <c r="BK326" s="3">
        <v>0.10723163730223161</v>
      </c>
      <c r="BL326" s="3">
        <v>0.10790373445680961</v>
      </c>
      <c r="BM326" s="3">
        <v>0.10865902186363841</v>
      </c>
      <c r="BN326" s="3">
        <v>0.1074167971917689</v>
      </c>
      <c r="BO326" s="3">
        <v>0.1062540049701071</v>
      </c>
      <c r="BP326" s="3">
        <v>0.1050394592858352</v>
      </c>
      <c r="BQ326" s="3">
        <v>0.1039071524520008</v>
      </c>
      <c r="BR326" s="3">
        <v>0.1028482615038122</v>
      </c>
      <c r="BS326" s="3">
        <v>0.1018583249236122</v>
      </c>
      <c r="BT326" s="3">
        <v>0.10093009328632049</v>
      </c>
      <c r="BU326" s="3">
        <v>0.1000540346692088</v>
      </c>
      <c r="BV326" s="3">
        <v>9.9224149551849133E-2</v>
      </c>
      <c r="BW326" s="3">
        <v>9.8433671234808257E-2</v>
      </c>
      <c r="BY326" s="17" t="s">
        <v>864</v>
      </c>
      <c r="BZ326" s="3">
        <v>6.2322146649461729E-2</v>
      </c>
      <c r="CA326" s="3">
        <v>6.3511140934565197E-2</v>
      </c>
      <c r="CB326" s="3">
        <v>0.10710597699475879</v>
      </c>
      <c r="CC326" s="3">
        <v>0.10572459202936831</v>
      </c>
      <c r="CD326" s="3">
        <v>0.10573359214718819</v>
      </c>
      <c r="CE326" s="3">
        <v>0.10626533175641351</v>
      </c>
      <c r="CF326" s="3">
        <v>0.1064352876620497</v>
      </c>
      <c r="CG326" s="3">
        <v>0.10723163730223161</v>
      </c>
      <c r="CH326" s="3">
        <v>0.10790373445680961</v>
      </c>
      <c r="CI326" s="3">
        <v>0.10865902186363841</v>
      </c>
      <c r="CJ326" s="3">
        <v>0.1074167971917689</v>
      </c>
      <c r="CK326" s="3">
        <v>0.1062540049701071</v>
      </c>
      <c r="CL326" s="3">
        <v>0.1050394592858352</v>
      </c>
      <c r="CM326" s="3">
        <v>0.1039071524520008</v>
      </c>
      <c r="CN326" s="3">
        <v>0.1028482615038122</v>
      </c>
      <c r="CO326" s="3">
        <v>0.1018583249236122</v>
      </c>
      <c r="CP326" s="3">
        <v>0.10093009328632049</v>
      </c>
      <c r="CQ326" s="3">
        <v>0.1000540346692088</v>
      </c>
      <c r="CR326" s="3">
        <v>9.9224149551849133E-2</v>
      </c>
      <c r="CS326" s="3">
        <v>9.8433671234808257E-2</v>
      </c>
      <c r="CU326" s="17" t="s">
        <v>865</v>
      </c>
      <c r="CV326" s="3">
        <v>6.2322146649461729E-2</v>
      </c>
      <c r="CW326" s="3">
        <v>6.3511140934565197E-2</v>
      </c>
      <c r="CX326" s="3">
        <v>0.10710597699475879</v>
      </c>
      <c r="CY326" s="3">
        <v>0.10572459202936831</v>
      </c>
      <c r="CZ326" s="3">
        <v>0.10573359214718819</v>
      </c>
      <c r="DA326" s="3">
        <v>0.10626533175641351</v>
      </c>
      <c r="DB326" s="3">
        <v>0.1064352876620497</v>
      </c>
      <c r="DC326" s="3">
        <v>0.10723163730223161</v>
      </c>
      <c r="DD326" s="3">
        <v>0.10790373445680961</v>
      </c>
      <c r="DE326" s="3">
        <v>0.10865902186363841</v>
      </c>
      <c r="DF326" s="3">
        <v>0.1074167971917689</v>
      </c>
      <c r="DG326" s="3">
        <v>0.1062540049701071</v>
      </c>
      <c r="DH326" s="3">
        <v>0.1050394592858352</v>
      </c>
      <c r="DI326" s="3">
        <v>0.1039071524520008</v>
      </c>
      <c r="DJ326" s="3">
        <v>0.1028482615038122</v>
      </c>
      <c r="DK326" s="3">
        <v>0.1018583249236122</v>
      </c>
      <c r="DL326" s="3">
        <v>0.10093009328632049</v>
      </c>
      <c r="DM326" s="3">
        <v>0.1000540346692088</v>
      </c>
      <c r="DN326" s="3">
        <v>9.9224149551849133E-2</v>
      </c>
      <c r="DO326" s="3">
        <v>9.8433671234808257E-2</v>
      </c>
    </row>
    <row r="327" spans="1:119" x14ac:dyDescent="0.45">
      <c r="A327" s="16" t="s">
        <v>2134</v>
      </c>
      <c r="B327" s="3" t="s">
        <v>89</v>
      </c>
      <c r="C327" s="16" t="s">
        <v>2135</v>
      </c>
      <c r="H327" s="3" t="s">
        <v>2136</v>
      </c>
      <c r="I327" s="3" t="s">
        <v>860</v>
      </c>
      <c r="K327" s="17" t="s">
        <v>2137</v>
      </c>
      <c r="L327" s="3">
        <v>7.616189709596273E-3</v>
      </c>
      <c r="M327" s="3">
        <v>7.4676086531805163E-3</v>
      </c>
      <c r="N327" s="3">
        <v>6.6557858096093969E-3</v>
      </c>
      <c r="O327" s="3">
        <v>4.8087481949301483E-3</v>
      </c>
      <c r="P327" s="3">
        <v>5.7087386079154676E-3</v>
      </c>
      <c r="Q327" s="3">
        <v>6.1706542300913108E-3</v>
      </c>
      <c r="R327" s="3">
        <v>7.0017358891837009E-3</v>
      </c>
      <c r="S327" s="3">
        <v>7.8373385971550538E-3</v>
      </c>
      <c r="T327" s="3">
        <v>8.7091037286807036E-3</v>
      </c>
      <c r="U327" s="3">
        <v>8.4080596912965693E-3</v>
      </c>
      <c r="V327" s="3">
        <v>8.2818346843805887E-3</v>
      </c>
      <c r="W327" s="3">
        <v>8.0940338921210216E-3</v>
      </c>
      <c r="X327" s="3">
        <v>7.9058195584557032E-3</v>
      </c>
      <c r="Y327" s="3">
        <v>7.7332947116378926E-3</v>
      </c>
      <c r="Z327" s="3">
        <v>7.5718139181231289E-3</v>
      </c>
      <c r="AA327" s="3">
        <v>7.4221872000504244E-3</v>
      </c>
      <c r="AB327" s="3">
        <v>7.2827143087165836E-3</v>
      </c>
      <c r="AC327" s="3">
        <v>7.1525459151188893E-3</v>
      </c>
      <c r="AD327" s="3">
        <v>7.0309109693812684E-3</v>
      </c>
      <c r="AE327" s="3">
        <v>6.6648318905928768E-3</v>
      </c>
      <c r="AG327" s="17" t="s">
        <v>2138</v>
      </c>
      <c r="AH327" s="3">
        <v>7.616189709596273E-3</v>
      </c>
      <c r="AI327" s="3">
        <v>7.4676086531805163E-3</v>
      </c>
      <c r="AJ327" s="3">
        <v>6.6557858096093969E-3</v>
      </c>
      <c r="AK327" s="3">
        <v>4.8087481949301483E-3</v>
      </c>
      <c r="AL327" s="3">
        <v>5.7087386079154676E-3</v>
      </c>
      <c r="AM327" s="3">
        <v>6.1706542300913108E-3</v>
      </c>
      <c r="AN327" s="3">
        <v>7.0017358891837009E-3</v>
      </c>
      <c r="AO327" s="3">
        <v>7.8373385971550538E-3</v>
      </c>
      <c r="AP327" s="3">
        <v>8.7091037286807036E-3</v>
      </c>
      <c r="AQ327" s="3">
        <v>8.4080596912965693E-3</v>
      </c>
      <c r="AR327" s="3">
        <v>8.2818346843805887E-3</v>
      </c>
      <c r="AS327" s="3">
        <v>8.0940338921210216E-3</v>
      </c>
      <c r="AT327" s="3">
        <v>7.9058195584557032E-3</v>
      </c>
      <c r="AU327" s="3">
        <v>7.7332947116378926E-3</v>
      </c>
      <c r="AV327" s="3">
        <v>7.5718139181231289E-3</v>
      </c>
      <c r="AW327" s="3">
        <v>7.4221872000504244E-3</v>
      </c>
      <c r="AX327" s="3">
        <v>7.2827143087165836E-3</v>
      </c>
      <c r="AY327" s="3">
        <v>7.1525459151188893E-3</v>
      </c>
      <c r="AZ327" s="3">
        <v>7.0309109693812684E-3</v>
      </c>
      <c r="BA327" s="3">
        <v>6.6648318905928768E-3</v>
      </c>
      <c r="BC327" s="17" t="s">
        <v>2139</v>
      </c>
      <c r="BD327" s="3">
        <v>7.616189709596273E-3</v>
      </c>
      <c r="BE327" s="3">
        <v>7.4676086531805163E-3</v>
      </c>
      <c r="BF327" s="3">
        <v>6.6557858096093969E-3</v>
      </c>
      <c r="BG327" s="3">
        <v>4.8087481949301483E-3</v>
      </c>
      <c r="BH327" s="3">
        <v>5.7087386079154676E-3</v>
      </c>
      <c r="BI327" s="3">
        <v>6.1706542300913108E-3</v>
      </c>
      <c r="BJ327" s="3">
        <v>7.0017358891837009E-3</v>
      </c>
      <c r="BK327" s="3">
        <v>7.8373385971550538E-3</v>
      </c>
      <c r="BL327" s="3">
        <v>8.7091037286807036E-3</v>
      </c>
      <c r="BM327" s="3">
        <v>8.4080596912965693E-3</v>
      </c>
      <c r="BN327" s="3">
        <v>8.2818346843805887E-3</v>
      </c>
      <c r="BO327" s="3">
        <v>8.0940338921210216E-3</v>
      </c>
      <c r="BP327" s="3">
        <v>7.9058195584557032E-3</v>
      </c>
      <c r="BQ327" s="3">
        <v>7.7332947116378926E-3</v>
      </c>
      <c r="BR327" s="3">
        <v>7.5718139181231289E-3</v>
      </c>
      <c r="BS327" s="3">
        <v>7.4221872000504244E-3</v>
      </c>
      <c r="BT327" s="3">
        <v>7.2827143087165836E-3</v>
      </c>
      <c r="BU327" s="3">
        <v>7.1525459151188893E-3</v>
      </c>
      <c r="BV327" s="3">
        <v>7.0309109693812684E-3</v>
      </c>
      <c r="BW327" s="3">
        <v>6.6648318905928768E-3</v>
      </c>
      <c r="BY327" s="17" t="s">
        <v>2140</v>
      </c>
      <c r="BZ327" s="3">
        <v>7.616189709596273E-3</v>
      </c>
      <c r="CA327" s="3">
        <v>7.4676086531805163E-3</v>
      </c>
      <c r="CB327" s="3">
        <v>6.6557858096093969E-3</v>
      </c>
      <c r="CC327" s="3">
        <v>4.8087481949301483E-3</v>
      </c>
      <c r="CD327" s="3">
        <v>5.7087386079154676E-3</v>
      </c>
      <c r="CE327" s="3">
        <v>6.1706542300913108E-3</v>
      </c>
      <c r="CF327" s="3">
        <v>7.0017358891837009E-3</v>
      </c>
      <c r="CG327" s="3">
        <v>7.8373385971550538E-3</v>
      </c>
      <c r="CH327" s="3">
        <v>8.7091037286807036E-3</v>
      </c>
      <c r="CI327" s="3">
        <v>8.4080596912965693E-3</v>
      </c>
      <c r="CJ327" s="3">
        <v>8.2818346843805887E-3</v>
      </c>
      <c r="CK327" s="3">
        <v>8.0940338921210216E-3</v>
      </c>
      <c r="CL327" s="3">
        <v>7.9058195584557032E-3</v>
      </c>
      <c r="CM327" s="3">
        <v>7.7332947116378926E-3</v>
      </c>
      <c r="CN327" s="3">
        <v>7.5718139181231289E-3</v>
      </c>
      <c r="CO327" s="3">
        <v>7.4221872000504244E-3</v>
      </c>
      <c r="CP327" s="3">
        <v>7.2827143087165836E-3</v>
      </c>
      <c r="CQ327" s="3">
        <v>7.1525459151188893E-3</v>
      </c>
      <c r="CR327" s="3">
        <v>7.0309109693812684E-3</v>
      </c>
      <c r="CS327" s="3">
        <v>6.6648318905928768E-3</v>
      </c>
      <c r="CU327" s="17" t="s">
        <v>2141</v>
      </c>
      <c r="CV327" s="3">
        <v>7.616189709596273E-3</v>
      </c>
      <c r="CW327" s="3">
        <v>7.4676086531805163E-3</v>
      </c>
      <c r="CX327" s="3">
        <v>6.6557858096093969E-3</v>
      </c>
      <c r="CY327" s="3">
        <v>4.8087481949301483E-3</v>
      </c>
      <c r="CZ327" s="3">
        <v>5.7087386079154676E-3</v>
      </c>
      <c r="DA327" s="3">
        <v>6.1706542300913108E-3</v>
      </c>
      <c r="DB327" s="3">
        <v>7.0017358891837009E-3</v>
      </c>
      <c r="DC327" s="3">
        <v>7.8373385971550538E-3</v>
      </c>
      <c r="DD327" s="3">
        <v>8.7091037286807036E-3</v>
      </c>
      <c r="DE327" s="3">
        <v>8.4080596912965693E-3</v>
      </c>
      <c r="DF327" s="3">
        <v>8.2818346843805887E-3</v>
      </c>
      <c r="DG327" s="3">
        <v>8.0940338921210216E-3</v>
      </c>
      <c r="DH327" s="3">
        <v>7.9058195584557032E-3</v>
      </c>
      <c r="DI327" s="3">
        <v>7.7332947116378926E-3</v>
      </c>
      <c r="DJ327" s="3">
        <v>7.5718139181231289E-3</v>
      </c>
      <c r="DK327" s="3">
        <v>7.4221872000504244E-3</v>
      </c>
      <c r="DL327" s="3">
        <v>7.2827143087165836E-3</v>
      </c>
      <c r="DM327" s="3">
        <v>7.1525459151188893E-3</v>
      </c>
      <c r="DN327" s="3">
        <v>7.0309109693812684E-3</v>
      </c>
      <c r="DO327" s="3">
        <v>6.6648318905928768E-3</v>
      </c>
    </row>
    <row r="328" spans="1:119" x14ac:dyDescent="0.45">
      <c r="A328" s="16" t="s">
        <v>2142</v>
      </c>
      <c r="B328" s="3" t="s">
        <v>89</v>
      </c>
      <c r="C328" s="16" t="s">
        <v>2143</v>
      </c>
      <c r="H328" s="3" t="s">
        <v>2144</v>
      </c>
      <c r="I328" s="3" t="s">
        <v>860</v>
      </c>
      <c r="K328" s="17" t="s">
        <v>2145</v>
      </c>
      <c r="L328" s="3">
        <v>0</v>
      </c>
      <c r="M328" s="3">
        <v>0</v>
      </c>
      <c r="N328" s="3">
        <v>0</v>
      </c>
      <c r="O328" s="3">
        <v>0</v>
      </c>
      <c r="P328" s="3">
        <v>0</v>
      </c>
      <c r="Q328" s="3">
        <v>0</v>
      </c>
      <c r="R328" s="3">
        <v>0</v>
      </c>
      <c r="S328" s="3">
        <v>0</v>
      </c>
      <c r="T328" s="3">
        <v>0</v>
      </c>
      <c r="U328" s="3">
        <v>0</v>
      </c>
      <c r="V328" s="3">
        <v>0</v>
      </c>
      <c r="W328" s="3">
        <v>0</v>
      </c>
      <c r="X328" s="3">
        <v>0</v>
      </c>
      <c r="Y328" s="3">
        <v>0</v>
      </c>
      <c r="Z328" s="3">
        <v>0</v>
      </c>
      <c r="AA328" s="3">
        <v>0</v>
      </c>
      <c r="AB328" s="3">
        <v>0</v>
      </c>
      <c r="AC328" s="3">
        <v>0</v>
      </c>
      <c r="AD328" s="3">
        <v>0</v>
      </c>
      <c r="AE328" s="3">
        <v>0</v>
      </c>
      <c r="AG328" s="17" t="s">
        <v>2146</v>
      </c>
      <c r="AH328" s="3">
        <v>0</v>
      </c>
      <c r="AI328" s="3">
        <v>0</v>
      </c>
      <c r="AJ328" s="3">
        <v>0</v>
      </c>
      <c r="AK328" s="3">
        <v>0</v>
      </c>
      <c r="AL328" s="3">
        <v>0</v>
      </c>
      <c r="AM328" s="3">
        <v>0</v>
      </c>
      <c r="AN328" s="3">
        <v>0</v>
      </c>
      <c r="AO328" s="3">
        <v>0</v>
      </c>
      <c r="AP328" s="3">
        <v>0</v>
      </c>
      <c r="AQ328" s="3">
        <v>0</v>
      </c>
      <c r="AR328" s="3">
        <v>0</v>
      </c>
      <c r="AS328" s="3">
        <v>0</v>
      </c>
      <c r="AT328" s="3">
        <v>0</v>
      </c>
      <c r="AU328" s="3">
        <v>0</v>
      </c>
      <c r="AV328" s="3">
        <v>0</v>
      </c>
      <c r="AW328" s="3">
        <v>0</v>
      </c>
      <c r="AX328" s="3">
        <v>0</v>
      </c>
      <c r="AY328" s="3">
        <v>0</v>
      </c>
      <c r="AZ328" s="3">
        <v>0</v>
      </c>
      <c r="BA328" s="3">
        <v>0</v>
      </c>
      <c r="BC328" s="17" t="s">
        <v>2147</v>
      </c>
      <c r="BD328" s="3">
        <v>0</v>
      </c>
      <c r="BE328" s="3">
        <v>0</v>
      </c>
      <c r="BF328" s="3">
        <v>0</v>
      </c>
      <c r="BG328" s="3">
        <v>0</v>
      </c>
      <c r="BH328" s="3">
        <v>0</v>
      </c>
      <c r="BI328" s="3">
        <v>0</v>
      </c>
      <c r="BJ328" s="3">
        <v>0</v>
      </c>
      <c r="BK328" s="3">
        <v>0</v>
      </c>
      <c r="BL328" s="3">
        <v>0</v>
      </c>
      <c r="BM328" s="3">
        <v>0</v>
      </c>
      <c r="BN328" s="3">
        <v>0</v>
      </c>
      <c r="BO328" s="3">
        <v>0</v>
      </c>
      <c r="BP328" s="3">
        <v>0</v>
      </c>
      <c r="BQ328" s="3">
        <v>0</v>
      </c>
      <c r="BR328" s="3">
        <v>0</v>
      </c>
      <c r="BS328" s="3">
        <v>0</v>
      </c>
      <c r="BT328" s="3">
        <v>0</v>
      </c>
      <c r="BU328" s="3">
        <v>0</v>
      </c>
      <c r="BV328" s="3">
        <v>0</v>
      </c>
      <c r="BW328" s="3">
        <v>0</v>
      </c>
      <c r="BY328" s="17" t="s">
        <v>2148</v>
      </c>
      <c r="BZ328" s="3">
        <v>0</v>
      </c>
      <c r="CA328" s="3">
        <v>0</v>
      </c>
      <c r="CB328" s="3">
        <v>0</v>
      </c>
      <c r="CC328" s="3">
        <v>0</v>
      </c>
      <c r="CD328" s="3">
        <v>0</v>
      </c>
      <c r="CE328" s="3">
        <v>0</v>
      </c>
      <c r="CF328" s="3">
        <v>0</v>
      </c>
      <c r="CG328" s="3">
        <v>0</v>
      </c>
      <c r="CH328" s="3">
        <v>0</v>
      </c>
      <c r="CI328" s="3">
        <v>0</v>
      </c>
      <c r="CJ328" s="3">
        <v>0</v>
      </c>
      <c r="CK328" s="3">
        <v>0</v>
      </c>
      <c r="CL328" s="3">
        <v>0</v>
      </c>
      <c r="CM328" s="3">
        <v>0</v>
      </c>
      <c r="CN328" s="3">
        <v>0</v>
      </c>
      <c r="CO328" s="3">
        <v>0</v>
      </c>
      <c r="CP328" s="3">
        <v>0</v>
      </c>
      <c r="CQ328" s="3">
        <v>0</v>
      </c>
      <c r="CR328" s="3">
        <v>0</v>
      </c>
      <c r="CS328" s="3">
        <v>0</v>
      </c>
      <c r="CU328" s="17" t="s">
        <v>2149</v>
      </c>
      <c r="CV328" s="3">
        <v>0</v>
      </c>
      <c r="CW328" s="3">
        <v>0</v>
      </c>
      <c r="CX328" s="3">
        <v>0</v>
      </c>
      <c r="CY328" s="3">
        <v>0</v>
      </c>
      <c r="CZ328" s="3">
        <v>0</v>
      </c>
      <c r="DA328" s="3">
        <v>0</v>
      </c>
      <c r="DB328" s="3">
        <v>0</v>
      </c>
      <c r="DC328" s="3">
        <v>0</v>
      </c>
      <c r="DD328" s="3">
        <v>0</v>
      </c>
      <c r="DE328" s="3">
        <v>0</v>
      </c>
      <c r="DF328" s="3">
        <v>0</v>
      </c>
      <c r="DG328" s="3">
        <v>0</v>
      </c>
      <c r="DH328" s="3">
        <v>0</v>
      </c>
      <c r="DI328" s="3">
        <v>0</v>
      </c>
      <c r="DJ328" s="3">
        <v>0</v>
      </c>
      <c r="DK328" s="3">
        <v>0</v>
      </c>
      <c r="DL328" s="3">
        <v>0</v>
      </c>
      <c r="DM328" s="3">
        <v>0</v>
      </c>
      <c r="DN328" s="3">
        <v>0</v>
      </c>
      <c r="DO328" s="3">
        <v>0</v>
      </c>
    </row>
    <row r="329" spans="1:119" x14ac:dyDescent="0.45">
      <c r="A329" s="16" t="s">
        <v>2150</v>
      </c>
      <c r="B329" s="3" t="s">
        <v>89</v>
      </c>
      <c r="C329" s="16" t="s">
        <v>2151</v>
      </c>
      <c r="H329" s="3" t="s">
        <v>2152</v>
      </c>
      <c r="I329" s="3" t="s">
        <v>860</v>
      </c>
      <c r="K329" s="17" t="s">
        <v>2153</v>
      </c>
      <c r="L329" s="3">
        <v>0</v>
      </c>
      <c r="M329" s="3">
        <v>0</v>
      </c>
      <c r="N329" s="3">
        <v>0</v>
      </c>
      <c r="O329" s="3">
        <v>0</v>
      </c>
      <c r="P329" s="3">
        <v>0</v>
      </c>
      <c r="Q329" s="3">
        <v>0</v>
      </c>
      <c r="R329" s="3">
        <v>0</v>
      </c>
      <c r="S329" s="3">
        <v>0</v>
      </c>
      <c r="T329" s="3">
        <v>0</v>
      </c>
      <c r="U329" s="3">
        <v>0</v>
      </c>
      <c r="V329" s="3">
        <v>0</v>
      </c>
      <c r="W329" s="3">
        <v>0</v>
      </c>
      <c r="X329" s="3">
        <v>0</v>
      </c>
      <c r="Y329" s="3">
        <v>0</v>
      </c>
      <c r="Z329" s="3">
        <v>0</v>
      </c>
      <c r="AA329" s="3">
        <v>0</v>
      </c>
      <c r="AB329" s="3">
        <v>0</v>
      </c>
      <c r="AC329" s="3">
        <v>0</v>
      </c>
      <c r="AD329" s="3">
        <v>0</v>
      </c>
      <c r="AE329" s="3">
        <v>0</v>
      </c>
      <c r="AG329" s="17" t="s">
        <v>2154</v>
      </c>
      <c r="AH329" s="3">
        <v>0</v>
      </c>
      <c r="AI329" s="3">
        <v>0</v>
      </c>
      <c r="AJ329" s="3">
        <v>0</v>
      </c>
      <c r="AK329" s="3">
        <v>0</v>
      </c>
      <c r="AL329" s="3">
        <v>0</v>
      </c>
      <c r="AM329" s="3">
        <v>0</v>
      </c>
      <c r="AN329" s="3">
        <v>0</v>
      </c>
      <c r="AO329" s="3">
        <v>0</v>
      </c>
      <c r="AP329" s="3">
        <v>0</v>
      </c>
      <c r="AQ329" s="3">
        <v>0</v>
      </c>
      <c r="AR329" s="3">
        <v>0</v>
      </c>
      <c r="AS329" s="3">
        <v>0</v>
      </c>
      <c r="AT329" s="3">
        <v>0</v>
      </c>
      <c r="AU329" s="3">
        <v>0</v>
      </c>
      <c r="AV329" s="3">
        <v>0</v>
      </c>
      <c r="AW329" s="3">
        <v>0</v>
      </c>
      <c r="AX329" s="3">
        <v>0</v>
      </c>
      <c r="AY329" s="3">
        <v>0</v>
      </c>
      <c r="AZ329" s="3">
        <v>0</v>
      </c>
      <c r="BA329" s="3">
        <v>0</v>
      </c>
      <c r="BC329" s="17" t="s">
        <v>2155</v>
      </c>
      <c r="BD329" s="3">
        <v>0</v>
      </c>
      <c r="BE329" s="3">
        <v>0</v>
      </c>
      <c r="BF329" s="3">
        <v>0</v>
      </c>
      <c r="BG329" s="3">
        <v>0</v>
      </c>
      <c r="BH329" s="3">
        <v>0</v>
      </c>
      <c r="BI329" s="3">
        <v>0</v>
      </c>
      <c r="BJ329" s="3">
        <v>0</v>
      </c>
      <c r="BK329" s="3">
        <v>0</v>
      </c>
      <c r="BL329" s="3">
        <v>0</v>
      </c>
      <c r="BM329" s="3">
        <v>0</v>
      </c>
      <c r="BN329" s="3">
        <v>0</v>
      </c>
      <c r="BO329" s="3">
        <v>0</v>
      </c>
      <c r="BP329" s="3">
        <v>0</v>
      </c>
      <c r="BQ329" s="3">
        <v>0</v>
      </c>
      <c r="BR329" s="3">
        <v>0</v>
      </c>
      <c r="BS329" s="3">
        <v>0</v>
      </c>
      <c r="BT329" s="3">
        <v>0</v>
      </c>
      <c r="BU329" s="3">
        <v>0</v>
      </c>
      <c r="BV329" s="3">
        <v>0</v>
      </c>
      <c r="BW329" s="3">
        <v>0</v>
      </c>
      <c r="BY329" s="17" t="s">
        <v>2156</v>
      </c>
      <c r="BZ329" s="3">
        <v>0</v>
      </c>
      <c r="CA329" s="3">
        <v>0</v>
      </c>
      <c r="CB329" s="3">
        <v>0</v>
      </c>
      <c r="CC329" s="3">
        <v>0</v>
      </c>
      <c r="CD329" s="3">
        <v>0</v>
      </c>
      <c r="CE329" s="3">
        <v>0</v>
      </c>
      <c r="CF329" s="3">
        <v>0</v>
      </c>
      <c r="CG329" s="3">
        <v>0</v>
      </c>
      <c r="CH329" s="3">
        <v>0</v>
      </c>
      <c r="CI329" s="3">
        <v>0</v>
      </c>
      <c r="CJ329" s="3">
        <v>0</v>
      </c>
      <c r="CK329" s="3">
        <v>0</v>
      </c>
      <c r="CL329" s="3">
        <v>0</v>
      </c>
      <c r="CM329" s="3">
        <v>0</v>
      </c>
      <c r="CN329" s="3">
        <v>0</v>
      </c>
      <c r="CO329" s="3">
        <v>0</v>
      </c>
      <c r="CP329" s="3">
        <v>0</v>
      </c>
      <c r="CQ329" s="3">
        <v>0</v>
      </c>
      <c r="CR329" s="3">
        <v>0</v>
      </c>
      <c r="CS329" s="3">
        <v>0</v>
      </c>
      <c r="CU329" s="17" t="s">
        <v>2157</v>
      </c>
      <c r="CV329" s="3">
        <v>0</v>
      </c>
      <c r="CW329" s="3">
        <v>0</v>
      </c>
      <c r="CX329" s="3">
        <v>0</v>
      </c>
      <c r="CY329" s="3">
        <v>0</v>
      </c>
      <c r="CZ329" s="3">
        <v>0</v>
      </c>
      <c r="DA329" s="3">
        <v>0</v>
      </c>
      <c r="DB329" s="3">
        <v>0</v>
      </c>
      <c r="DC329" s="3">
        <v>0</v>
      </c>
      <c r="DD329" s="3">
        <v>0</v>
      </c>
      <c r="DE329" s="3">
        <v>0</v>
      </c>
      <c r="DF329" s="3">
        <v>0</v>
      </c>
      <c r="DG329" s="3">
        <v>0</v>
      </c>
      <c r="DH329" s="3">
        <v>0</v>
      </c>
      <c r="DI329" s="3">
        <v>0</v>
      </c>
      <c r="DJ329" s="3">
        <v>0</v>
      </c>
      <c r="DK329" s="3">
        <v>0</v>
      </c>
      <c r="DL329" s="3">
        <v>0</v>
      </c>
      <c r="DM329" s="3">
        <v>0</v>
      </c>
      <c r="DN329" s="3">
        <v>0</v>
      </c>
      <c r="DO329" s="3">
        <v>0</v>
      </c>
    </row>
    <row r="330" spans="1:119" x14ac:dyDescent="0.45">
      <c r="A330" s="16" t="s">
        <v>791</v>
      </c>
      <c r="B330" s="3" t="s">
        <v>89</v>
      </c>
      <c r="C330" s="16" t="s">
        <v>2158</v>
      </c>
      <c r="H330" s="3" t="s">
        <v>793</v>
      </c>
      <c r="I330" s="3" t="s">
        <v>794</v>
      </c>
      <c r="K330" s="17" t="s">
        <v>795</v>
      </c>
      <c r="L330" s="23">
        <v>6.2326367863754943E-2</v>
      </c>
      <c r="M330" s="23">
        <v>6.3513641698972667E-2</v>
      </c>
      <c r="N330" s="23">
        <v>5.3145511985616928E-2</v>
      </c>
      <c r="O330" s="23">
        <v>5.1764127020226453E-2</v>
      </c>
      <c r="P330" s="23">
        <v>5.1773127138046299E-2</v>
      </c>
      <c r="Q330" s="23">
        <v>5.2304866747271639E-2</v>
      </c>
      <c r="R330" s="23">
        <v>5.2474822652907843E-2</v>
      </c>
      <c r="S330" s="23">
        <v>5.3271172293089718E-2</v>
      </c>
      <c r="T330" s="23">
        <v>5.394326944766778E-2</v>
      </c>
      <c r="U330" s="23">
        <v>5.4698556854496511E-2</v>
      </c>
      <c r="V330" s="23">
        <v>5.345633218262702E-2</v>
      </c>
      <c r="W330" s="23">
        <v>5.2293539960965203E-2</v>
      </c>
      <c r="X330" s="23">
        <v>5.1078994276693379E-2</v>
      </c>
      <c r="Y330" s="23">
        <v>4.9946687442858927E-2</v>
      </c>
      <c r="Z330" s="23">
        <v>4.8887796494670371E-2</v>
      </c>
      <c r="AA330" s="23">
        <v>4.7897859914470382E-2</v>
      </c>
      <c r="AB330" s="23">
        <v>4.6969628277178599E-2</v>
      </c>
      <c r="AC330" s="23">
        <v>4.6093569660066967E-2</v>
      </c>
      <c r="AD330" s="23">
        <v>4.5263684542707273E-2</v>
      </c>
      <c r="AE330" s="23">
        <v>4.447320622566639E-2</v>
      </c>
      <c r="AG330" s="17" t="s">
        <v>796</v>
      </c>
      <c r="AH330" s="23">
        <v>6.2326367863754943E-2</v>
      </c>
      <c r="AI330" s="23">
        <v>6.3513641698972667E-2</v>
      </c>
      <c r="AJ330" s="23">
        <v>5.3145511985616928E-2</v>
      </c>
      <c r="AK330" s="23">
        <v>5.176584371891163E-2</v>
      </c>
      <c r="AL330" s="23">
        <v>5.1777382880188877E-2</v>
      </c>
      <c r="AM330" s="23">
        <v>6.1514347314370887E-2</v>
      </c>
      <c r="AN330" s="23">
        <v>6.1487066119874249E-2</v>
      </c>
      <c r="AO330" s="23">
        <v>6.3150934252734464E-2</v>
      </c>
      <c r="AP330" s="23">
        <v>6.2412982888005529E-2</v>
      </c>
      <c r="AQ330" s="23">
        <v>6.2811675255853502E-2</v>
      </c>
      <c r="AR330" s="23">
        <v>6.1010080072167107E-2</v>
      </c>
      <c r="AS330" s="23">
        <v>5.9508583270343599E-2</v>
      </c>
      <c r="AT330" s="23">
        <v>5.7937807607729687E-2</v>
      </c>
      <c r="AU330" s="23">
        <v>5.6482543221322463E-2</v>
      </c>
      <c r="AV330" s="23">
        <v>5.5147111044854577E-2</v>
      </c>
      <c r="AW330" s="23">
        <v>5.3906896131292938E-2</v>
      </c>
      <c r="AX330" s="23">
        <v>5.2748461704333158E-2</v>
      </c>
      <c r="AY330" s="23">
        <v>5.1663168198041863E-2</v>
      </c>
      <c r="AZ330" s="23">
        <v>5.0640693663217051E-2</v>
      </c>
      <c r="BA330" s="23">
        <v>4.9674222069861648E-2</v>
      </c>
      <c r="BC330" s="17" t="s">
        <v>797</v>
      </c>
      <c r="BD330" s="23">
        <v>6.2326367863754943E-2</v>
      </c>
      <c r="BE330" s="23">
        <v>6.3513641698972667E-2</v>
      </c>
      <c r="BF330" s="23">
        <v>5.3145511985616928E-2</v>
      </c>
      <c r="BG330" s="23">
        <v>5.1769848061693269E-2</v>
      </c>
      <c r="BH330" s="23">
        <v>5.1787478864226522E-2</v>
      </c>
      <c r="BI330" s="23">
        <v>5.6921776834458357E-2</v>
      </c>
      <c r="BJ330" s="23">
        <v>6.3043805789729207E-2</v>
      </c>
      <c r="BK330" s="23">
        <v>6.9576745651835636E-2</v>
      </c>
      <c r="BL330" s="23">
        <v>7.4400470103552357E-2</v>
      </c>
      <c r="BM330" s="23">
        <v>7.955572291895778E-2</v>
      </c>
      <c r="BN330" s="23">
        <v>8.3224566401565253E-2</v>
      </c>
      <c r="BO330" s="23">
        <v>8.6746855824232499E-2</v>
      </c>
      <c r="BP330" s="23">
        <v>8.9120526154951502E-2</v>
      </c>
      <c r="BQ330" s="23">
        <v>9.1291816164719597E-2</v>
      </c>
      <c r="BR330" s="23">
        <v>9.2424538577306203E-2</v>
      </c>
      <c r="BS330" s="23">
        <v>9.3562018574440853E-2</v>
      </c>
      <c r="BT330" s="23">
        <v>9.3618454116833949E-2</v>
      </c>
      <c r="BU330" s="23">
        <v>9.3997407661982765E-2</v>
      </c>
      <c r="BV330" s="23">
        <v>9.3074110236608554E-2</v>
      </c>
      <c r="BW330" s="23">
        <v>9.3111150415362998E-2</v>
      </c>
      <c r="BY330" s="17" t="s">
        <v>798</v>
      </c>
      <c r="BZ330" s="23">
        <v>6.2326367863754943E-2</v>
      </c>
      <c r="CA330" s="23">
        <v>6.3513641698972667E-2</v>
      </c>
      <c r="CB330" s="23">
        <v>5.3145511985616928E-2</v>
      </c>
      <c r="CC330" s="23">
        <v>5.177395277454247E-2</v>
      </c>
      <c r="CD330" s="23">
        <v>5.1797696731220998E-2</v>
      </c>
      <c r="CE330" s="23">
        <v>5.2339347904702543E-2</v>
      </c>
      <c r="CF330" s="23">
        <v>5.2519334043681233E-2</v>
      </c>
      <c r="CG330" s="23">
        <v>5.3322627469943457E-2</v>
      </c>
      <c r="CH330" s="23">
        <v>5.3997236511330121E-2</v>
      </c>
      <c r="CI330" s="23">
        <v>5.4769041140792042E-2</v>
      </c>
      <c r="CJ330" s="23">
        <v>5.344065591316724E-2</v>
      </c>
      <c r="CK330" s="23">
        <v>5.2152322369007909E-2</v>
      </c>
      <c r="CL330" s="23">
        <v>5.085682896006477E-2</v>
      </c>
      <c r="CM330" s="23">
        <v>4.9439773420924732E-2</v>
      </c>
      <c r="CN330" s="23">
        <v>4.8174479357856098E-2</v>
      </c>
      <c r="CO330" s="23">
        <v>4.6986854649791347E-2</v>
      </c>
      <c r="CP330" s="23">
        <v>4.5854656257456237E-2</v>
      </c>
      <c r="CQ330" s="23">
        <v>4.48184395467775E-2</v>
      </c>
      <c r="CR330" s="23">
        <v>4.3851278142636542E-2</v>
      </c>
      <c r="CS330" s="23">
        <v>4.2934906849461052E-2</v>
      </c>
      <c r="CU330" s="17" t="s">
        <v>799</v>
      </c>
      <c r="CV330" s="23">
        <v>6.2326367863754943E-2</v>
      </c>
      <c r="CW330" s="23">
        <v>6.3513641698972667E-2</v>
      </c>
      <c r="CX330" s="23">
        <v>5.3145511985616928E-2</v>
      </c>
      <c r="CY330" s="23">
        <v>5.176813476786471E-2</v>
      </c>
      <c r="CZ330" s="23">
        <v>5.178312905993418E-2</v>
      </c>
      <c r="DA330" s="23">
        <v>7.5313591017242332E-2</v>
      </c>
      <c r="DB330" s="23">
        <v>7.469698749904255E-2</v>
      </c>
      <c r="DC330" s="23">
        <v>7.7592059067683392E-2</v>
      </c>
      <c r="DD330" s="23">
        <v>7.6192141788467532E-2</v>
      </c>
      <c r="DE330" s="23">
        <v>7.5148529336249534E-2</v>
      </c>
      <c r="DF330" s="23">
        <v>7.2448321887766912E-2</v>
      </c>
      <c r="DG330" s="23">
        <v>6.9821776396507787E-2</v>
      </c>
      <c r="DH330" s="23">
        <v>6.6843769421728261E-2</v>
      </c>
      <c r="DI330" s="23">
        <v>6.4201248136788472E-2</v>
      </c>
      <c r="DJ330" s="23">
        <v>6.1704575116998478E-2</v>
      </c>
      <c r="DK330" s="23">
        <v>5.9510300391651748E-2</v>
      </c>
      <c r="DL330" s="23">
        <v>5.7433274390178993E-2</v>
      </c>
      <c r="DM330" s="23">
        <v>5.5621115645967299E-2</v>
      </c>
      <c r="DN330" s="23">
        <v>5.3911198876114903E-2</v>
      </c>
      <c r="DO330" s="23">
        <v>5.2407012669330878E-2</v>
      </c>
    </row>
    <row r="331" spans="1:119" x14ac:dyDescent="0.45">
      <c r="A331" s="16" t="s">
        <v>2159</v>
      </c>
      <c r="B331" s="3" t="s">
        <v>89</v>
      </c>
      <c r="C331" s="16" t="s">
        <v>2160</v>
      </c>
      <c r="H331" s="3" t="s">
        <v>2161</v>
      </c>
      <c r="I331" s="3" t="s">
        <v>860</v>
      </c>
      <c r="K331" s="17" t="s">
        <v>2162</v>
      </c>
      <c r="L331" s="3">
        <v>-7.6119684953030523E-3</v>
      </c>
      <c r="M331" s="3">
        <v>-7.4651078887730399E-3</v>
      </c>
      <c r="N331" s="3">
        <v>-6.0616250818751258E-2</v>
      </c>
      <c r="O331" s="3">
        <v>-5.876921320407201E-2</v>
      </c>
      <c r="P331" s="3">
        <v>-5.966920361705734E-2</v>
      </c>
      <c r="Q331" s="3">
        <v>-6.0131119239233172E-2</v>
      </c>
      <c r="R331" s="3">
        <v>-6.0962200898325568E-2</v>
      </c>
      <c r="S331" s="3">
        <v>-6.1797803606296907E-2</v>
      </c>
      <c r="T331" s="3">
        <v>-6.2669568737822576E-2</v>
      </c>
      <c r="U331" s="3">
        <v>-6.2368524700438438E-2</v>
      </c>
      <c r="V331" s="3">
        <v>-6.2242299693522463E-2</v>
      </c>
      <c r="W331" s="3">
        <v>-6.2054498901262883E-2</v>
      </c>
      <c r="X331" s="3">
        <v>-6.1866284567597567E-2</v>
      </c>
      <c r="Y331" s="3">
        <v>-6.1693759720779763E-2</v>
      </c>
      <c r="Z331" s="3">
        <v>-6.1532278927264997E-2</v>
      </c>
      <c r="AA331" s="3">
        <v>-6.1382652209192277E-2</v>
      </c>
      <c r="AB331" s="3">
        <v>-6.1243179317858457E-2</v>
      </c>
      <c r="AC331" s="3">
        <v>-6.1113010924260761E-2</v>
      </c>
      <c r="AD331" s="3">
        <v>-6.0991375978523138E-2</v>
      </c>
      <c r="AE331" s="3">
        <v>-6.062529689973474E-2</v>
      </c>
      <c r="AG331" s="17" t="s">
        <v>2163</v>
      </c>
      <c r="AH331" s="3">
        <v>-7.6119684953030523E-3</v>
      </c>
      <c r="AI331" s="3">
        <v>-7.4651078887730399E-3</v>
      </c>
      <c r="AJ331" s="3">
        <v>-6.0616250818751258E-2</v>
      </c>
      <c r="AK331" s="3">
        <v>-5.8767496505386832E-2</v>
      </c>
      <c r="AL331" s="3">
        <v>-5.9664947874914762E-2</v>
      </c>
      <c r="AM331" s="3">
        <v>-5.0921638672133923E-2</v>
      </c>
      <c r="AN331" s="3">
        <v>-5.1949957431359169E-2</v>
      </c>
      <c r="AO331" s="3">
        <v>-5.1918041646652167E-2</v>
      </c>
      <c r="AP331" s="3">
        <v>-5.4199855297484827E-2</v>
      </c>
      <c r="AQ331" s="3">
        <v>-5.4255406299081453E-2</v>
      </c>
      <c r="AR331" s="3">
        <v>-5.4688551803982369E-2</v>
      </c>
      <c r="AS331" s="3">
        <v>-5.4839455591884481E-2</v>
      </c>
      <c r="AT331" s="3">
        <v>-5.5007471236561259E-2</v>
      </c>
      <c r="AU331" s="3">
        <v>-5.5157903942316233E-2</v>
      </c>
      <c r="AV331" s="3">
        <v>-5.5272964377080791E-2</v>
      </c>
      <c r="AW331" s="3">
        <v>-5.5373615992369722E-2</v>
      </c>
      <c r="AX331" s="3">
        <v>-5.5464345890703891E-2</v>
      </c>
      <c r="AY331" s="3">
        <v>-5.5543412386285879E-2</v>
      </c>
      <c r="AZ331" s="3">
        <v>-5.5614366858013353E-2</v>
      </c>
      <c r="BA331" s="3">
        <v>-5.5424281055539482E-2</v>
      </c>
      <c r="BC331" s="17" t="s">
        <v>2164</v>
      </c>
      <c r="BD331" s="3">
        <v>-7.6119684953030523E-3</v>
      </c>
      <c r="BE331" s="3">
        <v>-7.4651078887730399E-3</v>
      </c>
      <c r="BF331" s="3">
        <v>-6.0616250818751258E-2</v>
      </c>
      <c r="BG331" s="3">
        <v>-5.8763492162605187E-2</v>
      </c>
      <c r="BH331" s="3">
        <v>-5.9654851890877117E-2</v>
      </c>
      <c r="BI331" s="3">
        <v>-5.5514209152046447E-2</v>
      </c>
      <c r="BJ331" s="3">
        <v>-5.0393217761504211E-2</v>
      </c>
      <c r="BK331" s="3">
        <v>-4.5492230247551002E-2</v>
      </c>
      <c r="BL331" s="3">
        <v>-4.2212368081937998E-2</v>
      </c>
      <c r="BM331" s="3">
        <v>-3.7511358635977168E-2</v>
      </c>
      <c r="BN331" s="3">
        <v>-3.2474065474584229E-2</v>
      </c>
      <c r="BO331" s="3">
        <v>-2.760118303799558E-2</v>
      </c>
      <c r="BP331" s="3">
        <v>-2.3824752689339451E-2</v>
      </c>
      <c r="BQ331" s="3">
        <v>-2.0348630998919089E-2</v>
      </c>
      <c r="BR331" s="3">
        <v>-1.7995536844629161E-2</v>
      </c>
      <c r="BS331" s="3">
        <v>-1.571849354922181E-2</v>
      </c>
      <c r="BT331" s="3">
        <v>-1.459435347820311E-2</v>
      </c>
      <c r="BU331" s="3">
        <v>-1.3209172922344969E-2</v>
      </c>
      <c r="BV331" s="3">
        <v>-1.3180950284621851E-2</v>
      </c>
      <c r="BW331" s="3">
        <v>-1.198735271003813E-2</v>
      </c>
      <c r="BY331" s="17" t="s">
        <v>2165</v>
      </c>
      <c r="BZ331" s="3">
        <v>-7.6119684953030523E-3</v>
      </c>
      <c r="CA331" s="3">
        <v>-7.4651078887730399E-3</v>
      </c>
      <c r="CB331" s="3">
        <v>-6.0616250818751258E-2</v>
      </c>
      <c r="CC331" s="3">
        <v>-5.8759387449755993E-2</v>
      </c>
      <c r="CD331" s="3">
        <v>-5.9644634023882627E-2</v>
      </c>
      <c r="CE331" s="3">
        <v>-6.0096638081802267E-2</v>
      </c>
      <c r="CF331" s="3">
        <v>-6.0917689507552192E-2</v>
      </c>
      <c r="CG331" s="3">
        <v>-6.1746348429443182E-2</v>
      </c>
      <c r="CH331" s="3">
        <v>-6.2615601674160234E-2</v>
      </c>
      <c r="CI331" s="3">
        <v>-6.2298040414142913E-2</v>
      </c>
      <c r="CJ331" s="3">
        <v>-6.2257975962982243E-2</v>
      </c>
      <c r="CK331" s="3">
        <v>-6.2195716493220171E-2</v>
      </c>
      <c r="CL331" s="3">
        <v>-6.2088449884226182E-2</v>
      </c>
      <c r="CM331" s="3">
        <v>-6.2200673742713958E-2</v>
      </c>
      <c r="CN331" s="3">
        <v>-6.224559606407927E-2</v>
      </c>
      <c r="CO331" s="3">
        <v>-6.2293657473871313E-2</v>
      </c>
      <c r="CP331" s="3">
        <v>-6.2358151337580811E-2</v>
      </c>
      <c r="CQ331" s="3">
        <v>-6.2388141037550228E-2</v>
      </c>
      <c r="CR331" s="3">
        <v>-6.2403782378593869E-2</v>
      </c>
      <c r="CS331" s="3">
        <v>-6.2163596275940078E-2</v>
      </c>
      <c r="CU331" s="17" t="s">
        <v>2166</v>
      </c>
      <c r="CV331" s="3">
        <v>-7.6119684953030523E-3</v>
      </c>
      <c r="CW331" s="3">
        <v>-7.4651078887730399E-3</v>
      </c>
      <c r="CX331" s="3">
        <v>-6.0616250818751258E-2</v>
      </c>
      <c r="CY331" s="3">
        <v>-5.8765205456433753E-2</v>
      </c>
      <c r="CZ331" s="3">
        <v>-5.9659201695169459E-2</v>
      </c>
      <c r="DA331" s="3">
        <v>-3.7122394969262479E-2</v>
      </c>
      <c r="DB331" s="3">
        <v>-3.8740036052190868E-2</v>
      </c>
      <c r="DC331" s="3">
        <v>-3.7476916831703247E-2</v>
      </c>
      <c r="DD331" s="3">
        <v>-4.0420696397022823E-2</v>
      </c>
      <c r="DE331" s="3">
        <v>-4.1918552218685408E-2</v>
      </c>
      <c r="DF331" s="3">
        <v>-4.3250309988382571E-2</v>
      </c>
      <c r="DG331" s="3">
        <v>-4.4526262465720293E-2</v>
      </c>
      <c r="DH331" s="3">
        <v>-4.6101509422562692E-2</v>
      </c>
      <c r="DI331" s="3">
        <v>-4.7439199026850218E-2</v>
      </c>
      <c r="DJ331" s="3">
        <v>-4.871550030493689E-2</v>
      </c>
      <c r="DK331" s="3">
        <v>-4.9770211732010912E-2</v>
      </c>
      <c r="DL331" s="3">
        <v>-5.0779533204858063E-2</v>
      </c>
      <c r="DM331" s="3">
        <v>-5.1585464938360442E-2</v>
      </c>
      <c r="DN331" s="3">
        <v>-5.2343861645115508E-2</v>
      </c>
      <c r="DO331" s="3">
        <v>-5.2691490456070252E-2</v>
      </c>
    </row>
    <row r="332" spans="1:119" x14ac:dyDescent="0.45">
      <c r="A332" s="16" t="s">
        <v>962</v>
      </c>
      <c r="B332" s="3" t="s">
        <v>89</v>
      </c>
      <c r="C332" s="16" t="s">
        <v>963</v>
      </c>
      <c r="H332" s="3" t="s">
        <v>964</v>
      </c>
      <c r="I332" s="3" t="s">
        <v>794</v>
      </c>
      <c r="K332" s="17" t="s">
        <v>965</v>
      </c>
      <c r="L332" s="3">
        <v>4.2212142932163691E-6</v>
      </c>
      <c r="M332" s="3">
        <v>2.5007644074650732E-6</v>
      </c>
      <c r="N332" s="3">
        <v>-5.396046500914186E-2</v>
      </c>
      <c r="O332" s="3">
        <v>-5.396046500914186E-2</v>
      </c>
      <c r="P332" s="3">
        <v>-5.396046500914186E-2</v>
      </c>
      <c r="Q332" s="3">
        <v>-5.396046500914186E-2</v>
      </c>
      <c r="R332" s="3">
        <v>-5.396046500914186E-2</v>
      </c>
      <c r="S332" s="3">
        <v>-5.396046500914186E-2</v>
      </c>
      <c r="T332" s="3">
        <v>-5.396046500914186E-2</v>
      </c>
      <c r="U332" s="3">
        <v>-5.396046500914186E-2</v>
      </c>
      <c r="V332" s="3">
        <v>-5.396046500914186E-2</v>
      </c>
      <c r="W332" s="3">
        <v>-5.396046500914186E-2</v>
      </c>
      <c r="X332" s="3">
        <v>-5.396046500914186E-2</v>
      </c>
      <c r="Y332" s="3">
        <v>-5.396046500914186E-2</v>
      </c>
      <c r="Z332" s="3">
        <v>-5.396046500914186E-2</v>
      </c>
      <c r="AA332" s="3">
        <v>-5.396046500914186E-2</v>
      </c>
      <c r="AB332" s="3">
        <v>-5.396046500914186E-2</v>
      </c>
      <c r="AC332" s="3">
        <v>-5.396046500914186E-2</v>
      </c>
      <c r="AD332" s="3">
        <v>-5.396046500914186E-2</v>
      </c>
      <c r="AE332" s="3">
        <v>-5.396046500914186E-2</v>
      </c>
      <c r="AG332" s="17" t="s">
        <v>966</v>
      </c>
      <c r="AH332" s="3">
        <v>4.2212142932163691E-6</v>
      </c>
      <c r="AI332" s="3">
        <v>2.5007644074650732E-6</v>
      </c>
      <c r="AJ332" s="3">
        <v>-5.396046500914186E-2</v>
      </c>
      <c r="AK332" s="3">
        <v>-5.396046500914186E-2</v>
      </c>
      <c r="AL332" s="3">
        <v>-5.396046500914186E-2</v>
      </c>
      <c r="AM332" s="3">
        <v>-5.396046500914186E-2</v>
      </c>
      <c r="AN332" s="3">
        <v>-5.396046500914186E-2</v>
      </c>
      <c r="AO332" s="3">
        <v>-5.396046500914186E-2</v>
      </c>
      <c r="AP332" s="3">
        <v>-5.396046500914186E-2</v>
      </c>
      <c r="AQ332" s="3">
        <v>-5.396046500914186E-2</v>
      </c>
      <c r="AR332" s="3">
        <v>-5.396046500914186E-2</v>
      </c>
      <c r="AS332" s="3">
        <v>-5.396046500914186E-2</v>
      </c>
      <c r="AT332" s="3">
        <v>-5.396046500914186E-2</v>
      </c>
      <c r="AU332" s="3">
        <v>-5.396046500914186E-2</v>
      </c>
      <c r="AV332" s="3">
        <v>-5.396046500914186E-2</v>
      </c>
      <c r="AW332" s="3">
        <v>-5.396046500914186E-2</v>
      </c>
      <c r="AX332" s="3">
        <v>-5.396046500914186E-2</v>
      </c>
      <c r="AY332" s="3">
        <v>-5.396046500914186E-2</v>
      </c>
      <c r="AZ332" s="3">
        <v>-5.396046500914186E-2</v>
      </c>
      <c r="BA332" s="3">
        <v>-5.396046500914186E-2</v>
      </c>
      <c r="BC332" s="17" t="s">
        <v>967</v>
      </c>
      <c r="BD332" s="3">
        <v>4.2212142932163691E-6</v>
      </c>
      <c r="BE332" s="3">
        <v>2.5007644074650732E-6</v>
      </c>
      <c r="BF332" s="3">
        <v>-5.396046500914186E-2</v>
      </c>
      <c r="BG332" s="3">
        <v>-5.396046500914186E-2</v>
      </c>
      <c r="BH332" s="3">
        <v>-5.396046500914186E-2</v>
      </c>
      <c r="BI332" s="3">
        <v>-5.396046500914186E-2</v>
      </c>
      <c r="BJ332" s="3">
        <v>-5.396046500914186E-2</v>
      </c>
      <c r="BK332" s="3">
        <v>-5.396046500914186E-2</v>
      </c>
      <c r="BL332" s="3">
        <v>-5.396046500914186E-2</v>
      </c>
      <c r="BM332" s="3">
        <v>-5.396046500914186E-2</v>
      </c>
      <c r="BN332" s="3">
        <v>-5.396046500914186E-2</v>
      </c>
      <c r="BO332" s="3">
        <v>-5.396046500914186E-2</v>
      </c>
      <c r="BP332" s="3">
        <v>-5.396046500914186E-2</v>
      </c>
      <c r="BQ332" s="3">
        <v>-5.396046500914186E-2</v>
      </c>
      <c r="BR332" s="3">
        <v>-5.396046500914186E-2</v>
      </c>
      <c r="BS332" s="3">
        <v>-5.396046500914186E-2</v>
      </c>
      <c r="BT332" s="3">
        <v>-5.396046500914186E-2</v>
      </c>
      <c r="BU332" s="3">
        <v>-5.396046500914186E-2</v>
      </c>
      <c r="BV332" s="3">
        <v>-5.396046500914186E-2</v>
      </c>
      <c r="BW332" s="3">
        <v>-5.396046500914186E-2</v>
      </c>
      <c r="BY332" s="17" t="s">
        <v>968</v>
      </c>
      <c r="BZ332" s="3">
        <v>4.2212142932163691E-6</v>
      </c>
      <c r="CA332" s="3">
        <v>2.5007644074650732E-6</v>
      </c>
      <c r="CB332" s="3">
        <v>-5.396046500914186E-2</v>
      </c>
      <c r="CC332" s="3">
        <v>-5.396046500914186E-2</v>
      </c>
      <c r="CD332" s="3">
        <v>-5.396046500914186E-2</v>
      </c>
      <c r="CE332" s="3">
        <v>-5.396046500914186E-2</v>
      </c>
      <c r="CF332" s="3">
        <v>-5.396046500914186E-2</v>
      </c>
      <c r="CG332" s="3">
        <v>-5.396046500914186E-2</v>
      </c>
      <c r="CH332" s="3">
        <v>-5.396046500914186E-2</v>
      </c>
      <c r="CI332" s="3">
        <v>-5.396046500914186E-2</v>
      </c>
      <c r="CJ332" s="3">
        <v>-5.396046500914186E-2</v>
      </c>
      <c r="CK332" s="3">
        <v>-5.396046500914186E-2</v>
      </c>
      <c r="CL332" s="3">
        <v>-5.396046500914186E-2</v>
      </c>
      <c r="CM332" s="3">
        <v>-5.396046500914186E-2</v>
      </c>
      <c r="CN332" s="3">
        <v>-5.396046500914186E-2</v>
      </c>
      <c r="CO332" s="3">
        <v>-5.396046500914186E-2</v>
      </c>
      <c r="CP332" s="3">
        <v>-5.396046500914186E-2</v>
      </c>
      <c r="CQ332" s="3">
        <v>-5.396046500914186E-2</v>
      </c>
      <c r="CR332" s="3">
        <v>-5.396046500914186E-2</v>
      </c>
      <c r="CS332" s="3">
        <v>-5.396046500914186E-2</v>
      </c>
      <c r="CU332" s="17" t="s">
        <v>969</v>
      </c>
      <c r="CV332" s="3">
        <v>4.2212142932163691E-6</v>
      </c>
      <c r="CW332" s="3">
        <v>2.5007644074650732E-6</v>
      </c>
      <c r="CX332" s="3">
        <v>-5.396046500914186E-2</v>
      </c>
      <c r="CY332" s="3">
        <v>-5.396046500914186E-2</v>
      </c>
      <c r="CZ332" s="3">
        <v>-5.396046500914186E-2</v>
      </c>
      <c r="DA332" s="3">
        <v>-5.396046500914186E-2</v>
      </c>
      <c r="DB332" s="3">
        <v>-5.396046500914186E-2</v>
      </c>
      <c r="DC332" s="3">
        <v>-5.396046500914186E-2</v>
      </c>
      <c r="DD332" s="3">
        <v>-5.396046500914186E-2</v>
      </c>
      <c r="DE332" s="3">
        <v>-5.396046500914186E-2</v>
      </c>
      <c r="DF332" s="3">
        <v>-5.396046500914186E-2</v>
      </c>
      <c r="DG332" s="3">
        <v>-5.396046500914186E-2</v>
      </c>
      <c r="DH332" s="3">
        <v>-5.396046500914186E-2</v>
      </c>
      <c r="DI332" s="3">
        <v>-5.396046500914186E-2</v>
      </c>
      <c r="DJ332" s="3">
        <v>-5.396046500914186E-2</v>
      </c>
      <c r="DK332" s="3">
        <v>-5.396046500914186E-2</v>
      </c>
      <c r="DL332" s="3">
        <v>-5.396046500914186E-2</v>
      </c>
      <c r="DM332" s="3">
        <v>-5.396046500914186E-2</v>
      </c>
      <c r="DN332" s="3">
        <v>-5.396046500914186E-2</v>
      </c>
      <c r="DO332" s="3">
        <v>-5.396046500914186E-2</v>
      </c>
    </row>
    <row r="333" spans="1:119" x14ac:dyDescent="0.45">
      <c r="A333" s="16" t="s">
        <v>2167</v>
      </c>
      <c r="B333" s="3" t="s">
        <v>89</v>
      </c>
      <c r="C333" s="16" t="s">
        <v>2168</v>
      </c>
      <c r="H333" s="3" t="s">
        <v>2169</v>
      </c>
      <c r="I333" s="3" t="s">
        <v>109</v>
      </c>
      <c r="K333" s="17" t="s">
        <v>2170</v>
      </c>
      <c r="L333" s="3">
        <v>0</v>
      </c>
      <c r="M333" s="3">
        <v>0</v>
      </c>
      <c r="N333" s="3">
        <v>0</v>
      </c>
      <c r="O333" s="3">
        <v>0</v>
      </c>
      <c r="P333" s="3">
        <v>0</v>
      </c>
      <c r="Q333" s="3">
        <v>0</v>
      </c>
      <c r="R333" s="3">
        <v>0</v>
      </c>
      <c r="S333" s="3">
        <v>0</v>
      </c>
      <c r="T333" s="3">
        <v>0</v>
      </c>
      <c r="U333" s="3">
        <v>0</v>
      </c>
      <c r="V333" s="3">
        <v>0</v>
      </c>
      <c r="W333" s="3">
        <v>0</v>
      </c>
      <c r="X333" s="3">
        <v>0</v>
      </c>
      <c r="Y333" s="3">
        <v>0</v>
      </c>
      <c r="Z333" s="3">
        <v>0</v>
      </c>
      <c r="AA333" s="3">
        <v>0</v>
      </c>
      <c r="AB333" s="3">
        <v>0</v>
      </c>
      <c r="AC333" s="3">
        <v>0</v>
      </c>
      <c r="AD333" s="3">
        <v>0</v>
      </c>
      <c r="AE333" s="3">
        <v>0</v>
      </c>
      <c r="AG333" s="17" t="s">
        <v>2171</v>
      </c>
      <c r="AH333" s="3">
        <v>0</v>
      </c>
      <c r="AI333" s="3">
        <v>0</v>
      </c>
      <c r="AJ333" s="3">
        <v>0</v>
      </c>
      <c r="AK333" s="3">
        <v>0</v>
      </c>
      <c r="AL333" s="3">
        <v>0</v>
      </c>
      <c r="AM333" s="3">
        <v>0</v>
      </c>
      <c r="AN333" s="3">
        <v>0</v>
      </c>
      <c r="AO333" s="3">
        <v>0</v>
      </c>
      <c r="AP333" s="3">
        <v>0</v>
      </c>
      <c r="AQ333" s="3">
        <v>0</v>
      </c>
      <c r="AR333" s="3">
        <v>0</v>
      </c>
      <c r="AS333" s="3">
        <v>0</v>
      </c>
      <c r="AT333" s="3">
        <v>0</v>
      </c>
      <c r="AU333" s="3">
        <v>0</v>
      </c>
      <c r="AV333" s="3">
        <v>0</v>
      </c>
      <c r="AW333" s="3">
        <v>0</v>
      </c>
      <c r="AX333" s="3">
        <v>0</v>
      </c>
      <c r="AY333" s="3">
        <v>0</v>
      </c>
      <c r="AZ333" s="3">
        <v>0</v>
      </c>
      <c r="BA333" s="3">
        <v>0</v>
      </c>
      <c r="BC333" s="17" t="s">
        <v>2172</v>
      </c>
      <c r="BD333" s="3">
        <v>0</v>
      </c>
      <c r="BE333" s="3">
        <v>0</v>
      </c>
      <c r="BF333" s="3">
        <v>0</v>
      </c>
      <c r="BG333" s="3">
        <v>0</v>
      </c>
      <c r="BH333" s="3">
        <v>0</v>
      </c>
      <c r="BI333" s="3">
        <v>0</v>
      </c>
      <c r="BJ333" s="3">
        <v>0</v>
      </c>
      <c r="BK333" s="3">
        <v>0</v>
      </c>
      <c r="BL333" s="3">
        <v>0</v>
      </c>
      <c r="BM333" s="3">
        <v>0</v>
      </c>
      <c r="BN333" s="3">
        <v>0</v>
      </c>
      <c r="BO333" s="3">
        <v>0</v>
      </c>
      <c r="BP333" s="3">
        <v>0</v>
      </c>
      <c r="BQ333" s="3">
        <v>0</v>
      </c>
      <c r="BR333" s="3">
        <v>0</v>
      </c>
      <c r="BS333" s="3">
        <v>0</v>
      </c>
      <c r="BT333" s="3">
        <v>0</v>
      </c>
      <c r="BU333" s="3">
        <v>0</v>
      </c>
      <c r="BV333" s="3">
        <v>0</v>
      </c>
      <c r="BW333" s="3">
        <v>0</v>
      </c>
      <c r="BY333" s="17" t="s">
        <v>2173</v>
      </c>
      <c r="BZ333" s="3">
        <v>0</v>
      </c>
      <c r="CA333" s="3">
        <v>0</v>
      </c>
      <c r="CB333" s="3">
        <v>0</v>
      </c>
      <c r="CC333" s="3">
        <v>0</v>
      </c>
      <c r="CD333" s="3">
        <v>0</v>
      </c>
      <c r="CE333" s="3">
        <v>0</v>
      </c>
      <c r="CF333" s="3">
        <v>0</v>
      </c>
      <c r="CG333" s="3">
        <v>0</v>
      </c>
      <c r="CH333" s="3">
        <v>0</v>
      </c>
      <c r="CI333" s="3">
        <v>0</v>
      </c>
      <c r="CJ333" s="3">
        <v>0</v>
      </c>
      <c r="CK333" s="3">
        <v>0</v>
      </c>
      <c r="CL333" s="3">
        <v>0</v>
      </c>
      <c r="CM333" s="3">
        <v>0</v>
      </c>
      <c r="CN333" s="3">
        <v>0</v>
      </c>
      <c r="CO333" s="3">
        <v>0</v>
      </c>
      <c r="CP333" s="3">
        <v>0</v>
      </c>
      <c r="CQ333" s="3">
        <v>0</v>
      </c>
      <c r="CR333" s="3">
        <v>0</v>
      </c>
      <c r="CS333" s="3">
        <v>0</v>
      </c>
      <c r="CU333" s="17" t="s">
        <v>2174</v>
      </c>
      <c r="CV333" s="3">
        <v>0</v>
      </c>
      <c r="CW333" s="3">
        <v>0</v>
      </c>
      <c r="CX333" s="3">
        <v>0</v>
      </c>
      <c r="CY333" s="3">
        <v>0</v>
      </c>
      <c r="CZ333" s="3">
        <v>0</v>
      </c>
      <c r="DA333" s="3">
        <v>0</v>
      </c>
      <c r="DB333" s="3">
        <v>0</v>
      </c>
      <c r="DC333" s="3">
        <v>0</v>
      </c>
      <c r="DD333" s="3">
        <v>0</v>
      </c>
      <c r="DE333" s="3">
        <v>0</v>
      </c>
      <c r="DF333" s="3">
        <v>0</v>
      </c>
      <c r="DG333" s="3">
        <v>0</v>
      </c>
      <c r="DH333" s="3">
        <v>0</v>
      </c>
      <c r="DI333" s="3">
        <v>0</v>
      </c>
      <c r="DJ333" s="3">
        <v>0</v>
      </c>
      <c r="DK333" s="3">
        <v>0</v>
      </c>
      <c r="DL333" s="3">
        <v>0</v>
      </c>
      <c r="DM333" s="3">
        <v>0</v>
      </c>
      <c r="DN333" s="3">
        <v>0</v>
      </c>
      <c r="DO333" s="3">
        <v>0</v>
      </c>
    </row>
    <row r="334" spans="1:119" x14ac:dyDescent="0.45">
      <c r="A334" s="16" t="s">
        <v>2175</v>
      </c>
      <c r="B334" s="3" t="s">
        <v>89</v>
      </c>
      <c r="C334" s="16" t="s">
        <v>2176</v>
      </c>
      <c r="H334" s="3" t="s">
        <v>2177</v>
      </c>
      <c r="I334" s="3" t="s">
        <v>860</v>
      </c>
      <c r="K334" s="17" t="s">
        <v>2178</v>
      </c>
      <c r="L334" s="3">
        <v>7.616189709596273E-3</v>
      </c>
      <c r="M334" s="3">
        <v>7.4676086531805163E-3</v>
      </c>
      <c r="N334" s="3">
        <v>6.6557858096093969E-3</v>
      </c>
      <c r="O334" s="3">
        <v>4.8087481949301483E-3</v>
      </c>
      <c r="P334" s="3">
        <v>5.7087386079154676E-3</v>
      </c>
      <c r="Q334" s="3">
        <v>6.1706542300913108E-3</v>
      </c>
      <c r="R334" s="3">
        <v>7.0017358891837009E-3</v>
      </c>
      <c r="S334" s="3">
        <v>7.8373385971550538E-3</v>
      </c>
      <c r="T334" s="3">
        <v>8.7091037286807036E-3</v>
      </c>
      <c r="U334" s="3">
        <v>8.4080596912965693E-3</v>
      </c>
      <c r="V334" s="3">
        <v>8.2818346843805887E-3</v>
      </c>
      <c r="W334" s="3">
        <v>8.0940338921210216E-3</v>
      </c>
      <c r="X334" s="3">
        <v>7.9058195584557032E-3</v>
      </c>
      <c r="Y334" s="3">
        <v>7.7332947116378926E-3</v>
      </c>
      <c r="Z334" s="3">
        <v>7.5718139181231289E-3</v>
      </c>
      <c r="AA334" s="3">
        <v>7.4221872000504244E-3</v>
      </c>
      <c r="AB334" s="3">
        <v>7.2827143087165836E-3</v>
      </c>
      <c r="AC334" s="3">
        <v>7.1525459151188893E-3</v>
      </c>
      <c r="AD334" s="3">
        <v>7.0309109693812684E-3</v>
      </c>
      <c r="AE334" s="3">
        <v>6.6648318905928768E-3</v>
      </c>
      <c r="AG334" s="17" t="s">
        <v>2179</v>
      </c>
      <c r="AH334" s="3">
        <v>7.616189709596273E-3</v>
      </c>
      <c r="AI334" s="3">
        <v>7.4676086531805163E-3</v>
      </c>
      <c r="AJ334" s="3">
        <v>6.6557858096093969E-3</v>
      </c>
      <c r="AK334" s="3">
        <v>4.8087481949301483E-3</v>
      </c>
      <c r="AL334" s="3">
        <v>5.7087386079154676E-3</v>
      </c>
      <c r="AM334" s="3">
        <v>6.1706542300913108E-3</v>
      </c>
      <c r="AN334" s="3">
        <v>7.0017358891837009E-3</v>
      </c>
      <c r="AO334" s="3">
        <v>7.8373385971550538E-3</v>
      </c>
      <c r="AP334" s="3">
        <v>8.7091037286807036E-3</v>
      </c>
      <c r="AQ334" s="3">
        <v>8.4080596912965693E-3</v>
      </c>
      <c r="AR334" s="3">
        <v>8.2818346843805887E-3</v>
      </c>
      <c r="AS334" s="3">
        <v>8.0940338921210216E-3</v>
      </c>
      <c r="AT334" s="3">
        <v>7.9058195584557032E-3</v>
      </c>
      <c r="AU334" s="3">
        <v>7.7332947116378926E-3</v>
      </c>
      <c r="AV334" s="3">
        <v>7.5718139181231289E-3</v>
      </c>
      <c r="AW334" s="3">
        <v>7.4221872000504244E-3</v>
      </c>
      <c r="AX334" s="3">
        <v>7.2827143087165836E-3</v>
      </c>
      <c r="AY334" s="3">
        <v>7.1525459151188893E-3</v>
      </c>
      <c r="AZ334" s="3">
        <v>7.0309109693812684E-3</v>
      </c>
      <c r="BA334" s="3">
        <v>6.6648318905928768E-3</v>
      </c>
      <c r="BC334" s="17" t="s">
        <v>2180</v>
      </c>
      <c r="BD334" s="3">
        <v>7.616189709596273E-3</v>
      </c>
      <c r="BE334" s="3">
        <v>7.4676086531805163E-3</v>
      </c>
      <c r="BF334" s="3">
        <v>6.6557858096093969E-3</v>
      </c>
      <c r="BG334" s="3">
        <v>4.8087481949301483E-3</v>
      </c>
      <c r="BH334" s="3">
        <v>5.7087386079154676E-3</v>
      </c>
      <c r="BI334" s="3">
        <v>6.1706542300913108E-3</v>
      </c>
      <c r="BJ334" s="3">
        <v>7.0017358891837009E-3</v>
      </c>
      <c r="BK334" s="3">
        <v>7.8373385971550538E-3</v>
      </c>
      <c r="BL334" s="3">
        <v>8.7091037286807036E-3</v>
      </c>
      <c r="BM334" s="3">
        <v>8.4080596912965693E-3</v>
      </c>
      <c r="BN334" s="3">
        <v>8.2818346843805887E-3</v>
      </c>
      <c r="BO334" s="3">
        <v>8.0940338921210216E-3</v>
      </c>
      <c r="BP334" s="3">
        <v>7.9058195584557032E-3</v>
      </c>
      <c r="BQ334" s="3">
        <v>7.7332947116378926E-3</v>
      </c>
      <c r="BR334" s="3">
        <v>7.5718139181231289E-3</v>
      </c>
      <c r="BS334" s="3">
        <v>7.4221872000504244E-3</v>
      </c>
      <c r="BT334" s="3">
        <v>7.2827143087165836E-3</v>
      </c>
      <c r="BU334" s="3">
        <v>7.1525459151188893E-3</v>
      </c>
      <c r="BV334" s="3">
        <v>7.0309109693812684E-3</v>
      </c>
      <c r="BW334" s="3">
        <v>6.6648318905928768E-3</v>
      </c>
      <c r="BY334" s="17" t="s">
        <v>2181</v>
      </c>
      <c r="BZ334" s="3">
        <v>7.616189709596273E-3</v>
      </c>
      <c r="CA334" s="3">
        <v>7.4676086531805163E-3</v>
      </c>
      <c r="CB334" s="3">
        <v>6.6557858096093969E-3</v>
      </c>
      <c r="CC334" s="3">
        <v>4.8087481949301483E-3</v>
      </c>
      <c r="CD334" s="3">
        <v>5.7087386079154676E-3</v>
      </c>
      <c r="CE334" s="3">
        <v>6.1706542300913108E-3</v>
      </c>
      <c r="CF334" s="3">
        <v>7.0017358891837009E-3</v>
      </c>
      <c r="CG334" s="3">
        <v>7.8373385971550538E-3</v>
      </c>
      <c r="CH334" s="3">
        <v>8.7091037286807036E-3</v>
      </c>
      <c r="CI334" s="3">
        <v>8.4080596912965693E-3</v>
      </c>
      <c r="CJ334" s="3">
        <v>8.2818346843805887E-3</v>
      </c>
      <c r="CK334" s="3">
        <v>8.0940338921210216E-3</v>
      </c>
      <c r="CL334" s="3">
        <v>7.9058195584557032E-3</v>
      </c>
      <c r="CM334" s="3">
        <v>7.7332947116378926E-3</v>
      </c>
      <c r="CN334" s="3">
        <v>7.5718139181231289E-3</v>
      </c>
      <c r="CO334" s="3">
        <v>7.4221872000504244E-3</v>
      </c>
      <c r="CP334" s="3">
        <v>7.2827143087165836E-3</v>
      </c>
      <c r="CQ334" s="3">
        <v>7.1525459151188893E-3</v>
      </c>
      <c r="CR334" s="3">
        <v>7.0309109693812684E-3</v>
      </c>
      <c r="CS334" s="3">
        <v>6.6648318905928768E-3</v>
      </c>
      <c r="CU334" s="17" t="s">
        <v>2182</v>
      </c>
      <c r="CV334" s="3">
        <v>7.616189709596273E-3</v>
      </c>
      <c r="CW334" s="3">
        <v>7.4676086531805163E-3</v>
      </c>
      <c r="CX334" s="3">
        <v>6.6557858096093969E-3</v>
      </c>
      <c r="CY334" s="3">
        <v>4.8087481949301483E-3</v>
      </c>
      <c r="CZ334" s="3">
        <v>5.7087386079154676E-3</v>
      </c>
      <c r="DA334" s="3">
        <v>6.1706542300913108E-3</v>
      </c>
      <c r="DB334" s="3">
        <v>7.0017358891837009E-3</v>
      </c>
      <c r="DC334" s="3">
        <v>7.8373385971550538E-3</v>
      </c>
      <c r="DD334" s="3">
        <v>8.7091037286807036E-3</v>
      </c>
      <c r="DE334" s="3">
        <v>8.4080596912965693E-3</v>
      </c>
      <c r="DF334" s="3">
        <v>8.2818346843805887E-3</v>
      </c>
      <c r="DG334" s="3">
        <v>8.0940338921210216E-3</v>
      </c>
      <c r="DH334" s="3">
        <v>7.9058195584557032E-3</v>
      </c>
      <c r="DI334" s="3">
        <v>7.7332947116378926E-3</v>
      </c>
      <c r="DJ334" s="3">
        <v>7.5718139181231289E-3</v>
      </c>
      <c r="DK334" s="3">
        <v>7.4221872000504244E-3</v>
      </c>
      <c r="DL334" s="3">
        <v>7.2827143087165836E-3</v>
      </c>
      <c r="DM334" s="3">
        <v>7.1525459151188893E-3</v>
      </c>
      <c r="DN334" s="3">
        <v>7.0309109693812684E-3</v>
      </c>
      <c r="DO334" s="3">
        <v>6.6648318905928768E-3</v>
      </c>
    </row>
    <row r="335" spans="1:119" x14ac:dyDescent="0.45">
      <c r="A335" s="16" t="s">
        <v>2183</v>
      </c>
      <c r="B335" s="3" t="s">
        <v>89</v>
      </c>
      <c r="C335" s="16" t="s">
        <v>2184</v>
      </c>
      <c r="H335" s="3" t="s">
        <v>2185</v>
      </c>
      <c r="I335" s="3" t="s">
        <v>109</v>
      </c>
      <c r="K335" s="17" t="s">
        <v>2186</v>
      </c>
      <c r="L335" s="3">
        <v>0</v>
      </c>
      <c r="M335" s="3">
        <v>0</v>
      </c>
      <c r="N335" s="3">
        <v>0</v>
      </c>
      <c r="O335" s="3">
        <v>0</v>
      </c>
      <c r="P335" s="3">
        <v>0</v>
      </c>
      <c r="Q335" s="3">
        <v>0</v>
      </c>
      <c r="R335" s="3">
        <v>0</v>
      </c>
      <c r="S335" s="3">
        <v>0</v>
      </c>
      <c r="T335" s="3">
        <v>0</v>
      </c>
      <c r="U335" s="3">
        <v>0</v>
      </c>
      <c r="V335" s="3">
        <v>0</v>
      </c>
      <c r="W335" s="3">
        <v>0</v>
      </c>
      <c r="X335" s="3">
        <v>0</v>
      </c>
      <c r="Y335" s="3">
        <v>0</v>
      </c>
      <c r="Z335" s="3">
        <v>0</v>
      </c>
      <c r="AA335" s="3">
        <v>0</v>
      </c>
      <c r="AB335" s="3">
        <v>0</v>
      </c>
      <c r="AC335" s="3">
        <v>0</v>
      </c>
      <c r="AD335" s="3">
        <v>0</v>
      </c>
      <c r="AE335" s="3">
        <v>0</v>
      </c>
      <c r="AG335" s="17" t="s">
        <v>2187</v>
      </c>
      <c r="AH335" s="3">
        <v>0</v>
      </c>
      <c r="AI335" s="3">
        <v>0</v>
      </c>
      <c r="AJ335" s="3">
        <v>0</v>
      </c>
      <c r="AK335" s="3">
        <v>0</v>
      </c>
      <c r="AL335" s="3">
        <v>0</v>
      </c>
      <c r="AM335" s="3">
        <v>0</v>
      </c>
      <c r="AN335" s="3">
        <v>0</v>
      </c>
      <c r="AO335" s="3">
        <v>0</v>
      </c>
      <c r="AP335" s="3">
        <v>0</v>
      </c>
      <c r="AQ335" s="3">
        <v>0</v>
      </c>
      <c r="AR335" s="3">
        <v>0</v>
      </c>
      <c r="AS335" s="3">
        <v>0</v>
      </c>
      <c r="AT335" s="3">
        <v>0</v>
      </c>
      <c r="AU335" s="3">
        <v>0</v>
      </c>
      <c r="AV335" s="3">
        <v>0</v>
      </c>
      <c r="AW335" s="3">
        <v>0</v>
      </c>
      <c r="AX335" s="3">
        <v>0</v>
      </c>
      <c r="AY335" s="3">
        <v>0</v>
      </c>
      <c r="AZ335" s="3">
        <v>0</v>
      </c>
      <c r="BA335" s="3">
        <v>0</v>
      </c>
      <c r="BC335" s="17" t="s">
        <v>2188</v>
      </c>
      <c r="BD335" s="3">
        <v>0</v>
      </c>
      <c r="BE335" s="3">
        <v>0</v>
      </c>
      <c r="BF335" s="3">
        <v>0</v>
      </c>
      <c r="BG335" s="3">
        <v>0</v>
      </c>
      <c r="BH335" s="3">
        <v>0</v>
      </c>
      <c r="BI335" s="3">
        <v>0</v>
      </c>
      <c r="BJ335" s="3">
        <v>0</v>
      </c>
      <c r="BK335" s="3">
        <v>0</v>
      </c>
      <c r="BL335" s="3">
        <v>0</v>
      </c>
      <c r="BM335" s="3">
        <v>0</v>
      </c>
      <c r="BN335" s="3">
        <v>0</v>
      </c>
      <c r="BO335" s="3">
        <v>0</v>
      </c>
      <c r="BP335" s="3">
        <v>0</v>
      </c>
      <c r="BQ335" s="3">
        <v>0</v>
      </c>
      <c r="BR335" s="3">
        <v>0</v>
      </c>
      <c r="BS335" s="3">
        <v>0</v>
      </c>
      <c r="BT335" s="3">
        <v>0</v>
      </c>
      <c r="BU335" s="3">
        <v>0</v>
      </c>
      <c r="BV335" s="3">
        <v>0</v>
      </c>
      <c r="BW335" s="3">
        <v>0</v>
      </c>
      <c r="BY335" s="17" t="s">
        <v>2189</v>
      </c>
      <c r="BZ335" s="3">
        <v>0</v>
      </c>
      <c r="CA335" s="3">
        <v>0</v>
      </c>
      <c r="CB335" s="3">
        <v>0</v>
      </c>
      <c r="CC335" s="3">
        <v>0</v>
      </c>
      <c r="CD335" s="3">
        <v>0</v>
      </c>
      <c r="CE335" s="3">
        <v>0</v>
      </c>
      <c r="CF335" s="3">
        <v>0</v>
      </c>
      <c r="CG335" s="3">
        <v>0</v>
      </c>
      <c r="CH335" s="3">
        <v>0</v>
      </c>
      <c r="CI335" s="3">
        <v>0</v>
      </c>
      <c r="CJ335" s="3">
        <v>0</v>
      </c>
      <c r="CK335" s="3">
        <v>0</v>
      </c>
      <c r="CL335" s="3">
        <v>0</v>
      </c>
      <c r="CM335" s="3">
        <v>0</v>
      </c>
      <c r="CN335" s="3">
        <v>0</v>
      </c>
      <c r="CO335" s="3">
        <v>0</v>
      </c>
      <c r="CP335" s="3">
        <v>0</v>
      </c>
      <c r="CQ335" s="3">
        <v>0</v>
      </c>
      <c r="CR335" s="3">
        <v>0</v>
      </c>
      <c r="CS335" s="3">
        <v>0</v>
      </c>
      <c r="CU335" s="17" t="s">
        <v>2190</v>
      </c>
      <c r="CV335" s="3">
        <v>0</v>
      </c>
      <c r="CW335" s="3">
        <v>0</v>
      </c>
      <c r="CX335" s="3">
        <v>0</v>
      </c>
      <c r="CY335" s="3">
        <v>0</v>
      </c>
      <c r="CZ335" s="3">
        <v>0</v>
      </c>
      <c r="DA335" s="3">
        <v>0</v>
      </c>
      <c r="DB335" s="3">
        <v>0</v>
      </c>
      <c r="DC335" s="3">
        <v>0</v>
      </c>
      <c r="DD335" s="3">
        <v>0</v>
      </c>
      <c r="DE335" s="3">
        <v>0</v>
      </c>
      <c r="DF335" s="3">
        <v>0</v>
      </c>
      <c r="DG335" s="3">
        <v>0</v>
      </c>
      <c r="DH335" s="3">
        <v>0</v>
      </c>
      <c r="DI335" s="3">
        <v>0</v>
      </c>
      <c r="DJ335" s="3">
        <v>0</v>
      </c>
      <c r="DK335" s="3">
        <v>0</v>
      </c>
      <c r="DL335" s="3">
        <v>0</v>
      </c>
      <c r="DM335" s="3">
        <v>0</v>
      </c>
      <c r="DN335" s="3">
        <v>0</v>
      </c>
      <c r="DO335" s="3">
        <v>0</v>
      </c>
    </row>
    <row r="336" spans="1:119" x14ac:dyDescent="0.45">
      <c r="A336" s="16" t="s">
        <v>2191</v>
      </c>
      <c r="B336" s="3" t="s">
        <v>89</v>
      </c>
      <c r="C336" s="16" t="s">
        <v>2192</v>
      </c>
      <c r="H336" s="3" t="s">
        <v>2193</v>
      </c>
      <c r="I336" s="3" t="s">
        <v>860</v>
      </c>
      <c r="K336" s="17" t="s">
        <v>2194</v>
      </c>
      <c r="L336" s="3">
        <v>7.6001950991872486E-2</v>
      </c>
      <c r="M336" s="3">
        <v>6.777259904629522E-2</v>
      </c>
      <c r="N336" s="3">
        <v>0.1224348959074338</v>
      </c>
      <c r="O336" s="3">
        <v>0.1190130443980088</v>
      </c>
      <c r="P336" s="3">
        <v>0.12004760907447801</v>
      </c>
      <c r="Q336" s="3">
        <v>0.1210808517183386</v>
      </c>
      <c r="R336" s="3">
        <v>0.1221902243372202</v>
      </c>
      <c r="S336" s="3">
        <v>0.1239251188357548</v>
      </c>
      <c r="T336" s="3">
        <v>0.12568512184191311</v>
      </c>
      <c r="U336" s="3">
        <v>0.1262029592830799</v>
      </c>
      <c r="V336" s="3">
        <v>0.1246429266492645</v>
      </c>
      <c r="W336" s="3">
        <v>0.12326271200180219</v>
      </c>
      <c r="X336" s="3">
        <v>0.1218908889388059</v>
      </c>
      <c r="Y336" s="3">
        <v>0.1206153117485298</v>
      </c>
      <c r="Z336" s="3">
        <v>0.11942227782824789</v>
      </c>
      <c r="AA336" s="3">
        <v>0.1183084595237277</v>
      </c>
      <c r="AB336" s="3">
        <v>0.1172650110628969</v>
      </c>
      <c r="AC336" s="3">
        <v>0.116281881883973</v>
      </c>
      <c r="AD336" s="3">
        <v>0.1153524764514465</v>
      </c>
      <c r="AE336" s="3">
        <v>0.11418195279126241</v>
      </c>
      <c r="AG336" s="17" t="s">
        <v>2195</v>
      </c>
      <c r="AH336" s="3">
        <v>7.6001950991872486E-2</v>
      </c>
      <c r="AI336" s="3">
        <v>6.777259904629522E-2</v>
      </c>
      <c r="AJ336" s="3">
        <v>0.1224348959074338</v>
      </c>
      <c r="AK336" s="3">
        <v>0.1190130443980088</v>
      </c>
      <c r="AL336" s="3">
        <v>0.12004760907447801</v>
      </c>
      <c r="AM336" s="3">
        <v>0.1210808517183386</v>
      </c>
      <c r="AN336" s="3">
        <v>0.1221902243372202</v>
      </c>
      <c r="AO336" s="3">
        <v>0.1239251188357548</v>
      </c>
      <c r="AP336" s="3">
        <v>0.12568512184191311</v>
      </c>
      <c r="AQ336" s="3">
        <v>0.1262029592830799</v>
      </c>
      <c r="AR336" s="3">
        <v>0.1246429266492645</v>
      </c>
      <c r="AS336" s="3">
        <v>0.12326271200180219</v>
      </c>
      <c r="AT336" s="3">
        <v>0.1218908889388059</v>
      </c>
      <c r="AU336" s="3">
        <v>0.1206153117485298</v>
      </c>
      <c r="AV336" s="3">
        <v>0.11942227782824789</v>
      </c>
      <c r="AW336" s="3">
        <v>0.1183084595237277</v>
      </c>
      <c r="AX336" s="3">
        <v>0.1172650110628969</v>
      </c>
      <c r="AY336" s="3">
        <v>0.116281881883973</v>
      </c>
      <c r="AZ336" s="3">
        <v>0.1153524764514465</v>
      </c>
      <c r="BA336" s="3">
        <v>0.11418195279126241</v>
      </c>
      <c r="BC336" s="17" t="s">
        <v>2196</v>
      </c>
      <c r="BD336" s="3">
        <v>7.6001950991872486E-2</v>
      </c>
      <c r="BE336" s="3">
        <v>6.777259904629522E-2</v>
      </c>
      <c r="BF336" s="3">
        <v>0.1224348959074338</v>
      </c>
      <c r="BG336" s="3">
        <v>0.1190130443980088</v>
      </c>
      <c r="BH336" s="3">
        <v>0.12004760907447801</v>
      </c>
      <c r="BI336" s="3">
        <v>0.1210808517183386</v>
      </c>
      <c r="BJ336" s="3">
        <v>0.1221902243372202</v>
      </c>
      <c r="BK336" s="3">
        <v>0.1239251188357548</v>
      </c>
      <c r="BL336" s="3">
        <v>0.12568512184191311</v>
      </c>
      <c r="BM336" s="3">
        <v>0.1262029592830799</v>
      </c>
      <c r="BN336" s="3">
        <v>0.1246429266492645</v>
      </c>
      <c r="BO336" s="3">
        <v>0.12326271200180219</v>
      </c>
      <c r="BP336" s="3">
        <v>0.1218908889388059</v>
      </c>
      <c r="BQ336" s="3">
        <v>0.1206153117485298</v>
      </c>
      <c r="BR336" s="3">
        <v>0.11942227782824789</v>
      </c>
      <c r="BS336" s="3">
        <v>0.1183084595237277</v>
      </c>
      <c r="BT336" s="3">
        <v>0.1172650110628969</v>
      </c>
      <c r="BU336" s="3">
        <v>0.116281881883973</v>
      </c>
      <c r="BV336" s="3">
        <v>0.1153524764514465</v>
      </c>
      <c r="BW336" s="3">
        <v>0.11418195279126241</v>
      </c>
      <c r="BY336" s="17" t="s">
        <v>2197</v>
      </c>
      <c r="BZ336" s="3">
        <v>7.6001950991872486E-2</v>
      </c>
      <c r="CA336" s="3">
        <v>6.777259904629522E-2</v>
      </c>
      <c r="CB336" s="3">
        <v>0.1224348959074338</v>
      </c>
      <c r="CC336" s="3">
        <v>0.1190130443980088</v>
      </c>
      <c r="CD336" s="3">
        <v>0.12004760907447801</v>
      </c>
      <c r="CE336" s="3">
        <v>0.1210808517183386</v>
      </c>
      <c r="CF336" s="3">
        <v>0.1221902243372202</v>
      </c>
      <c r="CG336" s="3">
        <v>0.1239251188357548</v>
      </c>
      <c r="CH336" s="3">
        <v>0.12568512184191311</v>
      </c>
      <c r="CI336" s="3">
        <v>0.1262029592830799</v>
      </c>
      <c r="CJ336" s="3">
        <v>0.1246429266492645</v>
      </c>
      <c r="CK336" s="3">
        <v>0.12326271200180219</v>
      </c>
      <c r="CL336" s="3">
        <v>0.1218908889388059</v>
      </c>
      <c r="CM336" s="3">
        <v>0.1206153117485298</v>
      </c>
      <c r="CN336" s="3">
        <v>0.11942227782824789</v>
      </c>
      <c r="CO336" s="3">
        <v>0.1183084595237277</v>
      </c>
      <c r="CP336" s="3">
        <v>0.1172650110628969</v>
      </c>
      <c r="CQ336" s="3">
        <v>0.116281881883973</v>
      </c>
      <c r="CR336" s="3">
        <v>0.1153524764514465</v>
      </c>
      <c r="CS336" s="3">
        <v>0.11418195279126241</v>
      </c>
      <c r="CU336" s="17" t="s">
        <v>2198</v>
      </c>
      <c r="CV336" s="3">
        <v>7.6001950991872486E-2</v>
      </c>
      <c r="CW336" s="3">
        <v>6.777259904629522E-2</v>
      </c>
      <c r="CX336" s="3">
        <v>0.1224348959074338</v>
      </c>
      <c r="CY336" s="3">
        <v>0.1190130443980088</v>
      </c>
      <c r="CZ336" s="3">
        <v>0.12004760907447801</v>
      </c>
      <c r="DA336" s="3">
        <v>0.1210808517183386</v>
      </c>
      <c r="DB336" s="3">
        <v>0.1221902243372202</v>
      </c>
      <c r="DC336" s="3">
        <v>0.1239251188357548</v>
      </c>
      <c r="DD336" s="3">
        <v>0.12568512184191311</v>
      </c>
      <c r="DE336" s="3">
        <v>0.1262029592830799</v>
      </c>
      <c r="DF336" s="3">
        <v>0.1246429266492645</v>
      </c>
      <c r="DG336" s="3">
        <v>0.12326271200180219</v>
      </c>
      <c r="DH336" s="3">
        <v>0.1218908889388059</v>
      </c>
      <c r="DI336" s="3">
        <v>0.1206153117485298</v>
      </c>
      <c r="DJ336" s="3">
        <v>0.11942227782824789</v>
      </c>
      <c r="DK336" s="3">
        <v>0.1183084595237277</v>
      </c>
      <c r="DL336" s="3">
        <v>0.1172650110628969</v>
      </c>
      <c r="DM336" s="3">
        <v>0.116281881883973</v>
      </c>
      <c r="DN336" s="3">
        <v>0.1153524764514465</v>
      </c>
      <c r="DO336" s="3">
        <v>0.11418195279126241</v>
      </c>
    </row>
    <row r="337" spans="1:119" x14ac:dyDescent="0.45">
      <c r="A337" s="16" t="s">
        <v>866</v>
      </c>
      <c r="B337" s="3" t="s">
        <v>89</v>
      </c>
      <c r="C337" s="16" t="s">
        <v>867</v>
      </c>
      <c r="H337" s="3" t="s">
        <v>868</v>
      </c>
      <c r="I337" s="3" t="s">
        <v>860</v>
      </c>
      <c r="K337" s="17" t="s">
        <v>869</v>
      </c>
      <c r="L337" s="3">
        <v>5.9052188353449768E-2</v>
      </c>
      <c r="M337" s="3">
        <v>5.1982039633043362E-2</v>
      </c>
      <c r="N337" s="3">
        <v>0.1007432456881396</v>
      </c>
      <c r="O337" s="3">
        <v>9.9588659171744254E-2</v>
      </c>
      <c r="P337" s="3">
        <v>9.9596181632854747E-2</v>
      </c>
      <c r="Q337" s="3">
        <v>0.10004061920704781</v>
      </c>
      <c r="R337" s="3">
        <v>0.1001826714241673</v>
      </c>
      <c r="S337" s="3">
        <v>0.10086890599561241</v>
      </c>
      <c r="T337" s="3">
        <v>0.10154100315019041</v>
      </c>
      <c r="U337" s="3">
        <v>0.1022962905570191</v>
      </c>
      <c r="V337" s="3">
        <v>0.1010540658851496</v>
      </c>
      <c r="W337" s="3">
        <v>0.1000311520743721</v>
      </c>
      <c r="X337" s="3">
        <v>9.901601284400563E-2</v>
      </c>
      <c r="Y337" s="3">
        <v>9.806961033093213E-2</v>
      </c>
      <c r="Z337" s="3">
        <v>9.7184570141743476E-2</v>
      </c>
      <c r="AA337" s="3">
        <v>9.6357163259359835E-2</v>
      </c>
      <c r="AB337" s="3">
        <v>9.5581330483298255E-2</v>
      </c>
      <c r="AC337" s="3">
        <v>9.4849104860295991E-2</v>
      </c>
      <c r="AD337" s="3">
        <v>9.4155471882764782E-2</v>
      </c>
      <c r="AE337" s="3">
        <v>9.3494775821040779E-2</v>
      </c>
      <c r="AG337" s="17" t="s">
        <v>870</v>
      </c>
      <c r="AH337" s="3">
        <v>5.9052188353449768E-2</v>
      </c>
      <c r="AI337" s="3">
        <v>5.1982039633043362E-2</v>
      </c>
      <c r="AJ337" s="3">
        <v>0.1007432456881396</v>
      </c>
      <c r="AK337" s="3">
        <v>9.9588659171744254E-2</v>
      </c>
      <c r="AL337" s="3">
        <v>9.9596181632854747E-2</v>
      </c>
      <c r="AM337" s="3">
        <v>0.10004061920704781</v>
      </c>
      <c r="AN337" s="3">
        <v>0.1001826714241673</v>
      </c>
      <c r="AO337" s="3">
        <v>0.10086890599561241</v>
      </c>
      <c r="AP337" s="3">
        <v>0.10154100315019041</v>
      </c>
      <c r="AQ337" s="3">
        <v>0.1022962905570191</v>
      </c>
      <c r="AR337" s="3">
        <v>0.1010540658851496</v>
      </c>
      <c r="AS337" s="3">
        <v>0.1000311520743721</v>
      </c>
      <c r="AT337" s="3">
        <v>9.901601284400563E-2</v>
      </c>
      <c r="AU337" s="3">
        <v>9.806961033093213E-2</v>
      </c>
      <c r="AV337" s="3">
        <v>9.7184570141743476E-2</v>
      </c>
      <c r="AW337" s="3">
        <v>9.6357163259359835E-2</v>
      </c>
      <c r="AX337" s="3">
        <v>9.5581330483298255E-2</v>
      </c>
      <c r="AY337" s="3">
        <v>9.4849104860295991E-2</v>
      </c>
      <c r="AZ337" s="3">
        <v>9.4155471882764782E-2</v>
      </c>
      <c r="BA337" s="3">
        <v>9.3494775821040779E-2</v>
      </c>
      <c r="BC337" s="17" t="s">
        <v>871</v>
      </c>
      <c r="BD337" s="3">
        <v>5.9052188353449768E-2</v>
      </c>
      <c r="BE337" s="3">
        <v>5.1982039633043362E-2</v>
      </c>
      <c r="BF337" s="3">
        <v>0.1007432456881396</v>
      </c>
      <c r="BG337" s="3">
        <v>9.9588659171744254E-2</v>
      </c>
      <c r="BH337" s="3">
        <v>9.9596181632854747E-2</v>
      </c>
      <c r="BI337" s="3">
        <v>0.10004061920704781</v>
      </c>
      <c r="BJ337" s="3">
        <v>0.1001826714241673</v>
      </c>
      <c r="BK337" s="3">
        <v>0.10086890599561241</v>
      </c>
      <c r="BL337" s="3">
        <v>0.10154100315019041</v>
      </c>
      <c r="BM337" s="3">
        <v>0.1022962905570191</v>
      </c>
      <c r="BN337" s="3">
        <v>0.1010540658851496</v>
      </c>
      <c r="BO337" s="3">
        <v>0.1000311520743721</v>
      </c>
      <c r="BP337" s="3">
        <v>9.901601284400563E-2</v>
      </c>
      <c r="BQ337" s="3">
        <v>9.806961033093213E-2</v>
      </c>
      <c r="BR337" s="3">
        <v>9.7184570141743476E-2</v>
      </c>
      <c r="BS337" s="3">
        <v>9.6357163259359835E-2</v>
      </c>
      <c r="BT337" s="3">
        <v>9.5581330483298255E-2</v>
      </c>
      <c r="BU337" s="3">
        <v>9.4849104860295991E-2</v>
      </c>
      <c r="BV337" s="3">
        <v>9.4155471882764782E-2</v>
      </c>
      <c r="BW337" s="3">
        <v>9.3494775821040779E-2</v>
      </c>
      <c r="BY337" s="17" t="s">
        <v>872</v>
      </c>
      <c r="BZ337" s="3">
        <v>5.9052188353449768E-2</v>
      </c>
      <c r="CA337" s="3">
        <v>5.1982039633043362E-2</v>
      </c>
      <c r="CB337" s="3">
        <v>0.1007432456881396</v>
      </c>
      <c r="CC337" s="3">
        <v>9.9588659171744254E-2</v>
      </c>
      <c r="CD337" s="3">
        <v>9.9596181632854747E-2</v>
      </c>
      <c r="CE337" s="3">
        <v>0.10004061920704781</v>
      </c>
      <c r="CF337" s="3">
        <v>0.1001826714241673</v>
      </c>
      <c r="CG337" s="3">
        <v>0.10086890599561241</v>
      </c>
      <c r="CH337" s="3">
        <v>0.10154100315019041</v>
      </c>
      <c r="CI337" s="3">
        <v>0.1022962905570191</v>
      </c>
      <c r="CJ337" s="3">
        <v>0.1010540658851496</v>
      </c>
      <c r="CK337" s="3">
        <v>0.1000311520743721</v>
      </c>
      <c r="CL337" s="3">
        <v>9.901601284400563E-2</v>
      </c>
      <c r="CM337" s="3">
        <v>9.806961033093213E-2</v>
      </c>
      <c r="CN337" s="3">
        <v>9.7184570141743476E-2</v>
      </c>
      <c r="CO337" s="3">
        <v>9.6357163259359835E-2</v>
      </c>
      <c r="CP337" s="3">
        <v>9.5581330483298255E-2</v>
      </c>
      <c r="CQ337" s="3">
        <v>9.4849104860295991E-2</v>
      </c>
      <c r="CR337" s="3">
        <v>9.4155471882764782E-2</v>
      </c>
      <c r="CS337" s="3">
        <v>9.3494775821040779E-2</v>
      </c>
      <c r="CU337" s="17" t="s">
        <v>873</v>
      </c>
      <c r="CV337" s="3">
        <v>5.9052188353449768E-2</v>
      </c>
      <c r="CW337" s="3">
        <v>5.1982039633043362E-2</v>
      </c>
      <c r="CX337" s="3">
        <v>0.1007432456881396</v>
      </c>
      <c r="CY337" s="3">
        <v>9.9588659171744254E-2</v>
      </c>
      <c r="CZ337" s="3">
        <v>9.9596181632854747E-2</v>
      </c>
      <c r="DA337" s="3">
        <v>0.10004061920704781</v>
      </c>
      <c r="DB337" s="3">
        <v>0.1001826714241673</v>
      </c>
      <c r="DC337" s="3">
        <v>0.10086890599561241</v>
      </c>
      <c r="DD337" s="3">
        <v>0.10154100315019041</v>
      </c>
      <c r="DE337" s="3">
        <v>0.1022962905570191</v>
      </c>
      <c r="DF337" s="3">
        <v>0.1010540658851496</v>
      </c>
      <c r="DG337" s="3">
        <v>0.1000311520743721</v>
      </c>
      <c r="DH337" s="3">
        <v>9.901601284400563E-2</v>
      </c>
      <c r="DI337" s="3">
        <v>9.806961033093213E-2</v>
      </c>
      <c r="DJ337" s="3">
        <v>9.7184570141743476E-2</v>
      </c>
      <c r="DK337" s="3">
        <v>9.6357163259359835E-2</v>
      </c>
      <c r="DL337" s="3">
        <v>9.5581330483298255E-2</v>
      </c>
      <c r="DM337" s="3">
        <v>9.4849104860295991E-2</v>
      </c>
      <c r="DN337" s="3">
        <v>9.4155471882764782E-2</v>
      </c>
      <c r="DO337" s="3">
        <v>9.3494775821040779E-2</v>
      </c>
    </row>
    <row r="338" spans="1:119" x14ac:dyDescent="0.45">
      <c r="A338" s="16" t="s">
        <v>2199</v>
      </c>
      <c r="B338" s="3" t="s">
        <v>89</v>
      </c>
      <c r="C338" s="16" t="s">
        <v>2200</v>
      </c>
      <c r="H338" s="3" t="s">
        <v>2201</v>
      </c>
      <c r="I338" s="3" t="s">
        <v>860</v>
      </c>
      <c r="K338" s="17" t="s">
        <v>2202</v>
      </c>
      <c r="L338" s="3">
        <v>7.616189709596273E-3</v>
      </c>
      <c r="M338" s="3">
        <v>7.4676086531805163E-3</v>
      </c>
      <c r="N338" s="3">
        <v>6.6557858096093969E-3</v>
      </c>
      <c r="O338" s="3">
        <v>4.8087481949301483E-3</v>
      </c>
      <c r="P338" s="3">
        <v>5.7087386079154676E-3</v>
      </c>
      <c r="Q338" s="3">
        <v>6.1706542300913108E-3</v>
      </c>
      <c r="R338" s="3">
        <v>7.0017358891837009E-3</v>
      </c>
      <c r="S338" s="3">
        <v>7.8373385971550538E-3</v>
      </c>
      <c r="T338" s="3">
        <v>8.7091037286807036E-3</v>
      </c>
      <c r="U338" s="3">
        <v>8.4080596912965693E-3</v>
      </c>
      <c r="V338" s="3">
        <v>8.2818346843805887E-3</v>
      </c>
      <c r="W338" s="3">
        <v>8.0940338921210216E-3</v>
      </c>
      <c r="X338" s="3">
        <v>7.9058195584557032E-3</v>
      </c>
      <c r="Y338" s="3">
        <v>7.7332947116378926E-3</v>
      </c>
      <c r="Z338" s="3">
        <v>7.5718139181231289E-3</v>
      </c>
      <c r="AA338" s="3">
        <v>7.4221872000504244E-3</v>
      </c>
      <c r="AB338" s="3">
        <v>7.2827143087165836E-3</v>
      </c>
      <c r="AC338" s="3">
        <v>7.1525459151188893E-3</v>
      </c>
      <c r="AD338" s="3">
        <v>7.0309109693812684E-3</v>
      </c>
      <c r="AE338" s="3">
        <v>6.6648318905928768E-3</v>
      </c>
      <c r="AG338" s="17" t="s">
        <v>2203</v>
      </c>
      <c r="AH338" s="3">
        <v>7.616189709596273E-3</v>
      </c>
      <c r="AI338" s="3">
        <v>7.4676086531805163E-3</v>
      </c>
      <c r="AJ338" s="3">
        <v>6.6557858096093969E-3</v>
      </c>
      <c r="AK338" s="3">
        <v>4.8087481949301483E-3</v>
      </c>
      <c r="AL338" s="3">
        <v>5.7087386079154676E-3</v>
      </c>
      <c r="AM338" s="3">
        <v>6.1706542300913108E-3</v>
      </c>
      <c r="AN338" s="3">
        <v>7.0017358891837009E-3</v>
      </c>
      <c r="AO338" s="3">
        <v>7.8373385971550538E-3</v>
      </c>
      <c r="AP338" s="3">
        <v>8.7091037286807036E-3</v>
      </c>
      <c r="AQ338" s="3">
        <v>8.4080596912965693E-3</v>
      </c>
      <c r="AR338" s="3">
        <v>8.2818346843805887E-3</v>
      </c>
      <c r="AS338" s="3">
        <v>8.0940338921210216E-3</v>
      </c>
      <c r="AT338" s="3">
        <v>7.9058195584557032E-3</v>
      </c>
      <c r="AU338" s="3">
        <v>7.7332947116378926E-3</v>
      </c>
      <c r="AV338" s="3">
        <v>7.5718139181231289E-3</v>
      </c>
      <c r="AW338" s="3">
        <v>7.4221872000504244E-3</v>
      </c>
      <c r="AX338" s="3">
        <v>7.2827143087165836E-3</v>
      </c>
      <c r="AY338" s="3">
        <v>7.1525459151188893E-3</v>
      </c>
      <c r="AZ338" s="3">
        <v>7.0309109693812684E-3</v>
      </c>
      <c r="BA338" s="3">
        <v>6.6648318905928768E-3</v>
      </c>
      <c r="BC338" s="17" t="s">
        <v>2204</v>
      </c>
      <c r="BD338" s="3">
        <v>7.616189709596273E-3</v>
      </c>
      <c r="BE338" s="3">
        <v>7.4676086531805163E-3</v>
      </c>
      <c r="BF338" s="3">
        <v>6.6557858096093969E-3</v>
      </c>
      <c r="BG338" s="3">
        <v>4.8087481949301483E-3</v>
      </c>
      <c r="BH338" s="3">
        <v>5.7087386079154676E-3</v>
      </c>
      <c r="BI338" s="3">
        <v>6.1706542300913108E-3</v>
      </c>
      <c r="BJ338" s="3">
        <v>7.0017358891837009E-3</v>
      </c>
      <c r="BK338" s="3">
        <v>7.8373385971550538E-3</v>
      </c>
      <c r="BL338" s="3">
        <v>8.7091037286807036E-3</v>
      </c>
      <c r="BM338" s="3">
        <v>8.4080596912965693E-3</v>
      </c>
      <c r="BN338" s="3">
        <v>8.2818346843805887E-3</v>
      </c>
      <c r="BO338" s="3">
        <v>8.0940338921210216E-3</v>
      </c>
      <c r="BP338" s="3">
        <v>7.9058195584557032E-3</v>
      </c>
      <c r="BQ338" s="3">
        <v>7.7332947116378926E-3</v>
      </c>
      <c r="BR338" s="3">
        <v>7.5718139181231289E-3</v>
      </c>
      <c r="BS338" s="3">
        <v>7.4221872000504244E-3</v>
      </c>
      <c r="BT338" s="3">
        <v>7.2827143087165836E-3</v>
      </c>
      <c r="BU338" s="3">
        <v>7.1525459151188893E-3</v>
      </c>
      <c r="BV338" s="3">
        <v>7.0309109693812684E-3</v>
      </c>
      <c r="BW338" s="3">
        <v>6.6648318905928768E-3</v>
      </c>
      <c r="BY338" s="17" t="s">
        <v>2205</v>
      </c>
      <c r="BZ338" s="3">
        <v>7.616189709596273E-3</v>
      </c>
      <c r="CA338" s="3">
        <v>7.4676086531805163E-3</v>
      </c>
      <c r="CB338" s="3">
        <v>6.6557858096093969E-3</v>
      </c>
      <c r="CC338" s="3">
        <v>4.8087481949301483E-3</v>
      </c>
      <c r="CD338" s="3">
        <v>5.7087386079154676E-3</v>
      </c>
      <c r="CE338" s="3">
        <v>6.1706542300913108E-3</v>
      </c>
      <c r="CF338" s="3">
        <v>7.0017358891837009E-3</v>
      </c>
      <c r="CG338" s="3">
        <v>7.8373385971550538E-3</v>
      </c>
      <c r="CH338" s="3">
        <v>8.7091037286807036E-3</v>
      </c>
      <c r="CI338" s="3">
        <v>8.4080596912965693E-3</v>
      </c>
      <c r="CJ338" s="3">
        <v>8.2818346843805887E-3</v>
      </c>
      <c r="CK338" s="3">
        <v>8.0940338921210216E-3</v>
      </c>
      <c r="CL338" s="3">
        <v>7.9058195584557032E-3</v>
      </c>
      <c r="CM338" s="3">
        <v>7.7332947116378926E-3</v>
      </c>
      <c r="CN338" s="3">
        <v>7.5718139181231289E-3</v>
      </c>
      <c r="CO338" s="3">
        <v>7.4221872000504244E-3</v>
      </c>
      <c r="CP338" s="3">
        <v>7.2827143087165836E-3</v>
      </c>
      <c r="CQ338" s="3">
        <v>7.1525459151188893E-3</v>
      </c>
      <c r="CR338" s="3">
        <v>7.0309109693812684E-3</v>
      </c>
      <c r="CS338" s="3">
        <v>6.6648318905928768E-3</v>
      </c>
      <c r="CU338" s="17" t="s">
        <v>2206</v>
      </c>
      <c r="CV338" s="3">
        <v>7.616189709596273E-3</v>
      </c>
      <c r="CW338" s="3">
        <v>7.4676086531805163E-3</v>
      </c>
      <c r="CX338" s="3">
        <v>6.6557858096093969E-3</v>
      </c>
      <c r="CY338" s="3">
        <v>4.8087481949301483E-3</v>
      </c>
      <c r="CZ338" s="3">
        <v>5.7087386079154676E-3</v>
      </c>
      <c r="DA338" s="3">
        <v>6.1706542300913108E-3</v>
      </c>
      <c r="DB338" s="3">
        <v>7.0017358891837009E-3</v>
      </c>
      <c r="DC338" s="3">
        <v>7.8373385971550538E-3</v>
      </c>
      <c r="DD338" s="3">
        <v>8.7091037286807036E-3</v>
      </c>
      <c r="DE338" s="3">
        <v>8.4080596912965693E-3</v>
      </c>
      <c r="DF338" s="3">
        <v>8.2818346843805887E-3</v>
      </c>
      <c r="DG338" s="3">
        <v>8.0940338921210216E-3</v>
      </c>
      <c r="DH338" s="3">
        <v>7.9058195584557032E-3</v>
      </c>
      <c r="DI338" s="3">
        <v>7.7332947116378926E-3</v>
      </c>
      <c r="DJ338" s="3">
        <v>7.5718139181231289E-3</v>
      </c>
      <c r="DK338" s="3">
        <v>7.4221872000504244E-3</v>
      </c>
      <c r="DL338" s="3">
        <v>7.2827143087165836E-3</v>
      </c>
      <c r="DM338" s="3">
        <v>7.1525459151188893E-3</v>
      </c>
      <c r="DN338" s="3">
        <v>7.0309109693812684E-3</v>
      </c>
      <c r="DO338" s="3">
        <v>6.6648318905928768E-3</v>
      </c>
    </row>
    <row r="339" spans="1:119" x14ac:dyDescent="0.45">
      <c r="A339" s="16" t="s">
        <v>2207</v>
      </c>
      <c r="B339" s="3" t="s">
        <v>89</v>
      </c>
      <c r="C339" s="16" t="s">
        <v>2208</v>
      </c>
      <c r="H339" s="3" t="s">
        <v>2209</v>
      </c>
      <c r="I339" s="3" t="s">
        <v>860</v>
      </c>
      <c r="K339" s="17" t="s">
        <v>2210</v>
      </c>
      <c r="L339" s="3">
        <v>0</v>
      </c>
      <c r="M339" s="3">
        <v>0</v>
      </c>
      <c r="N339" s="3">
        <v>0</v>
      </c>
      <c r="O339" s="3">
        <v>0</v>
      </c>
      <c r="P339" s="3">
        <v>0</v>
      </c>
      <c r="Q339" s="3">
        <v>0</v>
      </c>
      <c r="R339" s="3">
        <v>0</v>
      </c>
      <c r="S339" s="3">
        <v>0</v>
      </c>
      <c r="T339" s="3">
        <v>0</v>
      </c>
      <c r="U339" s="3">
        <v>0</v>
      </c>
      <c r="V339" s="3">
        <v>0</v>
      </c>
      <c r="W339" s="3">
        <v>0</v>
      </c>
      <c r="X339" s="3">
        <v>0</v>
      </c>
      <c r="Y339" s="3">
        <v>0</v>
      </c>
      <c r="Z339" s="3">
        <v>0</v>
      </c>
      <c r="AA339" s="3">
        <v>0</v>
      </c>
      <c r="AB339" s="3">
        <v>0</v>
      </c>
      <c r="AC339" s="3">
        <v>0</v>
      </c>
      <c r="AD339" s="3">
        <v>0</v>
      </c>
      <c r="AE339" s="3">
        <v>0</v>
      </c>
      <c r="AG339" s="17" t="s">
        <v>2211</v>
      </c>
      <c r="AH339" s="3">
        <v>0</v>
      </c>
      <c r="AI339" s="3">
        <v>0</v>
      </c>
      <c r="AJ339" s="3">
        <v>0</v>
      </c>
      <c r="AK339" s="3">
        <v>0</v>
      </c>
      <c r="AL339" s="3">
        <v>0</v>
      </c>
      <c r="AM339" s="3">
        <v>0</v>
      </c>
      <c r="AN339" s="3">
        <v>0</v>
      </c>
      <c r="AO339" s="3">
        <v>0</v>
      </c>
      <c r="AP339" s="3">
        <v>0</v>
      </c>
      <c r="AQ339" s="3">
        <v>0</v>
      </c>
      <c r="AR339" s="3">
        <v>0</v>
      </c>
      <c r="AS339" s="3">
        <v>0</v>
      </c>
      <c r="AT339" s="3">
        <v>0</v>
      </c>
      <c r="AU339" s="3">
        <v>0</v>
      </c>
      <c r="AV339" s="3">
        <v>0</v>
      </c>
      <c r="AW339" s="3">
        <v>0</v>
      </c>
      <c r="AX339" s="3">
        <v>0</v>
      </c>
      <c r="AY339" s="3">
        <v>0</v>
      </c>
      <c r="AZ339" s="3">
        <v>0</v>
      </c>
      <c r="BA339" s="3">
        <v>0</v>
      </c>
      <c r="BC339" s="17" t="s">
        <v>2212</v>
      </c>
      <c r="BD339" s="3">
        <v>0</v>
      </c>
      <c r="BE339" s="3">
        <v>0</v>
      </c>
      <c r="BF339" s="3">
        <v>0</v>
      </c>
      <c r="BG339" s="3">
        <v>0</v>
      </c>
      <c r="BH339" s="3">
        <v>0</v>
      </c>
      <c r="BI339" s="3">
        <v>0</v>
      </c>
      <c r="BJ339" s="3">
        <v>0</v>
      </c>
      <c r="BK339" s="3">
        <v>0</v>
      </c>
      <c r="BL339" s="3">
        <v>0</v>
      </c>
      <c r="BM339" s="3">
        <v>0</v>
      </c>
      <c r="BN339" s="3">
        <v>0</v>
      </c>
      <c r="BO339" s="3">
        <v>0</v>
      </c>
      <c r="BP339" s="3">
        <v>0</v>
      </c>
      <c r="BQ339" s="3">
        <v>0</v>
      </c>
      <c r="BR339" s="3">
        <v>0</v>
      </c>
      <c r="BS339" s="3">
        <v>0</v>
      </c>
      <c r="BT339" s="3">
        <v>0</v>
      </c>
      <c r="BU339" s="3">
        <v>0</v>
      </c>
      <c r="BV339" s="3">
        <v>0</v>
      </c>
      <c r="BW339" s="3">
        <v>0</v>
      </c>
      <c r="BY339" s="17" t="s">
        <v>2213</v>
      </c>
      <c r="BZ339" s="3">
        <v>0</v>
      </c>
      <c r="CA339" s="3">
        <v>0</v>
      </c>
      <c r="CB339" s="3">
        <v>0</v>
      </c>
      <c r="CC339" s="3">
        <v>0</v>
      </c>
      <c r="CD339" s="3">
        <v>0</v>
      </c>
      <c r="CE339" s="3">
        <v>0</v>
      </c>
      <c r="CF339" s="3">
        <v>0</v>
      </c>
      <c r="CG339" s="3">
        <v>0</v>
      </c>
      <c r="CH339" s="3">
        <v>0</v>
      </c>
      <c r="CI339" s="3">
        <v>0</v>
      </c>
      <c r="CJ339" s="3">
        <v>0</v>
      </c>
      <c r="CK339" s="3">
        <v>0</v>
      </c>
      <c r="CL339" s="3">
        <v>0</v>
      </c>
      <c r="CM339" s="3">
        <v>0</v>
      </c>
      <c r="CN339" s="3">
        <v>0</v>
      </c>
      <c r="CO339" s="3">
        <v>0</v>
      </c>
      <c r="CP339" s="3">
        <v>0</v>
      </c>
      <c r="CQ339" s="3">
        <v>0</v>
      </c>
      <c r="CR339" s="3">
        <v>0</v>
      </c>
      <c r="CS339" s="3">
        <v>0</v>
      </c>
      <c r="CU339" s="17" t="s">
        <v>2214</v>
      </c>
      <c r="CV339" s="3">
        <v>0</v>
      </c>
      <c r="CW339" s="3">
        <v>0</v>
      </c>
      <c r="CX339" s="3">
        <v>0</v>
      </c>
      <c r="CY339" s="3">
        <v>0</v>
      </c>
      <c r="CZ339" s="3">
        <v>0</v>
      </c>
      <c r="DA339" s="3">
        <v>0</v>
      </c>
      <c r="DB339" s="3">
        <v>0</v>
      </c>
      <c r="DC339" s="3">
        <v>0</v>
      </c>
      <c r="DD339" s="3">
        <v>0</v>
      </c>
      <c r="DE339" s="3">
        <v>0</v>
      </c>
      <c r="DF339" s="3">
        <v>0</v>
      </c>
      <c r="DG339" s="3">
        <v>0</v>
      </c>
      <c r="DH339" s="3">
        <v>0</v>
      </c>
      <c r="DI339" s="3">
        <v>0</v>
      </c>
      <c r="DJ339" s="3">
        <v>0</v>
      </c>
      <c r="DK339" s="3">
        <v>0</v>
      </c>
      <c r="DL339" s="3">
        <v>0</v>
      </c>
      <c r="DM339" s="3">
        <v>0</v>
      </c>
      <c r="DN339" s="3">
        <v>0</v>
      </c>
      <c r="DO339" s="3">
        <v>0</v>
      </c>
    </row>
    <row r="340" spans="1:119" x14ac:dyDescent="0.45">
      <c r="A340" s="16" t="s">
        <v>2215</v>
      </c>
      <c r="B340" s="3" t="s">
        <v>89</v>
      </c>
      <c r="C340" s="16" t="s">
        <v>2216</v>
      </c>
      <c r="H340" s="3" t="s">
        <v>2217</v>
      </c>
      <c r="I340" s="3" t="s">
        <v>860</v>
      </c>
      <c r="K340" s="17" t="s">
        <v>2218</v>
      </c>
      <c r="L340" s="3">
        <v>9.3335729288264464E-3</v>
      </c>
      <c r="M340" s="3">
        <v>8.3229507600713435E-3</v>
      </c>
      <c r="N340" s="3">
        <v>1.503586440968485E-2</v>
      </c>
      <c r="O340" s="3">
        <v>1.461563703133442E-2</v>
      </c>
      <c r="P340" s="3">
        <v>1.4742688833707831E-2</v>
      </c>
      <c r="Q340" s="3">
        <v>1.486957828119947E-2</v>
      </c>
      <c r="R340" s="3">
        <v>1.500581702386914E-2</v>
      </c>
      <c r="S340" s="3">
        <v>1.5218874242987439E-2</v>
      </c>
      <c r="T340" s="3">
        <v>1.5435014963041961E-2</v>
      </c>
      <c r="U340" s="3">
        <v>1.54986090347642E-2</v>
      </c>
      <c r="V340" s="3">
        <v>1.530702607973424E-2</v>
      </c>
      <c r="W340" s="3">
        <v>1.5137526035309041E-2</v>
      </c>
      <c r="X340" s="3">
        <v>1.496905653634459E-2</v>
      </c>
      <c r="Y340" s="3">
        <v>1.4812406705959799E-2</v>
      </c>
      <c r="Z340" s="3">
        <v>1.466589376838133E-2</v>
      </c>
      <c r="AA340" s="3">
        <v>1.452910906431744E-2</v>
      </c>
      <c r="AB340" s="3">
        <v>1.440096627088208E-2</v>
      </c>
      <c r="AC340" s="3">
        <v>1.428023110855809E-2</v>
      </c>
      <c r="AD340" s="3">
        <v>1.4166093599300451E-2</v>
      </c>
      <c r="AE340" s="3">
        <v>1.402234507962871E-2</v>
      </c>
      <c r="AG340" s="17" t="s">
        <v>2219</v>
      </c>
      <c r="AH340" s="3">
        <v>9.3335729288264464E-3</v>
      </c>
      <c r="AI340" s="3">
        <v>8.3229507600713435E-3</v>
      </c>
      <c r="AJ340" s="3">
        <v>1.503586440968485E-2</v>
      </c>
      <c r="AK340" s="3">
        <v>1.461563703133442E-2</v>
      </c>
      <c r="AL340" s="3">
        <v>1.4742688833707831E-2</v>
      </c>
      <c r="AM340" s="3">
        <v>1.486957828119947E-2</v>
      </c>
      <c r="AN340" s="3">
        <v>1.500581702386914E-2</v>
      </c>
      <c r="AO340" s="3">
        <v>1.5218874242987439E-2</v>
      </c>
      <c r="AP340" s="3">
        <v>1.5435014963041961E-2</v>
      </c>
      <c r="AQ340" s="3">
        <v>1.54986090347642E-2</v>
      </c>
      <c r="AR340" s="3">
        <v>1.530702607973424E-2</v>
      </c>
      <c r="AS340" s="3">
        <v>1.5137526035309041E-2</v>
      </c>
      <c r="AT340" s="3">
        <v>1.496905653634459E-2</v>
      </c>
      <c r="AU340" s="3">
        <v>1.4812406705959799E-2</v>
      </c>
      <c r="AV340" s="3">
        <v>1.466589376838133E-2</v>
      </c>
      <c r="AW340" s="3">
        <v>1.452910906431744E-2</v>
      </c>
      <c r="AX340" s="3">
        <v>1.440096627088208E-2</v>
      </c>
      <c r="AY340" s="3">
        <v>1.428023110855809E-2</v>
      </c>
      <c r="AZ340" s="3">
        <v>1.4166093599300451E-2</v>
      </c>
      <c r="BA340" s="3">
        <v>1.402234507962871E-2</v>
      </c>
      <c r="BC340" s="17" t="s">
        <v>2220</v>
      </c>
      <c r="BD340" s="3">
        <v>9.3335729288264464E-3</v>
      </c>
      <c r="BE340" s="3">
        <v>8.3229507600713435E-3</v>
      </c>
      <c r="BF340" s="3">
        <v>1.503586440968485E-2</v>
      </c>
      <c r="BG340" s="3">
        <v>1.461563703133442E-2</v>
      </c>
      <c r="BH340" s="3">
        <v>1.4742688833707831E-2</v>
      </c>
      <c r="BI340" s="3">
        <v>1.486957828119947E-2</v>
      </c>
      <c r="BJ340" s="3">
        <v>1.500581702386914E-2</v>
      </c>
      <c r="BK340" s="3">
        <v>1.5218874242987439E-2</v>
      </c>
      <c r="BL340" s="3">
        <v>1.5435014963041961E-2</v>
      </c>
      <c r="BM340" s="3">
        <v>1.54986090347642E-2</v>
      </c>
      <c r="BN340" s="3">
        <v>1.530702607973424E-2</v>
      </c>
      <c r="BO340" s="3">
        <v>1.5137526035309041E-2</v>
      </c>
      <c r="BP340" s="3">
        <v>1.496905653634459E-2</v>
      </c>
      <c r="BQ340" s="3">
        <v>1.4812406705959799E-2</v>
      </c>
      <c r="BR340" s="3">
        <v>1.466589376838133E-2</v>
      </c>
      <c r="BS340" s="3">
        <v>1.452910906431744E-2</v>
      </c>
      <c r="BT340" s="3">
        <v>1.440096627088208E-2</v>
      </c>
      <c r="BU340" s="3">
        <v>1.428023110855809E-2</v>
      </c>
      <c r="BV340" s="3">
        <v>1.4166093599300451E-2</v>
      </c>
      <c r="BW340" s="3">
        <v>1.402234507962871E-2</v>
      </c>
      <c r="BY340" s="17" t="s">
        <v>2221</v>
      </c>
      <c r="BZ340" s="3">
        <v>9.3335729288264464E-3</v>
      </c>
      <c r="CA340" s="3">
        <v>8.3229507600713435E-3</v>
      </c>
      <c r="CB340" s="3">
        <v>1.503586440968485E-2</v>
      </c>
      <c r="CC340" s="3">
        <v>1.461563703133442E-2</v>
      </c>
      <c r="CD340" s="3">
        <v>1.4742688833707831E-2</v>
      </c>
      <c r="CE340" s="3">
        <v>1.486957828119947E-2</v>
      </c>
      <c r="CF340" s="3">
        <v>1.500581702386914E-2</v>
      </c>
      <c r="CG340" s="3">
        <v>1.5218874242987439E-2</v>
      </c>
      <c r="CH340" s="3">
        <v>1.5435014963041961E-2</v>
      </c>
      <c r="CI340" s="3">
        <v>1.54986090347642E-2</v>
      </c>
      <c r="CJ340" s="3">
        <v>1.530702607973424E-2</v>
      </c>
      <c r="CK340" s="3">
        <v>1.5137526035309041E-2</v>
      </c>
      <c r="CL340" s="3">
        <v>1.496905653634459E-2</v>
      </c>
      <c r="CM340" s="3">
        <v>1.4812406705959799E-2</v>
      </c>
      <c r="CN340" s="3">
        <v>1.466589376838133E-2</v>
      </c>
      <c r="CO340" s="3">
        <v>1.452910906431744E-2</v>
      </c>
      <c r="CP340" s="3">
        <v>1.440096627088208E-2</v>
      </c>
      <c r="CQ340" s="3">
        <v>1.428023110855809E-2</v>
      </c>
      <c r="CR340" s="3">
        <v>1.4166093599300451E-2</v>
      </c>
      <c r="CS340" s="3">
        <v>1.402234507962871E-2</v>
      </c>
      <c r="CU340" s="17" t="s">
        <v>2222</v>
      </c>
      <c r="CV340" s="3">
        <v>9.3335729288264464E-3</v>
      </c>
      <c r="CW340" s="3">
        <v>8.3229507600713435E-3</v>
      </c>
      <c r="CX340" s="3">
        <v>1.503586440968485E-2</v>
      </c>
      <c r="CY340" s="3">
        <v>1.461563703133442E-2</v>
      </c>
      <c r="CZ340" s="3">
        <v>1.4742688833707831E-2</v>
      </c>
      <c r="DA340" s="3">
        <v>1.486957828119947E-2</v>
      </c>
      <c r="DB340" s="3">
        <v>1.500581702386914E-2</v>
      </c>
      <c r="DC340" s="3">
        <v>1.5218874242987439E-2</v>
      </c>
      <c r="DD340" s="3">
        <v>1.5435014963041961E-2</v>
      </c>
      <c r="DE340" s="3">
        <v>1.54986090347642E-2</v>
      </c>
      <c r="DF340" s="3">
        <v>1.530702607973424E-2</v>
      </c>
      <c r="DG340" s="3">
        <v>1.5137526035309041E-2</v>
      </c>
      <c r="DH340" s="3">
        <v>1.496905653634459E-2</v>
      </c>
      <c r="DI340" s="3">
        <v>1.4812406705959799E-2</v>
      </c>
      <c r="DJ340" s="3">
        <v>1.466589376838133E-2</v>
      </c>
      <c r="DK340" s="3">
        <v>1.452910906431744E-2</v>
      </c>
      <c r="DL340" s="3">
        <v>1.440096627088208E-2</v>
      </c>
      <c r="DM340" s="3">
        <v>1.428023110855809E-2</v>
      </c>
      <c r="DN340" s="3">
        <v>1.4166093599300451E-2</v>
      </c>
      <c r="DO340" s="3">
        <v>1.402234507962871E-2</v>
      </c>
    </row>
    <row r="341" spans="1:119" x14ac:dyDescent="0.45">
      <c r="A341" s="16" t="s">
        <v>800</v>
      </c>
      <c r="B341" s="3" t="s">
        <v>89</v>
      </c>
      <c r="C341" s="16" t="s">
        <v>2223</v>
      </c>
      <c r="H341" s="3" t="s">
        <v>802</v>
      </c>
      <c r="I341" s="3" t="s">
        <v>794</v>
      </c>
      <c r="K341" s="17" t="s">
        <v>803</v>
      </c>
      <c r="L341" s="23">
        <v>6.1135554578983307E-2</v>
      </c>
      <c r="M341" s="23">
        <v>5.3218541238289348E-2</v>
      </c>
      <c r="N341" s="23">
        <v>4.5128064520456243E-2</v>
      </c>
      <c r="O341" s="23">
        <v>4.3973478004060942E-2</v>
      </c>
      <c r="P341" s="23">
        <v>4.3981000465171442E-2</v>
      </c>
      <c r="Q341" s="23">
        <v>4.4425438039364482E-2</v>
      </c>
      <c r="R341" s="23">
        <v>4.4567490256484023E-2</v>
      </c>
      <c r="S341" s="23">
        <v>4.525372482792904E-2</v>
      </c>
      <c r="T341" s="23">
        <v>4.5925821982507102E-2</v>
      </c>
      <c r="U341" s="23">
        <v>4.6681109389335833E-2</v>
      </c>
      <c r="V341" s="23">
        <v>4.5438884717466342E-2</v>
      </c>
      <c r="W341" s="23">
        <v>4.441597090668882E-2</v>
      </c>
      <c r="X341" s="23">
        <v>4.3400831676322318E-2</v>
      </c>
      <c r="Y341" s="23">
        <v>4.2454429163248819E-2</v>
      </c>
      <c r="Z341" s="23">
        <v>4.1569388974060158E-2</v>
      </c>
      <c r="AA341" s="23">
        <v>4.0741982091676517E-2</v>
      </c>
      <c r="AB341" s="23">
        <v>3.9966149315614943E-2</v>
      </c>
      <c r="AC341" s="23">
        <v>3.9233923692612679E-2</v>
      </c>
      <c r="AD341" s="23">
        <v>3.8540290715081471E-2</v>
      </c>
      <c r="AE341" s="23">
        <v>3.7879594653357468E-2</v>
      </c>
      <c r="AG341" s="17" t="s">
        <v>804</v>
      </c>
      <c r="AH341" s="23">
        <v>6.1135554578983307E-2</v>
      </c>
      <c r="AI341" s="23">
        <v>5.3218541238289348E-2</v>
      </c>
      <c r="AJ341" s="23">
        <v>4.5128064520456243E-2</v>
      </c>
      <c r="AK341" s="23">
        <v>4.3974812545277478E-2</v>
      </c>
      <c r="AL341" s="23">
        <v>4.3984458023727649E-2</v>
      </c>
      <c r="AM341" s="23">
        <v>5.3633879852878333E-2</v>
      </c>
      <c r="AN341" s="23">
        <v>5.3578425390715542E-2</v>
      </c>
      <c r="AO341" s="23">
        <v>5.5133486787573779E-2</v>
      </c>
      <c r="AP341" s="23">
        <v>5.4395535422844837E-2</v>
      </c>
      <c r="AQ341" s="23">
        <v>5.4794227790692818E-2</v>
      </c>
      <c r="AR341" s="23">
        <v>5.3041335206687482E-2</v>
      </c>
      <c r="AS341" s="23">
        <v>5.1740034002685738E-2</v>
      </c>
      <c r="AT341" s="23">
        <v>5.036846750747638E-2</v>
      </c>
      <c r="AU341" s="23">
        <v>4.9104980786478618E-2</v>
      </c>
      <c r="AV341" s="23">
        <v>4.7944449296778012E-2</v>
      </c>
      <c r="AW341" s="23">
        <v>4.686688480010575E-2</v>
      </c>
      <c r="AX341" s="23">
        <v>4.5860166280919969E-2</v>
      </c>
      <c r="AY341" s="23">
        <v>4.4917231730913179E-2</v>
      </c>
      <c r="AZ341" s="23">
        <v>4.402888496393817E-2</v>
      </c>
      <c r="BA341" s="23">
        <v>4.3189636348951121E-2</v>
      </c>
      <c r="BC341" s="17" t="s">
        <v>805</v>
      </c>
      <c r="BD341" s="23">
        <v>6.1135554578983307E-2</v>
      </c>
      <c r="BE341" s="23">
        <v>5.3218541238289348E-2</v>
      </c>
      <c r="BF341" s="23">
        <v>4.5128064520456243E-2</v>
      </c>
      <c r="BG341" s="23">
        <v>4.3977927448855522E-2</v>
      </c>
      <c r="BH341" s="23">
        <v>4.3992667851102722E-2</v>
      </c>
      <c r="BI341" s="23">
        <v>4.9038839424932139E-2</v>
      </c>
      <c r="BJ341" s="23">
        <v>5.5132041638577767E-2</v>
      </c>
      <c r="BK341" s="23">
        <v>6.1559298186674979E-2</v>
      </c>
      <c r="BL341" s="23">
        <v>6.6411543902648043E-2</v>
      </c>
      <c r="BM341" s="23">
        <v>7.1611541982906646E-2</v>
      </c>
      <c r="BN341" s="23">
        <v>7.535282597392505E-2</v>
      </c>
      <c r="BO341" s="23">
        <v>7.9027184244501225E-2</v>
      </c>
      <c r="BP341" s="23">
        <v>8.1518873790042801E-2</v>
      </c>
      <c r="BQ341" s="23">
        <v>8.385205538234268E-2</v>
      </c>
      <c r="BR341" s="23">
        <v>8.5134472375390569E-2</v>
      </c>
      <c r="BS341" s="23">
        <v>8.6431782467562626E-2</v>
      </c>
      <c r="BT341" s="23">
        <v>8.6637547814790689E-2</v>
      </c>
      <c r="BU341" s="23">
        <v>8.7172308629685905E-2</v>
      </c>
      <c r="BV341" s="23">
        <v>8.6391410996924961E-2</v>
      </c>
      <c r="BW341" s="23">
        <v>8.6579050754213599E-2</v>
      </c>
      <c r="BY341" s="17" t="s">
        <v>806</v>
      </c>
      <c r="BZ341" s="23">
        <v>6.1135554578983307E-2</v>
      </c>
      <c r="CA341" s="23">
        <v>5.3218541238289348E-2</v>
      </c>
      <c r="CB341" s="23">
        <v>4.5128064520456243E-2</v>
      </c>
      <c r="CC341" s="23">
        <v>4.3981119340621072E-2</v>
      </c>
      <c r="CD341" s="23">
        <v>4.4000974857205957E-2</v>
      </c>
      <c r="CE341" s="23">
        <v>4.4453922274685712E-2</v>
      </c>
      <c r="CF341" s="23">
        <v>4.460443290001774E-2</v>
      </c>
      <c r="CG341" s="23">
        <v>4.5305180004782772E-2</v>
      </c>
      <c r="CH341" s="23">
        <v>4.5979789046169457E-2</v>
      </c>
      <c r="CI341" s="23">
        <v>4.675159367563135E-2</v>
      </c>
      <c r="CJ341" s="23">
        <v>4.5423208448006583E-2</v>
      </c>
      <c r="CK341" s="23">
        <v>4.4297525062710411E-2</v>
      </c>
      <c r="CL341" s="23">
        <v>4.32141887335908E-2</v>
      </c>
      <c r="CM341" s="23">
        <v>4.2029197952987027E-2</v>
      </c>
      <c r="CN341" s="23">
        <v>4.0971115359838342E-2</v>
      </c>
      <c r="CO341" s="23">
        <v>3.9977982563696793E-2</v>
      </c>
      <c r="CP341" s="23">
        <v>3.9031199166946001E-2</v>
      </c>
      <c r="CQ341" s="23">
        <v>3.816467896717525E-2</v>
      </c>
      <c r="CR341" s="23">
        <v>3.7355905199593531E-2</v>
      </c>
      <c r="CS341" s="23">
        <v>3.6589603876864898E-2</v>
      </c>
      <c r="CU341" s="17" t="s">
        <v>807</v>
      </c>
      <c r="CV341" s="23">
        <v>6.1135554578983307E-2</v>
      </c>
      <c r="CW341" s="23">
        <v>5.3218541238289348E-2</v>
      </c>
      <c r="CX341" s="23">
        <v>4.5128064520456243E-2</v>
      </c>
      <c r="CY341" s="23">
        <v>4.3976594363417762E-2</v>
      </c>
      <c r="CZ341" s="23">
        <v>4.3989129404379247E-2</v>
      </c>
      <c r="DA341" s="23">
        <v>6.743171878657192E-2</v>
      </c>
      <c r="DB341" s="23">
        <v>6.6786572522918433E-2</v>
      </c>
      <c r="DC341" s="23">
        <v>6.9574611602522707E-2</v>
      </c>
      <c r="DD341" s="23">
        <v>6.8174694323306848E-2</v>
      </c>
      <c r="DE341" s="23">
        <v>6.7131081871088849E-2</v>
      </c>
      <c r="DF341" s="23">
        <v>6.4511734699289142E-2</v>
      </c>
      <c r="DG341" s="23">
        <v>6.2144643177155158E-2</v>
      </c>
      <c r="DH341" s="23">
        <v>5.9390331932825918E-2</v>
      </c>
      <c r="DI341" s="23">
        <v>5.6984405025419599E-2</v>
      </c>
      <c r="DJ341" s="23">
        <v>5.4694859950401728E-2</v>
      </c>
      <c r="DK341" s="23">
        <v>5.2697021340027628E-2</v>
      </c>
      <c r="DL341" s="23">
        <v>5.0795574176753261E-2</v>
      </c>
      <c r="DM341" s="23">
        <v>4.9149723968648362E-2</v>
      </c>
      <c r="DN341" s="23">
        <v>4.7588605843149008E-2</v>
      </c>
      <c r="DO341" s="23">
        <v>4.6226535668323139E-2</v>
      </c>
    </row>
    <row r="342" spans="1:119" x14ac:dyDescent="0.45">
      <c r="A342" s="16" t="s">
        <v>2224</v>
      </c>
      <c r="B342" s="3" t="s">
        <v>89</v>
      </c>
      <c r="C342" s="16" t="s">
        <v>2225</v>
      </c>
      <c r="H342" s="3" t="s">
        <v>2226</v>
      </c>
      <c r="I342" s="3" t="s">
        <v>860</v>
      </c>
      <c r="K342" s="17" t="s">
        <v>2227</v>
      </c>
      <c r="L342" s="3">
        <v>-1.486639641288917E-2</v>
      </c>
      <c r="M342" s="3">
        <v>-1.4554057808005869E-2</v>
      </c>
      <c r="N342" s="3">
        <v>-7.7306831386977554E-2</v>
      </c>
      <c r="O342" s="3">
        <v>-7.5039566393947876E-2</v>
      </c>
      <c r="P342" s="3">
        <v>-7.6066608609306613E-2</v>
      </c>
      <c r="Q342" s="3">
        <v>-7.6655413678974091E-2</v>
      </c>
      <c r="R342" s="3">
        <v>-7.7622734080736153E-2</v>
      </c>
      <c r="S342" s="3">
        <v>-7.8671394007825801E-2</v>
      </c>
      <c r="T342" s="3">
        <v>-7.9759299859405983E-2</v>
      </c>
      <c r="U342" s="3">
        <v>-7.952184989374407E-2</v>
      </c>
      <c r="V342" s="3">
        <v>-7.9204041931798141E-2</v>
      </c>
      <c r="W342" s="3">
        <v>-7.8846741095113373E-2</v>
      </c>
      <c r="X342" s="3">
        <v>-7.8490057262483606E-2</v>
      </c>
      <c r="Y342" s="3">
        <v>-7.8160882585281005E-2</v>
      </c>
      <c r="Z342" s="3">
        <v>-7.7852888854187771E-2</v>
      </c>
      <c r="AA342" s="3">
        <v>-7.7566477432051167E-2</v>
      </c>
      <c r="AB342" s="3">
        <v>-7.7298861747281983E-2</v>
      </c>
      <c r="AC342" s="3">
        <v>-7.7047958191360288E-2</v>
      </c>
      <c r="AD342" s="3">
        <v>-7.681218573636503E-2</v>
      </c>
      <c r="AE342" s="3">
        <v>-7.6302358137904897E-2</v>
      </c>
      <c r="AG342" s="17" t="s">
        <v>2228</v>
      </c>
      <c r="AH342" s="3">
        <v>-1.486639641288917E-2</v>
      </c>
      <c r="AI342" s="3">
        <v>-1.4554057808005869E-2</v>
      </c>
      <c r="AJ342" s="3">
        <v>-7.7306831386977554E-2</v>
      </c>
      <c r="AK342" s="3">
        <v>-7.5038231852731341E-2</v>
      </c>
      <c r="AL342" s="3">
        <v>-7.6063151050750399E-2</v>
      </c>
      <c r="AM342" s="3">
        <v>-6.7446971865460253E-2</v>
      </c>
      <c r="AN342" s="3">
        <v>-6.8611798946504626E-2</v>
      </c>
      <c r="AO342" s="3">
        <v>-6.8791632048181062E-2</v>
      </c>
      <c r="AP342" s="3">
        <v>-7.128958641906824E-2</v>
      </c>
      <c r="AQ342" s="3">
        <v>-7.1408731492387079E-2</v>
      </c>
      <c r="AR342" s="3">
        <v>-7.1601591442576995E-2</v>
      </c>
      <c r="AS342" s="3">
        <v>-7.1522677999116449E-2</v>
      </c>
      <c r="AT342" s="3">
        <v>-7.1522421431329544E-2</v>
      </c>
      <c r="AU342" s="3">
        <v>-7.15103309620512E-2</v>
      </c>
      <c r="AV342" s="3">
        <v>-7.1477828531469931E-2</v>
      </c>
      <c r="AW342" s="3">
        <v>-7.1441574723621948E-2</v>
      </c>
      <c r="AX342" s="3">
        <v>-7.1404844781976951E-2</v>
      </c>
      <c r="AY342" s="3">
        <v>-7.1364650153059789E-2</v>
      </c>
      <c r="AZ342" s="3">
        <v>-7.1323591487508331E-2</v>
      </c>
      <c r="BA342" s="3">
        <v>-7.0992316442311243E-2</v>
      </c>
      <c r="BC342" s="17" t="s">
        <v>2229</v>
      </c>
      <c r="BD342" s="3">
        <v>-1.486639641288917E-2</v>
      </c>
      <c r="BE342" s="3">
        <v>-1.4554057808005869E-2</v>
      </c>
      <c r="BF342" s="3">
        <v>-7.7306831386977554E-2</v>
      </c>
      <c r="BG342" s="3">
        <v>-7.5035116949153297E-2</v>
      </c>
      <c r="BH342" s="3">
        <v>-7.6054941223375333E-2</v>
      </c>
      <c r="BI342" s="3">
        <v>-7.2042012293406427E-2</v>
      </c>
      <c r="BJ342" s="3">
        <v>-6.7058182698642388E-2</v>
      </c>
      <c r="BK342" s="3">
        <v>-6.2365820649079862E-2</v>
      </c>
      <c r="BL342" s="3">
        <v>-5.9273577939265028E-2</v>
      </c>
      <c r="BM342" s="3">
        <v>-5.4591417300173251E-2</v>
      </c>
      <c r="BN342" s="3">
        <v>-4.9290100675339427E-2</v>
      </c>
      <c r="BO342" s="3">
        <v>-4.4235527757300969E-2</v>
      </c>
      <c r="BP342" s="3">
        <v>-4.0372015148763117E-2</v>
      </c>
      <c r="BQ342" s="3">
        <v>-3.6763256366187137E-2</v>
      </c>
      <c r="BR342" s="3">
        <v>-3.4287805452857367E-2</v>
      </c>
      <c r="BS342" s="3">
        <v>-3.1876677056165058E-2</v>
      </c>
      <c r="BT342" s="3">
        <v>-3.0627463248106241E-2</v>
      </c>
      <c r="BU342" s="3">
        <v>-2.910957325428706E-2</v>
      </c>
      <c r="BV342" s="3">
        <v>-2.896106545452154E-2</v>
      </c>
      <c r="BW342" s="3">
        <v>-2.7602902037048769E-2</v>
      </c>
      <c r="BY342" s="17" t="s">
        <v>2230</v>
      </c>
      <c r="BZ342" s="3">
        <v>-1.486639641288917E-2</v>
      </c>
      <c r="CA342" s="3">
        <v>-1.4554057808005869E-2</v>
      </c>
      <c r="CB342" s="3">
        <v>-7.7306831386977554E-2</v>
      </c>
      <c r="CC342" s="3">
        <v>-7.5031925057387747E-2</v>
      </c>
      <c r="CD342" s="3">
        <v>-7.6046634217272091E-2</v>
      </c>
      <c r="CE342" s="3">
        <v>-7.6626929443652861E-2</v>
      </c>
      <c r="CF342" s="3">
        <v>-7.7585791437202428E-2</v>
      </c>
      <c r="CG342" s="3">
        <v>-7.8619938830972069E-2</v>
      </c>
      <c r="CH342" s="3">
        <v>-7.9705332795743614E-2</v>
      </c>
      <c r="CI342" s="3">
        <v>-7.9451365607448546E-2</v>
      </c>
      <c r="CJ342" s="3">
        <v>-7.9219718201257894E-2</v>
      </c>
      <c r="CK342" s="3">
        <v>-7.8965186939091783E-2</v>
      </c>
      <c r="CL342" s="3">
        <v>-7.8676700205215125E-2</v>
      </c>
      <c r="CM342" s="3">
        <v>-7.8586113795542797E-2</v>
      </c>
      <c r="CN342" s="3">
        <v>-7.8451162468409594E-2</v>
      </c>
      <c r="CO342" s="3">
        <v>-7.8330476960030898E-2</v>
      </c>
      <c r="CP342" s="3">
        <v>-7.8233811895950925E-2</v>
      </c>
      <c r="CQ342" s="3">
        <v>-7.8117202916797718E-2</v>
      </c>
      <c r="CR342" s="3">
        <v>-7.799657125185297E-2</v>
      </c>
      <c r="CS342" s="3">
        <v>-7.7592348914397466E-2</v>
      </c>
      <c r="CU342" s="17" t="s">
        <v>2231</v>
      </c>
      <c r="CV342" s="3">
        <v>-1.486639641288917E-2</v>
      </c>
      <c r="CW342" s="3">
        <v>-1.4554057808005869E-2</v>
      </c>
      <c r="CX342" s="3">
        <v>-7.7306831386977554E-2</v>
      </c>
      <c r="CY342" s="3">
        <v>-7.5036450034591057E-2</v>
      </c>
      <c r="CZ342" s="3">
        <v>-7.6058479670098794E-2</v>
      </c>
      <c r="DA342" s="3">
        <v>-5.3649132931766652E-2</v>
      </c>
      <c r="DB342" s="3">
        <v>-5.5403651814301742E-2</v>
      </c>
      <c r="DC342" s="3">
        <v>-5.4350507233232127E-2</v>
      </c>
      <c r="DD342" s="3">
        <v>-5.751042751860623E-2</v>
      </c>
      <c r="DE342" s="3">
        <v>-5.9071877411991047E-2</v>
      </c>
      <c r="DF342" s="3">
        <v>-6.0131191949975342E-2</v>
      </c>
      <c r="DG342" s="3">
        <v>-6.1118068824647029E-2</v>
      </c>
      <c r="DH342" s="3">
        <v>-6.2500557005980006E-2</v>
      </c>
      <c r="DI342" s="3">
        <v>-6.3630906723110225E-2</v>
      </c>
      <c r="DJ342" s="3">
        <v>-6.4727417877846208E-2</v>
      </c>
      <c r="DK342" s="3">
        <v>-6.5611438183700049E-2</v>
      </c>
      <c r="DL342" s="3">
        <v>-6.6469436886143665E-2</v>
      </c>
      <c r="DM342" s="3">
        <v>-6.713215791532462E-2</v>
      </c>
      <c r="DN342" s="3">
        <v>-6.7763870608297486E-2</v>
      </c>
      <c r="DO342" s="3">
        <v>-6.7955417122939232E-2</v>
      </c>
    </row>
    <row r="343" spans="1:119" x14ac:dyDescent="0.45">
      <c r="A343" s="16" t="s">
        <v>970</v>
      </c>
      <c r="B343" s="3" t="s">
        <v>89</v>
      </c>
      <c r="C343" s="16" t="s">
        <v>971</v>
      </c>
      <c r="H343" s="3" t="s">
        <v>972</v>
      </c>
      <c r="I343" s="3" t="s">
        <v>794</v>
      </c>
      <c r="K343" s="17" t="s">
        <v>973</v>
      </c>
      <c r="L343" s="3">
        <v>2.0833662255335421E-3</v>
      </c>
      <c r="M343" s="3">
        <v>1.236501605245988E-3</v>
      </c>
      <c r="N343" s="3">
        <v>-5.5615181167683311E-2</v>
      </c>
      <c r="O343" s="3">
        <v>-5.5615181167683311E-2</v>
      </c>
      <c r="P343" s="3">
        <v>-5.5615181167683311E-2</v>
      </c>
      <c r="Q343" s="3">
        <v>-5.5615181167683311E-2</v>
      </c>
      <c r="R343" s="3">
        <v>-5.5615181167683311E-2</v>
      </c>
      <c r="S343" s="3">
        <v>-5.5615181167683311E-2</v>
      </c>
      <c r="T343" s="3">
        <v>-5.5615181167683311E-2</v>
      </c>
      <c r="U343" s="3">
        <v>-5.5615181167683311E-2</v>
      </c>
      <c r="V343" s="3">
        <v>-5.5615181167683311E-2</v>
      </c>
      <c r="W343" s="3">
        <v>-5.5615181167683311E-2</v>
      </c>
      <c r="X343" s="3">
        <v>-5.5615181167683311E-2</v>
      </c>
      <c r="Y343" s="3">
        <v>-5.5615181167683311E-2</v>
      </c>
      <c r="Z343" s="3">
        <v>-5.5615181167683311E-2</v>
      </c>
      <c r="AA343" s="3">
        <v>-5.5615181167683311E-2</v>
      </c>
      <c r="AB343" s="3">
        <v>-5.5615181167683311E-2</v>
      </c>
      <c r="AC343" s="3">
        <v>-5.5615181167683311E-2</v>
      </c>
      <c r="AD343" s="3">
        <v>-5.5615181167683311E-2</v>
      </c>
      <c r="AE343" s="3">
        <v>-5.5615181167683311E-2</v>
      </c>
      <c r="AG343" s="17" t="s">
        <v>974</v>
      </c>
      <c r="AH343" s="3">
        <v>2.0833662255335421E-3</v>
      </c>
      <c r="AI343" s="3">
        <v>1.236501605245988E-3</v>
      </c>
      <c r="AJ343" s="3">
        <v>-5.5615181167683311E-2</v>
      </c>
      <c r="AK343" s="3">
        <v>-5.5615181167683311E-2</v>
      </c>
      <c r="AL343" s="3">
        <v>-5.5615181167683311E-2</v>
      </c>
      <c r="AM343" s="3">
        <v>-5.5615181167683311E-2</v>
      </c>
      <c r="AN343" s="3">
        <v>-5.5615181167683311E-2</v>
      </c>
      <c r="AO343" s="3">
        <v>-5.5615181167683311E-2</v>
      </c>
      <c r="AP343" s="3">
        <v>-5.5615181167683311E-2</v>
      </c>
      <c r="AQ343" s="3">
        <v>-5.5615181167683311E-2</v>
      </c>
      <c r="AR343" s="3">
        <v>-5.5615181167683311E-2</v>
      </c>
      <c r="AS343" s="3">
        <v>-5.5615181167683311E-2</v>
      </c>
      <c r="AT343" s="3">
        <v>-5.5615181167683311E-2</v>
      </c>
      <c r="AU343" s="3">
        <v>-5.5615181167683311E-2</v>
      </c>
      <c r="AV343" s="3">
        <v>-5.5615181167683311E-2</v>
      </c>
      <c r="AW343" s="3">
        <v>-5.5615181167683311E-2</v>
      </c>
      <c r="AX343" s="3">
        <v>-5.5615181167683311E-2</v>
      </c>
      <c r="AY343" s="3">
        <v>-5.5615181167683311E-2</v>
      </c>
      <c r="AZ343" s="3">
        <v>-5.5615181167683311E-2</v>
      </c>
      <c r="BA343" s="3">
        <v>-5.5615181167683311E-2</v>
      </c>
      <c r="BC343" s="17" t="s">
        <v>975</v>
      </c>
      <c r="BD343" s="3">
        <v>2.0833662255335421E-3</v>
      </c>
      <c r="BE343" s="3">
        <v>1.236501605245988E-3</v>
      </c>
      <c r="BF343" s="3">
        <v>-5.5615181167683311E-2</v>
      </c>
      <c r="BG343" s="3">
        <v>-5.5615181167683311E-2</v>
      </c>
      <c r="BH343" s="3">
        <v>-5.5615181167683311E-2</v>
      </c>
      <c r="BI343" s="3">
        <v>-5.5615181167683311E-2</v>
      </c>
      <c r="BJ343" s="3">
        <v>-5.5615181167683311E-2</v>
      </c>
      <c r="BK343" s="3">
        <v>-5.5615181167683311E-2</v>
      </c>
      <c r="BL343" s="3">
        <v>-5.5615181167683311E-2</v>
      </c>
      <c r="BM343" s="3">
        <v>-5.5615181167683311E-2</v>
      </c>
      <c r="BN343" s="3">
        <v>-5.5615181167683311E-2</v>
      </c>
      <c r="BO343" s="3">
        <v>-5.5615181167683311E-2</v>
      </c>
      <c r="BP343" s="3">
        <v>-5.5615181167683311E-2</v>
      </c>
      <c r="BQ343" s="3">
        <v>-5.5615181167683311E-2</v>
      </c>
      <c r="BR343" s="3">
        <v>-5.5615181167683311E-2</v>
      </c>
      <c r="BS343" s="3">
        <v>-5.5615181167683311E-2</v>
      </c>
      <c r="BT343" s="3">
        <v>-5.5615181167683311E-2</v>
      </c>
      <c r="BU343" s="3">
        <v>-5.5615181167683311E-2</v>
      </c>
      <c r="BV343" s="3">
        <v>-5.5615181167683311E-2</v>
      </c>
      <c r="BW343" s="3">
        <v>-5.5615181167683311E-2</v>
      </c>
      <c r="BY343" s="17" t="s">
        <v>976</v>
      </c>
      <c r="BZ343" s="3">
        <v>2.0833662255335421E-3</v>
      </c>
      <c r="CA343" s="3">
        <v>1.236501605245988E-3</v>
      </c>
      <c r="CB343" s="3">
        <v>-5.5615181167683311E-2</v>
      </c>
      <c r="CC343" s="3">
        <v>-5.5615181167683311E-2</v>
      </c>
      <c r="CD343" s="3">
        <v>-5.5615181167683311E-2</v>
      </c>
      <c r="CE343" s="3">
        <v>-5.5615181167683311E-2</v>
      </c>
      <c r="CF343" s="3">
        <v>-5.5615181167683311E-2</v>
      </c>
      <c r="CG343" s="3">
        <v>-5.5615181167683311E-2</v>
      </c>
      <c r="CH343" s="3">
        <v>-5.5615181167683311E-2</v>
      </c>
      <c r="CI343" s="3">
        <v>-5.5615181167683311E-2</v>
      </c>
      <c r="CJ343" s="3">
        <v>-5.5615181167683311E-2</v>
      </c>
      <c r="CK343" s="3">
        <v>-5.5615181167683311E-2</v>
      </c>
      <c r="CL343" s="3">
        <v>-5.5615181167683311E-2</v>
      </c>
      <c r="CM343" s="3">
        <v>-5.5615181167683311E-2</v>
      </c>
      <c r="CN343" s="3">
        <v>-5.5615181167683311E-2</v>
      </c>
      <c r="CO343" s="3">
        <v>-5.5615181167683311E-2</v>
      </c>
      <c r="CP343" s="3">
        <v>-5.5615181167683311E-2</v>
      </c>
      <c r="CQ343" s="3">
        <v>-5.5615181167683311E-2</v>
      </c>
      <c r="CR343" s="3">
        <v>-5.5615181167683311E-2</v>
      </c>
      <c r="CS343" s="3">
        <v>-5.5615181167683311E-2</v>
      </c>
      <c r="CU343" s="17" t="s">
        <v>977</v>
      </c>
      <c r="CV343" s="3">
        <v>2.0833662255335421E-3</v>
      </c>
      <c r="CW343" s="3">
        <v>1.236501605245988E-3</v>
      </c>
      <c r="CX343" s="3">
        <v>-5.5615181167683311E-2</v>
      </c>
      <c r="CY343" s="3">
        <v>-5.5615181167683311E-2</v>
      </c>
      <c r="CZ343" s="3">
        <v>-5.5615181167683311E-2</v>
      </c>
      <c r="DA343" s="3">
        <v>-5.5615181167683311E-2</v>
      </c>
      <c r="DB343" s="3">
        <v>-5.5615181167683311E-2</v>
      </c>
      <c r="DC343" s="3">
        <v>-5.5615181167683311E-2</v>
      </c>
      <c r="DD343" s="3">
        <v>-5.5615181167683311E-2</v>
      </c>
      <c r="DE343" s="3">
        <v>-5.5615181167683311E-2</v>
      </c>
      <c r="DF343" s="3">
        <v>-5.5615181167683311E-2</v>
      </c>
      <c r="DG343" s="3">
        <v>-5.5615181167683311E-2</v>
      </c>
      <c r="DH343" s="3">
        <v>-5.5615181167683311E-2</v>
      </c>
      <c r="DI343" s="3">
        <v>-5.5615181167683311E-2</v>
      </c>
      <c r="DJ343" s="3">
        <v>-5.5615181167683311E-2</v>
      </c>
      <c r="DK343" s="3">
        <v>-5.5615181167683311E-2</v>
      </c>
      <c r="DL343" s="3">
        <v>-5.5615181167683311E-2</v>
      </c>
      <c r="DM343" s="3">
        <v>-5.5615181167683311E-2</v>
      </c>
      <c r="DN343" s="3">
        <v>-5.5615181167683311E-2</v>
      </c>
      <c r="DO343" s="3">
        <v>-5.5615181167683311E-2</v>
      </c>
    </row>
    <row r="344" spans="1:119" x14ac:dyDescent="0.45">
      <c r="A344" s="16" t="s">
        <v>2232</v>
      </c>
      <c r="B344" s="3" t="s">
        <v>89</v>
      </c>
      <c r="C344" s="16" t="s">
        <v>2233</v>
      </c>
      <c r="H344" s="3" t="s">
        <v>2234</v>
      </c>
      <c r="I344" s="3" t="s">
        <v>109</v>
      </c>
      <c r="K344" s="17" t="s">
        <v>2235</v>
      </c>
      <c r="L344" s="3">
        <v>0</v>
      </c>
      <c r="M344" s="3">
        <v>0</v>
      </c>
      <c r="N344" s="3">
        <v>0</v>
      </c>
      <c r="O344" s="3">
        <v>0</v>
      </c>
      <c r="P344" s="3">
        <v>0</v>
      </c>
      <c r="Q344" s="3">
        <v>0</v>
      </c>
      <c r="R344" s="3">
        <v>0</v>
      </c>
      <c r="S344" s="3">
        <v>0</v>
      </c>
      <c r="T344" s="3">
        <v>0</v>
      </c>
      <c r="U344" s="3">
        <v>0</v>
      </c>
      <c r="V344" s="3">
        <v>0</v>
      </c>
      <c r="W344" s="3">
        <v>0</v>
      </c>
      <c r="X344" s="3">
        <v>0</v>
      </c>
      <c r="Y344" s="3">
        <v>0</v>
      </c>
      <c r="Z344" s="3">
        <v>0</v>
      </c>
      <c r="AA344" s="3">
        <v>0</v>
      </c>
      <c r="AB344" s="3">
        <v>0</v>
      </c>
      <c r="AC344" s="3">
        <v>0</v>
      </c>
      <c r="AD344" s="3">
        <v>0</v>
      </c>
      <c r="AE344" s="3">
        <v>0</v>
      </c>
      <c r="AG344" s="17" t="s">
        <v>2236</v>
      </c>
      <c r="AH344" s="3">
        <v>0</v>
      </c>
      <c r="AI344" s="3">
        <v>0</v>
      </c>
      <c r="AJ344" s="3">
        <v>0</v>
      </c>
      <c r="AK344" s="3">
        <v>0</v>
      </c>
      <c r="AL344" s="3">
        <v>0</v>
      </c>
      <c r="AM344" s="3">
        <v>0</v>
      </c>
      <c r="AN344" s="3">
        <v>0</v>
      </c>
      <c r="AO344" s="3">
        <v>0</v>
      </c>
      <c r="AP344" s="3">
        <v>0</v>
      </c>
      <c r="AQ344" s="3">
        <v>0</v>
      </c>
      <c r="AR344" s="3">
        <v>0</v>
      </c>
      <c r="AS344" s="3">
        <v>0</v>
      </c>
      <c r="AT344" s="3">
        <v>0</v>
      </c>
      <c r="AU344" s="3">
        <v>0</v>
      </c>
      <c r="AV344" s="3">
        <v>0</v>
      </c>
      <c r="AW344" s="3">
        <v>0</v>
      </c>
      <c r="AX344" s="3">
        <v>0</v>
      </c>
      <c r="AY344" s="3">
        <v>0</v>
      </c>
      <c r="AZ344" s="3">
        <v>0</v>
      </c>
      <c r="BA344" s="3">
        <v>0</v>
      </c>
      <c r="BC344" s="17" t="s">
        <v>2237</v>
      </c>
      <c r="BD344" s="3">
        <v>0</v>
      </c>
      <c r="BE344" s="3">
        <v>0</v>
      </c>
      <c r="BF344" s="3">
        <v>0</v>
      </c>
      <c r="BG344" s="3">
        <v>0</v>
      </c>
      <c r="BH344" s="3">
        <v>0</v>
      </c>
      <c r="BI344" s="3">
        <v>0</v>
      </c>
      <c r="BJ344" s="3">
        <v>0</v>
      </c>
      <c r="BK344" s="3">
        <v>0</v>
      </c>
      <c r="BL344" s="3">
        <v>0</v>
      </c>
      <c r="BM344" s="3">
        <v>0</v>
      </c>
      <c r="BN344" s="3">
        <v>0</v>
      </c>
      <c r="BO344" s="3">
        <v>0</v>
      </c>
      <c r="BP344" s="3">
        <v>0</v>
      </c>
      <c r="BQ344" s="3">
        <v>0</v>
      </c>
      <c r="BR344" s="3">
        <v>0</v>
      </c>
      <c r="BS344" s="3">
        <v>0</v>
      </c>
      <c r="BT344" s="3">
        <v>0</v>
      </c>
      <c r="BU344" s="3">
        <v>0</v>
      </c>
      <c r="BV344" s="3">
        <v>0</v>
      </c>
      <c r="BW344" s="3">
        <v>0</v>
      </c>
      <c r="BY344" s="17" t="s">
        <v>2238</v>
      </c>
      <c r="BZ344" s="3">
        <v>0</v>
      </c>
      <c r="CA344" s="3">
        <v>0</v>
      </c>
      <c r="CB344" s="3">
        <v>0</v>
      </c>
      <c r="CC344" s="3">
        <v>0</v>
      </c>
      <c r="CD344" s="3">
        <v>0</v>
      </c>
      <c r="CE344" s="3">
        <v>0</v>
      </c>
      <c r="CF344" s="3">
        <v>0</v>
      </c>
      <c r="CG344" s="3">
        <v>0</v>
      </c>
      <c r="CH344" s="3">
        <v>0</v>
      </c>
      <c r="CI344" s="3">
        <v>0</v>
      </c>
      <c r="CJ344" s="3">
        <v>0</v>
      </c>
      <c r="CK344" s="3">
        <v>0</v>
      </c>
      <c r="CL344" s="3">
        <v>0</v>
      </c>
      <c r="CM344" s="3">
        <v>0</v>
      </c>
      <c r="CN344" s="3">
        <v>0</v>
      </c>
      <c r="CO344" s="3">
        <v>0</v>
      </c>
      <c r="CP344" s="3">
        <v>0</v>
      </c>
      <c r="CQ344" s="3">
        <v>0</v>
      </c>
      <c r="CR344" s="3">
        <v>0</v>
      </c>
      <c r="CS344" s="3">
        <v>0</v>
      </c>
      <c r="CU344" s="17" t="s">
        <v>2239</v>
      </c>
      <c r="CV344" s="3">
        <v>0</v>
      </c>
      <c r="CW344" s="3">
        <v>0</v>
      </c>
      <c r="CX344" s="3">
        <v>0</v>
      </c>
      <c r="CY344" s="3">
        <v>0</v>
      </c>
      <c r="CZ344" s="3">
        <v>0</v>
      </c>
      <c r="DA344" s="3">
        <v>0</v>
      </c>
      <c r="DB344" s="3">
        <v>0</v>
      </c>
      <c r="DC344" s="3">
        <v>0</v>
      </c>
      <c r="DD344" s="3">
        <v>0</v>
      </c>
      <c r="DE344" s="3">
        <v>0</v>
      </c>
      <c r="DF344" s="3">
        <v>0</v>
      </c>
      <c r="DG344" s="3">
        <v>0</v>
      </c>
      <c r="DH344" s="3">
        <v>0</v>
      </c>
      <c r="DI344" s="3">
        <v>0</v>
      </c>
      <c r="DJ344" s="3">
        <v>0</v>
      </c>
      <c r="DK344" s="3">
        <v>0</v>
      </c>
      <c r="DL344" s="3">
        <v>0</v>
      </c>
      <c r="DM344" s="3">
        <v>0</v>
      </c>
      <c r="DN344" s="3">
        <v>0</v>
      </c>
      <c r="DO344" s="3">
        <v>0</v>
      </c>
    </row>
    <row r="345" spans="1:119" x14ac:dyDescent="0.45">
      <c r="A345" s="16" t="s">
        <v>2240</v>
      </c>
      <c r="B345" s="3" t="s">
        <v>89</v>
      </c>
      <c r="C345" s="16" t="s">
        <v>2241</v>
      </c>
      <c r="H345" s="3" t="s">
        <v>2242</v>
      </c>
      <c r="I345" s="3" t="s">
        <v>860</v>
      </c>
      <c r="K345" s="17" t="s">
        <v>2243</v>
      </c>
      <c r="L345" s="3">
        <v>7.616189709596273E-3</v>
      </c>
      <c r="M345" s="3">
        <v>7.4676086531805163E-3</v>
      </c>
      <c r="N345" s="3">
        <v>6.6557858096093969E-3</v>
      </c>
      <c r="O345" s="3">
        <v>4.8087481949301483E-3</v>
      </c>
      <c r="P345" s="3">
        <v>5.7087386079154676E-3</v>
      </c>
      <c r="Q345" s="3">
        <v>6.1706542300913108E-3</v>
      </c>
      <c r="R345" s="3">
        <v>7.0017358891837009E-3</v>
      </c>
      <c r="S345" s="3">
        <v>7.8373385971550538E-3</v>
      </c>
      <c r="T345" s="3">
        <v>8.7091037286807036E-3</v>
      </c>
      <c r="U345" s="3">
        <v>8.4080596912965693E-3</v>
      </c>
      <c r="V345" s="3">
        <v>8.2818346843805887E-3</v>
      </c>
      <c r="W345" s="3">
        <v>8.0940338921210216E-3</v>
      </c>
      <c r="X345" s="3">
        <v>7.9058195584557032E-3</v>
      </c>
      <c r="Y345" s="3">
        <v>7.7332947116378926E-3</v>
      </c>
      <c r="Z345" s="3">
        <v>7.5718139181231289E-3</v>
      </c>
      <c r="AA345" s="3">
        <v>7.4221872000504244E-3</v>
      </c>
      <c r="AB345" s="3">
        <v>7.2827143087165836E-3</v>
      </c>
      <c r="AC345" s="3">
        <v>7.1525459151188893E-3</v>
      </c>
      <c r="AD345" s="3">
        <v>7.0309109693812684E-3</v>
      </c>
      <c r="AE345" s="3">
        <v>6.6648318905928768E-3</v>
      </c>
      <c r="AG345" s="17" t="s">
        <v>2244</v>
      </c>
      <c r="AH345" s="3">
        <v>7.616189709596273E-3</v>
      </c>
      <c r="AI345" s="3">
        <v>7.4676086531805163E-3</v>
      </c>
      <c r="AJ345" s="3">
        <v>6.6557858096093969E-3</v>
      </c>
      <c r="AK345" s="3">
        <v>4.8087481949301483E-3</v>
      </c>
      <c r="AL345" s="3">
        <v>5.7087386079154676E-3</v>
      </c>
      <c r="AM345" s="3">
        <v>6.1706542300913108E-3</v>
      </c>
      <c r="AN345" s="3">
        <v>7.0017358891837009E-3</v>
      </c>
      <c r="AO345" s="3">
        <v>7.8373385971550538E-3</v>
      </c>
      <c r="AP345" s="3">
        <v>8.7091037286807036E-3</v>
      </c>
      <c r="AQ345" s="3">
        <v>8.4080596912965693E-3</v>
      </c>
      <c r="AR345" s="3">
        <v>8.2818346843805887E-3</v>
      </c>
      <c r="AS345" s="3">
        <v>8.0940338921210216E-3</v>
      </c>
      <c r="AT345" s="3">
        <v>7.9058195584557032E-3</v>
      </c>
      <c r="AU345" s="3">
        <v>7.7332947116378926E-3</v>
      </c>
      <c r="AV345" s="3">
        <v>7.5718139181231289E-3</v>
      </c>
      <c r="AW345" s="3">
        <v>7.4221872000504244E-3</v>
      </c>
      <c r="AX345" s="3">
        <v>7.2827143087165836E-3</v>
      </c>
      <c r="AY345" s="3">
        <v>7.1525459151188893E-3</v>
      </c>
      <c r="AZ345" s="3">
        <v>7.0309109693812684E-3</v>
      </c>
      <c r="BA345" s="3">
        <v>6.6648318905928768E-3</v>
      </c>
      <c r="BC345" s="17" t="s">
        <v>2245</v>
      </c>
      <c r="BD345" s="3">
        <v>7.616189709596273E-3</v>
      </c>
      <c r="BE345" s="3">
        <v>7.4676086531805163E-3</v>
      </c>
      <c r="BF345" s="3">
        <v>6.6557858096093969E-3</v>
      </c>
      <c r="BG345" s="3">
        <v>4.8087481949301483E-3</v>
      </c>
      <c r="BH345" s="3">
        <v>5.7087386079154676E-3</v>
      </c>
      <c r="BI345" s="3">
        <v>6.1706542300913108E-3</v>
      </c>
      <c r="BJ345" s="3">
        <v>7.0017358891837009E-3</v>
      </c>
      <c r="BK345" s="3">
        <v>7.8373385971550538E-3</v>
      </c>
      <c r="BL345" s="3">
        <v>8.7091037286807036E-3</v>
      </c>
      <c r="BM345" s="3">
        <v>8.4080596912965693E-3</v>
      </c>
      <c r="BN345" s="3">
        <v>8.2818346843805887E-3</v>
      </c>
      <c r="BO345" s="3">
        <v>8.0940338921210216E-3</v>
      </c>
      <c r="BP345" s="3">
        <v>7.9058195584557032E-3</v>
      </c>
      <c r="BQ345" s="3">
        <v>7.7332947116378926E-3</v>
      </c>
      <c r="BR345" s="3">
        <v>7.5718139181231289E-3</v>
      </c>
      <c r="BS345" s="3">
        <v>7.4221872000504244E-3</v>
      </c>
      <c r="BT345" s="3">
        <v>7.2827143087165836E-3</v>
      </c>
      <c r="BU345" s="3">
        <v>7.1525459151188893E-3</v>
      </c>
      <c r="BV345" s="3">
        <v>7.0309109693812684E-3</v>
      </c>
      <c r="BW345" s="3">
        <v>6.6648318905928768E-3</v>
      </c>
      <c r="BY345" s="17" t="s">
        <v>2246</v>
      </c>
      <c r="BZ345" s="3">
        <v>7.616189709596273E-3</v>
      </c>
      <c r="CA345" s="3">
        <v>7.4676086531805163E-3</v>
      </c>
      <c r="CB345" s="3">
        <v>6.6557858096093969E-3</v>
      </c>
      <c r="CC345" s="3">
        <v>4.8087481949301483E-3</v>
      </c>
      <c r="CD345" s="3">
        <v>5.7087386079154676E-3</v>
      </c>
      <c r="CE345" s="3">
        <v>6.1706542300913108E-3</v>
      </c>
      <c r="CF345" s="3">
        <v>7.0017358891837009E-3</v>
      </c>
      <c r="CG345" s="3">
        <v>7.8373385971550538E-3</v>
      </c>
      <c r="CH345" s="3">
        <v>8.7091037286807036E-3</v>
      </c>
      <c r="CI345" s="3">
        <v>8.4080596912965693E-3</v>
      </c>
      <c r="CJ345" s="3">
        <v>8.2818346843805887E-3</v>
      </c>
      <c r="CK345" s="3">
        <v>8.0940338921210216E-3</v>
      </c>
      <c r="CL345" s="3">
        <v>7.9058195584557032E-3</v>
      </c>
      <c r="CM345" s="3">
        <v>7.7332947116378926E-3</v>
      </c>
      <c r="CN345" s="3">
        <v>7.5718139181231289E-3</v>
      </c>
      <c r="CO345" s="3">
        <v>7.4221872000504244E-3</v>
      </c>
      <c r="CP345" s="3">
        <v>7.2827143087165836E-3</v>
      </c>
      <c r="CQ345" s="3">
        <v>7.1525459151188893E-3</v>
      </c>
      <c r="CR345" s="3">
        <v>7.0309109693812684E-3</v>
      </c>
      <c r="CS345" s="3">
        <v>6.6648318905928768E-3</v>
      </c>
      <c r="CU345" s="17" t="s">
        <v>2247</v>
      </c>
      <c r="CV345" s="3">
        <v>7.616189709596273E-3</v>
      </c>
      <c r="CW345" s="3">
        <v>7.4676086531805163E-3</v>
      </c>
      <c r="CX345" s="3">
        <v>6.6557858096093969E-3</v>
      </c>
      <c r="CY345" s="3">
        <v>4.8087481949301483E-3</v>
      </c>
      <c r="CZ345" s="3">
        <v>5.7087386079154676E-3</v>
      </c>
      <c r="DA345" s="3">
        <v>6.1706542300913108E-3</v>
      </c>
      <c r="DB345" s="3">
        <v>7.0017358891837009E-3</v>
      </c>
      <c r="DC345" s="3">
        <v>7.8373385971550538E-3</v>
      </c>
      <c r="DD345" s="3">
        <v>8.7091037286807036E-3</v>
      </c>
      <c r="DE345" s="3">
        <v>8.4080596912965693E-3</v>
      </c>
      <c r="DF345" s="3">
        <v>8.2818346843805887E-3</v>
      </c>
      <c r="DG345" s="3">
        <v>8.0940338921210216E-3</v>
      </c>
      <c r="DH345" s="3">
        <v>7.9058195584557032E-3</v>
      </c>
      <c r="DI345" s="3">
        <v>7.7332947116378926E-3</v>
      </c>
      <c r="DJ345" s="3">
        <v>7.5718139181231289E-3</v>
      </c>
      <c r="DK345" s="3">
        <v>7.4221872000504244E-3</v>
      </c>
      <c r="DL345" s="3">
        <v>7.2827143087165836E-3</v>
      </c>
      <c r="DM345" s="3">
        <v>7.1525459151188893E-3</v>
      </c>
      <c r="DN345" s="3">
        <v>7.0309109693812684E-3</v>
      </c>
      <c r="DO345" s="3">
        <v>6.6648318905928768E-3</v>
      </c>
    </row>
    <row r="346" spans="1:119" x14ac:dyDescent="0.45">
      <c r="A346" s="16" t="s">
        <v>2248</v>
      </c>
      <c r="B346" s="3" t="s">
        <v>89</v>
      </c>
      <c r="C346" s="16" t="s">
        <v>2249</v>
      </c>
      <c r="H346" s="3" t="s">
        <v>2250</v>
      </c>
      <c r="I346" s="3" t="s">
        <v>109</v>
      </c>
      <c r="K346" s="17" t="s">
        <v>2251</v>
      </c>
      <c r="L346" s="3">
        <v>0</v>
      </c>
      <c r="M346" s="3">
        <v>0</v>
      </c>
      <c r="N346" s="3">
        <v>0</v>
      </c>
      <c r="O346" s="3">
        <v>0</v>
      </c>
      <c r="P346" s="3">
        <v>0</v>
      </c>
      <c r="Q346" s="3">
        <v>0</v>
      </c>
      <c r="R346" s="3">
        <v>0</v>
      </c>
      <c r="S346" s="3">
        <v>0</v>
      </c>
      <c r="T346" s="3">
        <v>0</v>
      </c>
      <c r="U346" s="3">
        <v>0</v>
      </c>
      <c r="V346" s="3">
        <v>0</v>
      </c>
      <c r="W346" s="3">
        <v>0</v>
      </c>
      <c r="X346" s="3">
        <v>0</v>
      </c>
      <c r="Y346" s="3">
        <v>0</v>
      </c>
      <c r="Z346" s="3">
        <v>0</v>
      </c>
      <c r="AA346" s="3">
        <v>0</v>
      </c>
      <c r="AB346" s="3">
        <v>0</v>
      </c>
      <c r="AC346" s="3">
        <v>0</v>
      </c>
      <c r="AD346" s="3">
        <v>0</v>
      </c>
      <c r="AE346" s="3">
        <v>0</v>
      </c>
      <c r="AG346" s="17" t="s">
        <v>2252</v>
      </c>
      <c r="AH346" s="3">
        <v>0</v>
      </c>
      <c r="AI346" s="3">
        <v>0</v>
      </c>
      <c r="AJ346" s="3">
        <v>0</v>
      </c>
      <c r="AK346" s="3">
        <v>0</v>
      </c>
      <c r="AL346" s="3">
        <v>0</v>
      </c>
      <c r="AM346" s="3">
        <v>0</v>
      </c>
      <c r="AN346" s="3">
        <v>0</v>
      </c>
      <c r="AO346" s="3">
        <v>0</v>
      </c>
      <c r="AP346" s="3">
        <v>0</v>
      </c>
      <c r="AQ346" s="3">
        <v>0</v>
      </c>
      <c r="AR346" s="3">
        <v>0</v>
      </c>
      <c r="AS346" s="3">
        <v>0</v>
      </c>
      <c r="AT346" s="3">
        <v>0</v>
      </c>
      <c r="AU346" s="3">
        <v>0</v>
      </c>
      <c r="AV346" s="3">
        <v>0</v>
      </c>
      <c r="AW346" s="3">
        <v>0</v>
      </c>
      <c r="AX346" s="3">
        <v>0</v>
      </c>
      <c r="AY346" s="3">
        <v>0</v>
      </c>
      <c r="AZ346" s="3">
        <v>0</v>
      </c>
      <c r="BA346" s="3">
        <v>0</v>
      </c>
      <c r="BC346" s="17" t="s">
        <v>2253</v>
      </c>
      <c r="BD346" s="3">
        <v>0</v>
      </c>
      <c r="BE346" s="3">
        <v>0</v>
      </c>
      <c r="BF346" s="3">
        <v>0</v>
      </c>
      <c r="BG346" s="3">
        <v>0</v>
      </c>
      <c r="BH346" s="3">
        <v>0</v>
      </c>
      <c r="BI346" s="3">
        <v>0</v>
      </c>
      <c r="BJ346" s="3">
        <v>0</v>
      </c>
      <c r="BK346" s="3">
        <v>0</v>
      </c>
      <c r="BL346" s="3">
        <v>0</v>
      </c>
      <c r="BM346" s="3">
        <v>0</v>
      </c>
      <c r="BN346" s="3">
        <v>0</v>
      </c>
      <c r="BO346" s="3">
        <v>0</v>
      </c>
      <c r="BP346" s="3">
        <v>0</v>
      </c>
      <c r="BQ346" s="3">
        <v>0</v>
      </c>
      <c r="BR346" s="3">
        <v>0</v>
      </c>
      <c r="BS346" s="3">
        <v>0</v>
      </c>
      <c r="BT346" s="3">
        <v>0</v>
      </c>
      <c r="BU346" s="3">
        <v>0</v>
      </c>
      <c r="BV346" s="3">
        <v>0</v>
      </c>
      <c r="BW346" s="3">
        <v>0</v>
      </c>
      <c r="BY346" s="17" t="s">
        <v>2254</v>
      </c>
      <c r="BZ346" s="3">
        <v>0</v>
      </c>
      <c r="CA346" s="3">
        <v>0</v>
      </c>
      <c r="CB346" s="3">
        <v>0</v>
      </c>
      <c r="CC346" s="3">
        <v>0</v>
      </c>
      <c r="CD346" s="3">
        <v>0</v>
      </c>
      <c r="CE346" s="3">
        <v>0</v>
      </c>
      <c r="CF346" s="3">
        <v>0</v>
      </c>
      <c r="CG346" s="3">
        <v>0</v>
      </c>
      <c r="CH346" s="3">
        <v>0</v>
      </c>
      <c r="CI346" s="3">
        <v>0</v>
      </c>
      <c r="CJ346" s="3">
        <v>0</v>
      </c>
      <c r="CK346" s="3">
        <v>0</v>
      </c>
      <c r="CL346" s="3">
        <v>0</v>
      </c>
      <c r="CM346" s="3">
        <v>0</v>
      </c>
      <c r="CN346" s="3">
        <v>0</v>
      </c>
      <c r="CO346" s="3">
        <v>0</v>
      </c>
      <c r="CP346" s="3">
        <v>0</v>
      </c>
      <c r="CQ346" s="3">
        <v>0</v>
      </c>
      <c r="CR346" s="3">
        <v>0</v>
      </c>
      <c r="CS346" s="3">
        <v>0</v>
      </c>
      <c r="CU346" s="17" t="s">
        <v>2255</v>
      </c>
      <c r="CV346" s="3">
        <v>0</v>
      </c>
      <c r="CW346" s="3">
        <v>0</v>
      </c>
      <c r="CX346" s="3">
        <v>0</v>
      </c>
      <c r="CY346" s="3">
        <v>0</v>
      </c>
      <c r="CZ346" s="3">
        <v>0</v>
      </c>
      <c r="DA346" s="3">
        <v>0</v>
      </c>
      <c r="DB346" s="3">
        <v>0</v>
      </c>
      <c r="DC346" s="3">
        <v>0</v>
      </c>
      <c r="DD346" s="3">
        <v>0</v>
      </c>
      <c r="DE346" s="3">
        <v>0</v>
      </c>
      <c r="DF346" s="3">
        <v>0</v>
      </c>
      <c r="DG346" s="3">
        <v>0</v>
      </c>
      <c r="DH346" s="3">
        <v>0</v>
      </c>
      <c r="DI346" s="3">
        <v>0</v>
      </c>
      <c r="DJ346" s="3">
        <v>0</v>
      </c>
      <c r="DK346" s="3">
        <v>0</v>
      </c>
      <c r="DL346" s="3">
        <v>0</v>
      </c>
      <c r="DM346" s="3">
        <v>0</v>
      </c>
      <c r="DN346" s="3">
        <v>0</v>
      </c>
      <c r="DO346" s="3">
        <v>0</v>
      </c>
    </row>
    <row r="347" spans="1:119" x14ac:dyDescent="0.45">
      <c r="A347" s="16" t="s">
        <v>2256</v>
      </c>
      <c r="B347" s="3" t="s">
        <v>89</v>
      </c>
      <c r="C347" s="16" t="s">
        <v>2257</v>
      </c>
      <c r="H347" s="3" t="s">
        <v>2258</v>
      </c>
      <c r="I347" s="3" t="s">
        <v>109</v>
      </c>
      <c r="K347" s="17" t="s">
        <v>2259</v>
      </c>
      <c r="L347" s="3">
        <v>90.929532881518497</v>
      </c>
      <c r="M347" s="3">
        <v>94.290361845965421</v>
      </c>
      <c r="N347" s="3">
        <v>95.668917435468586</v>
      </c>
      <c r="O347" s="3">
        <v>91.408612064435204</v>
      </c>
      <c r="P347" s="3">
        <v>96.308759835168928</v>
      </c>
      <c r="Q347" s="3">
        <v>100.06780043353341</v>
      </c>
      <c r="R347" s="3">
        <v>105.0520181393366</v>
      </c>
      <c r="S347" s="3">
        <v>110.07226481837</v>
      </c>
      <c r="T347" s="3">
        <v>115.3036219672891</v>
      </c>
      <c r="U347" s="3">
        <v>119.39401451275199</v>
      </c>
      <c r="V347" s="3">
        <v>124.2215862690104</v>
      </c>
      <c r="W347" s="3">
        <v>128.77337544204741</v>
      </c>
      <c r="X347" s="3">
        <v>133.61973725938421</v>
      </c>
      <c r="Y347" s="3">
        <v>138.58614297973901</v>
      </c>
      <c r="Z347" s="3">
        <v>143.75363077803081</v>
      </c>
      <c r="AA347" s="3">
        <v>149.12127545106969</v>
      </c>
      <c r="AB347" s="3">
        <v>154.7004367204342</v>
      </c>
      <c r="AC347" s="3">
        <v>160.49789681209</v>
      </c>
      <c r="AD347" s="3">
        <v>166.518650871593</v>
      </c>
      <c r="AE347" s="3">
        <v>171.68058835883011</v>
      </c>
      <c r="AG347" s="17" t="s">
        <v>2260</v>
      </c>
      <c r="AH347" s="3">
        <v>90.929532881518497</v>
      </c>
      <c r="AI347" s="3">
        <v>94.299543262697668</v>
      </c>
      <c r="AJ347" s="3">
        <v>95.676230621839451</v>
      </c>
      <c r="AK347" s="3">
        <v>91.414220185600129</v>
      </c>
      <c r="AL347" s="3">
        <v>96.314695989717066</v>
      </c>
      <c r="AM347" s="3">
        <v>99.440316067704728</v>
      </c>
      <c r="AN347" s="3">
        <v>106.0910455928592</v>
      </c>
      <c r="AO347" s="3">
        <v>110.1926046684392</v>
      </c>
      <c r="AP347" s="3">
        <v>115.6797702700059</v>
      </c>
      <c r="AQ347" s="3">
        <v>119.6705314071487</v>
      </c>
      <c r="AR347" s="3">
        <v>124.6228157284343</v>
      </c>
      <c r="AS347" s="3">
        <v>129.1527002011687</v>
      </c>
      <c r="AT347" s="3">
        <v>134.13639717643139</v>
      </c>
      <c r="AU347" s="3">
        <v>139.1627449095478</v>
      </c>
      <c r="AV347" s="3">
        <v>144.3895960879027</v>
      </c>
      <c r="AW347" s="3">
        <v>149.80998843596171</v>
      </c>
      <c r="AX347" s="3">
        <v>155.45395377325801</v>
      </c>
      <c r="AY347" s="3">
        <v>161.31822825627589</v>
      </c>
      <c r="AZ347" s="3">
        <v>167.42151127804661</v>
      </c>
      <c r="BA347" s="3">
        <v>172.69181315036829</v>
      </c>
      <c r="BC347" s="17" t="s">
        <v>2261</v>
      </c>
      <c r="BD347" s="3">
        <v>90.929532881518497</v>
      </c>
      <c r="BE347" s="3">
        <v>94.322546455579513</v>
      </c>
      <c r="BF347" s="3">
        <v>95.69455077932885</v>
      </c>
      <c r="BG347" s="3">
        <v>91.428269008881855</v>
      </c>
      <c r="BH347" s="3">
        <v>96.329527276046136</v>
      </c>
      <c r="BI347" s="3">
        <v>99.576916153906865</v>
      </c>
      <c r="BJ347" s="3">
        <v>104.713135956221</v>
      </c>
      <c r="BK347" s="3">
        <v>109.9097274415611</v>
      </c>
      <c r="BL347" s="3">
        <v>114.6648920666041</v>
      </c>
      <c r="BM347" s="3">
        <v>118.5566514302665</v>
      </c>
      <c r="BN347" s="3">
        <v>123.9252511394179</v>
      </c>
      <c r="BO347" s="3">
        <v>128.88884053255109</v>
      </c>
      <c r="BP347" s="3">
        <v>134.6961387338514</v>
      </c>
      <c r="BQ347" s="3">
        <v>140.37559278762811</v>
      </c>
      <c r="BR347" s="3">
        <v>146.74018024038139</v>
      </c>
      <c r="BS347" s="3">
        <v>153.0405631137952</v>
      </c>
      <c r="BT347" s="3">
        <v>160.12417126204349</v>
      </c>
      <c r="BU347" s="3">
        <v>167.0256788594063</v>
      </c>
      <c r="BV347" s="3">
        <v>174.98636236532209</v>
      </c>
      <c r="BW347" s="3">
        <v>181.34010048202799</v>
      </c>
      <c r="BY347" s="17" t="s">
        <v>2262</v>
      </c>
      <c r="BZ347" s="3">
        <v>90.929532881518497</v>
      </c>
      <c r="CA347" s="3">
        <v>94.344834912285634</v>
      </c>
      <c r="CB347" s="3">
        <v>95.71231930739863</v>
      </c>
      <c r="CC347" s="3">
        <v>91.441911755994298</v>
      </c>
      <c r="CD347" s="3">
        <v>96.343979884545377</v>
      </c>
      <c r="CE347" s="3">
        <v>99.154329009311908</v>
      </c>
      <c r="CF347" s="3">
        <v>104.274346025155</v>
      </c>
      <c r="CG347" s="3">
        <v>109.4332925946857</v>
      </c>
      <c r="CH347" s="3">
        <v>114.85225639464799</v>
      </c>
      <c r="CI347" s="3">
        <v>119.3057447677469</v>
      </c>
      <c r="CJ347" s="3">
        <v>124.7202076539553</v>
      </c>
      <c r="CK347" s="3">
        <v>129.59981602173229</v>
      </c>
      <c r="CL347" s="3">
        <v>135.53626557622499</v>
      </c>
      <c r="CM347" s="3">
        <v>141.47606805059019</v>
      </c>
      <c r="CN347" s="3">
        <v>147.58099577206781</v>
      </c>
      <c r="CO347" s="3">
        <v>154.0902635024151</v>
      </c>
      <c r="CP347" s="3">
        <v>160.7526552871326</v>
      </c>
      <c r="CQ347" s="3">
        <v>167.64450692192051</v>
      </c>
      <c r="CR347" s="3">
        <v>174.86792706433391</v>
      </c>
      <c r="CS347" s="3">
        <v>181.10680746957729</v>
      </c>
      <c r="CU347" s="17" t="s">
        <v>2263</v>
      </c>
      <c r="CV347" s="3">
        <v>90.929532881518497</v>
      </c>
      <c r="CW347" s="3">
        <v>94.312421475161685</v>
      </c>
      <c r="CX347" s="3">
        <v>95.686487492794654</v>
      </c>
      <c r="CY347" s="3">
        <v>91.422085685628446</v>
      </c>
      <c r="CZ347" s="3">
        <v>96.323006092675058</v>
      </c>
      <c r="DA347" s="3">
        <v>98.364660844053958</v>
      </c>
      <c r="DB347" s="3">
        <v>107.34978516341209</v>
      </c>
      <c r="DC347" s="3">
        <v>111.4369849125423</v>
      </c>
      <c r="DD347" s="3">
        <v>116.7584114058493</v>
      </c>
      <c r="DE347" s="3">
        <v>120.0991017208985</v>
      </c>
      <c r="DF347" s="3">
        <v>125.8049660397585</v>
      </c>
      <c r="DG347" s="3">
        <v>130.76881303412449</v>
      </c>
      <c r="DH347" s="3">
        <v>136.64752553727621</v>
      </c>
      <c r="DI347" s="3">
        <v>142.3335216512211</v>
      </c>
      <c r="DJ347" s="3">
        <v>148.44280613709009</v>
      </c>
      <c r="DK347" s="3">
        <v>154.56704235940899</v>
      </c>
      <c r="DL347" s="3">
        <v>161.12369187206599</v>
      </c>
      <c r="DM347" s="3">
        <v>167.70912905191261</v>
      </c>
      <c r="DN347" s="3">
        <v>174.72772052552719</v>
      </c>
      <c r="DO347" s="3">
        <v>180.67068537012889</v>
      </c>
    </row>
    <row r="348" spans="1:119" x14ac:dyDescent="0.45">
      <c r="A348" s="16" t="s">
        <v>2264</v>
      </c>
      <c r="B348" s="3" t="s">
        <v>89</v>
      </c>
      <c r="C348" s="16" t="s">
        <v>2265</v>
      </c>
      <c r="H348" s="3" t="s">
        <v>2266</v>
      </c>
      <c r="I348" s="3" t="s">
        <v>109</v>
      </c>
      <c r="K348" s="17" t="s">
        <v>2267</v>
      </c>
      <c r="L348" s="3">
        <v>17.897345219079</v>
      </c>
      <c r="M348" s="3">
        <v>17.713639138626629</v>
      </c>
      <c r="N348" s="3">
        <v>16.662506273756691</v>
      </c>
      <c r="O348" s="3">
        <v>11.71667552366023</v>
      </c>
      <c r="P348" s="3">
        <v>13.219937584724949</v>
      </c>
      <c r="Q348" s="3">
        <v>13.57251485779879</v>
      </c>
      <c r="R348" s="3">
        <v>14.664116072328691</v>
      </c>
      <c r="S348" s="3">
        <v>15.664679338126749</v>
      </c>
      <c r="T348" s="3">
        <v>16.562367428537389</v>
      </c>
      <c r="U348" s="3">
        <v>16.72456870345486</v>
      </c>
      <c r="V348" s="3">
        <v>17.23245180412502</v>
      </c>
      <c r="W348" s="3">
        <v>17.74656364138448</v>
      </c>
      <c r="X348" s="3">
        <v>18.265972520004169</v>
      </c>
      <c r="Y348" s="3">
        <v>18.790394568081179</v>
      </c>
      <c r="Z348" s="3">
        <v>19.318574178723338</v>
      </c>
      <c r="AA348" s="3">
        <v>19.850789087609382</v>
      </c>
      <c r="AB348" s="3">
        <v>20.384693602952741</v>
      </c>
      <c r="AC348" s="3">
        <v>20.919136028764399</v>
      </c>
      <c r="AD348" s="3">
        <v>21.452884505178659</v>
      </c>
      <c r="AE348" s="3">
        <v>21.18277802121764</v>
      </c>
      <c r="AG348" s="17" t="s">
        <v>2268</v>
      </c>
      <c r="AH348" s="3">
        <v>17.897345219079</v>
      </c>
      <c r="AI348" s="3">
        <v>17.713639138626629</v>
      </c>
      <c r="AJ348" s="3">
        <v>16.662506273756691</v>
      </c>
      <c r="AK348" s="3">
        <v>11.71667552366023</v>
      </c>
      <c r="AL348" s="3">
        <v>13.219937584724949</v>
      </c>
      <c r="AM348" s="3">
        <v>13.57251485779879</v>
      </c>
      <c r="AN348" s="3">
        <v>14.66411607232868</v>
      </c>
      <c r="AO348" s="3">
        <v>15.664679338126749</v>
      </c>
      <c r="AP348" s="3">
        <v>16.562367428537389</v>
      </c>
      <c r="AQ348" s="3">
        <v>16.72456870345486</v>
      </c>
      <c r="AR348" s="3">
        <v>17.23245180412502</v>
      </c>
      <c r="AS348" s="3">
        <v>17.74656364138448</v>
      </c>
      <c r="AT348" s="3">
        <v>18.265972520004169</v>
      </c>
      <c r="AU348" s="3">
        <v>18.790394568081179</v>
      </c>
      <c r="AV348" s="3">
        <v>19.318574178723331</v>
      </c>
      <c r="AW348" s="3">
        <v>19.850789087609382</v>
      </c>
      <c r="AX348" s="3">
        <v>20.384693602952741</v>
      </c>
      <c r="AY348" s="3">
        <v>20.919136028764399</v>
      </c>
      <c r="AZ348" s="3">
        <v>21.452884505178659</v>
      </c>
      <c r="BA348" s="3">
        <v>21.18277802121764</v>
      </c>
      <c r="BC348" s="17" t="s">
        <v>2269</v>
      </c>
      <c r="BD348" s="3">
        <v>17.897345219079</v>
      </c>
      <c r="BE348" s="3">
        <v>17.713639138626629</v>
      </c>
      <c r="BF348" s="3">
        <v>16.662506273756691</v>
      </c>
      <c r="BG348" s="3">
        <v>11.71667552366023</v>
      </c>
      <c r="BH348" s="3">
        <v>13.219937584724949</v>
      </c>
      <c r="BI348" s="3">
        <v>13.57251485779879</v>
      </c>
      <c r="BJ348" s="3">
        <v>14.66411607232868</v>
      </c>
      <c r="BK348" s="3">
        <v>15.664679338126749</v>
      </c>
      <c r="BL348" s="3">
        <v>16.562367428537389</v>
      </c>
      <c r="BM348" s="3">
        <v>16.72456870345486</v>
      </c>
      <c r="BN348" s="3">
        <v>17.23245180412502</v>
      </c>
      <c r="BO348" s="3">
        <v>17.74656364138448</v>
      </c>
      <c r="BP348" s="3">
        <v>18.265972520004169</v>
      </c>
      <c r="BQ348" s="3">
        <v>18.790394568081179</v>
      </c>
      <c r="BR348" s="3">
        <v>19.318574178723331</v>
      </c>
      <c r="BS348" s="3">
        <v>19.850789087609382</v>
      </c>
      <c r="BT348" s="3">
        <v>20.384693602952741</v>
      </c>
      <c r="BU348" s="3">
        <v>20.919136028764399</v>
      </c>
      <c r="BV348" s="3">
        <v>21.452884505178659</v>
      </c>
      <c r="BW348" s="3">
        <v>21.18277802121764</v>
      </c>
      <c r="BY348" s="17" t="s">
        <v>2270</v>
      </c>
      <c r="BZ348" s="3">
        <v>17.897345219079</v>
      </c>
      <c r="CA348" s="3">
        <v>17.713639138626629</v>
      </c>
      <c r="CB348" s="3">
        <v>16.662506273756691</v>
      </c>
      <c r="CC348" s="3">
        <v>11.71667552366023</v>
      </c>
      <c r="CD348" s="3">
        <v>13.219937584724949</v>
      </c>
      <c r="CE348" s="3">
        <v>13.57251485779879</v>
      </c>
      <c r="CF348" s="3">
        <v>14.664116072328691</v>
      </c>
      <c r="CG348" s="3">
        <v>15.66467933812676</v>
      </c>
      <c r="CH348" s="3">
        <v>16.562367428537389</v>
      </c>
      <c r="CI348" s="3">
        <v>16.724568703454871</v>
      </c>
      <c r="CJ348" s="3">
        <v>17.23245180412502</v>
      </c>
      <c r="CK348" s="3">
        <v>17.74656364138448</v>
      </c>
      <c r="CL348" s="3">
        <v>18.265972520004169</v>
      </c>
      <c r="CM348" s="3">
        <v>18.790394568081179</v>
      </c>
      <c r="CN348" s="3">
        <v>19.318574178723338</v>
      </c>
      <c r="CO348" s="3">
        <v>19.850789087609382</v>
      </c>
      <c r="CP348" s="3">
        <v>20.384693602952741</v>
      </c>
      <c r="CQ348" s="3">
        <v>20.919136028764399</v>
      </c>
      <c r="CR348" s="3">
        <v>21.452884505178659</v>
      </c>
      <c r="CS348" s="3">
        <v>21.18277802121764</v>
      </c>
      <c r="CU348" s="17" t="s">
        <v>2271</v>
      </c>
      <c r="CV348" s="3">
        <v>17.897345219079</v>
      </c>
      <c r="CW348" s="3">
        <v>17.713639138626629</v>
      </c>
      <c r="CX348" s="3">
        <v>16.662506273756691</v>
      </c>
      <c r="CY348" s="3">
        <v>11.71667552366023</v>
      </c>
      <c r="CZ348" s="3">
        <v>13.219937584724949</v>
      </c>
      <c r="DA348" s="3">
        <v>13.57251485779879</v>
      </c>
      <c r="DB348" s="3">
        <v>14.66411607232868</v>
      </c>
      <c r="DC348" s="3">
        <v>15.66467933812676</v>
      </c>
      <c r="DD348" s="3">
        <v>16.562367428537389</v>
      </c>
      <c r="DE348" s="3">
        <v>16.72456870345486</v>
      </c>
      <c r="DF348" s="3">
        <v>17.23245180412502</v>
      </c>
      <c r="DG348" s="3">
        <v>17.74656364138448</v>
      </c>
      <c r="DH348" s="3">
        <v>18.265972520004169</v>
      </c>
      <c r="DI348" s="3">
        <v>18.790394568081169</v>
      </c>
      <c r="DJ348" s="3">
        <v>19.318574178723331</v>
      </c>
      <c r="DK348" s="3">
        <v>19.850789087609382</v>
      </c>
      <c r="DL348" s="3">
        <v>20.384693602952751</v>
      </c>
      <c r="DM348" s="3">
        <v>20.919136028764399</v>
      </c>
      <c r="DN348" s="3">
        <v>21.452884505178659</v>
      </c>
      <c r="DO348" s="3">
        <v>21.18277802121764</v>
      </c>
    </row>
    <row r="349" spans="1:119" x14ac:dyDescent="0.45">
      <c r="A349" s="16" t="s">
        <v>2272</v>
      </c>
      <c r="B349" s="3" t="s">
        <v>89</v>
      </c>
      <c r="C349" s="16" t="s">
        <v>2273</v>
      </c>
      <c r="H349" s="3" t="s">
        <v>2274</v>
      </c>
      <c r="I349" s="3" t="s">
        <v>109</v>
      </c>
      <c r="K349" s="17" t="s">
        <v>2275</v>
      </c>
      <c r="L349" s="3">
        <v>60.735109924329088</v>
      </c>
      <c r="M349" s="3">
        <v>61.361812028410682</v>
      </c>
      <c r="N349" s="3">
        <v>58.538462829742471</v>
      </c>
      <c r="O349" s="3">
        <v>41.595363171305777</v>
      </c>
      <c r="P349" s="3">
        <v>47.431027294200931</v>
      </c>
      <c r="Q349" s="3">
        <v>49.217966090845721</v>
      </c>
      <c r="R349" s="3">
        <v>53.750938440654828</v>
      </c>
      <c r="S349" s="3">
        <v>58.046817769059487</v>
      </c>
      <c r="T349" s="3">
        <v>62.053826630636792</v>
      </c>
      <c r="U349" s="3">
        <v>63.364564901714793</v>
      </c>
      <c r="V349" s="3">
        <v>66.02995096648344</v>
      </c>
      <c r="W349" s="3">
        <v>68.781049924923408</v>
      </c>
      <c r="X349" s="3">
        <v>71.617230013841976</v>
      </c>
      <c r="Y349" s="3">
        <v>74.540400748828645</v>
      </c>
      <c r="Z349" s="3">
        <v>77.548662941677634</v>
      </c>
      <c r="AA349" s="3">
        <v>80.646256179083068</v>
      </c>
      <c r="AB349" s="3">
        <v>83.826839888506925</v>
      </c>
      <c r="AC349" s="3">
        <v>87.088731425744299</v>
      </c>
      <c r="AD349" s="3">
        <v>90.429826566625692</v>
      </c>
      <c r="AE349" s="3">
        <v>90.424654340672859</v>
      </c>
      <c r="AG349" s="17" t="s">
        <v>2276</v>
      </c>
      <c r="AH349" s="3">
        <v>60.735109924329088</v>
      </c>
      <c r="AI349" s="3">
        <v>61.361812028410682</v>
      </c>
      <c r="AJ349" s="3">
        <v>58.538462829742471</v>
      </c>
      <c r="AK349" s="3">
        <v>41.595363171305777</v>
      </c>
      <c r="AL349" s="3">
        <v>47.431027294200931</v>
      </c>
      <c r="AM349" s="3">
        <v>48.898387209997729</v>
      </c>
      <c r="AN349" s="3">
        <v>53.401544600724947</v>
      </c>
      <c r="AO349" s="3">
        <v>57.66888740312573</v>
      </c>
      <c r="AP349" s="3">
        <v>61.649714122382377</v>
      </c>
      <c r="AQ349" s="3">
        <v>62.951320411170641</v>
      </c>
      <c r="AR349" s="3">
        <v>65.598947310005869</v>
      </c>
      <c r="AS349" s="3">
        <v>68.331270141965348</v>
      </c>
      <c r="AT349" s="3">
        <v>71.147846626092274</v>
      </c>
      <c r="AU349" s="3">
        <v>74.050863033772288</v>
      </c>
      <c r="AV349" s="3">
        <v>77.038242362940323</v>
      </c>
      <c r="AW349" s="3">
        <v>80.114058479869627</v>
      </c>
      <c r="AX349" s="3">
        <v>83.272430684556866</v>
      </c>
      <c r="AY349" s="3">
        <v>86.511600442983919</v>
      </c>
      <c r="AZ349" s="3">
        <v>89.829643624709433</v>
      </c>
      <c r="BA349" s="3">
        <v>89.823669376259815</v>
      </c>
      <c r="BC349" s="17" t="s">
        <v>2277</v>
      </c>
      <c r="BD349" s="3">
        <v>60.735109924329088</v>
      </c>
      <c r="BE349" s="3">
        <v>61.361812028410682</v>
      </c>
      <c r="BF349" s="3">
        <v>58.538462829742471</v>
      </c>
      <c r="BG349" s="3">
        <v>41.595363171305777</v>
      </c>
      <c r="BH349" s="3">
        <v>47.431027294200931</v>
      </c>
      <c r="BI349" s="3">
        <v>49.264697296795688</v>
      </c>
      <c r="BJ349" s="3">
        <v>53.813024019307498</v>
      </c>
      <c r="BK349" s="3">
        <v>58.084960947745799</v>
      </c>
      <c r="BL349" s="3">
        <v>62.039606948186567</v>
      </c>
      <c r="BM349" s="3">
        <v>63.08958772254428</v>
      </c>
      <c r="BN349" s="3">
        <v>65.50658224567006</v>
      </c>
      <c r="BO349" s="3">
        <v>68.017756630978596</v>
      </c>
      <c r="BP349" s="3">
        <v>70.619427763768101</v>
      </c>
      <c r="BQ349" s="3">
        <v>73.311338989171048</v>
      </c>
      <c r="BR349" s="3">
        <v>76.089882239377204</v>
      </c>
      <c r="BS349" s="3">
        <v>78.957743723923087</v>
      </c>
      <c r="BT349" s="3">
        <v>81.907707334591507</v>
      </c>
      <c r="BU349" s="3">
        <v>84.937310252695767</v>
      </c>
      <c r="BV349" s="3">
        <v>88.043949024041197</v>
      </c>
      <c r="BW349" s="3">
        <v>87.897330366625354</v>
      </c>
      <c r="BY349" s="17" t="s">
        <v>2278</v>
      </c>
      <c r="BZ349" s="3">
        <v>60.735109924329088</v>
      </c>
      <c r="CA349" s="3">
        <v>61.361812028410682</v>
      </c>
      <c r="CB349" s="3">
        <v>58.538462829742471</v>
      </c>
      <c r="CC349" s="3">
        <v>41.595363171305777</v>
      </c>
      <c r="CD349" s="3">
        <v>47.431027294200931</v>
      </c>
      <c r="CE349" s="3">
        <v>48.830155625076578</v>
      </c>
      <c r="CF349" s="3">
        <v>53.326945536574136</v>
      </c>
      <c r="CG349" s="3">
        <v>57.588255947920707</v>
      </c>
      <c r="CH349" s="3">
        <v>61.563376233148027</v>
      </c>
      <c r="CI349" s="3">
        <v>62.862961370237969</v>
      </c>
      <c r="CJ349" s="3">
        <v>65.506769478384271</v>
      </c>
      <c r="CK349" s="3">
        <v>68.235095694409111</v>
      </c>
      <c r="CL349" s="3">
        <v>71.04772449853732</v>
      </c>
      <c r="CM349" s="3">
        <v>73.946633938112456</v>
      </c>
      <c r="CN349" s="3">
        <v>76.929785711740251</v>
      </c>
      <c r="CO349" s="3">
        <v>80.001300023343674</v>
      </c>
      <c r="CP349" s="3">
        <v>83.155232789047986</v>
      </c>
      <c r="CQ349" s="3">
        <v>86.389770247254063</v>
      </c>
      <c r="CR349" s="3">
        <v>89.703000357284353</v>
      </c>
      <c r="CS349" s="3">
        <v>89.696786928526834</v>
      </c>
      <c r="CU349" s="17" t="s">
        <v>2279</v>
      </c>
      <c r="CV349" s="3">
        <v>60.735109924329088</v>
      </c>
      <c r="CW349" s="3">
        <v>61.361812028410682</v>
      </c>
      <c r="CX349" s="3">
        <v>58.538462829742471</v>
      </c>
      <c r="CY349" s="3">
        <v>41.595363171305777</v>
      </c>
      <c r="CZ349" s="3">
        <v>47.431027294200931</v>
      </c>
      <c r="DA349" s="3">
        <v>48.538773828974612</v>
      </c>
      <c r="DB349" s="3">
        <v>53.008362516220153</v>
      </c>
      <c r="DC349" s="3">
        <v>57.243579797546417</v>
      </c>
      <c r="DD349" s="3">
        <v>61.1948875924096</v>
      </c>
      <c r="DE349" s="3">
        <v>62.486143982551937</v>
      </c>
      <c r="DF349" s="3">
        <v>65.113755713408224</v>
      </c>
      <c r="DG349" s="3">
        <v>67.824887442579765</v>
      </c>
      <c r="DH349" s="3">
        <v>70.619419385842633</v>
      </c>
      <c r="DI349" s="3">
        <v>73.499737611522647</v>
      </c>
      <c r="DJ349" s="3">
        <v>76.46361205838781</v>
      </c>
      <c r="DK349" s="3">
        <v>79.514933437196788</v>
      </c>
      <c r="DL349" s="3">
        <v>82.648314502113777</v>
      </c>
      <c r="DM349" s="3">
        <v>85.861877365579559</v>
      </c>
      <c r="DN349" s="3">
        <v>89.15390723428365</v>
      </c>
      <c r="DO349" s="3">
        <v>89.14693870338499</v>
      </c>
    </row>
    <row r="350" spans="1:119" x14ac:dyDescent="0.45">
      <c r="A350" s="16" t="s">
        <v>2280</v>
      </c>
      <c r="B350" s="3" t="s">
        <v>89</v>
      </c>
      <c r="C350" s="16" t="s">
        <v>2281</v>
      </c>
      <c r="H350" s="3" t="s">
        <v>2282</v>
      </c>
      <c r="I350" s="3" t="s">
        <v>109</v>
      </c>
      <c r="K350" s="17" t="s">
        <v>2283</v>
      </c>
      <c r="L350" s="3">
        <v>1.4672143356808629</v>
      </c>
      <c r="M350" s="3">
        <v>1.4904811513472911</v>
      </c>
      <c r="N350" s="3">
        <v>1.415855038838908</v>
      </c>
      <c r="O350" s="3">
        <v>1.0110287055215179</v>
      </c>
      <c r="P350" s="3">
        <v>1.158307808262319</v>
      </c>
      <c r="Q350" s="3">
        <v>1.208315866594373</v>
      </c>
      <c r="R350" s="3">
        <v>1.327487883420817</v>
      </c>
      <c r="S350" s="3">
        <v>1.441562966609929</v>
      </c>
      <c r="T350" s="3">
        <v>1.54892368310154</v>
      </c>
      <c r="U350" s="3">
        <v>1.589532092001396</v>
      </c>
      <c r="V350" s="3">
        <v>1.6645176768823411</v>
      </c>
      <c r="W350" s="3">
        <v>1.742226723518524</v>
      </c>
      <c r="X350" s="3">
        <v>1.82266264938081</v>
      </c>
      <c r="Y350" s="3">
        <v>1.905892924188151</v>
      </c>
      <c r="Z350" s="3">
        <v>1.991887473087022</v>
      </c>
      <c r="AA350" s="3">
        <v>2.0807731140412948</v>
      </c>
      <c r="AB350" s="3">
        <v>2.1724038203916711</v>
      </c>
      <c r="AC350" s="3">
        <v>2.2667513243282191</v>
      </c>
      <c r="AD350" s="3">
        <v>2.363775032096108</v>
      </c>
      <c r="AE350" s="3">
        <v>2.373572345124709</v>
      </c>
      <c r="AG350" s="17" t="s">
        <v>2284</v>
      </c>
      <c r="AH350" s="3">
        <v>1.4672143356808629</v>
      </c>
      <c r="AI350" s="3">
        <v>1.4904811513472911</v>
      </c>
      <c r="AJ350" s="3">
        <v>1.415855038838908</v>
      </c>
      <c r="AK350" s="3">
        <v>1.0110287055215179</v>
      </c>
      <c r="AL350" s="3">
        <v>1.158307808262319</v>
      </c>
      <c r="AM350" s="3">
        <v>1.200912189677442</v>
      </c>
      <c r="AN350" s="3">
        <v>1.319386163065807</v>
      </c>
      <c r="AO350" s="3">
        <v>1.432886367058086</v>
      </c>
      <c r="AP350" s="3">
        <v>1.5394231591733289</v>
      </c>
      <c r="AQ350" s="3">
        <v>1.5798548453138961</v>
      </c>
      <c r="AR350" s="3">
        <v>1.654331432156168</v>
      </c>
      <c r="AS350" s="3">
        <v>1.731726212990506</v>
      </c>
      <c r="AT350" s="3">
        <v>1.8119464851706411</v>
      </c>
      <c r="AU350" s="3">
        <v>1.894910155551798</v>
      </c>
      <c r="AV350" s="3">
        <v>1.9806831865018271</v>
      </c>
      <c r="AW350" s="3">
        <v>2.0694605454773649</v>
      </c>
      <c r="AX350" s="3">
        <v>2.1608822434589618</v>
      </c>
      <c r="AY350" s="3">
        <v>2.254963350559366</v>
      </c>
      <c r="AZ350" s="3">
        <v>2.351577756586154</v>
      </c>
      <c r="BA350" s="3">
        <v>2.3613786100252012</v>
      </c>
      <c r="BC350" s="17" t="s">
        <v>2285</v>
      </c>
      <c r="BD350" s="3">
        <v>1.4672143356808629</v>
      </c>
      <c r="BE350" s="3">
        <v>1.4904811513472911</v>
      </c>
      <c r="BF350" s="3">
        <v>1.415855038838908</v>
      </c>
      <c r="BG350" s="3">
        <v>1.0110287055215179</v>
      </c>
      <c r="BH350" s="3">
        <v>1.158307808262319</v>
      </c>
      <c r="BI350" s="3">
        <v>1.197252539815169</v>
      </c>
      <c r="BJ350" s="3">
        <v>1.3035453126528429</v>
      </c>
      <c r="BK350" s="3">
        <v>1.4060780874258629</v>
      </c>
      <c r="BL350" s="3">
        <v>1.5026809775496131</v>
      </c>
      <c r="BM350" s="3">
        <v>1.541082199626955</v>
      </c>
      <c r="BN350" s="3">
        <v>1.6126061785248149</v>
      </c>
      <c r="BO350" s="3">
        <v>1.68670730487294</v>
      </c>
      <c r="BP350" s="3">
        <v>1.763486225837456</v>
      </c>
      <c r="BQ350" s="3">
        <v>1.842986140047973</v>
      </c>
      <c r="BR350" s="3">
        <v>1.9251926996381019</v>
      </c>
      <c r="BS350" s="3">
        <v>2.0102890052146698</v>
      </c>
      <c r="BT350" s="3">
        <v>2.0980850879850461</v>
      </c>
      <c r="BU350" s="3">
        <v>2.188520890312124</v>
      </c>
      <c r="BV350" s="3">
        <v>2.281460820968459</v>
      </c>
      <c r="BW350" s="3">
        <v>2.2901363514826052</v>
      </c>
      <c r="BY350" s="17" t="s">
        <v>2286</v>
      </c>
      <c r="BZ350" s="3">
        <v>1.4672143356808629</v>
      </c>
      <c r="CA350" s="3">
        <v>1.4904811513472911</v>
      </c>
      <c r="CB350" s="3">
        <v>1.415855038838908</v>
      </c>
      <c r="CC350" s="3">
        <v>1.0110287055215179</v>
      </c>
      <c r="CD350" s="3">
        <v>1.158307808262319</v>
      </c>
      <c r="CE350" s="3">
        <v>1.1993555412655701</v>
      </c>
      <c r="CF350" s="3">
        <v>1.317682485435048</v>
      </c>
      <c r="CG350" s="3">
        <v>1.4310301299260371</v>
      </c>
      <c r="CH350" s="3">
        <v>1.5374487801950381</v>
      </c>
      <c r="CI350" s="3">
        <v>1.5778781641087301</v>
      </c>
      <c r="CJ350" s="3">
        <v>1.652257795124275</v>
      </c>
      <c r="CK350" s="3">
        <v>1.729578615871874</v>
      </c>
      <c r="CL350" s="3">
        <v>1.809630599242857</v>
      </c>
      <c r="CM350" s="3">
        <v>1.8924360458855689</v>
      </c>
      <c r="CN350" s="3">
        <v>1.978042860812536</v>
      </c>
      <c r="CO350" s="3">
        <v>2.0666192386433622</v>
      </c>
      <c r="CP350" s="3">
        <v>2.157840672144042</v>
      </c>
      <c r="CQ350" s="3">
        <v>2.2517518850998459</v>
      </c>
      <c r="CR350" s="3">
        <v>2.3482211361144771</v>
      </c>
      <c r="CS350" s="3">
        <v>2.358054421521635</v>
      </c>
      <c r="CU350" s="17" t="s">
        <v>2287</v>
      </c>
      <c r="CV350" s="3">
        <v>1.4672143356808629</v>
      </c>
      <c r="CW350" s="3">
        <v>1.4904811513472911</v>
      </c>
      <c r="CX350" s="3">
        <v>1.415855038838908</v>
      </c>
      <c r="CY350" s="3">
        <v>1.0110287055215179</v>
      </c>
      <c r="CZ350" s="3">
        <v>1.158307808262319</v>
      </c>
      <c r="DA350" s="3">
        <v>1.192748085157658</v>
      </c>
      <c r="DB350" s="3">
        <v>1.3104509835180831</v>
      </c>
      <c r="DC350" s="3">
        <v>1.423318716749413</v>
      </c>
      <c r="DD350" s="3">
        <v>1.5289312457654509</v>
      </c>
      <c r="DE350" s="3">
        <v>1.569188834081406</v>
      </c>
      <c r="DF350" s="3">
        <v>1.643083762430303</v>
      </c>
      <c r="DG350" s="3">
        <v>1.720149878277242</v>
      </c>
      <c r="DH350" s="3">
        <v>1.8001188995913</v>
      </c>
      <c r="DI350" s="3">
        <v>1.882785830267613</v>
      </c>
      <c r="DJ350" s="3">
        <v>1.9683084477004069</v>
      </c>
      <c r="DK350" s="3">
        <v>2.056963018819832</v>
      </c>
      <c r="DL350" s="3">
        <v>2.1481410611535829</v>
      </c>
      <c r="DM350" s="3">
        <v>2.24192833640749</v>
      </c>
      <c r="DN350" s="3">
        <v>2.3380905196368</v>
      </c>
      <c r="DO350" s="3">
        <v>2.347905770940756</v>
      </c>
    </row>
    <row r="351" spans="1:119" x14ac:dyDescent="0.45">
      <c r="A351" s="16" t="s">
        <v>2288</v>
      </c>
      <c r="B351" s="3" t="s">
        <v>89</v>
      </c>
      <c r="C351" s="16" t="s">
        <v>2289</v>
      </c>
      <c r="H351" s="3" t="s">
        <v>2290</v>
      </c>
      <c r="I351" s="3" t="s">
        <v>109</v>
      </c>
      <c r="K351" s="17" t="s">
        <v>2291</v>
      </c>
      <c r="L351" s="3">
        <v>25.674665807741341</v>
      </c>
      <c r="M351" s="3">
        <v>25.411205942345021</v>
      </c>
      <c r="N351" s="3">
        <v>24.051514183992381</v>
      </c>
      <c r="O351" s="3">
        <v>16.994682066608458</v>
      </c>
      <c r="P351" s="3">
        <v>19.273107715758378</v>
      </c>
      <c r="Q351" s="3">
        <v>19.885315034626132</v>
      </c>
      <c r="R351" s="3">
        <v>21.587288246836678</v>
      </c>
      <c r="S351" s="3">
        <v>23.178473248184162</v>
      </c>
      <c r="T351" s="3">
        <v>24.641718382041251</v>
      </c>
      <c r="U351" s="3">
        <v>25.0251303744921</v>
      </c>
      <c r="V351" s="3">
        <v>25.937384728524961</v>
      </c>
      <c r="W351" s="3">
        <v>26.874277305845158</v>
      </c>
      <c r="X351" s="3">
        <v>27.835266221397799</v>
      </c>
      <c r="Y351" s="3">
        <v>28.820807622308351</v>
      </c>
      <c r="Z351" s="3">
        <v>29.829887205826061</v>
      </c>
      <c r="AA351" s="3">
        <v>30.86386460186894</v>
      </c>
      <c r="AB351" s="3">
        <v>31.920047048507939</v>
      </c>
      <c r="AC351" s="3">
        <v>32.997563960012151</v>
      </c>
      <c r="AD351" s="3">
        <v>34.095406120387253</v>
      </c>
      <c r="AE351" s="3">
        <v>33.9281101482106</v>
      </c>
      <c r="AG351" s="17" t="s">
        <v>2292</v>
      </c>
      <c r="AH351" s="3">
        <v>25.674665807741341</v>
      </c>
      <c r="AI351" s="3">
        <v>25.411205942345021</v>
      </c>
      <c r="AJ351" s="3">
        <v>24.051514183992381</v>
      </c>
      <c r="AK351" s="3">
        <v>16.994682066608458</v>
      </c>
      <c r="AL351" s="3">
        <v>19.273107715758378</v>
      </c>
      <c r="AM351" s="3">
        <v>19.915127345183961</v>
      </c>
      <c r="AN351" s="3">
        <v>21.61924054974293</v>
      </c>
      <c r="AO351" s="3">
        <v>23.211617496994808</v>
      </c>
      <c r="AP351" s="3">
        <v>24.67819700060728</v>
      </c>
      <c r="AQ351" s="3">
        <v>25.061391331218498</v>
      </c>
      <c r="AR351" s="3">
        <v>25.975153704597819</v>
      </c>
      <c r="AS351" s="3">
        <v>26.91193204576987</v>
      </c>
      <c r="AT351" s="3">
        <v>27.871988974505371</v>
      </c>
      <c r="AU351" s="3">
        <v>28.85692804569279</v>
      </c>
      <c r="AV351" s="3">
        <v>29.865019735455899</v>
      </c>
      <c r="AW351" s="3">
        <v>30.897152926014389</v>
      </c>
      <c r="AX351" s="3">
        <v>31.952186989133061</v>
      </c>
      <c r="AY351" s="3">
        <v>33.028917395837453</v>
      </c>
      <c r="AZ351" s="3">
        <v>34.126897658670487</v>
      </c>
      <c r="BA351" s="3">
        <v>33.958826157556388</v>
      </c>
      <c r="BC351" s="17" t="s">
        <v>2293</v>
      </c>
      <c r="BD351" s="3">
        <v>25.674665807741341</v>
      </c>
      <c r="BE351" s="3">
        <v>25.411205942345021</v>
      </c>
      <c r="BF351" s="3">
        <v>24.051514183992381</v>
      </c>
      <c r="BG351" s="3">
        <v>16.994682066608458</v>
      </c>
      <c r="BH351" s="3">
        <v>19.273107715758378</v>
      </c>
      <c r="BI351" s="3">
        <v>19.975314148040251</v>
      </c>
      <c r="BJ351" s="3">
        <v>21.790260350853821</v>
      </c>
      <c r="BK351" s="3">
        <v>23.48716576127169</v>
      </c>
      <c r="BL351" s="3">
        <v>25.050558934637401</v>
      </c>
      <c r="BM351" s="3">
        <v>25.43381630654007</v>
      </c>
      <c r="BN351" s="3">
        <v>26.356389533314768</v>
      </c>
      <c r="BO351" s="3">
        <v>27.30436113957569</v>
      </c>
      <c r="BP351" s="3">
        <v>28.276382980427918</v>
      </c>
      <c r="BQ351" s="3">
        <v>29.27305325805667</v>
      </c>
      <c r="BR351" s="3">
        <v>30.293191197531559</v>
      </c>
      <c r="BS351" s="3">
        <v>31.337702669125679</v>
      </c>
      <c r="BT351" s="3">
        <v>32.404192684438257</v>
      </c>
      <c r="BU351" s="3">
        <v>33.491985125920273</v>
      </c>
      <c r="BV351" s="3">
        <v>34.600691727295278</v>
      </c>
      <c r="BW351" s="3">
        <v>34.426098870786397</v>
      </c>
      <c r="BY351" s="17" t="s">
        <v>2294</v>
      </c>
      <c r="BZ351" s="3">
        <v>25.674665807741341</v>
      </c>
      <c r="CA351" s="3">
        <v>25.411205942345021</v>
      </c>
      <c r="CB351" s="3">
        <v>24.051514183992381</v>
      </c>
      <c r="CC351" s="3">
        <v>16.994682066608458</v>
      </c>
      <c r="CD351" s="3">
        <v>19.273107715758378</v>
      </c>
      <c r="CE351" s="3">
        <v>19.92203558465167</v>
      </c>
      <c r="CF351" s="3">
        <v>21.626649300233399</v>
      </c>
      <c r="CG351" s="3">
        <v>23.21957989023532</v>
      </c>
      <c r="CH351" s="3">
        <v>24.686452403016681</v>
      </c>
      <c r="CI351" s="3">
        <v>25.069331503551471</v>
      </c>
      <c r="CJ351" s="3">
        <v>25.983361436712169</v>
      </c>
      <c r="CK351" s="3">
        <v>26.920204626035041</v>
      </c>
      <c r="CL351" s="3">
        <v>27.881019369048492</v>
      </c>
      <c r="CM351" s="3">
        <v>28.866600308380999</v>
      </c>
      <c r="CN351" s="3">
        <v>29.87535386609504</v>
      </c>
      <c r="CO351" s="3">
        <v>30.908357591673521</v>
      </c>
      <c r="CP351" s="3">
        <v>31.964211663166129</v>
      </c>
      <c r="CQ351" s="3">
        <v>33.041507673941638</v>
      </c>
      <c r="CR351" s="3">
        <v>34.139850360692172</v>
      </c>
      <c r="CS351" s="3">
        <v>33.971294879205509</v>
      </c>
      <c r="CU351" s="17" t="s">
        <v>2295</v>
      </c>
      <c r="CV351" s="3">
        <v>25.674665807741341</v>
      </c>
      <c r="CW351" s="3">
        <v>25.411205942345021</v>
      </c>
      <c r="CX351" s="3">
        <v>24.051514183992381</v>
      </c>
      <c r="CY351" s="3">
        <v>16.994682066608458</v>
      </c>
      <c r="CZ351" s="3">
        <v>19.273107715758378</v>
      </c>
      <c r="DA351" s="3">
        <v>19.95382469465147</v>
      </c>
      <c r="DB351" s="3">
        <v>21.660750413216281</v>
      </c>
      <c r="DC351" s="3">
        <v>23.25482107887083</v>
      </c>
      <c r="DD351" s="3">
        <v>24.725581434031611</v>
      </c>
      <c r="DE351" s="3">
        <v>25.108406715999489</v>
      </c>
      <c r="DF351" s="3">
        <v>26.024188963596782</v>
      </c>
      <c r="DG351" s="3">
        <v>26.960879126260249</v>
      </c>
      <c r="DH351" s="3">
        <v>27.920179951452759</v>
      </c>
      <c r="DI351" s="3">
        <v>28.904648780871579</v>
      </c>
      <c r="DJ351" s="3">
        <v>29.911865965671019</v>
      </c>
      <c r="DK351" s="3">
        <v>30.94215142808989</v>
      </c>
      <c r="DL351" s="3">
        <v>31.996181585639199</v>
      </c>
      <c r="DM351" s="3">
        <v>33.072216561539648</v>
      </c>
      <c r="DN351" s="3">
        <v>34.170534655335388</v>
      </c>
      <c r="DO351" s="3">
        <v>34.001395483712272</v>
      </c>
    </row>
    <row r="352" spans="1:119" x14ac:dyDescent="0.45">
      <c r="A352" s="16" t="s">
        <v>2296</v>
      </c>
      <c r="B352" s="3" t="s">
        <v>89</v>
      </c>
      <c r="C352" s="16" t="s">
        <v>2297</v>
      </c>
      <c r="H352" s="3" t="s">
        <v>2298</v>
      </c>
      <c r="I352" s="3" t="s">
        <v>109</v>
      </c>
      <c r="K352" s="17" t="s">
        <v>2299</v>
      </c>
      <c r="L352" s="3">
        <v>17.1194385943996</v>
      </c>
      <c r="M352" s="3">
        <v>17.036457201634949</v>
      </c>
      <c r="N352" s="3">
        <v>16.114573631846181</v>
      </c>
      <c r="O352" s="3">
        <v>11.3953373982191</v>
      </c>
      <c r="P352" s="3">
        <v>12.93107671651155</v>
      </c>
      <c r="Q352" s="3">
        <v>13.353258528033599</v>
      </c>
      <c r="R352" s="3">
        <v>14.512578978519249</v>
      </c>
      <c r="S352" s="3">
        <v>15.59599649924713</v>
      </c>
      <c r="T352" s="3">
        <v>16.590486948989511</v>
      </c>
      <c r="U352" s="3">
        <v>16.856989357458719</v>
      </c>
      <c r="V352" s="3">
        <v>17.478530562179969</v>
      </c>
      <c r="W352" s="3">
        <v>18.115504501197108</v>
      </c>
      <c r="X352" s="3">
        <v>18.76739707581314</v>
      </c>
      <c r="Y352" s="3">
        <v>19.43435979424493</v>
      </c>
      <c r="Z352" s="3">
        <v>20.115545754338552</v>
      </c>
      <c r="AA352" s="3">
        <v>20.811702045241859</v>
      </c>
      <c r="AB352" s="3">
        <v>21.52083664982057</v>
      </c>
      <c r="AC352" s="3">
        <v>22.24218068493742</v>
      </c>
      <c r="AD352" s="3">
        <v>22.9748668934511</v>
      </c>
      <c r="AE352" s="3">
        <v>22.85285780056396</v>
      </c>
      <c r="AG352" s="17" t="s">
        <v>2300</v>
      </c>
      <c r="AH352" s="3">
        <v>17.1194385943996</v>
      </c>
      <c r="AI352" s="3">
        <v>17.036457201634949</v>
      </c>
      <c r="AJ352" s="3">
        <v>16.114573631846181</v>
      </c>
      <c r="AK352" s="3">
        <v>11.3953373982191</v>
      </c>
      <c r="AL352" s="3">
        <v>12.93107671651155</v>
      </c>
      <c r="AM352" s="3">
        <v>13.353258528033599</v>
      </c>
      <c r="AN352" s="3">
        <v>14.512578978519249</v>
      </c>
      <c r="AO352" s="3">
        <v>15.595996499247139</v>
      </c>
      <c r="AP352" s="3">
        <v>16.590486948989511</v>
      </c>
      <c r="AQ352" s="3">
        <v>16.856989357458719</v>
      </c>
      <c r="AR352" s="3">
        <v>17.478530562179969</v>
      </c>
      <c r="AS352" s="3">
        <v>18.115504501197108</v>
      </c>
      <c r="AT352" s="3">
        <v>18.76739707581314</v>
      </c>
      <c r="AU352" s="3">
        <v>19.43435979424493</v>
      </c>
      <c r="AV352" s="3">
        <v>20.115545754338559</v>
      </c>
      <c r="AW352" s="3">
        <v>20.811702045241852</v>
      </c>
      <c r="AX352" s="3">
        <v>21.52083664982057</v>
      </c>
      <c r="AY352" s="3">
        <v>22.242180684937409</v>
      </c>
      <c r="AZ352" s="3">
        <v>22.9748668934511</v>
      </c>
      <c r="BA352" s="3">
        <v>22.85285780056396</v>
      </c>
      <c r="BC352" s="17" t="s">
        <v>2301</v>
      </c>
      <c r="BD352" s="3">
        <v>17.1194385943996</v>
      </c>
      <c r="BE352" s="3">
        <v>17.036457201634949</v>
      </c>
      <c r="BF352" s="3">
        <v>16.114573631846181</v>
      </c>
      <c r="BG352" s="3">
        <v>11.3953373982191</v>
      </c>
      <c r="BH352" s="3">
        <v>12.93107671651155</v>
      </c>
      <c r="BI352" s="3">
        <v>13.353258528033599</v>
      </c>
      <c r="BJ352" s="3">
        <v>14.512578978519249</v>
      </c>
      <c r="BK352" s="3">
        <v>15.59599649924713</v>
      </c>
      <c r="BL352" s="3">
        <v>16.590486948989511</v>
      </c>
      <c r="BM352" s="3">
        <v>16.856989357458719</v>
      </c>
      <c r="BN352" s="3">
        <v>17.478530562179969</v>
      </c>
      <c r="BO352" s="3">
        <v>18.115504501197108</v>
      </c>
      <c r="BP352" s="3">
        <v>18.76739707581314</v>
      </c>
      <c r="BQ352" s="3">
        <v>19.43435979424493</v>
      </c>
      <c r="BR352" s="3">
        <v>20.115545754338559</v>
      </c>
      <c r="BS352" s="3">
        <v>20.811702045241859</v>
      </c>
      <c r="BT352" s="3">
        <v>21.52083664982057</v>
      </c>
      <c r="BU352" s="3">
        <v>22.24218068493742</v>
      </c>
      <c r="BV352" s="3">
        <v>22.9748668934511</v>
      </c>
      <c r="BW352" s="3">
        <v>22.85285780056395</v>
      </c>
      <c r="BY352" s="17" t="s">
        <v>2302</v>
      </c>
      <c r="BZ352" s="3">
        <v>17.1194385943996</v>
      </c>
      <c r="CA352" s="3">
        <v>17.036457201634949</v>
      </c>
      <c r="CB352" s="3">
        <v>16.114573631846181</v>
      </c>
      <c r="CC352" s="3">
        <v>11.3953373982191</v>
      </c>
      <c r="CD352" s="3">
        <v>12.93107671651155</v>
      </c>
      <c r="CE352" s="3">
        <v>13.353258528033599</v>
      </c>
      <c r="CF352" s="3">
        <v>14.512578978519249</v>
      </c>
      <c r="CG352" s="3">
        <v>15.59599649924713</v>
      </c>
      <c r="CH352" s="3">
        <v>16.590486948989511</v>
      </c>
      <c r="CI352" s="3">
        <v>16.856989357458719</v>
      </c>
      <c r="CJ352" s="3">
        <v>17.478530562179969</v>
      </c>
      <c r="CK352" s="3">
        <v>18.115504501197108</v>
      </c>
      <c r="CL352" s="3">
        <v>18.76739707581314</v>
      </c>
      <c r="CM352" s="3">
        <v>19.43435979424493</v>
      </c>
      <c r="CN352" s="3">
        <v>20.115545754338559</v>
      </c>
      <c r="CO352" s="3">
        <v>20.811702045241859</v>
      </c>
      <c r="CP352" s="3">
        <v>21.52083664982057</v>
      </c>
      <c r="CQ352" s="3">
        <v>22.24218068493742</v>
      </c>
      <c r="CR352" s="3">
        <v>22.9748668934511</v>
      </c>
      <c r="CS352" s="3">
        <v>22.85285780056395</v>
      </c>
      <c r="CU352" s="17" t="s">
        <v>2303</v>
      </c>
      <c r="CV352" s="3">
        <v>17.1194385943996</v>
      </c>
      <c r="CW352" s="3">
        <v>17.036457201634949</v>
      </c>
      <c r="CX352" s="3">
        <v>16.114573631846181</v>
      </c>
      <c r="CY352" s="3">
        <v>11.3953373982191</v>
      </c>
      <c r="CZ352" s="3">
        <v>12.93107671651155</v>
      </c>
      <c r="DA352" s="3">
        <v>13.353258528033599</v>
      </c>
      <c r="DB352" s="3">
        <v>14.512578978519249</v>
      </c>
      <c r="DC352" s="3">
        <v>15.59599649924713</v>
      </c>
      <c r="DD352" s="3">
        <v>16.590486948989511</v>
      </c>
      <c r="DE352" s="3">
        <v>16.856989357458719</v>
      </c>
      <c r="DF352" s="3">
        <v>17.478530562179969</v>
      </c>
      <c r="DG352" s="3">
        <v>18.115504501197108</v>
      </c>
      <c r="DH352" s="3">
        <v>18.76739707581314</v>
      </c>
      <c r="DI352" s="3">
        <v>19.43435979424493</v>
      </c>
      <c r="DJ352" s="3">
        <v>20.115545754338559</v>
      </c>
      <c r="DK352" s="3">
        <v>20.811702045241859</v>
      </c>
      <c r="DL352" s="3">
        <v>21.52083664982057</v>
      </c>
      <c r="DM352" s="3">
        <v>22.24218068493742</v>
      </c>
      <c r="DN352" s="3">
        <v>22.9748668934511</v>
      </c>
      <c r="DO352" s="3">
        <v>22.85285780056395</v>
      </c>
    </row>
    <row r="353" spans="1:230" x14ac:dyDescent="0.45">
      <c r="A353" s="16" t="s">
        <v>2304</v>
      </c>
      <c r="B353" s="3" t="s">
        <v>89</v>
      </c>
      <c r="C353" s="16" t="s">
        <v>2305</v>
      </c>
      <c r="H353" s="3" t="s">
        <v>2306</v>
      </c>
      <c r="I353" s="3" t="s">
        <v>109</v>
      </c>
      <c r="K353" s="17" t="s">
        <v>2307</v>
      </c>
      <c r="L353" s="3">
        <v>0</v>
      </c>
      <c r="M353" s="3">
        <v>0</v>
      </c>
      <c r="N353" s="3">
        <v>0</v>
      </c>
      <c r="O353" s="3">
        <v>0</v>
      </c>
      <c r="P353" s="3">
        <v>0</v>
      </c>
      <c r="Q353" s="3">
        <v>0</v>
      </c>
      <c r="R353" s="3">
        <v>0</v>
      </c>
      <c r="S353" s="3">
        <v>0</v>
      </c>
      <c r="T353" s="3">
        <v>0</v>
      </c>
      <c r="U353" s="3">
        <v>0</v>
      </c>
      <c r="V353" s="3">
        <v>0</v>
      </c>
      <c r="W353" s="3">
        <v>0</v>
      </c>
      <c r="X353" s="3">
        <v>0</v>
      </c>
      <c r="Y353" s="3">
        <v>0</v>
      </c>
      <c r="Z353" s="3">
        <v>0</v>
      </c>
      <c r="AA353" s="3">
        <v>0</v>
      </c>
      <c r="AB353" s="3">
        <v>0</v>
      </c>
      <c r="AC353" s="3">
        <v>0</v>
      </c>
      <c r="AD353" s="3">
        <v>0</v>
      </c>
      <c r="AE353" s="3">
        <v>0</v>
      </c>
      <c r="AG353" s="17" t="s">
        <v>2308</v>
      </c>
      <c r="AH353" s="3">
        <v>0</v>
      </c>
      <c r="AI353" s="3">
        <v>0</v>
      </c>
      <c r="AJ353" s="3">
        <v>0</v>
      </c>
      <c r="AK353" s="3">
        <v>0</v>
      </c>
      <c r="AL353" s="3">
        <v>0</v>
      </c>
      <c r="AM353" s="3">
        <v>0</v>
      </c>
      <c r="AN353" s="3">
        <v>0</v>
      </c>
      <c r="AO353" s="3">
        <v>0</v>
      </c>
      <c r="AP353" s="3">
        <v>0</v>
      </c>
      <c r="AQ353" s="3">
        <v>0</v>
      </c>
      <c r="AR353" s="3">
        <v>0</v>
      </c>
      <c r="AS353" s="3">
        <v>0</v>
      </c>
      <c r="AT353" s="3">
        <v>0</v>
      </c>
      <c r="AU353" s="3">
        <v>0</v>
      </c>
      <c r="AV353" s="3">
        <v>0</v>
      </c>
      <c r="AW353" s="3">
        <v>0</v>
      </c>
      <c r="AX353" s="3">
        <v>0</v>
      </c>
      <c r="AY353" s="3">
        <v>0</v>
      </c>
      <c r="AZ353" s="3">
        <v>0</v>
      </c>
      <c r="BA353" s="3">
        <v>0</v>
      </c>
      <c r="BC353" s="17" t="s">
        <v>2309</v>
      </c>
      <c r="BD353" s="3">
        <v>0</v>
      </c>
      <c r="BE353" s="3">
        <v>0</v>
      </c>
      <c r="BF353" s="3">
        <v>0</v>
      </c>
      <c r="BG353" s="3">
        <v>0</v>
      </c>
      <c r="BH353" s="3">
        <v>0</v>
      </c>
      <c r="BI353" s="3">
        <v>0</v>
      </c>
      <c r="BJ353" s="3">
        <v>0</v>
      </c>
      <c r="BK353" s="3">
        <v>0</v>
      </c>
      <c r="BL353" s="3">
        <v>0</v>
      </c>
      <c r="BM353" s="3">
        <v>0</v>
      </c>
      <c r="BN353" s="3">
        <v>0</v>
      </c>
      <c r="BO353" s="3">
        <v>0</v>
      </c>
      <c r="BP353" s="3">
        <v>0</v>
      </c>
      <c r="BQ353" s="3">
        <v>0</v>
      </c>
      <c r="BR353" s="3">
        <v>0</v>
      </c>
      <c r="BS353" s="3">
        <v>0</v>
      </c>
      <c r="BT353" s="3">
        <v>0</v>
      </c>
      <c r="BU353" s="3">
        <v>0</v>
      </c>
      <c r="BV353" s="3">
        <v>0</v>
      </c>
      <c r="BW353" s="3">
        <v>0</v>
      </c>
      <c r="BY353" s="17" t="s">
        <v>2310</v>
      </c>
      <c r="BZ353" s="3">
        <v>0</v>
      </c>
      <c r="CA353" s="3">
        <v>0</v>
      </c>
      <c r="CB353" s="3">
        <v>0</v>
      </c>
      <c r="CC353" s="3">
        <v>0</v>
      </c>
      <c r="CD353" s="3">
        <v>0</v>
      </c>
      <c r="CE353" s="3">
        <v>0</v>
      </c>
      <c r="CF353" s="3">
        <v>0</v>
      </c>
      <c r="CG353" s="3">
        <v>0</v>
      </c>
      <c r="CH353" s="3">
        <v>0</v>
      </c>
      <c r="CI353" s="3">
        <v>0</v>
      </c>
      <c r="CJ353" s="3">
        <v>0</v>
      </c>
      <c r="CK353" s="3">
        <v>0</v>
      </c>
      <c r="CL353" s="3">
        <v>0</v>
      </c>
      <c r="CM353" s="3">
        <v>0</v>
      </c>
      <c r="CN353" s="3">
        <v>0</v>
      </c>
      <c r="CO353" s="3">
        <v>0</v>
      </c>
      <c r="CP353" s="3">
        <v>0</v>
      </c>
      <c r="CQ353" s="3">
        <v>0</v>
      </c>
      <c r="CR353" s="3">
        <v>0</v>
      </c>
      <c r="CS353" s="3">
        <v>0</v>
      </c>
      <c r="CU353" s="17" t="s">
        <v>2311</v>
      </c>
      <c r="CV353" s="3">
        <v>0</v>
      </c>
      <c r="CW353" s="3">
        <v>0</v>
      </c>
      <c r="CX353" s="3">
        <v>0</v>
      </c>
      <c r="CY353" s="3">
        <v>0</v>
      </c>
      <c r="CZ353" s="3">
        <v>0</v>
      </c>
      <c r="DA353" s="3">
        <v>0</v>
      </c>
      <c r="DB353" s="3">
        <v>0</v>
      </c>
      <c r="DC353" s="3">
        <v>0</v>
      </c>
      <c r="DD353" s="3">
        <v>0</v>
      </c>
      <c r="DE353" s="3">
        <v>0</v>
      </c>
      <c r="DF353" s="3">
        <v>0</v>
      </c>
      <c r="DG353" s="3">
        <v>0</v>
      </c>
      <c r="DH353" s="3">
        <v>0</v>
      </c>
      <c r="DI353" s="3">
        <v>0</v>
      </c>
      <c r="DJ353" s="3">
        <v>0</v>
      </c>
      <c r="DK353" s="3">
        <v>0</v>
      </c>
      <c r="DL353" s="3">
        <v>0</v>
      </c>
      <c r="DM353" s="3">
        <v>0</v>
      </c>
      <c r="DN353" s="3">
        <v>0</v>
      </c>
      <c r="DO353" s="3">
        <v>0</v>
      </c>
    </row>
    <row r="354" spans="1:230" x14ac:dyDescent="0.45">
      <c r="A354" s="16" t="s">
        <v>2312</v>
      </c>
      <c r="B354" s="3" t="s">
        <v>89</v>
      </c>
      <c r="C354" s="16" t="s">
        <v>2313</v>
      </c>
      <c r="H354" s="3" t="s">
        <v>2314</v>
      </c>
      <c r="I354" s="3" t="s">
        <v>109</v>
      </c>
      <c r="K354" s="17" t="s">
        <v>2315</v>
      </c>
      <c r="L354" s="3">
        <v>5.3908526630545044</v>
      </c>
      <c r="M354" s="3">
        <v>5.3727477123148786</v>
      </c>
      <c r="N354" s="3">
        <v>5.0896810793506759</v>
      </c>
      <c r="O354" s="3">
        <v>3.604615691332131</v>
      </c>
      <c r="P354" s="3">
        <v>4.0966796707705777</v>
      </c>
      <c r="Q354" s="3">
        <v>4.2369729617223379</v>
      </c>
      <c r="R354" s="3">
        <v>4.6120053046968801</v>
      </c>
      <c r="S354" s="3">
        <v>4.9641034113458016</v>
      </c>
      <c r="T354" s="3">
        <v>5.289018785324294</v>
      </c>
      <c r="U354" s="3">
        <v>5.3825756871546524</v>
      </c>
      <c r="V354" s="3">
        <v>5.5900430821445504</v>
      </c>
      <c r="W354" s="3">
        <v>5.8031901245713424</v>
      </c>
      <c r="X354" s="3">
        <v>6.0218875603558617</v>
      </c>
      <c r="Y354" s="3">
        <v>6.2462197084561888</v>
      </c>
      <c r="Z354" s="3">
        <v>6.4759505282745442</v>
      </c>
      <c r="AA354" s="3">
        <v>6.7113569376148794</v>
      </c>
      <c r="AB354" s="3">
        <v>6.9518334405983593</v>
      </c>
      <c r="AC354" s="3">
        <v>7.1971667147454701</v>
      </c>
      <c r="AD354" s="3">
        <v>7.4471105825270367</v>
      </c>
      <c r="AE354" s="3">
        <v>7.4204905350330979</v>
      </c>
      <c r="AG354" s="17" t="s">
        <v>2316</v>
      </c>
      <c r="AH354" s="3">
        <v>5.3908526630545044</v>
      </c>
      <c r="AI354" s="3">
        <v>5.3727477123148786</v>
      </c>
      <c r="AJ354" s="3">
        <v>5.0896810793506759</v>
      </c>
      <c r="AK354" s="3">
        <v>3.604615691332131</v>
      </c>
      <c r="AL354" s="3">
        <v>4.0966796707705777</v>
      </c>
      <c r="AM354" s="3">
        <v>4.2369729617223379</v>
      </c>
      <c r="AN354" s="3">
        <v>4.6120053046968801</v>
      </c>
      <c r="AO354" s="3">
        <v>4.9641034113458016</v>
      </c>
      <c r="AP354" s="3">
        <v>5.289018785324294</v>
      </c>
      <c r="AQ354" s="3">
        <v>5.3825756871546524</v>
      </c>
      <c r="AR354" s="3">
        <v>5.5900430821445504</v>
      </c>
      <c r="AS354" s="3">
        <v>5.8031901245713424</v>
      </c>
      <c r="AT354" s="3">
        <v>6.0218875603558617</v>
      </c>
      <c r="AU354" s="3">
        <v>6.2462197084561888</v>
      </c>
      <c r="AV354" s="3">
        <v>6.4759505282745442</v>
      </c>
      <c r="AW354" s="3">
        <v>6.7113569376148794</v>
      </c>
      <c r="AX354" s="3">
        <v>6.9518334405983593</v>
      </c>
      <c r="AY354" s="3">
        <v>7.1971667147454701</v>
      </c>
      <c r="AZ354" s="3">
        <v>7.4471105825270367</v>
      </c>
      <c r="BA354" s="3">
        <v>7.4204905350330979</v>
      </c>
      <c r="BC354" s="17" t="s">
        <v>2317</v>
      </c>
      <c r="BD354" s="3">
        <v>5.3908526630545044</v>
      </c>
      <c r="BE354" s="3">
        <v>5.3727477123148786</v>
      </c>
      <c r="BF354" s="3">
        <v>5.0896810793506759</v>
      </c>
      <c r="BG354" s="3">
        <v>3.604615691332131</v>
      </c>
      <c r="BH354" s="3">
        <v>4.0966796707705777</v>
      </c>
      <c r="BI354" s="3">
        <v>4.2369729617223379</v>
      </c>
      <c r="BJ354" s="3">
        <v>4.6120053046968801</v>
      </c>
      <c r="BK354" s="3">
        <v>4.9641034113458016</v>
      </c>
      <c r="BL354" s="3">
        <v>5.289018785324294</v>
      </c>
      <c r="BM354" s="3">
        <v>5.3825756871546524</v>
      </c>
      <c r="BN354" s="3">
        <v>5.5900430821445504</v>
      </c>
      <c r="BO354" s="3">
        <v>5.8031901245713424</v>
      </c>
      <c r="BP354" s="3">
        <v>6.0218875603558617</v>
      </c>
      <c r="BQ354" s="3">
        <v>6.2462197084561888</v>
      </c>
      <c r="BR354" s="3">
        <v>6.4759505282745442</v>
      </c>
      <c r="BS354" s="3">
        <v>6.7113569376148794</v>
      </c>
      <c r="BT354" s="3">
        <v>6.9518334405983593</v>
      </c>
      <c r="BU354" s="3">
        <v>7.1971667147454701</v>
      </c>
      <c r="BV354" s="3">
        <v>7.4471105825270367</v>
      </c>
      <c r="BW354" s="3">
        <v>7.4204905350330979</v>
      </c>
      <c r="BY354" s="17" t="s">
        <v>2318</v>
      </c>
      <c r="BZ354" s="3">
        <v>5.3908526630545044</v>
      </c>
      <c r="CA354" s="3">
        <v>5.3727477123148786</v>
      </c>
      <c r="CB354" s="3">
        <v>5.0896810793506759</v>
      </c>
      <c r="CC354" s="3">
        <v>3.604615691332131</v>
      </c>
      <c r="CD354" s="3">
        <v>4.0966796707705777</v>
      </c>
      <c r="CE354" s="3">
        <v>4.2369729617223379</v>
      </c>
      <c r="CF354" s="3">
        <v>4.6120053046968801</v>
      </c>
      <c r="CG354" s="3">
        <v>4.9641034113458016</v>
      </c>
      <c r="CH354" s="3">
        <v>5.289018785324294</v>
      </c>
      <c r="CI354" s="3">
        <v>5.3825756871546524</v>
      </c>
      <c r="CJ354" s="3">
        <v>5.5900430821445504</v>
      </c>
      <c r="CK354" s="3">
        <v>5.8031901245713424</v>
      </c>
      <c r="CL354" s="3">
        <v>6.0218875603558617</v>
      </c>
      <c r="CM354" s="3">
        <v>6.2462197084561888</v>
      </c>
      <c r="CN354" s="3">
        <v>6.4759505282745442</v>
      </c>
      <c r="CO354" s="3">
        <v>6.7113569376148794</v>
      </c>
      <c r="CP354" s="3">
        <v>6.9518334405983593</v>
      </c>
      <c r="CQ354" s="3">
        <v>7.1971667147454701</v>
      </c>
      <c r="CR354" s="3">
        <v>7.4471105825270367</v>
      </c>
      <c r="CS354" s="3">
        <v>7.4204905350330979</v>
      </c>
      <c r="CU354" s="17" t="s">
        <v>2319</v>
      </c>
      <c r="CV354" s="3">
        <v>5.3908526630545044</v>
      </c>
      <c r="CW354" s="3">
        <v>5.3727477123148786</v>
      </c>
      <c r="CX354" s="3">
        <v>5.0896810793506759</v>
      </c>
      <c r="CY354" s="3">
        <v>3.604615691332131</v>
      </c>
      <c r="CZ354" s="3">
        <v>4.0966796707705777</v>
      </c>
      <c r="DA354" s="3">
        <v>4.2369729617223379</v>
      </c>
      <c r="DB354" s="3">
        <v>4.6120053046968801</v>
      </c>
      <c r="DC354" s="3">
        <v>4.9641034113458016</v>
      </c>
      <c r="DD354" s="3">
        <v>5.289018785324294</v>
      </c>
      <c r="DE354" s="3">
        <v>5.3825756871546524</v>
      </c>
      <c r="DF354" s="3">
        <v>5.5900430821445504</v>
      </c>
      <c r="DG354" s="3">
        <v>5.8031901245713424</v>
      </c>
      <c r="DH354" s="3">
        <v>6.0218875603558617</v>
      </c>
      <c r="DI354" s="3">
        <v>6.2462197084561888</v>
      </c>
      <c r="DJ354" s="3">
        <v>6.4759505282745442</v>
      </c>
      <c r="DK354" s="3">
        <v>6.7113569376148794</v>
      </c>
      <c r="DL354" s="3">
        <v>6.9518334405983593</v>
      </c>
      <c r="DM354" s="3">
        <v>7.1971667147454701</v>
      </c>
      <c r="DN354" s="3">
        <v>7.4471105825270367</v>
      </c>
      <c r="DO354" s="3">
        <v>7.4204905350330979</v>
      </c>
    </row>
    <row r="355" spans="1:230" x14ac:dyDescent="0.45">
      <c r="A355" s="16" t="s">
        <v>2320</v>
      </c>
      <c r="B355" s="3" t="s">
        <v>89</v>
      </c>
      <c r="C355" s="16" t="s">
        <v>2321</v>
      </c>
      <c r="H355" s="3" t="s">
        <v>2322</v>
      </c>
      <c r="I355" s="3" t="s">
        <v>109</v>
      </c>
      <c r="K355" s="17" t="s">
        <v>2323</v>
      </c>
      <c r="L355" s="3">
        <v>3.6208398945379092</v>
      </c>
      <c r="M355" s="3">
        <v>3.6208366688121392</v>
      </c>
      <c r="N355" s="3">
        <v>3.4416651656020738</v>
      </c>
      <c r="O355" s="3">
        <v>2.4457245277352979</v>
      </c>
      <c r="P355" s="3">
        <v>2.789048713823568</v>
      </c>
      <c r="Q355" s="3">
        <v>2.8944119416153629</v>
      </c>
      <c r="R355" s="3">
        <v>3.1614045203146262</v>
      </c>
      <c r="S355" s="3">
        <v>3.4144583300872671</v>
      </c>
      <c r="T355" s="3">
        <v>3.6504967724801158</v>
      </c>
      <c r="U355" s="3">
        <v>3.7279324965851028</v>
      </c>
      <c r="V355" s="3">
        <v>3.8850739806880319</v>
      </c>
      <c r="W355" s="3">
        <v>4.0472723133694322</v>
      </c>
      <c r="X355" s="3">
        <v>4.2144901132014763</v>
      </c>
      <c r="Y355" s="3">
        <v>4.3868394704037117</v>
      </c>
      <c r="Z355" s="3">
        <v>4.5642082677246254</v>
      </c>
      <c r="AA355" s="3">
        <v>4.7468456104945762</v>
      </c>
      <c r="AB355" s="3">
        <v>4.9343778068448483</v>
      </c>
      <c r="AC355" s="3">
        <v>5.1267051963711969</v>
      </c>
      <c r="AD355" s="3">
        <v>5.3237032072164139</v>
      </c>
      <c r="AE355" s="3">
        <v>5.3236984643715148</v>
      </c>
      <c r="AG355" s="17" t="s">
        <v>2324</v>
      </c>
      <c r="AH355" s="3">
        <v>3.6208398945379092</v>
      </c>
      <c r="AI355" s="3">
        <v>3.6208366688121392</v>
      </c>
      <c r="AJ355" s="3">
        <v>3.4416651656020738</v>
      </c>
      <c r="AK355" s="3">
        <v>2.4457245277352979</v>
      </c>
      <c r="AL355" s="3">
        <v>2.789048713823568</v>
      </c>
      <c r="AM355" s="3">
        <v>2.8944119416153629</v>
      </c>
      <c r="AN355" s="3">
        <v>3.1614045203146262</v>
      </c>
      <c r="AO355" s="3">
        <v>3.4144583300872671</v>
      </c>
      <c r="AP355" s="3">
        <v>3.6504967724801158</v>
      </c>
      <c r="AQ355" s="3">
        <v>3.7279324965851028</v>
      </c>
      <c r="AR355" s="3">
        <v>3.8850739806880319</v>
      </c>
      <c r="AS355" s="3">
        <v>4.0472723133694313</v>
      </c>
      <c r="AT355" s="3">
        <v>4.2144901132014763</v>
      </c>
      <c r="AU355" s="3">
        <v>4.3868394704037117</v>
      </c>
      <c r="AV355" s="3">
        <v>4.5642082677246254</v>
      </c>
      <c r="AW355" s="3">
        <v>4.7468456104945762</v>
      </c>
      <c r="AX355" s="3">
        <v>4.9343778068448483</v>
      </c>
      <c r="AY355" s="3">
        <v>5.1267051963711969</v>
      </c>
      <c r="AZ355" s="3">
        <v>5.323703207216413</v>
      </c>
      <c r="BA355" s="3">
        <v>5.3236984643715157</v>
      </c>
      <c r="BC355" s="17" t="s">
        <v>2325</v>
      </c>
      <c r="BD355" s="3">
        <v>3.6208398945379092</v>
      </c>
      <c r="BE355" s="3">
        <v>3.6208366688121392</v>
      </c>
      <c r="BF355" s="3">
        <v>3.4416651656020738</v>
      </c>
      <c r="BG355" s="3">
        <v>2.4457245277352979</v>
      </c>
      <c r="BH355" s="3">
        <v>2.789048713823568</v>
      </c>
      <c r="BI355" s="3">
        <v>2.8944119416153629</v>
      </c>
      <c r="BJ355" s="3">
        <v>3.1614045203146262</v>
      </c>
      <c r="BK355" s="3">
        <v>3.4144583300872671</v>
      </c>
      <c r="BL355" s="3">
        <v>3.6504967724801158</v>
      </c>
      <c r="BM355" s="3">
        <v>3.727932496585102</v>
      </c>
      <c r="BN355" s="3">
        <v>3.8850739806880319</v>
      </c>
      <c r="BO355" s="3">
        <v>4.0472723133694322</v>
      </c>
      <c r="BP355" s="3">
        <v>4.2144901132014763</v>
      </c>
      <c r="BQ355" s="3">
        <v>4.3868394704037117</v>
      </c>
      <c r="BR355" s="3">
        <v>4.5642082677246263</v>
      </c>
      <c r="BS355" s="3">
        <v>4.7468456104945762</v>
      </c>
      <c r="BT355" s="3">
        <v>4.9343778068448483</v>
      </c>
      <c r="BU355" s="3">
        <v>5.1267051963711969</v>
      </c>
      <c r="BV355" s="3">
        <v>5.323703207216413</v>
      </c>
      <c r="BW355" s="3">
        <v>5.3236984643715148</v>
      </c>
      <c r="BY355" s="17" t="s">
        <v>2326</v>
      </c>
      <c r="BZ355" s="3">
        <v>3.6208398945379092</v>
      </c>
      <c r="CA355" s="3">
        <v>3.6208366688121392</v>
      </c>
      <c r="CB355" s="3">
        <v>3.4416651656020738</v>
      </c>
      <c r="CC355" s="3">
        <v>2.4457245277352979</v>
      </c>
      <c r="CD355" s="3">
        <v>2.789048713823568</v>
      </c>
      <c r="CE355" s="3">
        <v>2.8944119018967691</v>
      </c>
      <c r="CF355" s="3">
        <v>3.1614044803594732</v>
      </c>
      <c r="CG355" s="3">
        <v>3.4144582937438082</v>
      </c>
      <c r="CH355" s="3">
        <v>3.6504967438230689</v>
      </c>
      <c r="CI355" s="3">
        <v>3.7279324801832301</v>
      </c>
      <c r="CJ355" s="3">
        <v>3.8850739794790079</v>
      </c>
      <c r="CK355" s="3">
        <v>4.0472723314735806</v>
      </c>
      <c r="CL355" s="3">
        <v>4.2144901545526006</v>
      </c>
      <c r="CM355" s="3">
        <v>4.3868395393186956</v>
      </c>
      <c r="CN355" s="3">
        <v>4.5642083564002256</v>
      </c>
      <c r="CO355" s="3">
        <v>4.7468457220196667</v>
      </c>
      <c r="CP355" s="3">
        <v>4.9343779443844316</v>
      </c>
      <c r="CQ355" s="3">
        <v>5.1267053633028583</v>
      </c>
      <c r="CR355" s="3">
        <v>5.3237034072227223</v>
      </c>
      <c r="CS355" s="3">
        <v>5.3236986927358174</v>
      </c>
      <c r="CU355" s="17" t="s">
        <v>2327</v>
      </c>
      <c r="CV355" s="3">
        <v>3.6208398945379092</v>
      </c>
      <c r="CW355" s="3">
        <v>3.6208366688121392</v>
      </c>
      <c r="CX355" s="3">
        <v>3.4416651656020738</v>
      </c>
      <c r="CY355" s="3">
        <v>2.4457245277352979</v>
      </c>
      <c r="CZ355" s="3">
        <v>2.789048713823568</v>
      </c>
      <c r="DA355" s="3">
        <v>2.8944119416153629</v>
      </c>
      <c r="DB355" s="3">
        <v>3.1614045203146262</v>
      </c>
      <c r="DC355" s="3">
        <v>3.4144583300872671</v>
      </c>
      <c r="DD355" s="3">
        <v>3.6504967724801158</v>
      </c>
      <c r="DE355" s="3">
        <v>3.7279324965851028</v>
      </c>
      <c r="DF355" s="3">
        <v>3.8850739806880319</v>
      </c>
      <c r="DG355" s="3">
        <v>4.0472723133694313</v>
      </c>
      <c r="DH355" s="3">
        <v>4.2144901132014763</v>
      </c>
      <c r="DI355" s="3">
        <v>4.3868394704037108</v>
      </c>
      <c r="DJ355" s="3">
        <v>4.5642082677246263</v>
      </c>
      <c r="DK355" s="3">
        <v>4.7468456104945762</v>
      </c>
      <c r="DL355" s="3">
        <v>4.9343778068448483</v>
      </c>
      <c r="DM355" s="3">
        <v>5.1267051963711969</v>
      </c>
      <c r="DN355" s="3">
        <v>5.3237032072164139</v>
      </c>
      <c r="DO355" s="3">
        <v>5.3236984643715157</v>
      </c>
    </row>
    <row r="356" spans="1:230" x14ac:dyDescent="0.45">
      <c r="A356" s="16" t="s">
        <v>2328</v>
      </c>
      <c r="B356" s="3" t="s">
        <v>89</v>
      </c>
      <c r="C356" s="16" t="s">
        <v>2329</v>
      </c>
      <c r="H356" s="3" t="s">
        <v>2330</v>
      </c>
      <c r="I356" s="3" t="s">
        <v>109</v>
      </c>
      <c r="K356" s="17" t="s">
        <v>2331</v>
      </c>
      <c r="L356" s="3">
        <v>0.45537305499335579</v>
      </c>
      <c r="M356" s="3">
        <v>0.45537305499335567</v>
      </c>
      <c r="N356" s="3">
        <v>0.43284000917438681</v>
      </c>
      <c r="O356" s="3">
        <v>0.30758610125576352</v>
      </c>
      <c r="P356" s="3">
        <v>0.35076451768431188</v>
      </c>
      <c r="Q356" s="3">
        <v>0.3640158410006813</v>
      </c>
      <c r="R356" s="3">
        <v>0.39759452823160452</v>
      </c>
      <c r="S356" s="3">
        <v>0.42942026230127728</v>
      </c>
      <c r="T356" s="3">
        <v>0.45910610895516069</v>
      </c>
      <c r="U356" s="3">
        <v>0.46884525980725539</v>
      </c>
      <c r="V356" s="3">
        <v>0.48860867096215749</v>
      </c>
      <c r="W356" s="3">
        <v>0.50900809550711112</v>
      </c>
      <c r="X356" s="3">
        <v>0.53003883383578576</v>
      </c>
      <c r="Y356" s="3">
        <v>0.55171498476717284</v>
      </c>
      <c r="Z356" s="3">
        <v>0.57402244948228109</v>
      </c>
      <c r="AA356" s="3">
        <v>0.59699255868998002</v>
      </c>
      <c r="AB356" s="3">
        <v>0.62057831632696525</v>
      </c>
      <c r="AC356" s="3">
        <v>0.64476719010968897</v>
      </c>
      <c r="AD356" s="3">
        <v>0.66954351468371642</v>
      </c>
      <c r="AE356" s="3">
        <v>0.66954351468371642</v>
      </c>
      <c r="AG356" s="17" t="s">
        <v>2332</v>
      </c>
      <c r="AH356" s="3">
        <v>0.45537305499335579</v>
      </c>
      <c r="AI356" s="3">
        <v>0.45537305499335567</v>
      </c>
      <c r="AJ356" s="3">
        <v>0.43284000917438681</v>
      </c>
      <c r="AK356" s="3">
        <v>0.30758610125576352</v>
      </c>
      <c r="AL356" s="3">
        <v>0.35076451768431188</v>
      </c>
      <c r="AM356" s="3">
        <v>0.36401584100068141</v>
      </c>
      <c r="AN356" s="3">
        <v>0.39759452823160452</v>
      </c>
      <c r="AO356" s="3">
        <v>0.42942026230127728</v>
      </c>
      <c r="AP356" s="3">
        <v>0.45910610895516069</v>
      </c>
      <c r="AQ356" s="3">
        <v>0.46884525980725539</v>
      </c>
      <c r="AR356" s="3">
        <v>0.48860867096215749</v>
      </c>
      <c r="AS356" s="3">
        <v>0.50900809550711112</v>
      </c>
      <c r="AT356" s="3">
        <v>0.53003883383578576</v>
      </c>
      <c r="AU356" s="3">
        <v>0.55171498476717273</v>
      </c>
      <c r="AV356" s="3">
        <v>0.57402244948228109</v>
      </c>
      <c r="AW356" s="3">
        <v>0.59699255868998002</v>
      </c>
      <c r="AX356" s="3">
        <v>0.62057831632696525</v>
      </c>
      <c r="AY356" s="3">
        <v>0.64476719010968897</v>
      </c>
      <c r="AZ356" s="3">
        <v>0.66954351468371653</v>
      </c>
      <c r="BA356" s="3">
        <v>0.66954351468371642</v>
      </c>
      <c r="BC356" s="17" t="s">
        <v>2333</v>
      </c>
      <c r="BD356" s="3">
        <v>0.45537305499335579</v>
      </c>
      <c r="BE356" s="3">
        <v>0.45537305499335567</v>
      </c>
      <c r="BF356" s="3">
        <v>0.43284000917438681</v>
      </c>
      <c r="BG356" s="3">
        <v>0.30758610125576352</v>
      </c>
      <c r="BH356" s="3">
        <v>0.35076451768431188</v>
      </c>
      <c r="BI356" s="3">
        <v>0.36401584100068141</v>
      </c>
      <c r="BJ356" s="3">
        <v>0.39759452823160452</v>
      </c>
      <c r="BK356" s="3">
        <v>0.42942026230127728</v>
      </c>
      <c r="BL356" s="3">
        <v>0.45910610895516069</v>
      </c>
      <c r="BM356" s="3">
        <v>0.46884525980725539</v>
      </c>
      <c r="BN356" s="3">
        <v>0.48860867096215749</v>
      </c>
      <c r="BO356" s="3">
        <v>0.50900809550711112</v>
      </c>
      <c r="BP356" s="3">
        <v>0.53003883383578576</v>
      </c>
      <c r="BQ356" s="3">
        <v>0.55171498476717284</v>
      </c>
      <c r="BR356" s="3">
        <v>0.57402244948228109</v>
      </c>
      <c r="BS356" s="3">
        <v>0.59699255868998002</v>
      </c>
      <c r="BT356" s="3">
        <v>0.62057831632696525</v>
      </c>
      <c r="BU356" s="3">
        <v>0.64476719010968897</v>
      </c>
      <c r="BV356" s="3">
        <v>0.66954351468371653</v>
      </c>
      <c r="BW356" s="3">
        <v>0.66954351468371642</v>
      </c>
      <c r="BY356" s="17" t="s">
        <v>2334</v>
      </c>
      <c r="BZ356" s="3">
        <v>0.45537305499335579</v>
      </c>
      <c r="CA356" s="3">
        <v>0.45537305499335567</v>
      </c>
      <c r="CB356" s="3">
        <v>0.43284000917438681</v>
      </c>
      <c r="CC356" s="3">
        <v>0.30758610125576352</v>
      </c>
      <c r="CD356" s="3">
        <v>0.35076451768431188</v>
      </c>
      <c r="CE356" s="3">
        <v>0.36401584100068141</v>
      </c>
      <c r="CF356" s="3">
        <v>0.39759452823160452</v>
      </c>
      <c r="CG356" s="3">
        <v>0.42942026230127728</v>
      </c>
      <c r="CH356" s="3">
        <v>0.45910610895516069</v>
      </c>
      <c r="CI356" s="3">
        <v>0.46884525980725539</v>
      </c>
      <c r="CJ356" s="3">
        <v>0.48860867096215749</v>
      </c>
      <c r="CK356" s="3">
        <v>0.50900809550711112</v>
      </c>
      <c r="CL356" s="3">
        <v>0.53003883383578576</v>
      </c>
      <c r="CM356" s="3">
        <v>0.55171498476717296</v>
      </c>
      <c r="CN356" s="3">
        <v>0.57402244948228109</v>
      </c>
      <c r="CO356" s="3">
        <v>0.59699255868998002</v>
      </c>
      <c r="CP356" s="3">
        <v>0.62057831632696525</v>
      </c>
      <c r="CQ356" s="3">
        <v>0.64476719010968897</v>
      </c>
      <c r="CR356" s="3">
        <v>0.66954351468371653</v>
      </c>
      <c r="CS356" s="3">
        <v>0.66954351468371642</v>
      </c>
      <c r="CU356" s="17" t="s">
        <v>2335</v>
      </c>
      <c r="CV356" s="3">
        <v>0.45537305499335579</v>
      </c>
      <c r="CW356" s="3">
        <v>0.45537305499335567</v>
      </c>
      <c r="CX356" s="3">
        <v>0.43284000917438681</v>
      </c>
      <c r="CY356" s="3">
        <v>0.30758610125576352</v>
      </c>
      <c r="CZ356" s="3">
        <v>0.35076451768431188</v>
      </c>
      <c r="DA356" s="3">
        <v>0.3640158410006813</v>
      </c>
      <c r="DB356" s="3">
        <v>0.3975945282316044</v>
      </c>
      <c r="DC356" s="3">
        <v>0.42942026230127728</v>
      </c>
      <c r="DD356" s="3">
        <v>0.45910610895516069</v>
      </c>
      <c r="DE356" s="3">
        <v>0.46884525980725539</v>
      </c>
      <c r="DF356" s="3">
        <v>0.48860867096215749</v>
      </c>
      <c r="DG356" s="3">
        <v>0.50900809550711112</v>
      </c>
      <c r="DH356" s="3">
        <v>0.53003883383578576</v>
      </c>
      <c r="DI356" s="3">
        <v>0.55171498476717284</v>
      </c>
      <c r="DJ356" s="3">
        <v>0.57402244948228109</v>
      </c>
      <c r="DK356" s="3">
        <v>0.59699255868998002</v>
      </c>
      <c r="DL356" s="3">
        <v>0.62057831632696525</v>
      </c>
      <c r="DM356" s="3">
        <v>0.64476719010968897</v>
      </c>
      <c r="DN356" s="3">
        <v>0.66954351468371653</v>
      </c>
      <c r="DO356" s="3">
        <v>0.66954351468371642</v>
      </c>
    </row>
    <row r="357" spans="1:230" x14ac:dyDescent="0.45">
      <c r="A357" s="16" t="s">
        <v>2336</v>
      </c>
      <c r="B357" s="3" t="s">
        <v>89</v>
      </c>
      <c r="C357" s="16" t="s">
        <v>2337</v>
      </c>
      <c r="H357" s="3" t="s">
        <v>2338</v>
      </c>
      <c r="I357" s="3" t="s">
        <v>109</v>
      </c>
      <c r="K357" s="17" t="s">
        <v>2339</v>
      </c>
      <c r="L357" s="3">
        <v>6.8851834820415299</v>
      </c>
      <c r="M357" s="3">
        <v>6.8708189792305223</v>
      </c>
      <c r="N357" s="3">
        <v>6.5171792356499658</v>
      </c>
      <c r="O357" s="3">
        <v>4.6215553519171158</v>
      </c>
      <c r="P357" s="3">
        <v>5.2592567904135654</v>
      </c>
      <c r="Q357" s="3">
        <v>5.4464604253736653</v>
      </c>
      <c r="R357" s="3">
        <v>5.9363279455769149</v>
      </c>
      <c r="S357" s="3">
        <v>6.3979596617518144</v>
      </c>
      <c r="T357" s="3">
        <v>6.8257687095401014</v>
      </c>
      <c r="U357" s="3">
        <v>6.9557762415976434</v>
      </c>
      <c r="V357" s="3">
        <v>7.2335727994792789</v>
      </c>
      <c r="W357" s="3">
        <v>7.5195182575192607</v>
      </c>
      <c r="X357" s="3">
        <v>7.8134831490978032</v>
      </c>
      <c r="Y357" s="3">
        <v>8.1156151215915227</v>
      </c>
      <c r="Z357" s="3">
        <v>8.4256461513824501</v>
      </c>
      <c r="AA357" s="3">
        <v>8.743975386818299</v>
      </c>
      <c r="AB357" s="3">
        <v>9.0698532644592955</v>
      </c>
      <c r="AC357" s="3">
        <v>9.4030387573477192</v>
      </c>
      <c r="AD357" s="3">
        <v>9.7432468271432739</v>
      </c>
      <c r="AE357" s="3">
        <v>9.7221264301560009</v>
      </c>
      <c r="AG357" s="17" t="s">
        <v>2340</v>
      </c>
      <c r="AH357" s="3">
        <v>6.8851834820415299</v>
      </c>
      <c r="AI357" s="3">
        <v>6.8708189792305223</v>
      </c>
      <c r="AJ357" s="3">
        <v>6.5171792356499658</v>
      </c>
      <c r="AK357" s="3">
        <v>4.6215553519171158</v>
      </c>
      <c r="AL357" s="3">
        <v>5.2592567904135654</v>
      </c>
      <c r="AM357" s="3">
        <v>5.4464604253736653</v>
      </c>
      <c r="AN357" s="3">
        <v>5.9363279455769149</v>
      </c>
      <c r="AO357" s="3">
        <v>6.3979596617518144</v>
      </c>
      <c r="AP357" s="3">
        <v>6.8257687095401014</v>
      </c>
      <c r="AQ357" s="3">
        <v>6.9557762415976434</v>
      </c>
      <c r="AR357" s="3">
        <v>7.2335727994792789</v>
      </c>
      <c r="AS357" s="3">
        <v>7.5195182575192607</v>
      </c>
      <c r="AT357" s="3">
        <v>7.8134831490978032</v>
      </c>
      <c r="AU357" s="3">
        <v>8.1156151215915227</v>
      </c>
      <c r="AV357" s="3">
        <v>8.4256461513824501</v>
      </c>
      <c r="AW357" s="3">
        <v>8.743975386818299</v>
      </c>
      <c r="AX357" s="3">
        <v>9.0698532644592955</v>
      </c>
      <c r="AY357" s="3">
        <v>9.4030387573477192</v>
      </c>
      <c r="AZ357" s="3">
        <v>9.7432468271432739</v>
      </c>
      <c r="BA357" s="3">
        <v>9.7221264301560009</v>
      </c>
      <c r="BC357" s="17" t="s">
        <v>2341</v>
      </c>
      <c r="BD357" s="3">
        <v>6.8851834820415299</v>
      </c>
      <c r="BE357" s="3">
        <v>6.8708189792305223</v>
      </c>
      <c r="BF357" s="3">
        <v>6.5171792356499658</v>
      </c>
      <c r="BG357" s="3">
        <v>4.6215553519171158</v>
      </c>
      <c r="BH357" s="3">
        <v>5.2592567904135654</v>
      </c>
      <c r="BI357" s="3">
        <v>5.4464604253736653</v>
      </c>
      <c r="BJ357" s="3">
        <v>5.9363279455769149</v>
      </c>
      <c r="BK357" s="3">
        <v>6.3979596617518144</v>
      </c>
      <c r="BL357" s="3">
        <v>6.8257687095401014</v>
      </c>
      <c r="BM357" s="3">
        <v>6.9557762415976434</v>
      </c>
      <c r="BN357" s="3">
        <v>7.2335727994792789</v>
      </c>
      <c r="BO357" s="3">
        <v>7.5195182575192607</v>
      </c>
      <c r="BP357" s="3">
        <v>7.8134831490978032</v>
      </c>
      <c r="BQ357" s="3">
        <v>8.1156151215915227</v>
      </c>
      <c r="BR357" s="3">
        <v>8.4256461513824501</v>
      </c>
      <c r="BS357" s="3">
        <v>8.743975386818299</v>
      </c>
      <c r="BT357" s="3">
        <v>9.0698532644592955</v>
      </c>
      <c r="BU357" s="3">
        <v>9.4030387573477192</v>
      </c>
      <c r="BV357" s="3">
        <v>9.7432468271432739</v>
      </c>
      <c r="BW357" s="3">
        <v>9.7221264301560009</v>
      </c>
      <c r="BY357" s="17" t="s">
        <v>2342</v>
      </c>
      <c r="BZ357" s="3">
        <v>6.8851834820415299</v>
      </c>
      <c r="CA357" s="3">
        <v>6.8708189792305223</v>
      </c>
      <c r="CB357" s="3">
        <v>6.5171792356499658</v>
      </c>
      <c r="CC357" s="3">
        <v>4.6215553519171158</v>
      </c>
      <c r="CD357" s="3">
        <v>5.2592567904135654</v>
      </c>
      <c r="CE357" s="3">
        <v>5.4464604253736653</v>
      </c>
      <c r="CF357" s="3">
        <v>5.9363279455769149</v>
      </c>
      <c r="CG357" s="3">
        <v>6.3979596617518144</v>
      </c>
      <c r="CH357" s="3">
        <v>6.8257687095401014</v>
      </c>
      <c r="CI357" s="3">
        <v>6.9557762415976434</v>
      </c>
      <c r="CJ357" s="3">
        <v>7.2335727994792789</v>
      </c>
      <c r="CK357" s="3">
        <v>7.5195182575192607</v>
      </c>
      <c r="CL357" s="3">
        <v>7.8134831490978032</v>
      </c>
      <c r="CM357" s="3">
        <v>8.1156151215915227</v>
      </c>
      <c r="CN357" s="3">
        <v>8.4256461513824501</v>
      </c>
      <c r="CO357" s="3">
        <v>8.743975386818299</v>
      </c>
      <c r="CP357" s="3">
        <v>9.0698532644592955</v>
      </c>
      <c r="CQ357" s="3">
        <v>9.4030387573477192</v>
      </c>
      <c r="CR357" s="3">
        <v>9.7432468271432739</v>
      </c>
      <c r="CS357" s="3">
        <v>9.7221264301560009</v>
      </c>
      <c r="CU357" s="17" t="s">
        <v>2343</v>
      </c>
      <c r="CV357" s="3">
        <v>6.8851834820415299</v>
      </c>
      <c r="CW357" s="3">
        <v>6.8708189792305223</v>
      </c>
      <c r="CX357" s="3">
        <v>6.5171792356499658</v>
      </c>
      <c r="CY357" s="3">
        <v>4.6215553519171158</v>
      </c>
      <c r="CZ357" s="3">
        <v>5.2592567904135654</v>
      </c>
      <c r="DA357" s="3">
        <v>5.4464604253736653</v>
      </c>
      <c r="DB357" s="3">
        <v>5.9363279455769149</v>
      </c>
      <c r="DC357" s="3">
        <v>6.3979596617518144</v>
      </c>
      <c r="DD357" s="3">
        <v>6.8257687095401014</v>
      </c>
      <c r="DE357" s="3">
        <v>6.9557762415976434</v>
      </c>
      <c r="DF357" s="3">
        <v>7.2335727994792789</v>
      </c>
      <c r="DG357" s="3">
        <v>7.5195182575192607</v>
      </c>
      <c r="DH357" s="3">
        <v>7.8134831490978032</v>
      </c>
      <c r="DI357" s="3">
        <v>8.1156151215915227</v>
      </c>
      <c r="DJ357" s="3">
        <v>8.4256461513824501</v>
      </c>
      <c r="DK357" s="3">
        <v>8.743975386818299</v>
      </c>
      <c r="DL357" s="3">
        <v>9.0698532644592955</v>
      </c>
      <c r="DM357" s="3">
        <v>9.4030387573477192</v>
      </c>
      <c r="DN357" s="3">
        <v>9.7432468271432739</v>
      </c>
      <c r="DO357" s="3">
        <v>9.7221264301560009</v>
      </c>
    </row>
    <row r="358" spans="1:230" x14ac:dyDescent="0.45">
      <c r="A358" s="16" t="s">
        <v>2344</v>
      </c>
      <c r="B358" s="3" t="s">
        <v>89</v>
      </c>
      <c r="C358" s="16" t="s">
        <v>2345</v>
      </c>
      <c r="H358" s="3" t="s">
        <v>2346</v>
      </c>
      <c r="I358" s="3" t="s">
        <v>109</v>
      </c>
      <c r="K358" s="17" t="s">
        <v>2347</v>
      </c>
      <c r="L358" s="3">
        <v>18.9187178376114</v>
      </c>
      <c r="M358" s="3">
        <v>19.983738489016918</v>
      </c>
      <c r="N358" s="3">
        <v>19.326885774446929</v>
      </c>
      <c r="O358" s="3">
        <v>13.405895623271959</v>
      </c>
      <c r="P358" s="3">
        <v>15.296440940476851</v>
      </c>
      <c r="Q358" s="3">
        <v>15.939230357770979</v>
      </c>
      <c r="R358" s="3">
        <v>17.489630952771911</v>
      </c>
      <c r="S358" s="3">
        <v>18.968818642505092</v>
      </c>
      <c r="T358" s="3">
        <v>20.439141883872981</v>
      </c>
      <c r="U358" s="3">
        <v>20.921120729152278</v>
      </c>
      <c r="V358" s="3">
        <v>21.87670232873192</v>
      </c>
      <c r="W358" s="3">
        <v>22.66970732211735</v>
      </c>
      <c r="X358" s="3">
        <v>23.528413906291849</v>
      </c>
      <c r="Y358" s="3">
        <v>24.37876749278967</v>
      </c>
      <c r="Z358" s="3">
        <v>25.25085089774641</v>
      </c>
      <c r="AA358" s="3">
        <v>26.14160017291573</v>
      </c>
      <c r="AB358" s="3">
        <v>27.049528736250391</v>
      </c>
      <c r="AC358" s="3">
        <v>27.97348578267421</v>
      </c>
      <c r="AD358" s="3">
        <v>28.911527290857151</v>
      </c>
      <c r="AE358" s="3">
        <v>28.77296088215224</v>
      </c>
      <c r="AG358" s="17" t="s">
        <v>2348</v>
      </c>
      <c r="AH358" s="3">
        <v>18.9187178376114</v>
      </c>
      <c r="AI358" s="3">
        <v>19.987695510593579</v>
      </c>
      <c r="AJ358" s="3">
        <v>19.330021168543642</v>
      </c>
      <c r="AK358" s="3">
        <v>13.407854998757591</v>
      </c>
      <c r="AL358" s="3">
        <v>15.29865267184398</v>
      </c>
      <c r="AM358" s="3">
        <v>15.446343001970851</v>
      </c>
      <c r="AN358" s="3">
        <v>17.55561129997772</v>
      </c>
      <c r="AO358" s="3">
        <v>18.625679693264019</v>
      </c>
      <c r="AP358" s="3">
        <v>20.1316584244376</v>
      </c>
      <c r="AQ358" s="3">
        <v>20.52415100801791</v>
      </c>
      <c r="AR358" s="3">
        <v>21.472120224742081</v>
      </c>
      <c r="AS358" s="3">
        <v>22.206596046905471</v>
      </c>
      <c r="AT358" s="3">
        <v>23.067502133494639</v>
      </c>
      <c r="AU358" s="3">
        <v>23.890857914853179</v>
      </c>
      <c r="AV358" s="3">
        <v>24.735368368821241</v>
      </c>
      <c r="AW358" s="3">
        <v>25.595347335200309</v>
      </c>
      <c r="AX358" s="3">
        <v>26.4770760786562</v>
      </c>
      <c r="AY358" s="3">
        <v>27.3751996728049</v>
      </c>
      <c r="AZ358" s="3">
        <v>28.293419795345031</v>
      </c>
      <c r="BA358" s="3">
        <v>28.158723632943431</v>
      </c>
      <c r="BC358" s="17" t="s">
        <v>2349</v>
      </c>
      <c r="BD358" s="3">
        <v>18.9187178376114</v>
      </c>
      <c r="BE358" s="3">
        <v>19.997609463224201</v>
      </c>
      <c r="BF358" s="3">
        <v>19.33787559898342</v>
      </c>
      <c r="BG358" s="3">
        <v>13.41276340196978</v>
      </c>
      <c r="BH358" s="3">
        <v>15.304178609875679</v>
      </c>
      <c r="BI358" s="3">
        <v>15.653809990554921</v>
      </c>
      <c r="BJ358" s="3">
        <v>17.089052806757088</v>
      </c>
      <c r="BK358" s="3">
        <v>18.430670044311729</v>
      </c>
      <c r="BL358" s="3">
        <v>19.479748808314369</v>
      </c>
      <c r="BM358" s="3">
        <v>19.628346347186479</v>
      </c>
      <c r="BN358" s="3">
        <v>20.495714271897711</v>
      </c>
      <c r="BO358" s="3">
        <v>21.148388150624751</v>
      </c>
      <c r="BP358" s="3">
        <v>22.043724015614039</v>
      </c>
      <c r="BQ358" s="3">
        <v>22.821622548667129</v>
      </c>
      <c r="BR358" s="3">
        <v>23.771129673566438</v>
      </c>
      <c r="BS358" s="3">
        <v>24.621137208525202</v>
      </c>
      <c r="BT358" s="3">
        <v>25.660646491924421</v>
      </c>
      <c r="BU358" s="3">
        <v>26.55134553647434</v>
      </c>
      <c r="BV358" s="3">
        <v>27.708084908451621</v>
      </c>
      <c r="BW358" s="3">
        <v>27.54163742014191</v>
      </c>
      <c r="BY358" s="17" t="s">
        <v>2350</v>
      </c>
      <c r="BZ358" s="3">
        <v>18.9187178376114</v>
      </c>
      <c r="CA358" s="3">
        <v>20.007215377721781</v>
      </c>
      <c r="CB358" s="3">
        <v>19.345493528459301</v>
      </c>
      <c r="CC358" s="3">
        <v>13.41752992955767</v>
      </c>
      <c r="CD358" s="3">
        <v>15.309563457512381</v>
      </c>
      <c r="CE358" s="3">
        <v>15.28782010059375</v>
      </c>
      <c r="CF358" s="3">
        <v>16.800564093016121</v>
      </c>
      <c r="CG358" s="3">
        <v>18.24624740604067</v>
      </c>
      <c r="CH358" s="3">
        <v>19.70286435834409</v>
      </c>
      <c r="CI358" s="3">
        <v>20.26406891599439</v>
      </c>
      <c r="CJ358" s="3">
        <v>21.376372153055652</v>
      </c>
      <c r="CK358" s="3">
        <v>22.234793401508529</v>
      </c>
      <c r="CL358" s="3">
        <v>23.455540626508661</v>
      </c>
      <c r="CM358" s="3">
        <v>24.625462114589279</v>
      </c>
      <c r="CN358" s="3">
        <v>25.804098851045079</v>
      </c>
      <c r="CO358" s="3">
        <v>27.08132247362477</v>
      </c>
      <c r="CP358" s="3">
        <v>28.351859176057591</v>
      </c>
      <c r="CQ358" s="3">
        <v>29.64067025698456</v>
      </c>
      <c r="CR358" s="3">
        <v>30.983282691885911</v>
      </c>
      <c r="CS358" s="3">
        <v>31.141173473876599</v>
      </c>
      <c r="CU358" s="17" t="s">
        <v>2351</v>
      </c>
      <c r="CV358" s="3">
        <v>18.9187178376114</v>
      </c>
      <c r="CW358" s="3">
        <v>19.993245783070591</v>
      </c>
      <c r="CX358" s="3">
        <v>19.33441861324323</v>
      </c>
      <c r="CY358" s="3">
        <v>13.41060306134122</v>
      </c>
      <c r="CZ358" s="3">
        <v>15.30174890453427</v>
      </c>
      <c r="DA358" s="3">
        <v>14.773742259943781</v>
      </c>
      <c r="DB358" s="3">
        <v>17.627700742744569</v>
      </c>
      <c r="DC358" s="3">
        <v>18.63516474091589</v>
      </c>
      <c r="DD358" s="3">
        <v>20.001619299204929</v>
      </c>
      <c r="DE358" s="3">
        <v>20.08881307250298</v>
      </c>
      <c r="DF358" s="3">
        <v>21.248217959339829</v>
      </c>
      <c r="DG358" s="3">
        <v>22.085670441593649</v>
      </c>
      <c r="DH358" s="3">
        <v>23.21722500597382</v>
      </c>
      <c r="DI358" s="3">
        <v>24.226102497180619</v>
      </c>
      <c r="DJ358" s="3">
        <v>25.339039492948771</v>
      </c>
      <c r="DK358" s="3">
        <v>26.399392206214959</v>
      </c>
      <c r="DL358" s="3">
        <v>27.55790303039489</v>
      </c>
      <c r="DM358" s="3">
        <v>28.658733573050419</v>
      </c>
      <c r="DN358" s="3">
        <v>29.849135245950951</v>
      </c>
      <c r="DO358" s="3">
        <v>29.852309344129139</v>
      </c>
    </row>
    <row r="359" spans="1:230" x14ac:dyDescent="0.45">
      <c r="A359" s="16" t="s">
        <v>2352</v>
      </c>
      <c r="B359" s="3" t="s">
        <v>89</v>
      </c>
      <c r="C359" s="16" t="s">
        <v>2353</v>
      </c>
      <c r="H359" s="3" t="s">
        <v>2354</v>
      </c>
      <c r="I359" s="3" t="s">
        <v>100</v>
      </c>
      <c r="K359" s="17" t="s">
        <v>2355</v>
      </c>
      <c r="L359" s="3">
        <v>54.80176537514879</v>
      </c>
      <c r="M359" s="3">
        <v>56.993835990154743</v>
      </c>
      <c r="N359" s="3">
        <v>59.273589429760939</v>
      </c>
      <c r="O359" s="3">
        <v>61.644533006951377</v>
      </c>
      <c r="P359" s="3">
        <v>64.110314327229432</v>
      </c>
      <c r="Q359" s="3">
        <v>66.674726900318603</v>
      </c>
      <c r="R359" s="3">
        <v>69.341715976331358</v>
      </c>
      <c r="S359" s="3">
        <v>72.115384615384613</v>
      </c>
      <c r="T359" s="3">
        <v>75</v>
      </c>
      <c r="U359" s="3">
        <v>78</v>
      </c>
      <c r="V359" s="3">
        <v>81.12</v>
      </c>
      <c r="W359" s="3">
        <v>84.364800000000002</v>
      </c>
      <c r="X359" s="3">
        <v>87.739392000000009</v>
      </c>
      <c r="Y359" s="3">
        <v>91.248967680000007</v>
      </c>
      <c r="Z359" s="3">
        <v>94.898926387200021</v>
      </c>
      <c r="AA359" s="3">
        <v>98.694883442688024</v>
      </c>
      <c r="AB359" s="3">
        <v>102.6426787803955</v>
      </c>
      <c r="AC359" s="3">
        <v>106.74838593161139</v>
      </c>
      <c r="AD359" s="3">
        <v>111.0183213688758</v>
      </c>
      <c r="AE359" s="3">
        <v>115.4590542236309</v>
      </c>
      <c r="AG359" s="17" t="s">
        <v>2356</v>
      </c>
      <c r="AH359" s="3">
        <v>54.80176537514879</v>
      </c>
      <c r="AI359" s="3">
        <v>56.993835990154743</v>
      </c>
      <c r="AJ359" s="3">
        <v>59.273589429760939</v>
      </c>
      <c r="AK359" s="3">
        <v>61.644533006951377</v>
      </c>
      <c r="AL359" s="3">
        <v>64.110314327229432</v>
      </c>
      <c r="AM359" s="3">
        <v>66.674726900318603</v>
      </c>
      <c r="AN359" s="3">
        <v>69.341715976331358</v>
      </c>
      <c r="AO359" s="3">
        <v>72.115384615384613</v>
      </c>
      <c r="AP359" s="3">
        <v>75</v>
      </c>
      <c r="AQ359" s="3">
        <v>78</v>
      </c>
      <c r="AR359" s="3">
        <v>81.12</v>
      </c>
      <c r="AS359" s="3">
        <v>84.364800000000002</v>
      </c>
      <c r="AT359" s="3">
        <v>87.739392000000009</v>
      </c>
      <c r="AU359" s="3">
        <v>91.248967680000007</v>
      </c>
      <c r="AV359" s="3">
        <v>94.898926387200021</v>
      </c>
      <c r="AW359" s="3">
        <v>98.694883442688024</v>
      </c>
      <c r="AX359" s="3">
        <v>102.6426787803955</v>
      </c>
      <c r="AY359" s="3">
        <v>106.74838593161139</v>
      </c>
      <c r="AZ359" s="3">
        <v>111.0183213688758</v>
      </c>
      <c r="BA359" s="3">
        <v>115.4590542236309</v>
      </c>
      <c r="BC359" s="17" t="s">
        <v>2357</v>
      </c>
      <c r="BD359" s="3">
        <v>54.80176537514879</v>
      </c>
      <c r="BE359" s="3">
        <v>56.993835990154743</v>
      </c>
      <c r="BF359" s="3">
        <v>59.273589429760939</v>
      </c>
      <c r="BG359" s="3">
        <v>61.644533006951377</v>
      </c>
      <c r="BH359" s="3">
        <v>64.110314327229432</v>
      </c>
      <c r="BI359" s="3">
        <v>66.674726900318603</v>
      </c>
      <c r="BJ359" s="3">
        <v>69.341715976331358</v>
      </c>
      <c r="BK359" s="3">
        <v>72.115384615384613</v>
      </c>
      <c r="BL359" s="3">
        <v>75</v>
      </c>
      <c r="BM359" s="3">
        <v>78</v>
      </c>
      <c r="BN359" s="3">
        <v>81.12</v>
      </c>
      <c r="BO359" s="3">
        <v>84.364800000000002</v>
      </c>
      <c r="BP359" s="3">
        <v>87.739392000000009</v>
      </c>
      <c r="BQ359" s="3">
        <v>91.248967680000007</v>
      </c>
      <c r="BR359" s="3">
        <v>94.898926387200021</v>
      </c>
      <c r="BS359" s="3">
        <v>98.694883442688024</v>
      </c>
      <c r="BT359" s="3">
        <v>102.6426787803955</v>
      </c>
      <c r="BU359" s="3">
        <v>106.74838593161139</v>
      </c>
      <c r="BV359" s="3">
        <v>111.0183213688758</v>
      </c>
      <c r="BW359" s="3">
        <v>115.4590542236309</v>
      </c>
      <c r="BY359" s="17" t="s">
        <v>2358</v>
      </c>
      <c r="BZ359" s="3">
        <v>54.80176537514879</v>
      </c>
      <c r="CA359" s="3">
        <v>56.993835990154743</v>
      </c>
      <c r="CB359" s="3">
        <v>59.273589429760939</v>
      </c>
      <c r="CC359" s="3">
        <v>61.644533006951377</v>
      </c>
      <c r="CD359" s="3">
        <v>64.110314327229432</v>
      </c>
      <c r="CE359" s="3">
        <v>66.674726900318603</v>
      </c>
      <c r="CF359" s="3">
        <v>69.341715976331358</v>
      </c>
      <c r="CG359" s="3">
        <v>72.115384615384613</v>
      </c>
      <c r="CH359" s="3">
        <v>75</v>
      </c>
      <c r="CI359" s="3">
        <v>78</v>
      </c>
      <c r="CJ359" s="3">
        <v>81.12</v>
      </c>
      <c r="CK359" s="3">
        <v>84.364800000000002</v>
      </c>
      <c r="CL359" s="3">
        <v>87.739392000000009</v>
      </c>
      <c r="CM359" s="3">
        <v>91.248967680000007</v>
      </c>
      <c r="CN359" s="3">
        <v>94.898926387200021</v>
      </c>
      <c r="CO359" s="3">
        <v>98.694883442688024</v>
      </c>
      <c r="CP359" s="3">
        <v>102.6426787803955</v>
      </c>
      <c r="CQ359" s="3">
        <v>106.74838593161139</v>
      </c>
      <c r="CR359" s="3">
        <v>111.0183213688758</v>
      </c>
      <c r="CS359" s="3">
        <v>115.4590542236309</v>
      </c>
      <c r="CU359" s="17" t="s">
        <v>2359</v>
      </c>
      <c r="CV359" s="3">
        <v>54.80176537514879</v>
      </c>
      <c r="CW359" s="3">
        <v>56.993835990154743</v>
      </c>
      <c r="CX359" s="3">
        <v>59.273589429760939</v>
      </c>
      <c r="CY359" s="3">
        <v>61.644533006951377</v>
      </c>
      <c r="CZ359" s="3">
        <v>64.110314327229432</v>
      </c>
      <c r="DA359" s="3">
        <v>66.674726900318603</v>
      </c>
      <c r="DB359" s="3">
        <v>69.341715976331358</v>
      </c>
      <c r="DC359" s="3">
        <v>72.115384615384613</v>
      </c>
      <c r="DD359" s="3">
        <v>75</v>
      </c>
      <c r="DE359" s="3">
        <v>78</v>
      </c>
      <c r="DF359" s="3">
        <v>81.12</v>
      </c>
      <c r="DG359" s="3">
        <v>84.364800000000002</v>
      </c>
      <c r="DH359" s="3">
        <v>87.739392000000009</v>
      </c>
      <c r="DI359" s="3">
        <v>91.248967680000007</v>
      </c>
      <c r="DJ359" s="3">
        <v>94.898926387200021</v>
      </c>
      <c r="DK359" s="3">
        <v>98.694883442688024</v>
      </c>
      <c r="DL359" s="3">
        <v>102.6426787803955</v>
      </c>
      <c r="DM359" s="3">
        <v>106.74838593161139</v>
      </c>
      <c r="DN359" s="3">
        <v>111.0183213688758</v>
      </c>
      <c r="DO359" s="3">
        <v>115.4590542236309</v>
      </c>
    </row>
    <row r="360" spans="1:230" ht="15.4" x14ac:dyDescent="0.45">
      <c r="A360" s="5"/>
      <c r="B360" s="15" t="s">
        <v>2360</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row>
    <row r="361" spans="1:230" x14ac:dyDescent="0.45">
      <c r="A361" s="11"/>
      <c r="B361" s="3" t="s">
        <v>89</v>
      </c>
      <c r="C361" s="16" t="s">
        <v>2361</v>
      </c>
      <c r="H361" s="11" t="s">
        <v>2362</v>
      </c>
      <c r="I361" s="11" t="s">
        <v>2363</v>
      </c>
    </row>
    <row r="362" spans="1:230" x14ac:dyDescent="0.45">
      <c r="A362" s="16" t="s">
        <v>2364</v>
      </c>
      <c r="B362" s="3" t="s">
        <v>89</v>
      </c>
      <c r="C362" s="16" t="s">
        <v>2365</v>
      </c>
      <c r="H362" s="3" t="s">
        <v>2366</v>
      </c>
      <c r="I362" s="3" t="s">
        <v>2363</v>
      </c>
      <c r="K362" s="17" t="s">
        <v>2367</v>
      </c>
      <c r="L362" s="3">
        <v>1650.146533298692</v>
      </c>
      <c r="M362" s="3">
        <v>1532.7866642888589</v>
      </c>
      <c r="N362" s="3">
        <v>1839.878321759066</v>
      </c>
      <c r="O362" s="3">
        <v>1991.737154005476</v>
      </c>
      <c r="P362" s="3">
        <v>1958.2676852527161</v>
      </c>
      <c r="Q362" s="3">
        <v>1983.1356918439651</v>
      </c>
      <c r="R362" s="3">
        <v>2036.903264001814</v>
      </c>
      <c r="S362" s="3">
        <v>2089.080010370621</v>
      </c>
      <c r="T362" s="3">
        <v>2138.8553607964418</v>
      </c>
      <c r="U362" s="3">
        <v>2188.717019929356</v>
      </c>
      <c r="V362" s="3">
        <v>2230.1348542739288</v>
      </c>
      <c r="W362" s="3">
        <v>2271.6569688437498</v>
      </c>
      <c r="X362" s="3">
        <v>2313.271531587302</v>
      </c>
      <c r="Y362" s="3">
        <v>2354.9668148362048</v>
      </c>
      <c r="Z362" s="3">
        <v>2396.7311853638939</v>
      </c>
      <c r="AA362" s="3">
        <v>2438.5530933784648</v>
      </c>
      <c r="AB362" s="3">
        <v>2480.421060504355</v>
      </c>
      <c r="AC362" s="3">
        <v>2522.3236668041209</v>
      </c>
      <c r="AD362" s="3">
        <v>2564.2495368879968</v>
      </c>
      <c r="AE362" s="3">
        <v>2606.1873251554648</v>
      </c>
      <c r="AG362" s="17" t="s">
        <v>2368</v>
      </c>
      <c r="AH362" s="3">
        <v>1650.146533298692</v>
      </c>
      <c r="AI362" s="3">
        <v>1532.7866642888589</v>
      </c>
      <c r="AJ362" s="3">
        <v>1839.878321759066</v>
      </c>
      <c r="AK362" s="3">
        <v>1991.737154005476</v>
      </c>
      <c r="AL362" s="3">
        <v>1958.2676852527161</v>
      </c>
      <c r="AM362" s="3">
        <v>1725.1256431431559</v>
      </c>
      <c r="AN362" s="3">
        <v>1770.5561306280219</v>
      </c>
      <c r="AO362" s="3">
        <v>1814.9458114124629</v>
      </c>
      <c r="AP362" s="3">
        <v>1855.326792228876</v>
      </c>
      <c r="AQ362" s="3">
        <v>1897.1411940451651</v>
      </c>
      <c r="AR362" s="3">
        <v>1932.5405196062791</v>
      </c>
      <c r="AS362" s="3">
        <v>1969.187784026381</v>
      </c>
      <c r="AT362" s="3">
        <v>2006.4800517623421</v>
      </c>
      <c r="AU362" s="3">
        <v>2043.5891794006441</v>
      </c>
      <c r="AV362" s="3">
        <v>2081.0093131981089</v>
      </c>
      <c r="AW362" s="3">
        <v>2119.056307858204</v>
      </c>
      <c r="AX362" s="3">
        <v>2156.631942875857</v>
      </c>
      <c r="AY362" s="3">
        <v>2193.9638267906062</v>
      </c>
      <c r="AZ362" s="3">
        <v>2230.656958615677</v>
      </c>
      <c r="BA362" s="3">
        <v>2267.172146235037</v>
      </c>
      <c r="BC362" s="17" t="s">
        <v>2369</v>
      </c>
      <c r="BD362" s="3">
        <v>1650.146533298692</v>
      </c>
      <c r="BE362" s="3">
        <v>1532.7866642888589</v>
      </c>
      <c r="BF362" s="3">
        <v>1839.878321759066</v>
      </c>
      <c r="BG362" s="3">
        <v>1991.737154005476</v>
      </c>
      <c r="BH362" s="3">
        <v>1958.2676852527161</v>
      </c>
      <c r="BI362" s="3">
        <v>1812.237636125087</v>
      </c>
      <c r="BJ362" s="3">
        <v>1680.3110596142619</v>
      </c>
      <c r="BK362" s="3">
        <v>1578.820776027927</v>
      </c>
      <c r="BL362" s="3">
        <v>1496.1714138599209</v>
      </c>
      <c r="BM362" s="3">
        <v>1445.417142044528</v>
      </c>
      <c r="BN362" s="3">
        <v>1399.5911018933</v>
      </c>
      <c r="BO362" s="3">
        <v>1360.702595231216</v>
      </c>
      <c r="BP362" s="3">
        <v>1327.6647910416591</v>
      </c>
      <c r="BQ362" s="3">
        <v>1299.286110881455</v>
      </c>
      <c r="BR362" s="3">
        <v>1274.780127246697</v>
      </c>
      <c r="BS362" s="3">
        <v>1253.6758729709959</v>
      </c>
      <c r="BT362" s="3">
        <v>1235.295148183428</v>
      </c>
      <c r="BU362" s="3">
        <v>1219.1386373798589</v>
      </c>
      <c r="BV362" s="3">
        <v>1204.640750590843</v>
      </c>
      <c r="BW362" s="3">
        <v>1191.5102101404379</v>
      </c>
      <c r="BY362" s="17" t="s">
        <v>2370</v>
      </c>
      <c r="BZ362" s="3">
        <v>1650.146533298692</v>
      </c>
      <c r="CA362" s="3">
        <v>1532.7866642888589</v>
      </c>
      <c r="CB362" s="3">
        <v>1839.878321759066</v>
      </c>
      <c r="CC362" s="3">
        <v>1991.737154005476</v>
      </c>
      <c r="CD362" s="3">
        <v>1958.2676852527161</v>
      </c>
      <c r="CE362" s="3">
        <v>1789.6357336485769</v>
      </c>
      <c r="CF362" s="3">
        <v>1780.151383896623</v>
      </c>
      <c r="CG362" s="3">
        <v>1772.782913052373</v>
      </c>
      <c r="CH362" s="3">
        <v>1764.5018373658579</v>
      </c>
      <c r="CI362" s="3">
        <v>1760.7229822888769</v>
      </c>
      <c r="CJ362" s="3">
        <v>1753.193066660991</v>
      </c>
      <c r="CK362" s="3">
        <v>1748.058420427416</v>
      </c>
      <c r="CL362" s="3">
        <v>1744.745467890976</v>
      </c>
      <c r="CM362" s="3">
        <v>1742.462868345084</v>
      </c>
      <c r="CN362" s="3">
        <v>1758.279684499716</v>
      </c>
      <c r="CO362" s="3">
        <v>1774.1314232606121</v>
      </c>
      <c r="CP362" s="3">
        <v>1789.4304754322859</v>
      </c>
      <c r="CQ362" s="3">
        <v>1804.481311908424</v>
      </c>
      <c r="CR362" s="3">
        <v>1818.842928280204</v>
      </c>
      <c r="CS362" s="3">
        <v>1832.9842814059421</v>
      </c>
      <c r="CU362" s="17" t="s">
        <v>2371</v>
      </c>
      <c r="CV362" s="3">
        <v>1650.146533298692</v>
      </c>
      <c r="CW362" s="3">
        <v>1532.7866642888589</v>
      </c>
      <c r="CX362" s="3">
        <v>1839.878321759066</v>
      </c>
      <c r="CY362" s="3">
        <v>1991.737154005476</v>
      </c>
      <c r="CZ362" s="3">
        <v>1958.2676852527161</v>
      </c>
      <c r="DA362" s="3">
        <v>1468.2871889708949</v>
      </c>
      <c r="DB362" s="3">
        <v>1505.9356365822041</v>
      </c>
      <c r="DC362" s="3">
        <v>1543.073533741617</v>
      </c>
      <c r="DD362" s="3">
        <v>1574.9533026787301</v>
      </c>
      <c r="DE362" s="3">
        <v>1609.5192165903561</v>
      </c>
      <c r="DF362" s="3">
        <v>1638.9905746564159</v>
      </c>
      <c r="DG362" s="3">
        <v>1670.789025700697</v>
      </c>
      <c r="DH362" s="3">
        <v>1703.519499855777</v>
      </c>
      <c r="DI362" s="3">
        <v>1735.90778547232</v>
      </c>
      <c r="DJ362" s="3">
        <v>1768.7824712368929</v>
      </c>
      <c r="DK362" s="3">
        <v>1802.746146150572</v>
      </c>
      <c r="DL362" s="3">
        <v>1835.789484670458</v>
      </c>
      <c r="DM362" s="3">
        <v>1868.4241968461729</v>
      </c>
      <c r="DN362" s="3">
        <v>1899.8922182981789</v>
      </c>
      <c r="DO362" s="3">
        <v>1931.0722048365431</v>
      </c>
    </row>
    <row r="363" spans="1:230" x14ac:dyDescent="0.45">
      <c r="A363" s="16" t="s">
        <v>2372</v>
      </c>
      <c r="B363" s="3" t="s">
        <v>89</v>
      </c>
      <c r="C363" s="16" t="s">
        <v>2373</v>
      </c>
      <c r="H363" s="3" t="s">
        <v>2374</v>
      </c>
      <c r="I363" s="3" t="s">
        <v>2363</v>
      </c>
      <c r="K363" s="17" t="s">
        <v>2375</v>
      </c>
      <c r="L363" s="3">
        <v>41784.58076331811</v>
      </c>
      <c r="M363" s="3">
        <v>38421.15728921743</v>
      </c>
      <c r="N363" s="3">
        <v>45942.067817110517</v>
      </c>
      <c r="O363" s="3">
        <v>49717.097640684697</v>
      </c>
      <c r="P363" s="3">
        <v>50303.242848002832</v>
      </c>
      <c r="Q363" s="3">
        <v>50536.213639253947</v>
      </c>
      <c r="R363" s="3">
        <v>50847.624117736363</v>
      </c>
      <c r="S363" s="3">
        <v>51114.867985133402</v>
      </c>
      <c r="T363" s="3">
        <v>50753.346932083477</v>
      </c>
      <c r="U363" s="3">
        <v>51135.466935846613</v>
      </c>
      <c r="V363" s="3">
        <v>51347.008779956457</v>
      </c>
      <c r="W363" s="3">
        <v>52805.922912827387</v>
      </c>
      <c r="X363" s="3">
        <v>53985.340877780684</v>
      </c>
      <c r="Y363" s="3">
        <v>55368.523123872597</v>
      </c>
      <c r="Z363" s="3">
        <v>56753.591673065697</v>
      </c>
      <c r="AA363" s="3">
        <v>58166.386151055463</v>
      </c>
      <c r="AB363" s="3">
        <v>59600.761612899907</v>
      </c>
      <c r="AC363" s="3">
        <v>61058.138802362897</v>
      </c>
      <c r="AD363" s="3">
        <v>62543.930590786331</v>
      </c>
      <c r="AE363" s="3">
        <v>64060.080195203736</v>
      </c>
      <c r="AG363" s="17" t="s">
        <v>2376</v>
      </c>
      <c r="AH363" s="3">
        <v>41784.58076331811</v>
      </c>
      <c r="AI363" s="3">
        <v>38400.031705459267</v>
      </c>
      <c r="AJ363" s="3">
        <v>45921.71910378708</v>
      </c>
      <c r="AK363" s="3">
        <v>49697.501404671973</v>
      </c>
      <c r="AL363" s="3">
        <v>50283.593008874741</v>
      </c>
      <c r="AM363" s="3">
        <v>47695.477573506752</v>
      </c>
      <c r="AN363" s="3">
        <v>43602.304530923822</v>
      </c>
      <c r="AO363" s="3">
        <v>46570.876082455266</v>
      </c>
      <c r="AP363" s="3">
        <v>45815.558190130578</v>
      </c>
      <c r="AQ363" s="3">
        <v>46674.792241396579</v>
      </c>
      <c r="AR363" s="3">
        <v>46787.757545893211</v>
      </c>
      <c r="AS363" s="3">
        <v>48387.870868129707</v>
      </c>
      <c r="AT363" s="3">
        <v>49371.621438017093</v>
      </c>
      <c r="AU363" s="3">
        <v>50710.095479548247</v>
      </c>
      <c r="AV363" s="3">
        <v>52055.987209639672</v>
      </c>
      <c r="AW363" s="3">
        <v>53456.797946349267</v>
      </c>
      <c r="AX363" s="3">
        <v>54834.422896950869</v>
      </c>
      <c r="AY363" s="3">
        <v>56220.942291479427</v>
      </c>
      <c r="AZ363" s="3">
        <v>57579.668989220278</v>
      </c>
      <c r="BA363" s="3">
        <v>58956.7165040982</v>
      </c>
      <c r="BC363" s="17" t="s">
        <v>2377</v>
      </c>
      <c r="BD363" s="3">
        <v>41784.58076331811</v>
      </c>
      <c r="BE363" s="3">
        <v>38347.159432431181</v>
      </c>
      <c r="BF363" s="3">
        <v>45870.787531810587</v>
      </c>
      <c r="BG363" s="3">
        <v>49648.449506828212</v>
      </c>
      <c r="BH363" s="3">
        <v>50234.536350296621</v>
      </c>
      <c r="BI363" s="3">
        <v>48701.620208366017</v>
      </c>
      <c r="BJ363" s="3">
        <v>44924.87643394911</v>
      </c>
      <c r="BK363" s="3">
        <v>41973.00782581875</v>
      </c>
      <c r="BL363" s="3">
        <v>40586.86295776553</v>
      </c>
      <c r="BM363" s="3">
        <v>40063.131381637533</v>
      </c>
      <c r="BN363" s="3">
        <v>38112.248456227011</v>
      </c>
      <c r="BO363" s="3">
        <v>37579.466965000101</v>
      </c>
      <c r="BP363" s="3">
        <v>36141.62853340232</v>
      </c>
      <c r="BQ363" s="3">
        <v>35490.266810920817</v>
      </c>
      <c r="BR363" s="3">
        <v>34323.4264563057</v>
      </c>
      <c r="BS363" s="3">
        <v>33767.316101964978</v>
      </c>
      <c r="BT363" s="3">
        <v>32671.38765333809</v>
      </c>
      <c r="BU363" s="3">
        <v>32269.272996822951</v>
      </c>
      <c r="BV363" s="3">
        <v>31107.25844706759</v>
      </c>
      <c r="BW363" s="3">
        <v>30968.24524821357</v>
      </c>
      <c r="BY363" s="17" t="s">
        <v>2378</v>
      </c>
      <c r="BZ363" s="3">
        <v>41784.58076331811</v>
      </c>
      <c r="CA363" s="3">
        <v>38296.006086724497</v>
      </c>
      <c r="CB363" s="3">
        <v>45821.449115238567</v>
      </c>
      <c r="CC363" s="3">
        <v>49600.867830402567</v>
      </c>
      <c r="CD363" s="3">
        <v>50186.784122348858</v>
      </c>
      <c r="CE363" s="3">
        <v>47397.04821268018</v>
      </c>
      <c r="CF363" s="3">
        <v>47531.90390169288</v>
      </c>
      <c r="CG363" s="3">
        <v>47655.281853453998</v>
      </c>
      <c r="CH363" s="3">
        <v>47054.507413781706</v>
      </c>
      <c r="CI363" s="3">
        <v>46832.09087869215</v>
      </c>
      <c r="CJ363" s="3">
        <v>45909.874956814587</v>
      </c>
      <c r="CK363" s="3">
        <v>46752.834690415257</v>
      </c>
      <c r="CL363" s="3">
        <v>45698.728125276277</v>
      </c>
      <c r="CM363" s="3">
        <v>45179.681192091783</v>
      </c>
      <c r="CN363" s="3">
        <v>44817.122602005868</v>
      </c>
      <c r="CO363" s="3">
        <v>44184.874841495839</v>
      </c>
      <c r="CP363" s="3">
        <v>43770.278814962898</v>
      </c>
      <c r="CQ363" s="3">
        <v>43442.046451365874</v>
      </c>
      <c r="CR363" s="3">
        <v>43030.579927708422</v>
      </c>
      <c r="CS363" s="3">
        <v>42791.879001195492</v>
      </c>
      <c r="CU363" s="17" t="s">
        <v>2379</v>
      </c>
      <c r="CV363" s="3">
        <v>41784.58076331811</v>
      </c>
      <c r="CW363" s="3">
        <v>38370.421607724697</v>
      </c>
      <c r="CX363" s="3">
        <v>45893.19645272976</v>
      </c>
      <c r="CY363" s="3">
        <v>49670.032019527607</v>
      </c>
      <c r="CZ363" s="3">
        <v>50256.099472404181</v>
      </c>
      <c r="DA363" s="3">
        <v>45224.456225725458</v>
      </c>
      <c r="DB363" s="3">
        <v>36232.374594528512</v>
      </c>
      <c r="DC363" s="3">
        <v>39113.656310319871</v>
      </c>
      <c r="DD363" s="3">
        <v>39180.791507154048</v>
      </c>
      <c r="DE363" s="3">
        <v>41605.906069039731</v>
      </c>
      <c r="DF363" s="3">
        <v>40434.521311486351</v>
      </c>
      <c r="DG363" s="3">
        <v>41245.501351897074</v>
      </c>
      <c r="DH363" s="3">
        <v>40709.225333097253</v>
      </c>
      <c r="DI363" s="3">
        <v>40950.223795382648</v>
      </c>
      <c r="DJ363" s="3">
        <v>40850.232254354807</v>
      </c>
      <c r="DK363" s="3">
        <v>41166.059290504018</v>
      </c>
      <c r="DL363" s="3">
        <v>41148.757167580472</v>
      </c>
      <c r="DM363" s="3">
        <v>41494.05360162376</v>
      </c>
      <c r="DN363" s="3">
        <v>41545.967001188881</v>
      </c>
      <c r="DO363" s="3">
        <v>41928.476654549522</v>
      </c>
    </row>
    <row r="364" spans="1:230" x14ac:dyDescent="0.45">
      <c r="A364" s="16" t="s">
        <v>2380</v>
      </c>
      <c r="B364" s="3" t="s">
        <v>89</v>
      </c>
      <c r="C364" s="16" t="s">
        <v>2381</v>
      </c>
      <c r="H364" s="3" t="s">
        <v>2382</v>
      </c>
      <c r="I364" s="3" t="s">
        <v>2363</v>
      </c>
      <c r="K364" s="17" t="s">
        <v>2383</v>
      </c>
      <c r="L364" s="3">
        <v>7576.7115160838821</v>
      </c>
      <c r="M364" s="3">
        <v>7062.9993795582204</v>
      </c>
      <c r="N364" s="3">
        <v>7302.3997399106138</v>
      </c>
      <c r="O364" s="3">
        <v>8314.6473571268034</v>
      </c>
      <c r="P364" s="3">
        <v>9381.7995624175601</v>
      </c>
      <c r="Q364" s="3">
        <v>10526.693131026461</v>
      </c>
      <c r="R364" s="3">
        <v>11758.24317098493</v>
      </c>
      <c r="S364" s="3">
        <v>13057.074400589219</v>
      </c>
      <c r="T364" s="3">
        <v>14426.405142380579</v>
      </c>
      <c r="U364" s="3">
        <v>14246.973547727081</v>
      </c>
      <c r="V364" s="3">
        <v>14080.368867276031</v>
      </c>
      <c r="W364" s="3">
        <v>13924.14035053879</v>
      </c>
      <c r="X364" s="3">
        <v>13788.6341115878</v>
      </c>
      <c r="Y364" s="3">
        <v>13657.338022609179</v>
      </c>
      <c r="Z364" s="3">
        <v>13535.97232349106</v>
      </c>
      <c r="AA364" s="3">
        <v>13423.19985781427</v>
      </c>
      <c r="AB364" s="3">
        <v>13318.88281980441</v>
      </c>
      <c r="AC364" s="3">
        <v>13222.759599430439</v>
      </c>
      <c r="AD364" s="3">
        <v>13134.45782954959</v>
      </c>
      <c r="AE364" s="3">
        <v>13053.72204186716</v>
      </c>
      <c r="AG364" s="17" t="s">
        <v>2384</v>
      </c>
      <c r="AH364" s="3">
        <v>7576.7115160838821</v>
      </c>
      <c r="AI364" s="3">
        <v>7061.6574479593164</v>
      </c>
      <c r="AJ364" s="3">
        <v>7301.0961492145343</v>
      </c>
      <c r="AK364" s="3">
        <v>8313.3788395638076</v>
      </c>
      <c r="AL364" s="3">
        <v>9380.5628624705823</v>
      </c>
      <c r="AM364" s="3">
        <v>9974.6045757601605</v>
      </c>
      <c r="AN364" s="3">
        <v>11184.01597579782</v>
      </c>
      <c r="AO364" s="3">
        <v>11047.082336890289</v>
      </c>
      <c r="AP364" s="3">
        <v>12277.93014349859</v>
      </c>
      <c r="AQ364" s="3">
        <v>12117.219433880869</v>
      </c>
      <c r="AR364" s="3">
        <v>11968.68203940003</v>
      </c>
      <c r="AS364" s="3">
        <v>11827.097822665361</v>
      </c>
      <c r="AT364" s="3">
        <v>11702.89894567085</v>
      </c>
      <c r="AU364" s="3">
        <v>11583.25678893672</v>
      </c>
      <c r="AV364" s="3">
        <v>11473.12244438776</v>
      </c>
      <c r="AW364" s="3">
        <v>11372.369465815451</v>
      </c>
      <c r="AX364" s="3">
        <v>11277.86114213433</v>
      </c>
      <c r="AY364" s="3">
        <v>11189.753699419231</v>
      </c>
      <c r="AZ364" s="3">
        <v>11106.792039366301</v>
      </c>
      <c r="BA364" s="3">
        <v>11029.94237660179</v>
      </c>
      <c r="BC364" s="17" t="s">
        <v>2385</v>
      </c>
      <c r="BD364" s="3">
        <v>7576.7115160838821</v>
      </c>
      <c r="BE364" s="3">
        <v>7058.986346055789</v>
      </c>
      <c r="BF364" s="3">
        <v>7298.5013645082508</v>
      </c>
      <c r="BG364" s="3">
        <v>8310.8528629533121</v>
      </c>
      <c r="BH364" s="3">
        <v>9378.0982011104825</v>
      </c>
      <c r="BI364" s="3">
        <v>10166.1909400451</v>
      </c>
      <c r="BJ364" s="3">
        <v>11028.418905381541</v>
      </c>
      <c r="BK364" s="3">
        <v>10618.42830222562</v>
      </c>
      <c r="BL364" s="3">
        <v>10251.653983376111</v>
      </c>
      <c r="BM364" s="3">
        <v>9945.5760554842673</v>
      </c>
      <c r="BN364" s="3">
        <v>9662.7093770837455</v>
      </c>
      <c r="BO364" s="3">
        <v>9399.4635671982142</v>
      </c>
      <c r="BP364" s="3">
        <v>9153.7952431869871</v>
      </c>
      <c r="BQ364" s="3">
        <v>8922.6963781445847</v>
      </c>
      <c r="BR364" s="3">
        <v>8704.5735153785681</v>
      </c>
      <c r="BS364" s="3">
        <v>8498.3119410884883</v>
      </c>
      <c r="BT364" s="3">
        <v>8302.4386180727124</v>
      </c>
      <c r="BU364" s="3">
        <v>8115.7222381347055</v>
      </c>
      <c r="BV364" s="3">
        <v>7936.8491548733036</v>
      </c>
      <c r="BW364" s="3">
        <v>7765.0503796328276</v>
      </c>
      <c r="BY364" s="17" t="s">
        <v>2386</v>
      </c>
      <c r="BZ364" s="3">
        <v>7576.7115160838821</v>
      </c>
      <c r="CA364" s="3">
        <v>7055.9028110275549</v>
      </c>
      <c r="CB364" s="3">
        <v>7295.5059304808237</v>
      </c>
      <c r="CC364" s="3">
        <v>8307.939730637172</v>
      </c>
      <c r="CD364" s="3">
        <v>9375.2616132095427</v>
      </c>
      <c r="CE364" s="3">
        <v>9867.7484521761653</v>
      </c>
      <c r="CF364" s="3">
        <v>11073.179464528919</v>
      </c>
      <c r="CG364" s="3">
        <v>12347.86841941897</v>
      </c>
      <c r="CH364" s="3">
        <v>13690.648059609141</v>
      </c>
      <c r="CI364" s="3">
        <v>13476.040675693061</v>
      </c>
      <c r="CJ364" s="3">
        <v>13269.46737418677</v>
      </c>
      <c r="CK364" s="3">
        <v>13076.42563301786</v>
      </c>
      <c r="CL364" s="3">
        <v>12893.62038579137</v>
      </c>
      <c r="CM364" s="3">
        <v>12720.17709870438</v>
      </c>
      <c r="CN364" s="3">
        <v>12556.902531776221</v>
      </c>
      <c r="CO364" s="3">
        <v>12404.095259787289</v>
      </c>
      <c r="CP364" s="3">
        <v>12259.102647650399</v>
      </c>
      <c r="CQ364" s="3">
        <v>12122.676796161129</v>
      </c>
      <c r="CR364" s="3">
        <v>11993.40398755006</v>
      </c>
      <c r="CS364" s="3">
        <v>11872.65297929681</v>
      </c>
      <c r="CU364" s="17" t="s">
        <v>2387</v>
      </c>
      <c r="CV364" s="3">
        <v>7576.7115160838821</v>
      </c>
      <c r="CW364" s="3">
        <v>7060.0486472825751</v>
      </c>
      <c r="CX364" s="3">
        <v>7299.5333142714153</v>
      </c>
      <c r="CY364" s="3">
        <v>8311.8576550959588</v>
      </c>
      <c r="CZ364" s="3">
        <v>9379.0790246901161</v>
      </c>
      <c r="DA364" s="3">
        <v>9485.8095150048957</v>
      </c>
      <c r="DB364" s="3">
        <v>10675.64929300702</v>
      </c>
      <c r="DC364" s="3">
        <v>10520.822841200301</v>
      </c>
      <c r="DD364" s="3">
        <v>10363.26832871624</v>
      </c>
      <c r="DE364" s="3">
        <v>10217.986667770851</v>
      </c>
      <c r="DF364" s="3">
        <v>10081.82234849403</v>
      </c>
      <c r="DG364" s="3">
        <v>9956.9915332463643</v>
      </c>
      <c r="DH364" s="3">
        <v>9844.0115119580423</v>
      </c>
      <c r="DI364" s="3">
        <v>9736.5896835567219</v>
      </c>
      <c r="DJ364" s="3">
        <v>9637.8043496090668</v>
      </c>
      <c r="DK364" s="3">
        <v>9548.3805607110462</v>
      </c>
      <c r="DL364" s="3">
        <v>9463.3001389122837</v>
      </c>
      <c r="DM364" s="3">
        <v>9383.1382280409362</v>
      </c>
      <c r="DN364" s="3">
        <v>9306.0314361819401</v>
      </c>
      <c r="DO364" s="3">
        <v>9233.7925334650554</v>
      </c>
    </row>
    <row r="365" spans="1:230" x14ac:dyDescent="0.45">
      <c r="A365" s="16" t="s">
        <v>2388</v>
      </c>
      <c r="B365" s="3" t="s">
        <v>89</v>
      </c>
      <c r="C365" s="16" t="s">
        <v>2389</v>
      </c>
      <c r="H365" s="3" t="s">
        <v>2390</v>
      </c>
      <c r="I365" s="3" t="s">
        <v>2363</v>
      </c>
      <c r="K365" s="17" t="s">
        <v>2391</v>
      </c>
      <c r="L365" s="3">
        <v>7328.942890599129</v>
      </c>
      <c r="M365" s="3">
        <v>7997.9066092599078</v>
      </c>
      <c r="N365" s="3">
        <v>10130.346790681209</v>
      </c>
      <c r="O365" s="3">
        <v>10383.079937987761</v>
      </c>
      <c r="P365" s="3">
        <v>10628.045301055339</v>
      </c>
      <c r="Q365" s="3">
        <v>10919.65421757317</v>
      </c>
      <c r="R365" s="3">
        <v>11268.38418503122</v>
      </c>
      <c r="S365" s="3">
        <v>11599.97646409353</v>
      </c>
      <c r="T365" s="3">
        <v>11907.221008997351</v>
      </c>
      <c r="U365" s="3">
        <v>12215.988726681109</v>
      </c>
      <c r="V365" s="3">
        <v>12527.42634917021</v>
      </c>
      <c r="W365" s="3">
        <v>12841.42265441394</v>
      </c>
      <c r="X365" s="3">
        <v>13157.86543244902</v>
      </c>
      <c r="Y365" s="3">
        <v>13476.641492700501</v>
      </c>
      <c r="Z365" s="3">
        <v>13797.636658253859</v>
      </c>
      <c r="AA365" s="3">
        <v>14120.735747323521</v>
      </c>
      <c r="AB365" s="3">
        <v>14445.82254215771</v>
      </c>
      <c r="AC365" s="3">
        <v>14772.77974563054</v>
      </c>
      <c r="AD365" s="3">
        <v>15101.488925779249</v>
      </c>
      <c r="AE365" s="3">
        <v>15431.83044854945</v>
      </c>
      <c r="AG365" s="17" t="s">
        <v>2392</v>
      </c>
      <c r="AH365" s="3">
        <v>7328.942890599129</v>
      </c>
      <c r="AI365" s="3">
        <v>7997.9066092599078</v>
      </c>
      <c r="AJ365" s="3">
        <v>10130.346790681209</v>
      </c>
      <c r="AK365" s="3">
        <v>10383.079937987761</v>
      </c>
      <c r="AL365" s="3">
        <v>10628.045301055339</v>
      </c>
      <c r="AM365" s="3">
        <v>10018.33959521673</v>
      </c>
      <c r="AN365" s="3">
        <v>10338.28381532863</v>
      </c>
      <c r="AO365" s="3">
        <v>10646.833028715429</v>
      </c>
      <c r="AP365" s="3">
        <v>10918.857352809669</v>
      </c>
      <c r="AQ365" s="3">
        <v>11203.75370884477</v>
      </c>
      <c r="AR365" s="3">
        <v>11485.223819661771</v>
      </c>
      <c r="AS365" s="3">
        <v>11778.684696568211</v>
      </c>
      <c r="AT365" s="3">
        <v>12079.22134768986</v>
      </c>
      <c r="AU365" s="3">
        <v>12379.878392991001</v>
      </c>
      <c r="AV365" s="3">
        <v>12684.813389484059</v>
      </c>
      <c r="AW365" s="3">
        <v>12996.756927573109</v>
      </c>
      <c r="AX365" s="3">
        <v>13306.285215258</v>
      </c>
      <c r="AY365" s="3">
        <v>13615.273558218711</v>
      </c>
      <c r="AZ365" s="3">
        <v>13920.203871007619</v>
      </c>
      <c r="BA365" s="3">
        <v>14225.00547490355</v>
      </c>
      <c r="BC365" s="17" t="s">
        <v>2393</v>
      </c>
      <c r="BD365" s="3">
        <v>7328.942890599129</v>
      </c>
      <c r="BE365" s="3">
        <v>7997.9066092599078</v>
      </c>
      <c r="BF365" s="3">
        <v>10130.346790681209</v>
      </c>
      <c r="BG365" s="3">
        <v>10383.079937987761</v>
      </c>
      <c r="BH365" s="3">
        <v>10628.045301055339</v>
      </c>
      <c r="BI365" s="3">
        <v>10282.394438147139</v>
      </c>
      <c r="BJ365" s="3">
        <v>9877.8137405324833</v>
      </c>
      <c r="BK365" s="3">
        <v>9541.7144078026558</v>
      </c>
      <c r="BL365" s="3">
        <v>9242.5945583835455</v>
      </c>
      <c r="BM365" s="3">
        <v>9105.1889496095682</v>
      </c>
      <c r="BN365" s="3">
        <v>8986.0648353325687</v>
      </c>
      <c r="BO365" s="3">
        <v>8886.8164548649802</v>
      </c>
      <c r="BP365" s="3">
        <v>8806.9560403817377</v>
      </c>
      <c r="BQ365" s="3">
        <v>8742.5511479983525</v>
      </c>
      <c r="BR365" s="3">
        <v>8691.6154899058783</v>
      </c>
      <c r="BS365" s="3">
        <v>8653.8972479111435</v>
      </c>
      <c r="BT365" s="3">
        <v>8626.2156897039295</v>
      </c>
      <c r="BU365" s="3">
        <v>8606.3487471728804</v>
      </c>
      <c r="BV365" s="3">
        <v>8590.8190308048434</v>
      </c>
      <c r="BW365" s="3">
        <v>8578.3986194138397</v>
      </c>
      <c r="BY365" s="17" t="s">
        <v>2394</v>
      </c>
      <c r="BZ365" s="3">
        <v>7328.942890599129</v>
      </c>
      <c r="CA365" s="3">
        <v>7997.9066092599078</v>
      </c>
      <c r="CB365" s="3">
        <v>10130.346790681209</v>
      </c>
      <c r="CC365" s="3">
        <v>10383.079937987761</v>
      </c>
      <c r="CD365" s="3">
        <v>10628.045301055339</v>
      </c>
      <c r="CE365" s="3">
        <v>9821.5414620745614</v>
      </c>
      <c r="CF365" s="3">
        <v>10135.194537666801</v>
      </c>
      <c r="CG365" s="3">
        <v>10437.05331619346</v>
      </c>
      <c r="CH365" s="3">
        <v>10704.319763843459</v>
      </c>
      <c r="CI365" s="3">
        <v>10985.583281371561</v>
      </c>
      <c r="CJ365" s="3">
        <v>11261.064422387601</v>
      </c>
      <c r="CK365" s="3">
        <v>11549.474024444051</v>
      </c>
      <c r="CL365" s="3">
        <v>11840.75279930977</v>
      </c>
      <c r="CM365" s="3">
        <v>12132.813758505719</v>
      </c>
      <c r="CN365" s="3">
        <v>12428.92768520507</v>
      </c>
      <c r="CO365" s="3">
        <v>12730.656620740659</v>
      </c>
      <c r="CP365" s="3">
        <v>13030.284520093441</v>
      </c>
      <c r="CQ365" s="3">
        <v>13330.843214908349</v>
      </c>
      <c r="CR365" s="3">
        <v>13628.59154526581</v>
      </c>
      <c r="CS365" s="3">
        <v>13928.38430125603</v>
      </c>
      <c r="CU365" s="17" t="s">
        <v>2395</v>
      </c>
      <c r="CV365" s="3">
        <v>7328.942890599129</v>
      </c>
      <c r="CW365" s="3">
        <v>7997.9066092599078</v>
      </c>
      <c r="CX365" s="3">
        <v>10130.346790681209</v>
      </c>
      <c r="CY365" s="3">
        <v>10383.079937987761</v>
      </c>
      <c r="CZ365" s="3">
        <v>10628.045301055339</v>
      </c>
      <c r="DA365" s="3">
        <v>8968.1098286851047</v>
      </c>
      <c r="DB365" s="3">
        <v>9254.5124955188512</v>
      </c>
      <c r="DC365" s="3">
        <v>9535.135112912827</v>
      </c>
      <c r="DD365" s="3">
        <v>9768.2675916308526</v>
      </c>
      <c r="DE365" s="3">
        <v>10025.839070020649</v>
      </c>
      <c r="DF365" s="3">
        <v>10272.797896649579</v>
      </c>
      <c r="DG365" s="3">
        <v>10541.630830022459</v>
      </c>
      <c r="DH365" s="3">
        <v>10820.30065504103</v>
      </c>
      <c r="DI365" s="3">
        <v>11097.529814209909</v>
      </c>
      <c r="DJ365" s="3">
        <v>11380.694606734271</v>
      </c>
      <c r="DK365" s="3">
        <v>11675.313713626239</v>
      </c>
      <c r="DL365" s="3">
        <v>11963.203699621799</v>
      </c>
      <c r="DM365" s="3">
        <v>12248.877191134299</v>
      </c>
      <c r="DN365" s="3">
        <v>12525.238988947031</v>
      </c>
      <c r="DO365" s="3">
        <v>12800.240060863051</v>
      </c>
    </row>
    <row r="366" spans="1:230" x14ac:dyDescent="0.45">
      <c r="A366" s="16" t="s">
        <v>2396</v>
      </c>
      <c r="B366" s="3" t="s">
        <v>89</v>
      </c>
      <c r="C366" s="16" t="s">
        <v>2397</v>
      </c>
      <c r="H366" s="3" t="s">
        <v>2398</v>
      </c>
      <c r="I366" s="3" t="s">
        <v>2363</v>
      </c>
      <c r="K366" s="17" t="s">
        <v>2399</v>
      </c>
      <c r="L366" s="3">
        <v>15367.3423246519</v>
      </c>
      <c r="M366" s="3">
        <v>16107.72515780221</v>
      </c>
      <c r="N366" s="3">
        <v>19471.252309223932</v>
      </c>
      <c r="O366" s="3">
        <v>19859.071482479769</v>
      </c>
      <c r="P366" s="3">
        <v>20233.225831285879</v>
      </c>
      <c r="Q366" s="3">
        <v>20676.256680390969</v>
      </c>
      <c r="R366" s="3">
        <v>21202.837788213521</v>
      </c>
      <c r="S366" s="3">
        <v>21700.59646803885</v>
      </c>
      <c r="T366" s="3">
        <v>22159.368444665051</v>
      </c>
      <c r="U366" s="3">
        <v>22618.063843517812</v>
      </c>
      <c r="V366" s="3">
        <v>23078.40876674858</v>
      </c>
      <c r="W366" s="3">
        <v>23540.252542768201</v>
      </c>
      <c r="X366" s="3">
        <v>24003.445577796359</v>
      </c>
      <c r="Y366" s="3">
        <v>24467.839288522919</v>
      </c>
      <c r="Z366" s="3">
        <v>24933.28601938592</v>
      </c>
      <c r="AA366" s="3">
        <v>25399.63894516341</v>
      </c>
      <c r="AB366" s="3">
        <v>25866.751959550711</v>
      </c>
      <c r="AC366" s="3">
        <v>26334.479550365959</v>
      </c>
      <c r="AD366" s="3">
        <v>26802.676661996131</v>
      </c>
      <c r="AE366" s="3">
        <v>27271.19854566396</v>
      </c>
      <c r="AG366" s="17" t="s">
        <v>2400</v>
      </c>
      <c r="AH366" s="3">
        <v>15367.3423246519</v>
      </c>
      <c r="AI366" s="3">
        <v>16107.72515780221</v>
      </c>
      <c r="AJ366" s="3">
        <v>19471.252309223932</v>
      </c>
      <c r="AK366" s="3">
        <v>19859.071482479769</v>
      </c>
      <c r="AL366" s="3">
        <v>20233.225831285879</v>
      </c>
      <c r="AM366" s="3">
        <v>18010.766972100399</v>
      </c>
      <c r="AN366" s="3">
        <v>18469.402723474679</v>
      </c>
      <c r="AO366" s="3">
        <v>18908.928515511168</v>
      </c>
      <c r="AP366" s="3">
        <v>19294.108778069189</v>
      </c>
      <c r="AQ366" s="3">
        <v>19695.491698160229</v>
      </c>
      <c r="AR366" s="3">
        <v>20089.992188802229</v>
      </c>
      <c r="AS366" s="3">
        <v>20499.26800252865</v>
      </c>
      <c r="AT366" s="3">
        <v>20916.299895136279</v>
      </c>
      <c r="AU366" s="3">
        <v>21331.390281456381</v>
      </c>
      <c r="AV366" s="3">
        <v>21750.316337601362</v>
      </c>
      <c r="AW366" s="3">
        <v>22176.788886289571</v>
      </c>
      <c r="AX366" s="3">
        <v>22597.894344058132</v>
      </c>
      <c r="AY366" s="3">
        <v>23016.280206031581</v>
      </c>
      <c r="AZ366" s="3">
        <v>23427.264281508371</v>
      </c>
      <c r="BA366" s="3">
        <v>23836.25096179076</v>
      </c>
      <c r="BC366" s="17" t="s">
        <v>2401</v>
      </c>
      <c r="BD366" s="3">
        <v>15367.3423246519</v>
      </c>
      <c r="BE366" s="3">
        <v>16107.72515780221</v>
      </c>
      <c r="BF366" s="3">
        <v>19471.252309223932</v>
      </c>
      <c r="BG366" s="3">
        <v>19859.071482479769</v>
      </c>
      <c r="BH366" s="3">
        <v>20233.225831285879</v>
      </c>
      <c r="BI366" s="3">
        <v>18906.820639362511</v>
      </c>
      <c r="BJ366" s="3">
        <v>17495.172619823959</v>
      </c>
      <c r="BK366" s="3">
        <v>16390.30641791661</v>
      </c>
      <c r="BL366" s="3">
        <v>15478.77638199681</v>
      </c>
      <c r="BM366" s="3">
        <v>14915.364138716401</v>
      </c>
      <c r="BN366" s="3">
        <v>14435.036907501421</v>
      </c>
      <c r="BO366" s="3">
        <v>14026.659783001731</v>
      </c>
      <c r="BP366" s="3">
        <v>13679.719778764071</v>
      </c>
      <c r="BQ366" s="3">
        <v>13381.8057944252</v>
      </c>
      <c r="BR366" s="3">
        <v>13124.81058358106</v>
      </c>
      <c r="BS366" s="3">
        <v>12904.034692602871</v>
      </c>
      <c r="BT366" s="3">
        <v>12712.143004653461</v>
      </c>
      <c r="BU366" s="3">
        <v>12543.751007925161</v>
      </c>
      <c r="BV366" s="3">
        <v>12392.583543980551</v>
      </c>
      <c r="BW366" s="3">
        <v>12255.50991847817</v>
      </c>
      <c r="BY366" s="17" t="s">
        <v>2402</v>
      </c>
      <c r="BZ366" s="3">
        <v>15367.3423246519</v>
      </c>
      <c r="CA366" s="3">
        <v>16107.72515780221</v>
      </c>
      <c r="CB366" s="3">
        <v>19471.252309223932</v>
      </c>
      <c r="CC366" s="3">
        <v>19859.071482479769</v>
      </c>
      <c r="CD366" s="3">
        <v>20233.225831285879</v>
      </c>
      <c r="CE366" s="3">
        <v>17471.41108197107</v>
      </c>
      <c r="CF366" s="3">
        <v>17916.29101023755</v>
      </c>
      <c r="CG366" s="3">
        <v>18341.723630137109</v>
      </c>
      <c r="CH366" s="3">
        <v>18716.089095302879</v>
      </c>
      <c r="CI366" s="3">
        <v>19108.091690074911</v>
      </c>
      <c r="CJ366" s="3">
        <v>19490.003749778061</v>
      </c>
      <c r="CK366" s="3">
        <v>19887.8788711737</v>
      </c>
      <c r="CL366" s="3">
        <v>20287.66695708004</v>
      </c>
      <c r="CM366" s="3">
        <v>20686.51227751121</v>
      </c>
      <c r="CN366" s="3">
        <v>21088.912983255479</v>
      </c>
      <c r="CO366" s="3">
        <v>21496.963146474951</v>
      </c>
      <c r="CP366" s="3">
        <v>21900.199583049602</v>
      </c>
      <c r="CQ366" s="3">
        <v>22302.78862506006</v>
      </c>
      <c r="CR366" s="3">
        <v>22699.763728074369</v>
      </c>
      <c r="CS366" s="3">
        <v>23097.686306286461</v>
      </c>
      <c r="CU366" s="17" t="s">
        <v>2403</v>
      </c>
      <c r="CV366" s="3">
        <v>15367.3423246519</v>
      </c>
      <c r="CW366" s="3">
        <v>16107.72515780221</v>
      </c>
      <c r="CX366" s="3">
        <v>19471.252309223932</v>
      </c>
      <c r="CY366" s="3">
        <v>19859.071482479769</v>
      </c>
      <c r="CZ366" s="3">
        <v>20233.225831285879</v>
      </c>
      <c r="DA366" s="3">
        <v>15284.720926907299</v>
      </c>
      <c r="DB366" s="3">
        <v>15673.8781767031</v>
      </c>
      <c r="DC366" s="3">
        <v>16052.678222096571</v>
      </c>
      <c r="DD366" s="3">
        <v>16365.007848146901</v>
      </c>
      <c r="DE366" s="3">
        <v>16708.61048939942</v>
      </c>
      <c r="DF366" s="3">
        <v>17036.15745816956</v>
      </c>
      <c r="DG366" s="3">
        <v>17391.142175676971</v>
      </c>
      <c r="DH366" s="3">
        <v>17757.235068006419</v>
      </c>
      <c r="DI366" s="3">
        <v>18119.442826642371</v>
      </c>
      <c r="DJ366" s="3">
        <v>18487.514058666529</v>
      </c>
      <c r="DK366" s="3">
        <v>18868.577610001521</v>
      </c>
      <c r="DL366" s="3">
        <v>19238.887453038111</v>
      </c>
      <c r="DM366" s="3">
        <v>19604.451358605409</v>
      </c>
      <c r="DN366" s="3">
        <v>19956.248160016061</v>
      </c>
      <c r="DO366" s="3">
        <v>20304.654522366589</v>
      </c>
    </row>
    <row r="367" spans="1:230" x14ac:dyDescent="0.45">
      <c r="A367" s="16" t="s">
        <v>2404</v>
      </c>
      <c r="B367" s="3" t="s">
        <v>89</v>
      </c>
      <c r="C367" s="16" t="s">
        <v>2405</v>
      </c>
      <c r="H367" s="3" t="s">
        <v>2406</v>
      </c>
      <c r="I367" s="3" t="s">
        <v>2363</v>
      </c>
      <c r="K367" s="17" t="s">
        <v>2407</v>
      </c>
      <c r="L367" s="3">
        <v>5269.6952255092892</v>
      </c>
      <c r="M367" s="3">
        <v>5887.5597985282238</v>
      </c>
      <c r="N367" s="3">
        <v>5914.1493432246989</v>
      </c>
      <c r="O367" s="3">
        <v>6059.6398564562842</v>
      </c>
      <c r="P367" s="3">
        <v>6201.5783024301982</v>
      </c>
      <c r="Q367" s="3">
        <v>6368.6665652713873</v>
      </c>
      <c r="R367" s="3">
        <v>6566.5464188664391</v>
      </c>
      <c r="S367" s="3">
        <v>6756.0819821329178</v>
      </c>
      <c r="T367" s="3">
        <v>6933.4423132880002</v>
      </c>
      <c r="U367" s="3">
        <v>7112.3096404231146</v>
      </c>
      <c r="V367" s="3">
        <v>7293.3131843650863</v>
      </c>
      <c r="W367" s="3">
        <v>7476.4166157875316</v>
      </c>
      <c r="X367" s="3">
        <v>7661.5826713141987</v>
      </c>
      <c r="Y367" s="3">
        <v>7848.7731287759216</v>
      </c>
      <c r="Z367" s="3">
        <v>8037.9487762643976</v>
      </c>
      <c r="AA367" s="3">
        <v>8229.0693749564471</v>
      </c>
      <c r="AB367" s="3">
        <v>8422.0936156856569</v>
      </c>
      <c r="AC367" s="3">
        <v>8616.9790692408678</v>
      </c>
      <c r="AD367" s="3">
        <v>8813.682130371948</v>
      </c>
      <c r="AE367" s="3">
        <v>9012.1579554839936</v>
      </c>
      <c r="AG367" s="17" t="s">
        <v>2408</v>
      </c>
      <c r="AH367" s="3">
        <v>5269.6952255092892</v>
      </c>
      <c r="AI367" s="3">
        <v>5887.5597985282238</v>
      </c>
      <c r="AJ367" s="3">
        <v>5914.1493432246989</v>
      </c>
      <c r="AK367" s="3">
        <v>6059.6398564562842</v>
      </c>
      <c r="AL367" s="3">
        <v>6201.5783024301982</v>
      </c>
      <c r="AM367" s="3">
        <v>5343.1593219059587</v>
      </c>
      <c r="AN367" s="3">
        <v>5508.7847250019104</v>
      </c>
      <c r="AO367" s="3">
        <v>5669.4999128706168</v>
      </c>
      <c r="AP367" s="3">
        <v>5813.1627303872256</v>
      </c>
      <c r="AQ367" s="3">
        <v>5963.6152054060531</v>
      </c>
      <c r="AR367" s="3">
        <v>6113.0003933445914</v>
      </c>
      <c r="AS367" s="3">
        <v>6268.8068700390331</v>
      </c>
      <c r="AT367" s="3">
        <v>6428.6864486311724</v>
      </c>
      <c r="AU367" s="3">
        <v>6589.2829828444164</v>
      </c>
      <c r="AV367" s="3">
        <v>6752.6385390701726</v>
      </c>
      <c r="AW367" s="3">
        <v>6920.1119342672009</v>
      </c>
      <c r="AX367" s="3">
        <v>7087.1217721503726</v>
      </c>
      <c r="AY367" s="3">
        <v>7254.5945775770124</v>
      </c>
      <c r="AZ367" s="3">
        <v>7420.8126325589083</v>
      </c>
      <c r="BA367" s="3">
        <v>7587.7112751931127</v>
      </c>
      <c r="BC367" s="17" t="s">
        <v>2409</v>
      </c>
      <c r="BD367" s="3">
        <v>5269.6952255092892</v>
      </c>
      <c r="BE367" s="3">
        <v>5887.5597985282238</v>
      </c>
      <c r="BF367" s="3">
        <v>5914.1493432246989</v>
      </c>
      <c r="BG367" s="3">
        <v>6059.6398564562842</v>
      </c>
      <c r="BH367" s="3">
        <v>6201.5783024301982</v>
      </c>
      <c r="BI367" s="3">
        <v>5754.2753727093932</v>
      </c>
      <c r="BJ367" s="3">
        <v>5299.3000085823169</v>
      </c>
      <c r="BK367" s="3">
        <v>4958.7775463697972</v>
      </c>
      <c r="BL367" s="3">
        <v>4686.3882547913508</v>
      </c>
      <c r="BM367" s="3">
        <v>4491.2631144213792</v>
      </c>
      <c r="BN367" s="3">
        <v>4331.3665284908684</v>
      </c>
      <c r="BO367" s="3">
        <v>4200.2290672471499</v>
      </c>
      <c r="BP367" s="3">
        <v>4092.6521023691148</v>
      </c>
      <c r="BQ367" s="3">
        <v>4003.4377785959541</v>
      </c>
      <c r="BR367" s="3">
        <v>3929.2089311637619</v>
      </c>
      <c r="BS367" s="3">
        <v>3867.9636377321071</v>
      </c>
      <c r="BT367" s="3">
        <v>3816.970099094237</v>
      </c>
      <c r="BU367" s="3">
        <v>3774.2415676009859</v>
      </c>
      <c r="BV367" s="3">
        <v>3737.5482886755258</v>
      </c>
      <c r="BW367" s="3">
        <v>3705.7505327356139</v>
      </c>
      <c r="BY367" s="17" t="s">
        <v>2410</v>
      </c>
      <c r="BZ367" s="3">
        <v>5269.6952255092892</v>
      </c>
      <c r="CA367" s="3">
        <v>5887.5597985282238</v>
      </c>
      <c r="CB367" s="3">
        <v>5914.1493432246989</v>
      </c>
      <c r="CC367" s="3">
        <v>6059.6398564562842</v>
      </c>
      <c r="CD367" s="3">
        <v>6201.5783024301982</v>
      </c>
      <c r="CE367" s="3">
        <v>5149.3221399901322</v>
      </c>
      <c r="CF367" s="3">
        <v>5308.8569886314826</v>
      </c>
      <c r="CG367" s="3">
        <v>5463.3638567731996</v>
      </c>
      <c r="CH367" s="3">
        <v>5602.0182668373591</v>
      </c>
      <c r="CI367" s="3">
        <v>5747.8667831113044</v>
      </c>
      <c r="CJ367" s="3">
        <v>5891.534093271076</v>
      </c>
      <c r="CK367" s="3">
        <v>6041.9434540222801</v>
      </c>
      <c r="CL367" s="3">
        <v>6194.3322727209033</v>
      </c>
      <c r="CM367" s="3">
        <v>6347.722002926097</v>
      </c>
      <c r="CN367" s="3">
        <v>6503.6950841623548</v>
      </c>
      <c r="CO367" s="3">
        <v>6663.0244380237491</v>
      </c>
      <c r="CP367" s="3">
        <v>6822.0260085581822</v>
      </c>
      <c r="CQ367" s="3">
        <v>6982.167741401694</v>
      </c>
      <c r="CR367" s="3">
        <v>7141.6578944137473</v>
      </c>
      <c r="CS367" s="3">
        <v>7302.8489489970279</v>
      </c>
      <c r="CU367" s="17" t="s">
        <v>2411</v>
      </c>
      <c r="CV367" s="3">
        <v>5269.6952255092892</v>
      </c>
      <c r="CW367" s="3">
        <v>5887.5597985282238</v>
      </c>
      <c r="CX367" s="3">
        <v>5914.1493432246989</v>
      </c>
      <c r="CY367" s="3">
        <v>6059.6398564562842</v>
      </c>
      <c r="CZ367" s="3">
        <v>6201.5783024301982</v>
      </c>
      <c r="DA367" s="3">
        <v>4401.1589200968619</v>
      </c>
      <c r="DB367" s="3">
        <v>4537.2292156500307</v>
      </c>
      <c r="DC367" s="3">
        <v>4671.2106033708769</v>
      </c>
      <c r="DD367" s="3">
        <v>4784.6137665585366</v>
      </c>
      <c r="DE367" s="3">
        <v>4909.3103439645583</v>
      </c>
      <c r="DF367" s="3">
        <v>5029.7678165017905</v>
      </c>
      <c r="DG367" s="3">
        <v>5160.4470583944076</v>
      </c>
      <c r="DH367" s="3">
        <v>5296.0335570960688</v>
      </c>
      <c r="DI367" s="3">
        <v>5431.521118138543</v>
      </c>
      <c r="DJ367" s="3">
        <v>5570.2200386001632</v>
      </c>
      <c r="DK367" s="3">
        <v>5714.6295821442463</v>
      </c>
      <c r="DL367" s="3">
        <v>5856.6228666485458</v>
      </c>
      <c r="DM367" s="3">
        <v>5998.2260513063011</v>
      </c>
      <c r="DN367" s="3">
        <v>6136.2467926328181</v>
      </c>
      <c r="DO367" s="3">
        <v>6274.262316270826</v>
      </c>
    </row>
    <row r="368" spans="1:230" x14ac:dyDescent="0.45">
      <c r="A368" s="16" t="s">
        <v>2412</v>
      </c>
      <c r="B368" s="3" t="s">
        <v>89</v>
      </c>
      <c r="C368" s="16" t="s">
        <v>2413</v>
      </c>
      <c r="H368" s="3" t="s">
        <v>2414</v>
      </c>
      <c r="I368" s="3" t="s">
        <v>2363</v>
      </c>
      <c r="K368" s="17" t="s">
        <v>2415</v>
      </c>
      <c r="L368" s="3">
        <v>6.9001887552651482</v>
      </c>
      <c r="M368" s="3">
        <v>7.3017403063157378</v>
      </c>
      <c r="N368" s="3">
        <v>7.9212145403024472</v>
      </c>
      <c r="O368" s="3">
        <v>8.1373952003661287</v>
      </c>
      <c r="P368" s="3">
        <v>8.348943658262943</v>
      </c>
      <c r="Q368" s="3">
        <v>8.598081580576558</v>
      </c>
      <c r="R368" s="3">
        <v>8.8934119127605893</v>
      </c>
      <c r="S368" s="3">
        <v>9.1773191251313282</v>
      </c>
      <c r="T368" s="3">
        <v>9.4439922611726139</v>
      </c>
      <c r="U368" s="3">
        <v>9.7136442904826961</v>
      </c>
      <c r="V368" s="3">
        <v>9.9872135031873306</v>
      </c>
      <c r="W368" s="3">
        <v>10.264651712853819</v>
      </c>
      <c r="X368" s="3">
        <v>10.545908716977751</v>
      </c>
      <c r="Y368" s="3">
        <v>10.83093226540751</v>
      </c>
      <c r="Z368" s="3">
        <v>11.119668018848101</v>
      </c>
      <c r="AA368" s="3">
        <v>11.41205949728576</v>
      </c>
      <c r="AB368" s="3">
        <v>11.708048018187551</v>
      </c>
      <c r="AC368" s="3">
        <v>12.00757262434151</v>
      </c>
      <c r="AD368" s="3">
        <v>12.31057000121125</v>
      </c>
      <c r="AE368" s="3">
        <v>12.61697438368668</v>
      </c>
      <c r="AG368" s="17" t="s">
        <v>2416</v>
      </c>
      <c r="AH368" s="3">
        <v>6.9001887552651482</v>
      </c>
      <c r="AI368" s="3">
        <v>7.3017403063157378</v>
      </c>
      <c r="AJ368" s="3">
        <v>7.9212145403024472</v>
      </c>
      <c r="AK368" s="3">
        <v>8.1373952003661287</v>
      </c>
      <c r="AL368" s="3">
        <v>8.348943658262943</v>
      </c>
      <c r="AM368" s="3">
        <v>7.715204407358927</v>
      </c>
      <c r="AN368" s="3">
        <v>7.9799178677678118</v>
      </c>
      <c r="AO368" s="3">
        <v>8.23769494146112</v>
      </c>
      <c r="AP368" s="3">
        <v>8.4691427091760954</v>
      </c>
      <c r="AQ368" s="3">
        <v>8.7120442591238696</v>
      </c>
      <c r="AR368" s="3">
        <v>8.953910315069221</v>
      </c>
      <c r="AS368" s="3">
        <v>9.2067072808000958</v>
      </c>
      <c r="AT368" s="3">
        <v>9.4667239727247363</v>
      </c>
      <c r="AU368" s="3">
        <v>9.7285905909292829</v>
      </c>
      <c r="AV368" s="3">
        <v>9.9955934537495459</v>
      </c>
      <c r="AW368" s="3">
        <v>10.269944612590891</v>
      </c>
      <c r="AX368" s="3">
        <v>10.54425091021912</v>
      </c>
      <c r="AY368" s="3">
        <v>10.81999677115007</v>
      </c>
      <c r="AZ368" s="3">
        <v>11.09437754765935</v>
      </c>
      <c r="BA368" s="3">
        <v>11.370522460243009</v>
      </c>
      <c r="BC368" s="17" t="s">
        <v>2417</v>
      </c>
      <c r="BD368" s="3">
        <v>6.9001887552651482</v>
      </c>
      <c r="BE368" s="3">
        <v>7.3017403063157378</v>
      </c>
      <c r="BF368" s="3">
        <v>7.9212145403024472</v>
      </c>
      <c r="BG368" s="3">
        <v>8.1373952003661287</v>
      </c>
      <c r="BH368" s="3">
        <v>8.348943658262943</v>
      </c>
      <c r="BI368" s="3">
        <v>8.0768304861142806</v>
      </c>
      <c r="BJ368" s="3">
        <v>7.7547667869369832</v>
      </c>
      <c r="BK368" s="3">
        <v>7.4901857144983381</v>
      </c>
      <c r="BL368" s="3">
        <v>7.2577520355937759</v>
      </c>
      <c r="BM368" s="3">
        <v>7.100449240400236</v>
      </c>
      <c r="BN368" s="3">
        <v>6.9683705143863044</v>
      </c>
      <c r="BO368" s="3">
        <v>6.8602693848112253</v>
      </c>
      <c r="BP368" s="3">
        <v>6.7739412050488639</v>
      </c>
      <c r="BQ368" s="3">
        <v>6.7050256483401869</v>
      </c>
      <c r="BR368" s="3">
        <v>6.6509893971480967</v>
      </c>
      <c r="BS368" s="3">
        <v>6.6108591683287363</v>
      </c>
      <c r="BT368" s="3">
        <v>6.5816151647210077</v>
      </c>
      <c r="BU368" s="3">
        <v>6.5610983648494576</v>
      </c>
      <c r="BV368" s="3">
        <v>6.5462919329442943</v>
      </c>
      <c r="BW368" s="3">
        <v>6.5359563525282507</v>
      </c>
      <c r="BY368" s="17" t="s">
        <v>2418</v>
      </c>
      <c r="BZ368" s="3">
        <v>6.9001887552651482</v>
      </c>
      <c r="CA368" s="3">
        <v>7.3017403063157378</v>
      </c>
      <c r="CB368" s="3">
        <v>7.9212145403024472</v>
      </c>
      <c r="CC368" s="3">
        <v>8.1373952003661287</v>
      </c>
      <c r="CD368" s="3">
        <v>8.348943658262943</v>
      </c>
      <c r="CE368" s="3">
        <v>7.5295641214922941</v>
      </c>
      <c r="CF368" s="3">
        <v>7.7878389149796581</v>
      </c>
      <c r="CG368" s="3">
        <v>8.0388691943190711</v>
      </c>
      <c r="CH368" s="3">
        <v>8.2651333216799152</v>
      </c>
      <c r="CI368" s="3">
        <v>8.5036325872649474</v>
      </c>
      <c r="CJ368" s="3">
        <v>8.7392643437460915</v>
      </c>
      <c r="CK368" s="3">
        <v>8.986464766846785</v>
      </c>
      <c r="CL368" s="3">
        <v>9.2375528022223516</v>
      </c>
      <c r="CM368" s="3">
        <v>9.4909412797905102</v>
      </c>
      <c r="CN368" s="3">
        <v>9.7492121662016853</v>
      </c>
      <c r="CO368" s="3">
        <v>10.01364547776442</v>
      </c>
      <c r="CP368" s="3">
        <v>10.278217770000969</v>
      </c>
      <c r="CQ368" s="3">
        <v>10.545325548220671</v>
      </c>
      <c r="CR368" s="3">
        <v>10.812014067229221</v>
      </c>
      <c r="CS368" s="3">
        <v>11.08214871098305</v>
      </c>
      <c r="CU368" s="17" t="s">
        <v>2419</v>
      </c>
      <c r="CV368" s="3">
        <v>6.9001887552651482</v>
      </c>
      <c r="CW368" s="3">
        <v>7.3017403063157378</v>
      </c>
      <c r="CX368" s="3">
        <v>7.9212145403024472</v>
      </c>
      <c r="CY368" s="3">
        <v>8.1373952003661287</v>
      </c>
      <c r="CZ368" s="3">
        <v>8.348943658262943</v>
      </c>
      <c r="DA368" s="3">
        <v>6.7509030912981913</v>
      </c>
      <c r="DB368" s="3">
        <v>6.9822096405653644</v>
      </c>
      <c r="DC368" s="3">
        <v>7.2107472401343076</v>
      </c>
      <c r="DD368" s="3">
        <v>7.4051982643003242</v>
      </c>
      <c r="DE368" s="3">
        <v>7.6193146830222478</v>
      </c>
      <c r="DF368" s="3">
        <v>7.8268307366624574</v>
      </c>
      <c r="DG368" s="3">
        <v>8.0523135174642082</v>
      </c>
      <c r="DH368" s="3">
        <v>8.2868022405682886</v>
      </c>
      <c r="DI368" s="3">
        <v>8.5217739413349545</v>
      </c>
      <c r="DJ368" s="3">
        <v>8.7628930732168104</v>
      </c>
      <c r="DK368" s="3">
        <v>9.0144835302923187</v>
      </c>
      <c r="DL368" s="3">
        <v>9.2625878038806757</v>
      </c>
      <c r="DM368" s="3">
        <v>9.5106636342764563</v>
      </c>
      <c r="DN368" s="3">
        <v>9.7531641731928218</v>
      </c>
      <c r="DO368" s="3">
        <v>9.9962450411156887</v>
      </c>
    </row>
    <row r="369" spans="1:119" x14ac:dyDescent="0.45">
      <c r="A369" s="16" t="s">
        <v>2420</v>
      </c>
      <c r="B369" s="3" t="s">
        <v>89</v>
      </c>
      <c r="C369" s="16" t="s">
        <v>2421</v>
      </c>
      <c r="H369" s="3" t="s">
        <v>2422</v>
      </c>
      <c r="I369" s="3" t="s">
        <v>2363</v>
      </c>
      <c r="K369" s="17" t="s">
        <v>2423</v>
      </c>
      <c r="L369" s="3">
        <v>0</v>
      </c>
      <c r="M369" s="3">
        <v>0</v>
      </c>
      <c r="N369" s="3">
        <v>0</v>
      </c>
      <c r="O369" s="3">
        <v>0</v>
      </c>
      <c r="P369" s="3">
        <v>0</v>
      </c>
      <c r="Q369" s="3">
        <v>0</v>
      </c>
      <c r="R369" s="3">
        <v>0</v>
      </c>
      <c r="S369" s="3">
        <v>0</v>
      </c>
      <c r="T369" s="3">
        <v>0</v>
      </c>
      <c r="U369" s="3">
        <v>0</v>
      </c>
      <c r="V369" s="3">
        <v>0</v>
      </c>
      <c r="W369" s="3">
        <v>0</v>
      </c>
      <c r="X369" s="3">
        <v>0</v>
      </c>
      <c r="Y369" s="3">
        <v>0</v>
      </c>
      <c r="Z369" s="3">
        <v>0</v>
      </c>
      <c r="AA369" s="3">
        <v>0</v>
      </c>
      <c r="AB369" s="3">
        <v>0</v>
      </c>
      <c r="AC369" s="3">
        <v>0</v>
      </c>
      <c r="AD369" s="3">
        <v>0</v>
      </c>
      <c r="AE369" s="3">
        <v>0</v>
      </c>
      <c r="AG369" s="17" t="s">
        <v>2424</v>
      </c>
      <c r="AH369" s="3">
        <v>0</v>
      </c>
      <c r="AI369" s="3">
        <v>0</v>
      </c>
      <c r="AJ369" s="3">
        <v>0</v>
      </c>
      <c r="AK369" s="3">
        <v>0</v>
      </c>
      <c r="AL369" s="3">
        <v>0</v>
      </c>
      <c r="AM369" s="3">
        <v>0</v>
      </c>
      <c r="AN369" s="3">
        <v>0</v>
      </c>
      <c r="AO369" s="3">
        <v>0</v>
      </c>
      <c r="AP369" s="3">
        <v>0</v>
      </c>
      <c r="AQ369" s="3">
        <v>0</v>
      </c>
      <c r="AR369" s="3">
        <v>0</v>
      </c>
      <c r="AS369" s="3">
        <v>0</v>
      </c>
      <c r="AT369" s="3">
        <v>0</v>
      </c>
      <c r="AU369" s="3">
        <v>0</v>
      </c>
      <c r="AV369" s="3">
        <v>0</v>
      </c>
      <c r="AW369" s="3">
        <v>0</v>
      </c>
      <c r="AX369" s="3">
        <v>0</v>
      </c>
      <c r="AY369" s="3">
        <v>0</v>
      </c>
      <c r="AZ369" s="3">
        <v>0</v>
      </c>
      <c r="BA369" s="3">
        <v>0</v>
      </c>
      <c r="BC369" s="17" t="s">
        <v>2425</v>
      </c>
      <c r="BD369" s="3">
        <v>0</v>
      </c>
      <c r="BE369" s="3">
        <v>0</v>
      </c>
      <c r="BF369" s="3">
        <v>0</v>
      </c>
      <c r="BG369" s="3">
        <v>0</v>
      </c>
      <c r="BH369" s="3">
        <v>0</v>
      </c>
      <c r="BI369" s="3">
        <v>0</v>
      </c>
      <c r="BJ369" s="3">
        <v>0</v>
      </c>
      <c r="BK369" s="3">
        <v>0</v>
      </c>
      <c r="BL369" s="3">
        <v>0</v>
      </c>
      <c r="BM369" s="3">
        <v>0</v>
      </c>
      <c r="BN369" s="3">
        <v>0</v>
      </c>
      <c r="BO369" s="3">
        <v>0</v>
      </c>
      <c r="BP369" s="3">
        <v>0</v>
      </c>
      <c r="BQ369" s="3">
        <v>0</v>
      </c>
      <c r="BR369" s="3">
        <v>0</v>
      </c>
      <c r="BS369" s="3">
        <v>0</v>
      </c>
      <c r="BT369" s="3">
        <v>0</v>
      </c>
      <c r="BU369" s="3">
        <v>0</v>
      </c>
      <c r="BV369" s="3">
        <v>0</v>
      </c>
      <c r="BW369" s="3">
        <v>0</v>
      </c>
      <c r="BY369" s="17" t="s">
        <v>2426</v>
      </c>
      <c r="BZ369" s="3">
        <v>0</v>
      </c>
      <c r="CA369" s="3">
        <v>0</v>
      </c>
      <c r="CB369" s="3">
        <v>0</v>
      </c>
      <c r="CC369" s="3">
        <v>0</v>
      </c>
      <c r="CD369" s="3">
        <v>0</v>
      </c>
      <c r="CE369" s="3">
        <v>0</v>
      </c>
      <c r="CF369" s="3">
        <v>0</v>
      </c>
      <c r="CG369" s="3">
        <v>0</v>
      </c>
      <c r="CH369" s="3">
        <v>0</v>
      </c>
      <c r="CI369" s="3">
        <v>0</v>
      </c>
      <c r="CJ369" s="3">
        <v>0</v>
      </c>
      <c r="CK369" s="3">
        <v>0</v>
      </c>
      <c r="CL369" s="3">
        <v>0</v>
      </c>
      <c r="CM369" s="3">
        <v>0</v>
      </c>
      <c r="CN369" s="3">
        <v>0</v>
      </c>
      <c r="CO369" s="3">
        <v>0</v>
      </c>
      <c r="CP369" s="3">
        <v>0</v>
      </c>
      <c r="CQ369" s="3">
        <v>0</v>
      </c>
      <c r="CR369" s="3">
        <v>0</v>
      </c>
      <c r="CS369" s="3">
        <v>0</v>
      </c>
      <c r="CU369" s="17" t="s">
        <v>2427</v>
      </c>
      <c r="CV369" s="3">
        <v>0</v>
      </c>
      <c r="CW369" s="3">
        <v>0</v>
      </c>
      <c r="CX369" s="3">
        <v>0</v>
      </c>
      <c r="CY369" s="3">
        <v>0</v>
      </c>
      <c r="CZ369" s="3">
        <v>0</v>
      </c>
      <c r="DA369" s="3">
        <v>0</v>
      </c>
      <c r="DB369" s="3">
        <v>0</v>
      </c>
      <c r="DC369" s="3">
        <v>0</v>
      </c>
      <c r="DD369" s="3">
        <v>0</v>
      </c>
      <c r="DE369" s="3">
        <v>0</v>
      </c>
      <c r="DF369" s="3">
        <v>0</v>
      </c>
      <c r="DG369" s="3">
        <v>0</v>
      </c>
      <c r="DH369" s="3">
        <v>0</v>
      </c>
      <c r="DI369" s="3">
        <v>0</v>
      </c>
      <c r="DJ369" s="3">
        <v>0</v>
      </c>
      <c r="DK369" s="3">
        <v>0</v>
      </c>
      <c r="DL369" s="3">
        <v>0</v>
      </c>
      <c r="DM369" s="3">
        <v>0</v>
      </c>
      <c r="DN369" s="3">
        <v>0</v>
      </c>
      <c r="DO369" s="3">
        <v>0</v>
      </c>
    </row>
    <row r="370" spans="1:119" x14ac:dyDescent="0.45">
      <c r="A370" s="11"/>
      <c r="B370" s="3" t="s">
        <v>89</v>
      </c>
      <c r="C370" s="16" t="s">
        <v>2428</v>
      </c>
      <c r="H370" s="11" t="s">
        <v>2429</v>
      </c>
      <c r="I370" s="11" t="s">
        <v>2363</v>
      </c>
    </row>
    <row r="371" spans="1:119" x14ac:dyDescent="0.45">
      <c r="A371" s="16" t="s">
        <v>2430</v>
      </c>
      <c r="B371" s="3" t="s">
        <v>89</v>
      </c>
      <c r="C371" s="16" t="s">
        <v>2431</v>
      </c>
      <c r="H371" s="3" t="s">
        <v>2432</v>
      </c>
      <c r="I371" s="3" t="s">
        <v>2363</v>
      </c>
      <c r="K371" s="17" t="s">
        <v>2433</v>
      </c>
      <c r="L371" s="3">
        <v>1494.6442716687261</v>
      </c>
      <c r="M371" s="3">
        <v>1177.0750241412291</v>
      </c>
      <c r="N371" s="3">
        <v>1284.475530209442</v>
      </c>
      <c r="O371" s="3">
        <v>1279.9988868434359</v>
      </c>
      <c r="P371" s="3">
        <v>1275.5378454374161</v>
      </c>
      <c r="Q371" s="3">
        <v>1271.0923516155631</v>
      </c>
      <c r="R371" s="3">
        <v>1266.662351191567</v>
      </c>
      <c r="S371" s="3">
        <v>1262.2477901679661</v>
      </c>
      <c r="T371" s="3">
        <v>1257.8486147354911</v>
      </c>
      <c r="U371" s="3">
        <v>1253.46477127241</v>
      </c>
      <c r="V371" s="3">
        <v>1249.096206343871</v>
      </c>
      <c r="W371" s="3">
        <v>1244.7428667012539</v>
      </c>
      <c r="X371" s="3">
        <v>1240.404699281519</v>
      </c>
      <c r="Y371" s="3">
        <v>1236.081651206561</v>
      </c>
      <c r="Z371" s="3">
        <v>1231.773669782568</v>
      </c>
      <c r="AA371" s="3">
        <v>1227.4807024993729</v>
      </c>
      <c r="AB371" s="3">
        <v>1223.2026970298191</v>
      </c>
      <c r="AC371" s="3">
        <v>1218.939601229117</v>
      </c>
      <c r="AD371" s="3">
        <v>1214.6913631342161</v>
      </c>
      <c r="AE371" s="3">
        <v>1210.457930963162</v>
      </c>
      <c r="AG371" s="17" t="s">
        <v>2434</v>
      </c>
      <c r="AH371" s="3">
        <v>1494.6442716687261</v>
      </c>
      <c r="AI371" s="3">
        <v>1177.0750241412291</v>
      </c>
      <c r="AJ371" s="3">
        <v>1284.475530209442</v>
      </c>
      <c r="AK371" s="3">
        <v>1279.9988868434359</v>
      </c>
      <c r="AL371" s="3">
        <v>1275.5378454374161</v>
      </c>
      <c r="AM371" s="3">
        <v>1271.0923516155631</v>
      </c>
      <c r="AN371" s="3">
        <v>1266.662351191567</v>
      </c>
      <c r="AO371" s="3">
        <v>1262.2477901679661</v>
      </c>
      <c r="AP371" s="3">
        <v>1257.8486147354911</v>
      </c>
      <c r="AQ371" s="3">
        <v>1253.46477127241</v>
      </c>
      <c r="AR371" s="3">
        <v>1249.096206343871</v>
      </c>
      <c r="AS371" s="3">
        <v>1244.7428667012539</v>
      </c>
      <c r="AT371" s="3">
        <v>1240.404699281519</v>
      </c>
      <c r="AU371" s="3">
        <v>1236.081651206561</v>
      </c>
      <c r="AV371" s="3">
        <v>1231.773669782568</v>
      </c>
      <c r="AW371" s="3">
        <v>1227.4807024993729</v>
      </c>
      <c r="AX371" s="3">
        <v>1223.2026970298191</v>
      </c>
      <c r="AY371" s="3">
        <v>1218.939601229117</v>
      </c>
      <c r="AZ371" s="3">
        <v>1214.6913631342161</v>
      </c>
      <c r="BA371" s="3">
        <v>1210.457930963162</v>
      </c>
      <c r="BC371" s="17" t="s">
        <v>2435</v>
      </c>
      <c r="BD371" s="3">
        <v>1494.6442716687261</v>
      </c>
      <c r="BE371" s="3">
        <v>1177.0750241412291</v>
      </c>
      <c r="BF371" s="3">
        <v>1284.475530209442</v>
      </c>
      <c r="BG371" s="3">
        <v>1279.9988868434359</v>
      </c>
      <c r="BH371" s="3">
        <v>1275.5378454374161</v>
      </c>
      <c r="BI371" s="3">
        <v>1271.0923516155631</v>
      </c>
      <c r="BJ371" s="3">
        <v>1266.662351191567</v>
      </c>
      <c r="BK371" s="3">
        <v>1262.2477901679661</v>
      </c>
      <c r="BL371" s="3">
        <v>1257.8486147354911</v>
      </c>
      <c r="BM371" s="3">
        <v>1253.46477127241</v>
      </c>
      <c r="BN371" s="3">
        <v>1249.096206343871</v>
      </c>
      <c r="BO371" s="3">
        <v>1244.7428667012539</v>
      </c>
      <c r="BP371" s="3">
        <v>1240.404699281519</v>
      </c>
      <c r="BQ371" s="3">
        <v>1236.081651206561</v>
      </c>
      <c r="BR371" s="3">
        <v>1231.773669782568</v>
      </c>
      <c r="BS371" s="3">
        <v>1227.4807024993729</v>
      </c>
      <c r="BT371" s="3">
        <v>1223.2026970298191</v>
      </c>
      <c r="BU371" s="3">
        <v>1218.939601229117</v>
      </c>
      <c r="BV371" s="3">
        <v>1214.6913631342161</v>
      </c>
      <c r="BW371" s="3">
        <v>1210.457930963162</v>
      </c>
      <c r="BY371" s="17" t="s">
        <v>2436</v>
      </c>
      <c r="BZ371" s="3">
        <v>1494.6442716687261</v>
      </c>
      <c r="CA371" s="3">
        <v>1177.0750241412291</v>
      </c>
      <c r="CB371" s="3">
        <v>1284.475530209442</v>
      </c>
      <c r="CC371" s="3">
        <v>1279.9988868434359</v>
      </c>
      <c r="CD371" s="3">
        <v>1275.5378454374161</v>
      </c>
      <c r="CE371" s="3">
        <v>1271.0923516155631</v>
      </c>
      <c r="CF371" s="3">
        <v>1266.662351191567</v>
      </c>
      <c r="CG371" s="3">
        <v>1262.2477901679661</v>
      </c>
      <c r="CH371" s="3">
        <v>1257.8486147354911</v>
      </c>
      <c r="CI371" s="3">
        <v>1253.46477127241</v>
      </c>
      <c r="CJ371" s="3">
        <v>1249.096206343871</v>
      </c>
      <c r="CK371" s="3">
        <v>1244.7428667012539</v>
      </c>
      <c r="CL371" s="3">
        <v>1240.404699281519</v>
      </c>
      <c r="CM371" s="3">
        <v>1236.081651206561</v>
      </c>
      <c r="CN371" s="3">
        <v>1231.773669782568</v>
      </c>
      <c r="CO371" s="3">
        <v>1227.4807024993729</v>
      </c>
      <c r="CP371" s="3">
        <v>1223.2026970298191</v>
      </c>
      <c r="CQ371" s="3">
        <v>1218.939601229117</v>
      </c>
      <c r="CR371" s="3">
        <v>1214.6913631342161</v>
      </c>
      <c r="CS371" s="3">
        <v>1210.457930963162</v>
      </c>
      <c r="CU371" s="17" t="s">
        <v>2437</v>
      </c>
      <c r="CV371" s="3">
        <v>1494.6442716687261</v>
      </c>
      <c r="CW371" s="3">
        <v>1177.0750241412291</v>
      </c>
      <c r="CX371" s="3">
        <v>1284.475530209442</v>
      </c>
      <c r="CY371" s="3">
        <v>1279.9988868434359</v>
      </c>
      <c r="CZ371" s="3">
        <v>1275.5378454374161</v>
      </c>
      <c r="DA371" s="3">
        <v>1271.0923516155631</v>
      </c>
      <c r="DB371" s="3">
        <v>1266.662351191567</v>
      </c>
      <c r="DC371" s="3">
        <v>1262.2477901679661</v>
      </c>
      <c r="DD371" s="3">
        <v>1257.8486147354911</v>
      </c>
      <c r="DE371" s="3">
        <v>1253.46477127241</v>
      </c>
      <c r="DF371" s="3">
        <v>1249.096206343871</v>
      </c>
      <c r="DG371" s="3">
        <v>1244.7428667012539</v>
      </c>
      <c r="DH371" s="3">
        <v>1240.404699281519</v>
      </c>
      <c r="DI371" s="3">
        <v>1236.081651206561</v>
      </c>
      <c r="DJ371" s="3">
        <v>1231.773669782568</v>
      </c>
      <c r="DK371" s="3">
        <v>1227.4807024993729</v>
      </c>
      <c r="DL371" s="3">
        <v>1223.2026970298191</v>
      </c>
      <c r="DM371" s="3">
        <v>1218.939601229117</v>
      </c>
      <c r="DN371" s="3">
        <v>1214.6913631342161</v>
      </c>
      <c r="DO371" s="3">
        <v>1210.457930963162</v>
      </c>
    </row>
    <row r="372" spans="1:119" x14ac:dyDescent="0.45">
      <c r="A372" s="16" t="s">
        <v>2438</v>
      </c>
      <c r="B372" s="3" t="s">
        <v>89</v>
      </c>
      <c r="C372" s="16" t="s">
        <v>2439</v>
      </c>
      <c r="H372" s="3" t="s">
        <v>2440</v>
      </c>
      <c r="I372" s="3" t="s">
        <v>2363</v>
      </c>
      <c r="K372" s="17" t="s">
        <v>2441</v>
      </c>
      <c r="L372" s="3">
        <v>0</v>
      </c>
      <c r="M372" s="3">
        <v>0</v>
      </c>
      <c r="N372" s="3">
        <v>0</v>
      </c>
      <c r="O372" s="3">
        <v>0</v>
      </c>
      <c r="P372" s="3">
        <v>0</v>
      </c>
      <c r="Q372" s="3">
        <v>0</v>
      </c>
      <c r="R372" s="3">
        <v>0</v>
      </c>
      <c r="S372" s="3">
        <v>0</v>
      </c>
      <c r="T372" s="3">
        <v>0</v>
      </c>
      <c r="U372" s="3">
        <v>0</v>
      </c>
      <c r="V372" s="3">
        <v>0</v>
      </c>
      <c r="W372" s="3">
        <v>0</v>
      </c>
      <c r="X372" s="3">
        <v>0</v>
      </c>
      <c r="Y372" s="3">
        <v>0</v>
      </c>
      <c r="Z372" s="3">
        <v>0</v>
      </c>
      <c r="AA372" s="3">
        <v>0</v>
      </c>
      <c r="AB372" s="3">
        <v>0</v>
      </c>
      <c r="AC372" s="3">
        <v>0</v>
      </c>
      <c r="AD372" s="3">
        <v>0</v>
      </c>
      <c r="AE372" s="3">
        <v>0</v>
      </c>
      <c r="AG372" s="17" t="s">
        <v>2442</v>
      </c>
      <c r="AH372" s="3">
        <v>0</v>
      </c>
      <c r="AI372" s="3">
        <v>0</v>
      </c>
      <c r="AJ372" s="3">
        <v>0</v>
      </c>
      <c r="AK372" s="3">
        <v>0</v>
      </c>
      <c r="AL372" s="3">
        <v>0</v>
      </c>
      <c r="AM372" s="3">
        <v>0</v>
      </c>
      <c r="AN372" s="3">
        <v>0</v>
      </c>
      <c r="AO372" s="3">
        <v>0</v>
      </c>
      <c r="AP372" s="3">
        <v>0</v>
      </c>
      <c r="AQ372" s="3">
        <v>0</v>
      </c>
      <c r="AR372" s="3">
        <v>0</v>
      </c>
      <c r="AS372" s="3">
        <v>0</v>
      </c>
      <c r="AT372" s="3">
        <v>0</v>
      </c>
      <c r="AU372" s="3">
        <v>0</v>
      </c>
      <c r="AV372" s="3">
        <v>0</v>
      </c>
      <c r="AW372" s="3">
        <v>0</v>
      </c>
      <c r="AX372" s="3">
        <v>0</v>
      </c>
      <c r="AY372" s="3">
        <v>0</v>
      </c>
      <c r="AZ372" s="3">
        <v>0</v>
      </c>
      <c r="BA372" s="3">
        <v>0</v>
      </c>
      <c r="BC372" s="17" t="s">
        <v>2443</v>
      </c>
      <c r="BD372" s="3">
        <v>0</v>
      </c>
      <c r="BE372" s="3">
        <v>0</v>
      </c>
      <c r="BF372" s="3">
        <v>0</v>
      </c>
      <c r="BG372" s="3">
        <v>0</v>
      </c>
      <c r="BH372" s="3">
        <v>0</v>
      </c>
      <c r="BI372" s="3">
        <v>0</v>
      </c>
      <c r="BJ372" s="3">
        <v>0</v>
      </c>
      <c r="BK372" s="3">
        <v>0</v>
      </c>
      <c r="BL372" s="3">
        <v>0</v>
      </c>
      <c r="BM372" s="3">
        <v>0</v>
      </c>
      <c r="BN372" s="3">
        <v>0</v>
      </c>
      <c r="BO372" s="3">
        <v>0</v>
      </c>
      <c r="BP372" s="3">
        <v>0</v>
      </c>
      <c r="BQ372" s="3">
        <v>0</v>
      </c>
      <c r="BR372" s="3">
        <v>0</v>
      </c>
      <c r="BS372" s="3">
        <v>0</v>
      </c>
      <c r="BT372" s="3">
        <v>0</v>
      </c>
      <c r="BU372" s="3">
        <v>0</v>
      </c>
      <c r="BV372" s="3">
        <v>0</v>
      </c>
      <c r="BW372" s="3">
        <v>0</v>
      </c>
      <c r="BY372" s="17" t="s">
        <v>2444</v>
      </c>
      <c r="BZ372" s="3">
        <v>0</v>
      </c>
      <c r="CA372" s="3">
        <v>0</v>
      </c>
      <c r="CB372" s="3">
        <v>0</v>
      </c>
      <c r="CC372" s="3">
        <v>0</v>
      </c>
      <c r="CD372" s="3">
        <v>0</v>
      </c>
      <c r="CE372" s="3">
        <v>0</v>
      </c>
      <c r="CF372" s="3">
        <v>0</v>
      </c>
      <c r="CG372" s="3">
        <v>0</v>
      </c>
      <c r="CH372" s="3">
        <v>0</v>
      </c>
      <c r="CI372" s="3">
        <v>0</v>
      </c>
      <c r="CJ372" s="3">
        <v>0</v>
      </c>
      <c r="CK372" s="3">
        <v>0</v>
      </c>
      <c r="CL372" s="3">
        <v>0</v>
      </c>
      <c r="CM372" s="3">
        <v>0</v>
      </c>
      <c r="CN372" s="3">
        <v>0</v>
      </c>
      <c r="CO372" s="3">
        <v>0</v>
      </c>
      <c r="CP372" s="3">
        <v>0</v>
      </c>
      <c r="CQ372" s="3">
        <v>0</v>
      </c>
      <c r="CR372" s="3">
        <v>0</v>
      </c>
      <c r="CS372" s="3">
        <v>0</v>
      </c>
      <c r="CU372" s="17" t="s">
        <v>2445</v>
      </c>
      <c r="CV372" s="3">
        <v>0</v>
      </c>
      <c r="CW372" s="3">
        <v>0</v>
      </c>
      <c r="CX372" s="3">
        <v>0</v>
      </c>
      <c r="CY372" s="3">
        <v>0</v>
      </c>
      <c r="CZ372" s="3">
        <v>0</v>
      </c>
      <c r="DA372" s="3">
        <v>0</v>
      </c>
      <c r="DB372" s="3">
        <v>0</v>
      </c>
      <c r="DC372" s="3">
        <v>0</v>
      </c>
      <c r="DD372" s="3">
        <v>0</v>
      </c>
      <c r="DE372" s="3">
        <v>0</v>
      </c>
      <c r="DF372" s="3">
        <v>0</v>
      </c>
      <c r="DG372" s="3">
        <v>0</v>
      </c>
      <c r="DH372" s="3">
        <v>0</v>
      </c>
      <c r="DI372" s="3">
        <v>0</v>
      </c>
      <c r="DJ372" s="3">
        <v>0</v>
      </c>
      <c r="DK372" s="3">
        <v>0</v>
      </c>
      <c r="DL372" s="3">
        <v>0</v>
      </c>
      <c r="DM372" s="3">
        <v>0</v>
      </c>
      <c r="DN372" s="3">
        <v>0</v>
      </c>
      <c r="DO372" s="3">
        <v>0</v>
      </c>
    </row>
    <row r="373" spans="1:119" x14ac:dyDescent="0.45">
      <c r="A373" s="16" t="s">
        <v>2446</v>
      </c>
      <c r="B373" s="3" t="s">
        <v>89</v>
      </c>
      <c r="C373" s="16" t="s">
        <v>2447</v>
      </c>
      <c r="H373" s="3" t="s">
        <v>2448</v>
      </c>
      <c r="I373" s="3" t="s">
        <v>2363</v>
      </c>
      <c r="K373" s="17" t="s">
        <v>2449</v>
      </c>
      <c r="L373" s="3">
        <v>0</v>
      </c>
      <c r="M373" s="3">
        <v>0</v>
      </c>
      <c r="N373" s="3">
        <v>0</v>
      </c>
      <c r="O373" s="3">
        <v>0</v>
      </c>
      <c r="P373" s="3">
        <v>0</v>
      </c>
      <c r="Q373" s="3">
        <v>0</v>
      </c>
      <c r="R373" s="3">
        <v>0</v>
      </c>
      <c r="S373" s="3">
        <v>0</v>
      </c>
      <c r="T373" s="3">
        <v>0</v>
      </c>
      <c r="U373" s="3">
        <v>0</v>
      </c>
      <c r="V373" s="3">
        <v>0</v>
      </c>
      <c r="W373" s="3">
        <v>0</v>
      </c>
      <c r="X373" s="3">
        <v>0</v>
      </c>
      <c r="Y373" s="3">
        <v>0</v>
      </c>
      <c r="Z373" s="3">
        <v>0</v>
      </c>
      <c r="AA373" s="3">
        <v>0</v>
      </c>
      <c r="AB373" s="3">
        <v>0</v>
      </c>
      <c r="AC373" s="3">
        <v>0</v>
      </c>
      <c r="AD373" s="3">
        <v>0</v>
      </c>
      <c r="AE373" s="3">
        <v>0</v>
      </c>
      <c r="AG373" s="17" t="s">
        <v>2450</v>
      </c>
      <c r="AH373" s="3">
        <v>0</v>
      </c>
      <c r="AI373" s="3">
        <v>0</v>
      </c>
      <c r="AJ373" s="3">
        <v>0</v>
      </c>
      <c r="AK373" s="3">
        <v>0</v>
      </c>
      <c r="AL373" s="3">
        <v>0</v>
      </c>
      <c r="AM373" s="3">
        <v>0</v>
      </c>
      <c r="AN373" s="3">
        <v>0</v>
      </c>
      <c r="AO373" s="3">
        <v>0</v>
      </c>
      <c r="AP373" s="3">
        <v>0</v>
      </c>
      <c r="AQ373" s="3">
        <v>0</v>
      </c>
      <c r="AR373" s="3">
        <v>0</v>
      </c>
      <c r="AS373" s="3">
        <v>0</v>
      </c>
      <c r="AT373" s="3">
        <v>0</v>
      </c>
      <c r="AU373" s="3">
        <v>0</v>
      </c>
      <c r="AV373" s="3">
        <v>0</v>
      </c>
      <c r="AW373" s="3">
        <v>0</v>
      </c>
      <c r="AX373" s="3">
        <v>0</v>
      </c>
      <c r="AY373" s="3">
        <v>0</v>
      </c>
      <c r="AZ373" s="3">
        <v>0</v>
      </c>
      <c r="BA373" s="3">
        <v>0</v>
      </c>
      <c r="BC373" s="17" t="s">
        <v>2451</v>
      </c>
      <c r="BD373" s="3">
        <v>0</v>
      </c>
      <c r="BE373" s="3">
        <v>0</v>
      </c>
      <c r="BF373" s="3">
        <v>0</v>
      </c>
      <c r="BG373" s="3">
        <v>0</v>
      </c>
      <c r="BH373" s="3">
        <v>0</v>
      </c>
      <c r="BI373" s="3">
        <v>0</v>
      </c>
      <c r="BJ373" s="3">
        <v>0</v>
      </c>
      <c r="BK373" s="3">
        <v>0</v>
      </c>
      <c r="BL373" s="3">
        <v>0</v>
      </c>
      <c r="BM373" s="3">
        <v>0</v>
      </c>
      <c r="BN373" s="3">
        <v>0</v>
      </c>
      <c r="BO373" s="3">
        <v>0</v>
      </c>
      <c r="BP373" s="3">
        <v>0</v>
      </c>
      <c r="BQ373" s="3">
        <v>0</v>
      </c>
      <c r="BR373" s="3">
        <v>0</v>
      </c>
      <c r="BS373" s="3">
        <v>0</v>
      </c>
      <c r="BT373" s="3">
        <v>0</v>
      </c>
      <c r="BU373" s="3">
        <v>0</v>
      </c>
      <c r="BV373" s="3">
        <v>0</v>
      </c>
      <c r="BW373" s="3">
        <v>0</v>
      </c>
      <c r="BY373" s="17" t="s">
        <v>2452</v>
      </c>
      <c r="BZ373" s="3">
        <v>0</v>
      </c>
      <c r="CA373" s="3">
        <v>0</v>
      </c>
      <c r="CB373" s="3">
        <v>0</v>
      </c>
      <c r="CC373" s="3">
        <v>0</v>
      </c>
      <c r="CD373" s="3">
        <v>0</v>
      </c>
      <c r="CE373" s="3">
        <v>0</v>
      </c>
      <c r="CF373" s="3">
        <v>0</v>
      </c>
      <c r="CG373" s="3">
        <v>0</v>
      </c>
      <c r="CH373" s="3">
        <v>0</v>
      </c>
      <c r="CI373" s="3">
        <v>0</v>
      </c>
      <c r="CJ373" s="3">
        <v>0</v>
      </c>
      <c r="CK373" s="3">
        <v>0</v>
      </c>
      <c r="CL373" s="3">
        <v>0</v>
      </c>
      <c r="CM373" s="3">
        <v>0</v>
      </c>
      <c r="CN373" s="3">
        <v>0</v>
      </c>
      <c r="CO373" s="3">
        <v>0</v>
      </c>
      <c r="CP373" s="3">
        <v>0</v>
      </c>
      <c r="CQ373" s="3">
        <v>0</v>
      </c>
      <c r="CR373" s="3">
        <v>0</v>
      </c>
      <c r="CS373" s="3">
        <v>0</v>
      </c>
      <c r="CU373" s="17" t="s">
        <v>2453</v>
      </c>
      <c r="CV373" s="3">
        <v>0</v>
      </c>
      <c r="CW373" s="3">
        <v>0</v>
      </c>
      <c r="CX373" s="3">
        <v>0</v>
      </c>
      <c r="CY373" s="3">
        <v>0</v>
      </c>
      <c r="CZ373" s="3">
        <v>0</v>
      </c>
      <c r="DA373" s="3">
        <v>0</v>
      </c>
      <c r="DB373" s="3">
        <v>0</v>
      </c>
      <c r="DC373" s="3">
        <v>0</v>
      </c>
      <c r="DD373" s="3">
        <v>0</v>
      </c>
      <c r="DE373" s="3">
        <v>0</v>
      </c>
      <c r="DF373" s="3">
        <v>0</v>
      </c>
      <c r="DG373" s="3">
        <v>0</v>
      </c>
      <c r="DH373" s="3">
        <v>0</v>
      </c>
      <c r="DI373" s="3">
        <v>0</v>
      </c>
      <c r="DJ373" s="3">
        <v>0</v>
      </c>
      <c r="DK373" s="3">
        <v>0</v>
      </c>
      <c r="DL373" s="3">
        <v>0</v>
      </c>
      <c r="DM373" s="3">
        <v>0</v>
      </c>
      <c r="DN373" s="3">
        <v>0</v>
      </c>
      <c r="DO373" s="3">
        <v>0</v>
      </c>
    </row>
    <row r="374" spans="1:119" x14ac:dyDescent="0.45">
      <c r="A374" s="16" t="s">
        <v>2454</v>
      </c>
      <c r="B374" s="3" t="s">
        <v>89</v>
      </c>
      <c r="C374" s="16" t="s">
        <v>2455</v>
      </c>
      <c r="H374" s="3" t="s">
        <v>2456</v>
      </c>
      <c r="I374" s="3" t="s">
        <v>2363</v>
      </c>
      <c r="K374" s="17" t="s">
        <v>2457</v>
      </c>
      <c r="L374" s="3">
        <v>1.644886914655364</v>
      </c>
      <c r="M374" s="3">
        <v>1.6773504215827331</v>
      </c>
      <c r="N374" s="3">
        <v>1.909655286875112</v>
      </c>
      <c r="O374" s="3">
        <v>2.0264341432854569</v>
      </c>
      <c r="P374" s="3">
        <v>1.988566367725465</v>
      </c>
      <c r="Q374" s="3">
        <v>1.9976358166174311</v>
      </c>
      <c r="R374" s="3">
        <v>2.0287042146379921</v>
      </c>
      <c r="S374" s="3">
        <v>2.0585714589377622</v>
      </c>
      <c r="T374" s="3">
        <v>2.0868155635115402</v>
      </c>
      <c r="U374" s="3">
        <v>2.1147475012572539</v>
      </c>
      <c r="V374" s="3">
        <v>2.1356946500102811</v>
      </c>
      <c r="W374" s="3">
        <v>2.156462047750408</v>
      </c>
      <c r="X374" s="3">
        <v>2.1770468353672281</v>
      </c>
      <c r="Y374" s="3">
        <v>2.1974462889357138</v>
      </c>
      <c r="Z374" s="3">
        <v>2.2176578079528029</v>
      </c>
      <c r="AA374" s="3">
        <v>2.2376789036218452</v>
      </c>
      <c r="AB374" s="3">
        <v>2.2575071872037751</v>
      </c>
      <c r="AC374" s="3">
        <v>2.2771403584505152</v>
      </c>
      <c r="AD374" s="3">
        <v>2.2965761941330101</v>
      </c>
      <c r="AE374" s="3">
        <v>2.3158125366734779</v>
      </c>
      <c r="AG374" s="17" t="s">
        <v>2458</v>
      </c>
      <c r="AH374" s="3">
        <v>1.644886914655364</v>
      </c>
      <c r="AI374" s="3">
        <v>1.6773504215827331</v>
      </c>
      <c r="AJ374" s="3">
        <v>1.909655286875112</v>
      </c>
      <c r="AK374" s="3">
        <v>2.0264341432854569</v>
      </c>
      <c r="AL374" s="3">
        <v>1.988566367725465</v>
      </c>
      <c r="AM374" s="3">
        <v>1.840386416799157</v>
      </c>
      <c r="AN374" s="3">
        <v>1.8682949751700599</v>
      </c>
      <c r="AO374" s="3">
        <v>1.8953464661385679</v>
      </c>
      <c r="AP374" s="3">
        <v>1.9197400635962401</v>
      </c>
      <c r="AQ374" s="3">
        <v>1.9447175342335401</v>
      </c>
      <c r="AR374" s="3">
        <v>1.9636756019499191</v>
      </c>
      <c r="AS374" s="3">
        <v>1.9831735035845239</v>
      </c>
      <c r="AT374" s="3">
        <v>2.0028349831085448</v>
      </c>
      <c r="AU374" s="3">
        <v>2.02216309895093</v>
      </c>
      <c r="AV374" s="3">
        <v>2.0414566590885102</v>
      </c>
      <c r="AW374" s="3">
        <v>2.060900153536243</v>
      </c>
      <c r="AX374" s="3">
        <v>2.0798533005874829</v>
      </c>
      <c r="AY374" s="3">
        <v>2.0984582464746162</v>
      </c>
      <c r="AZ374" s="3">
        <v>2.1164978138479169</v>
      </c>
      <c r="BA374" s="3">
        <v>2.1342451195300929</v>
      </c>
      <c r="BC374" s="17" t="s">
        <v>2459</v>
      </c>
      <c r="BD374" s="3">
        <v>1.644886914655364</v>
      </c>
      <c r="BE374" s="3">
        <v>1.6773504215827331</v>
      </c>
      <c r="BF374" s="3">
        <v>1.909655286875112</v>
      </c>
      <c r="BG374" s="3">
        <v>2.0264341432854569</v>
      </c>
      <c r="BH374" s="3">
        <v>1.988566367725465</v>
      </c>
      <c r="BI374" s="3">
        <v>1.914626343267692</v>
      </c>
      <c r="BJ374" s="3">
        <v>1.8447930582731129</v>
      </c>
      <c r="BK374" s="3">
        <v>1.7831048103260621</v>
      </c>
      <c r="BL374" s="3">
        <v>1.7270002573182459</v>
      </c>
      <c r="BM374" s="3">
        <v>1.6769430165354651</v>
      </c>
      <c r="BN374" s="3">
        <v>1.6286439266574659</v>
      </c>
      <c r="BO374" s="3">
        <v>1.5855564036981049</v>
      </c>
      <c r="BP374" s="3">
        <v>1.5470527949974411</v>
      </c>
      <c r="BQ374" s="3">
        <v>1.5123600032424569</v>
      </c>
      <c r="BR374" s="3">
        <v>1.480946379996688</v>
      </c>
      <c r="BS374" s="3">
        <v>1.452476257000759</v>
      </c>
      <c r="BT374" s="3">
        <v>1.4264561983841999</v>
      </c>
      <c r="BU374" s="3">
        <v>1.4025115819489671</v>
      </c>
      <c r="BV374" s="3">
        <v>1.3802209443864819</v>
      </c>
      <c r="BW374" s="3">
        <v>1.359353514195736</v>
      </c>
      <c r="BY374" s="17" t="s">
        <v>2460</v>
      </c>
      <c r="BZ374" s="3">
        <v>1.644886914655364</v>
      </c>
      <c r="CA374" s="3">
        <v>1.6773504215827331</v>
      </c>
      <c r="CB374" s="3">
        <v>1.909655286875112</v>
      </c>
      <c r="CC374" s="3">
        <v>2.0264341432854569</v>
      </c>
      <c r="CD374" s="3">
        <v>1.988566367725465</v>
      </c>
      <c r="CE374" s="3">
        <v>1.8060993411310631</v>
      </c>
      <c r="CF374" s="3">
        <v>1.8333403119921841</v>
      </c>
      <c r="CG374" s="3">
        <v>1.8596761379034561</v>
      </c>
      <c r="CH374" s="3">
        <v>1.883479312854422</v>
      </c>
      <c r="CI374" s="3">
        <v>1.907956816829304</v>
      </c>
      <c r="CJ374" s="3">
        <v>1.926519283945906</v>
      </c>
      <c r="CK374" s="3">
        <v>1.945697076418657</v>
      </c>
      <c r="CL374" s="3">
        <v>1.964744568806184</v>
      </c>
      <c r="CM374" s="3">
        <v>1.983518702770152</v>
      </c>
      <c r="CN374" s="3">
        <v>2.0022547044295909</v>
      </c>
      <c r="CO374" s="3">
        <v>2.021058012949164</v>
      </c>
      <c r="CP374" s="3">
        <v>2.0394057743134191</v>
      </c>
      <c r="CQ374" s="3">
        <v>2.0575152557622141</v>
      </c>
      <c r="CR374" s="3">
        <v>2.075149877662295</v>
      </c>
      <c r="CS374" s="3">
        <v>2.0926391000346638</v>
      </c>
      <c r="CU374" s="17" t="s">
        <v>2461</v>
      </c>
      <c r="CV374" s="3">
        <v>1.644886914655364</v>
      </c>
      <c r="CW374" s="3">
        <v>1.6773504215827331</v>
      </c>
      <c r="CX374" s="3">
        <v>1.909655286875112</v>
      </c>
      <c r="CY374" s="3">
        <v>2.0264341432854569</v>
      </c>
      <c r="CZ374" s="3">
        <v>1.988566367725465</v>
      </c>
      <c r="DA374" s="3">
        <v>1.657523867494638</v>
      </c>
      <c r="DB374" s="3">
        <v>1.681960767119653</v>
      </c>
      <c r="DC374" s="3">
        <v>1.7058872563950469</v>
      </c>
      <c r="DD374" s="3">
        <v>1.726210963235207</v>
      </c>
      <c r="DE374" s="3">
        <v>1.7480466329539111</v>
      </c>
      <c r="DF374" s="3">
        <v>1.764725375473386</v>
      </c>
      <c r="DG374" s="3">
        <v>1.7827082154701199</v>
      </c>
      <c r="DH374" s="3">
        <v>1.801074183197146</v>
      </c>
      <c r="DI374" s="3">
        <v>1.8190108063705359</v>
      </c>
      <c r="DJ374" s="3">
        <v>1.8370453065073109</v>
      </c>
      <c r="DK374" s="3">
        <v>1.8555466914399921</v>
      </c>
      <c r="DL374" s="3">
        <v>1.873271324574237</v>
      </c>
      <c r="DM374" s="3">
        <v>1.8905492164102471</v>
      </c>
      <c r="DN374" s="3">
        <v>1.9069341707123151</v>
      </c>
      <c r="DO374" s="3">
        <v>1.9229721476403649</v>
      </c>
    </row>
    <row r="375" spans="1:119" x14ac:dyDescent="0.45">
      <c r="A375" s="16" t="s">
        <v>2462</v>
      </c>
      <c r="B375" s="3" t="s">
        <v>89</v>
      </c>
      <c r="C375" s="16" t="s">
        <v>2463</v>
      </c>
      <c r="H375" s="3" t="s">
        <v>2464</v>
      </c>
      <c r="I375" s="3" t="s">
        <v>2363</v>
      </c>
      <c r="K375" s="17" t="s">
        <v>2465</v>
      </c>
      <c r="L375" s="3">
        <v>1648.501646384037</v>
      </c>
      <c r="M375" s="3">
        <v>1531.1093138672759</v>
      </c>
      <c r="N375" s="3">
        <v>1837.968666472191</v>
      </c>
      <c r="O375" s="3">
        <v>1989.7107198621909</v>
      </c>
      <c r="P375" s="3">
        <v>1956.279118884991</v>
      </c>
      <c r="Q375" s="3">
        <v>1981.1380560273481</v>
      </c>
      <c r="R375" s="3">
        <v>2034.8745597871759</v>
      </c>
      <c r="S375" s="3">
        <v>2087.0214389116841</v>
      </c>
      <c r="T375" s="3">
        <v>2136.768545232931</v>
      </c>
      <c r="U375" s="3">
        <v>2186.6022724280979</v>
      </c>
      <c r="V375" s="3">
        <v>2227.9991596239188</v>
      </c>
      <c r="W375" s="3">
        <v>2269.5005067960001</v>
      </c>
      <c r="X375" s="3">
        <v>2311.0944847519349</v>
      </c>
      <c r="Y375" s="3">
        <v>2352.7693685472691</v>
      </c>
      <c r="Z375" s="3">
        <v>2394.513527555941</v>
      </c>
      <c r="AA375" s="3">
        <v>2436.3154144748428</v>
      </c>
      <c r="AB375" s="3">
        <v>2478.163553317152</v>
      </c>
      <c r="AC375" s="3">
        <v>2520.0465264456702</v>
      </c>
      <c r="AD375" s="3">
        <v>2561.952960693864</v>
      </c>
      <c r="AE375" s="3">
        <v>2603.8715126187908</v>
      </c>
      <c r="AG375" s="17" t="s">
        <v>2466</v>
      </c>
      <c r="AH375" s="3">
        <v>1648.501646384037</v>
      </c>
      <c r="AI375" s="3">
        <v>1531.1093138672759</v>
      </c>
      <c r="AJ375" s="3">
        <v>1837.968666472191</v>
      </c>
      <c r="AK375" s="3">
        <v>1989.7107198621909</v>
      </c>
      <c r="AL375" s="3">
        <v>1956.279118884991</v>
      </c>
      <c r="AM375" s="3">
        <v>1723.2852567263569</v>
      </c>
      <c r="AN375" s="3">
        <v>1768.6878356528521</v>
      </c>
      <c r="AO375" s="3">
        <v>1813.0504649463239</v>
      </c>
      <c r="AP375" s="3">
        <v>1853.40705216528</v>
      </c>
      <c r="AQ375" s="3">
        <v>1895.196476510931</v>
      </c>
      <c r="AR375" s="3">
        <v>1930.5768440043289</v>
      </c>
      <c r="AS375" s="3">
        <v>1967.204610522796</v>
      </c>
      <c r="AT375" s="3">
        <v>2004.477216779233</v>
      </c>
      <c r="AU375" s="3">
        <v>2041.567016301693</v>
      </c>
      <c r="AV375" s="3">
        <v>2078.96785653902</v>
      </c>
      <c r="AW375" s="3">
        <v>2116.9954077046668</v>
      </c>
      <c r="AX375" s="3">
        <v>2154.5520895752688</v>
      </c>
      <c r="AY375" s="3">
        <v>2191.8653685441318</v>
      </c>
      <c r="AZ375" s="3">
        <v>2228.540460801828</v>
      </c>
      <c r="BA375" s="3">
        <v>2265.037901115506</v>
      </c>
      <c r="BC375" s="17" t="s">
        <v>2467</v>
      </c>
      <c r="BD375" s="3">
        <v>1648.501646384037</v>
      </c>
      <c r="BE375" s="3">
        <v>1531.1093138672759</v>
      </c>
      <c r="BF375" s="3">
        <v>1837.968666472191</v>
      </c>
      <c r="BG375" s="3">
        <v>1989.7107198621909</v>
      </c>
      <c r="BH375" s="3">
        <v>1956.279118884991</v>
      </c>
      <c r="BI375" s="3">
        <v>1810.3230097818191</v>
      </c>
      <c r="BJ375" s="3">
        <v>1678.466266555989</v>
      </c>
      <c r="BK375" s="3">
        <v>1577.037671217601</v>
      </c>
      <c r="BL375" s="3">
        <v>1494.4444136026029</v>
      </c>
      <c r="BM375" s="3">
        <v>1443.740199027992</v>
      </c>
      <c r="BN375" s="3">
        <v>1397.9624579666429</v>
      </c>
      <c r="BO375" s="3">
        <v>1359.1170388275179</v>
      </c>
      <c r="BP375" s="3">
        <v>1326.117738246661</v>
      </c>
      <c r="BQ375" s="3">
        <v>1297.773750878212</v>
      </c>
      <c r="BR375" s="3">
        <v>1273.2991808667</v>
      </c>
      <c r="BS375" s="3">
        <v>1252.223396713995</v>
      </c>
      <c r="BT375" s="3">
        <v>1233.8686919850441</v>
      </c>
      <c r="BU375" s="3">
        <v>1217.7361257979101</v>
      </c>
      <c r="BV375" s="3">
        <v>1203.260529646456</v>
      </c>
      <c r="BW375" s="3">
        <v>1190.150856626243</v>
      </c>
      <c r="BY375" s="17" t="s">
        <v>2468</v>
      </c>
      <c r="BZ375" s="3">
        <v>1648.501646384037</v>
      </c>
      <c r="CA375" s="3">
        <v>1531.1093138672759</v>
      </c>
      <c r="CB375" s="3">
        <v>1837.968666472191</v>
      </c>
      <c r="CC375" s="3">
        <v>1989.7107198621909</v>
      </c>
      <c r="CD375" s="3">
        <v>1956.279118884991</v>
      </c>
      <c r="CE375" s="3">
        <v>1787.829634307446</v>
      </c>
      <c r="CF375" s="3">
        <v>1778.3180435846309</v>
      </c>
      <c r="CG375" s="3">
        <v>1770.92323691447</v>
      </c>
      <c r="CH375" s="3">
        <v>1762.618358053003</v>
      </c>
      <c r="CI375" s="3">
        <v>1758.815025472047</v>
      </c>
      <c r="CJ375" s="3">
        <v>1751.2665473770451</v>
      </c>
      <c r="CK375" s="3">
        <v>1746.1127233509969</v>
      </c>
      <c r="CL375" s="3">
        <v>1742.7807233221699</v>
      </c>
      <c r="CM375" s="3">
        <v>1740.479349642314</v>
      </c>
      <c r="CN375" s="3">
        <v>1756.277429795286</v>
      </c>
      <c r="CO375" s="3">
        <v>1772.1103652476629</v>
      </c>
      <c r="CP375" s="3">
        <v>1787.391069657973</v>
      </c>
      <c r="CQ375" s="3">
        <v>1802.4237966526609</v>
      </c>
      <c r="CR375" s="3">
        <v>1816.767778402542</v>
      </c>
      <c r="CS375" s="3">
        <v>1830.891642305907</v>
      </c>
      <c r="CU375" s="17" t="s">
        <v>2469</v>
      </c>
      <c r="CV375" s="3">
        <v>1648.501646384037</v>
      </c>
      <c r="CW375" s="3">
        <v>1531.1093138672759</v>
      </c>
      <c r="CX375" s="3">
        <v>1837.968666472191</v>
      </c>
      <c r="CY375" s="3">
        <v>1989.7107198621909</v>
      </c>
      <c r="CZ375" s="3">
        <v>1956.279118884991</v>
      </c>
      <c r="DA375" s="3">
        <v>1466.6296651034011</v>
      </c>
      <c r="DB375" s="3">
        <v>1504.2536758150841</v>
      </c>
      <c r="DC375" s="3">
        <v>1541.3676464852219</v>
      </c>
      <c r="DD375" s="3">
        <v>1573.227091715494</v>
      </c>
      <c r="DE375" s="3">
        <v>1607.771169957402</v>
      </c>
      <c r="DF375" s="3">
        <v>1637.2258492809431</v>
      </c>
      <c r="DG375" s="3">
        <v>1669.0063174852271</v>
      </c>
      <c r="DH375" s="3">
        <v>1701.71842567258</v>
      </c>
      <c r="DI375" s="3">
        <v>1734.08877466595</v>
      </c>
      <c r="DJ375" s="3">
        <v>1766.945425930385</v>
      </c>
      <c r="DK375" s="3">
        <v>1800.8905994591321</v>
      </c>
      <c r="DL375" s="3">
        <v>1833.916213345884</v>
      </c>
      <c r="DM375" s="3">
        <v>1866.5336476297621</v>
      </c>
      <c r="DN375" s="3">
        <v>1897.985284127466</v>
      </c>
      <c r="DO375" s="3">
        <v>1929.149232688902</v>
      </c>
    </row>
    <row r="376" spans="1:119" x14ac:dyDescent="0.45">
      <c r="A376" s="16" t="s">
        <v>2470</v>
      </c>
      <c r="B376" s="3" t="s">
        <v>89</v>
      </c>
      <c r="C376" s="16" t="s">
        <v>2471</v>
      </c>
      <c r="H376" s="3" t="s">
        <v>2472</v>
      </c>
      <c r="I376" s="3" t="s">
        <v>2363</v>
      </c>
      <c r="K376" s="17" t="s">
        <v>2473</v>
      </c>
      <c r="L376" s="3">
        <v>0</v>
      </c>
      <c r="M376" s="3">
        <v>0</v>
      </c>
      <c r="N376" s="3">
        <v>0</v>
      </c>
      <c r="O376" s="3">
        <v>0</v>
      </c>
      <c r="P376" s="3">
        <v>0</v>
      </c>
      <c r="Q376" s="3">
        <v>0</v>
      </c>
      <c r="R376" s="3">
        <v>0</v>
      </c>
      <c r="S376" s="3">
        <v>0</v>
      </c>
      <c r="T376" s="3">
        <v>0</v>
      </c>
      <c r="U376" s="3">
        <v>0</v>
      </c>
      <c r="V376" s="3">
        <v>0</v>
      </c>
      <c r="W376" s="3">
        <v>0</v>
      </c>
      <c r="X376" s="3">
        <v>0</v>
      </c>
      <c r="Y376" s="3">
        <v>0</v>
      </c>
      <c r="Z376" s="3">
        <v>0</v>
      </c>
      <c r="AA376" s="3">
        <v>0</v>
      </c>
      <c r="AB376" s="3">
        <v>0</v>
      </c>
      <c r="AC376" s="3">
        <v>0</v>
      </c>
      <c r="AD376" s="3">
        <v>0</v>
      </c>
      <c r="AE376" s="3">
        <v>0</v>
      </c>
      <c r="AG376" s="17" t="s">
        <v>2474</v>
      </c>
      <c r="AH376" s="3">
        <v>0</v>
      </c>
      <c r="AI376" s="3">
        <v>0</v>
      </c>
      <c r="AJ376" s="3">
        <v>0</v>
      </c>
      <c r="AK376" s="3">
        <v>0</v>
      </c>
      <c r="AL376" s="3">
        <v>0</v>
      </c>
      <c r="AM376" s="3">
        <v>0</v>
      </c>
      <c r="AN376" s="3">
        <v>0</v>
      </c>
      <c r="AO376" s="3">
        <v>0</v>
      </c>
      <c r="AP376" s="3">
        <v>0</v>
      </c>
      <c r="AQ376" s="3">
        <v>0</v>
      </c>
      <c r="AR376" s="3">
        <v>0</v>
      </c>
      <c r="AS376" s="3">
        <v>0</v>
      </c>
      <c r="AT376" s="3">
        <v>0</v>
      </c>
      <c r="AU376" s="3">
        <v>0</v>
      </c>
      <c r="AV376" s="3">
        <v>0</v>
      </c>
      <c r="AW376" s="3">
        <v>0</v>
      </c>
      <c r="AX376" s="3">
        <v>0</v>
      </c>
      <c r="AY376" s="3">
        <v>0</v>
      </c>
      <c r="AZ376" s="3">
        <v>0</v>
      </c>
      <c r="BA376" s="3">
        <v>0</v>
      </c>
      <c r="BC376" s="17" t="s">
        <v>2475</v>
      </c>
      <c r="BD376" s="3">
        <v>0</v>
      </c>
      <c r="BE376" s="3">
        <v>0</v>
      </c>
      <c r="BF376" s="3">
        <v>0</v>
      </c>
      <c r="BG376" s="3">
        <v>0</v>
      </c>
      <c r="BH376" s="3">
        <v>0</v>
      </c>
      <c r="BI376" s="3">
        <v>0</v>
      </c>
      <c r="BJ376" s="3">
        <v>0</v>
      </c>
      <c r="BK376" s="3">
        <v>0</v>
      </c>
      <c r="BL376" s="3">
        <v>0</v>
      </c>
      <c r="BM376" s="3">
        <v>0</v>
      </c>
      <c r="BN376" s="3">
        <v>0</v>
      </c>
      <c r="BO376" s="3">
        <v>0</v>
      </c>
      <c r="BP376" s="3">
        <v>0</v>
      </c>
      <c r="BQ376" s="3">
        <v>0</v>
      </c>
      <c r="BR376" s="3">
        <v>0</v>
      </c>
      <c r="BS376" s="3">
        <v>0</v>
      </c>
      <c r="BT376" s="3">
        <v>0</v>
      </c>
      <c r="BU376" s="3">
        <v>0</v>
      </c>
      <c r="BV376" s="3">
        <v>0</v>
      </c>
      <c r="BW376" s="3">
        <v>0</v>
      </c>
      <c r="BY376" s="17" t="s">
        <v>2476</v>
      </c>
      <c r="BZ376" s="3">
        <v>0</v>
      </c>
      <c r="CA376" s="3">
        <v>0</v>
      </c>
      <c r="CB376" s="3">
        <v>0</v>
      </c>
      <c r="CC376" s="3">
        <v>0</v>
      </c>
      <c r="CD376" s="3">
        <v>0</v>
      </c>
      <c r="CE376" s="3">
        <v>0</v>
      </c>
      <c r="CF376" s="3">
        <v>0</v>
      </c>
      <c r="CG376" s="3">
        <v>0</v>
      </c>
      <c r="CH376" s="3">
        <v>0</v>
      </c>
      <c r="CI376" s="3">
        <v>0</v>
      </c>
      <c r="CJ376" s="3">
        <v>0</v>
      </c>
      <c r="CK376" s="3">
        <v>0</v>
      </c>
      <c r="CL376" s="3">
        <v>0</v>
      </c>
      <c r="CM376" s="3">
        <v>0</v>
      </c>
      <c r="CN376" s="3">
        <v>0</v>
      </c>
      <c r="CO376" s="3">
        <v>0</v>
      </c>
      <c r="CP376" s="3">
        <v>0</v>
      </c>
      <c r="CQ376" s="3">
        <v>0</v>
      </c>
      <c r="CR376" s="3">
        <v>0</v>
      </c>
      <c r="CS376" s="3">
        <v>0</v>
      </c>
      <c r="CU376" s="17" t="s">
        <v>2477</v>
      </c>
      <c r="CV376" s="3">
        <v>0</v>
      </c>
      <c r="CW376" s="3">
        <v>0</v>
      </c>
      <c r="CX376" s="3">
        <v>0</v>
      </c>
      <c r="CY376" s="3">
        <v>0</v>
      </c>
      <c r="CZ376" s="3">
        <v>0</v>
      </c>
      <c r="DA376" s="3">
        <v>0</v>
      </c>
      <c r="DB376" s="3">
        <v>0</v>
      </c>
      <c r="DC376" s="3">
        <v>0</v>
      </c>
      <c r="DD376" s="3">
        <v>0</v>
      </c>
      <c r="DE376" s="3">
        <v>0</v>
      </c>
      <c r="DF376" s="3">
        <v>0</v>
      </c>
      <c r="DG376" s="3">
        <v>0</v>
      </c>
      <c r="DH376" s="3">
        <v>0</v>
      </c>
      <c r="DI376" s="3">
        <v>0</v>
      </c>
      <c r="DJ376" s="3">
        <v>0</v>
      </c>
      <c r="DK376" s="3">
        <v>0</v>
      </c>
      <c r="DL376" s="3">
        <v>0</v>
      </c>
      <c r="DM376" s="3">
        <v>0</v>
      </c>
      <c r="DN376" s="3">
        <v>0</v>
      </c>
      <c r="DO376" s="3">
        <v>0</v>
      </c>
    </row>
    <row r="377" spans="1:119" x14ac:dyDescent="0.45">
      <c r="A377" s="16" t="s">
        <v>2478</v>
      </c>
      <c r="B377" s="3" t="s">
        <v>89</v>
      </c>
      <c r="C377" s="16" t="s">
        <v>2479</v>
      </c>
      <c r="H377" s="3" t="s">
        <v>2480</v>
      </c>
      <c r="I377" s="3" t="s">
        <v>2363</v>
      </c>
      <c r="K377" s="17" t="s">
        <v>2481</v>
      </c>
      <c r="L377" s="3">
        <v>28567.571438043051</v>
      </c>
      <c r="M377" s="3">
        <v>26971.086115167931</v>
      </c>
      <c r="N377" s="3">
        <v>31838.090486360499</v>
      </c>
      <c r="O377" s="3">
        <v>35182.434621844463</v>
      </c>
      <c r="P377" s="3">
        <v>35344.980147267168</v>
      </c>
      <c r="Q377" s="3">
        <v>35071.913084866159</v>
      </c>
      <c r="R377" s="3">
        <v>34774.622579097093</v>
      </c>
      <c r="S377" s="3">
        <v>34452.815554540022</v>
      </c>
      <c r="T377" s="3">
        <v>33535.304114003797</v>
      </c>
      <c r="U377" s="3">
        <v>33351.024835243341</v>
      </c>
      <c r="V377" s="3">
        <v>32983.624012966553</v>
      </c>
      <c r="W377" s="3">
        <v>33851.058314650807</v>
      </c>
      <c r="X377" s="3">
        <v>34426.47485757964</v>
      </c>
      <c r="Y377" s="3">
        <v>35193.159193386207</v>
      </c>
      <c r="Z377" s="3">
        <v>35949.268169071991</v>
      </c>
      <c r="AA377" s="3">
        <v>36720.686173395741</v>
      </c>
      <c r="AB377" s="3">
        <v>37501.323201308333</v>
      </c>
      <c r="AC377" s="3">
        <v>38292.665376815807</v>
      </c>
      <c r="AD377" s="3">
        <v>39100.201681504863</v>
      </c>
      <c r="AE377" s="3">
        <v>39925.96248980645</v>
      </c>
      <c r="AG377" s="17" t="s">
        <v>2482</v>
      </c>
      <c r="AH377" s="3">
        <v>28567.571438043051</v>
      </c>
      <c r="AI377" s="3">
        <v>26949.960531409779</v>
      </c>
      <c r="AJ377" s="3">
        <v>31817.741773037069</v>
      </c>
      <c r="AK377" s="3">
        <v>35162.838385831732</v>
      </c>
      <c r="AL377" s="3">
        <v>35325.33030813907</v>
      </c>
      <c r="AM377" s="3">
        <v>35051.705908908953</v>
      </c>
      <c r="AN377" s="3">
        <v>30444.35350507397</v>
      </c>
      <c r="AO377" s="3">
        <v>32908.219684298303</v>
      </c>
      <c r="AP377" s="3">
        <v>31697.921456863271</v>
      </c>
      <c r="AQ377" s="3">
        <v>32075.240235044261</v>
      </c>
      <c r="AR377" s="3">
        <v>31704.882133907409</v>
      </c>
      <c r="AS377" s="3">
        <v>32795.288466604041</v>
      </c>
      <c r="AT377" s="3">
        <v>33250.345979093458</v>
      </c>
      <c r="AU377" s="3">
        <v>34052.321661568618</v>
      </c>
      <c r="AV377" s="3">
        <v>34846.851059651497</v>
      </c>
      <c r="AW377" s="3">
        <v>35676.486418210727</v>
      </c>
      <c r="AX377" s="3">
        <v>36478.984823502818</v>
      </c>
      <c r="AY377" s="3">
        <v>37283.262795574148</v>
      </c>
      <c r="AZ377" s="3">
        <v>38058.866187139247</v>
      </c>
      <c r="BA377" s="3">
        <v>38845.08848200849</v>
      </c>
      <c r="BC377" s="17" t="s">
        <v>2483</v>
      </c>
      <c r="BD377" s="3">
        <v>28567.571438043051</v>
      </c>
      <c r="BE377" s="3">
        <v>26897.088258381678</v>
      </c>
      <c r="BF377" s="3">
        <v>31766.81020106058</v>
      </c>
      <c r="BG377" s="3">
        <v>35113.786487987963</v>
      </c>
      <c r="BH377" s="3">
        <v>35276.273649560957</v>
      </c>
      <c r="BI377" s="3">
        <v>35001.383862436327</v>
      </c>
      <c r="BJ377" s="3">
        <v>32410.01402262253</v>
      </c>
      <c r="BK377" s="3">
        <v>30304.29254394606</v>
      </c>
      <c r="BL377" s="3">
        <v>29581.30434212555</v>
      </c>
      <c r="BM377" s="3">
        <v>29484.125689020071</v>
      </c>
      <c r="BN377" s="3">
        <v>27874.209281963689</v>
      </c>
      <c r="BO377" s="3">
        <v>27612.012736431789</v>
      </c>
      <c r="BP377" s="3">
        <v>26386.529249559651</v>
      </c>
      <c r="BQ377" s="3">
        <v>25902.569148202008</v>
      </c>
      <c r="BR377" s="3">
        <v>24866.324834804818</v>
      </c>
      <c r="BS377" s="3">
        <v>24408.198779959159</v>
      </c>
      <c r="BT377" s="3">
        <v>23384.867083342109</v>
      </c>
      <c r="BU377" s="3">
        <v>23035.12202168729</v>
      </c>
      <c r="BV377" s="3">
        <v>21911.65194036801</v>
      </c>
      <c r="BW377" s="3">
        <v>21800.289776690519</v>
      </c>
      <c r="BY377" s="17" t="s">
        <v>2484</v>
      </c>
      <c r="BZ377" s="3">
        <v>28567.571438043051</v>
      </c>
      <c r="CA377" s="3">
        <v>26845.934912674998</v>
      </c>
      <c r="CB377" s="3">
        <v>31717.47178448856</v>
      </c>
      <c r="CC377" s="3">
        <v>35066.204811562318</v>
      </c>
      <c r="CD377" s="3">
        <v>35228.521421613201</v>
      </c>
      <c r="CE377" s="3">
        <v>34952.236253746669</v>
      </c>
      <c r="CF377" s="3">
        <v>34653.516220625737</v>
      </c>
      <c r="CG377" s="3">
        <v>34353.078741192847</v>
      </c>
      <c r="CH377" s="3">
        <v>33374.48479955666</v>
      </c>
      <c r="CI377" s="3">
        <v>32744.228747581808</v>
      </c>
      <c r="CJ377" s="3">
        <v>31416.255030716169</v>
      </c>
      <c r="CK377" s="3">
        <v>31827.529476684111</v>
      </c>
      <c r="CL377" s="3">
        <v>30330.36540278302</v>
      </c>
      <c r="CM377" s="3">
        <v>29360.842613630652</v>
      </c>
      <c r="CN377" s="3">
        <v>28505.553320828349</v>
      </c>
      <c r="CO377" s="3">
        <v>27365.775238820512</v>
      </c>
      <c r="CP377" s="3">
        <v>26441.141206262029</v>
      </c>
      <c r="CQ377" s="3">
        <v>25595.356418660169</v>
      </c>
      <c r="CR377" s="3">
        <v>24665.306957712739</v>
      </c>
      <c r="CS377" s="3">
        <v>23898.80229659714</v>
      </c>
      <c r="CU377" s="17" t="s">
        <v>2485</v>
      </c>
      <c r="CV377" s="3">
        <v>28567.571438043051</v>
      </c>
      <c r="CW377" s="3">
        <v>26920.350433675201</v>
      </c>
      <c r="CX377" s="3">
        <v>31789.21912197975</v>
      </c>
      <c r="CY377" s="3">
        <v>35135.369000687373</v>
      </c>
      <c r="CZ377" s="3">
        <v>35297.836771668517</v>
      </c>
      <c r="DA377" s="3">
        <v>35023.48222561174</v>
      </c>
      <c r="DB377" s="3">
        <v>25607.63540079011</v>
      </c>
      <c r="DC377" s="3">
        <v>28066.44863634085</v>
      </c>
      <c r="DD377" s="3">
        <v>27773.110688989302</v>
      </c>
      <c r="DE377" s="3">
        <v>29796.916503455679</v>
      </c>
      <c r="DF377" s="3">
        <v>28234.02441949039</v>
      </c>
      <c r="DG377" s="3">
        <v>28615.123361854541</v>
      </c>
      <c r="DH377" s="3">
        <v>27627.65373234648</v>
      </c>
      <c r="DI377" s="3">
        <v>27412.91959910862</v>
      </c>
      <c r="DJ377" s="3">
        <v>26841.23598563121</v>
      </c>
      <c r="DK377" s="3">
        <v>26660.352486887979</v>
      </c>
      <c r="DL377" s="3">
        <v>26149.660533675898</v>
      </c>
      <c r="DM377" s="3">
        <v>25997.969813606021</v>
      </c>
      <c r="DN377" s="3">
        <v>25561.000367582601</v>
      </c>
      <c r="DO377" s="3">
        <v>25450.094064098539</v>
      </c>
    </row>
    <row r="378" spans="1:119" x14ac:dyDescent="0.45">
      <c r="A378" s="16" t="s">
        <v>2486</v>
      </c>
      <c r="B378" s="3" t="s">
        <v>89</v>
      </c>
      <c r="C378" s="16" t="s">
        <v>2487</v>
      </c>
      <c r="H378" s="3" t="s">
        <v>2488</v>
      </c>
      <c r="I378" s="3" t="s">
        <v>2363</v>
      </c>
      <c r="K378" s="17" t="s">
        <v>2489</v>
      </c>
      <c r="L378" s="3">
        <v>482.84579661683762</v>
      </c>
      <c r="M378" s="3">
        <v>587.89792683836572</v>
      </c>
      <c r="N378" s="3">
        <v>867.77526513617852</v>
      </c>
      <c r="O378" s="3">
        <v>882.55707508122168</v>
      </c>
      <c r="P378" s="3">
        <v>896.74268989701034</v>
      </c>
      <c r="Q378" s="3">
        <v>913.59971113558652</v>
      </c>
      <c r="R378" s="3">
        <v>933.68257741303967</v>
      </c>
      <c r="S378" s="3">
        <v>952.54904156160887</v>
      </c>
      <c r="T378" s="3">
        <v>969.81339775213803</v>
      </c>
      <c r="U378" s="3">
        <v>987.0089426724046</v>
      </c>
      <c r="V378" s="3">
        <v>1004.203825495336</v>
      </c>
      <c r="W378" s="3">
        <v>1021.392557955216</v>
      </c>
      <c r="X378" s="3">
        <v>1038.569734922321</v>
      </c>
      <c r="Y378" s="3">
        <v>1055.7300299555959</v>
      </c>
      <c r="Z378" s="3">
        <v>1072.868190388918</v>
      </c>
      <c r="AA378" s="3">
        <v>1089.979031981967</v>
      </c>
      <c r="AB378" s="3">
        <v>1107.057433164854</v>
      </c>
      <c r="AC378" s="3">
        <v>1124.0983289038361</v>
      </c>
      <c r="AD378" s="3">
        <v>1141.096704213528</v>
      </c>
      <c r="AE378" s="3">
        <v>1158.0475873392211</v>
      </c>
      <c r="AG378" s="17" t="s">
        <v>2490</v>
      </c>
      <c r="AH378" s="3">
        <v>482.84579661683762</v>
      </c>
      <c r="AI378" s="3">
        <v>587.89792683836572</v>
      </c>
      <c r="AJ378" s="3">
        <v>867.77526513617852</v>
      </c>
      <c r="AK378" s="3">
        <v>882.55707508122168</v>
      </c>
      <c r="AL378" s="3">
        <v>896.74268989701034</v>
      </c>
      <c r="AM378" s="3">
        <v>652.27610690724862</v>
      </c>
      <c r="AN378" s="3">
        <v>666.61446090902791</v>
      </c>
      <c r="AO378" s="3">
        <v>680.28189512635981</v>
      </c>
      <c r="AP378" s="3">
        <v>692.15999190227171</v>
      </c>
      <c r="AQ378" s="3">
        <v>704.51149070850965</v>
      </c>
      <c r="AR378" s="3">
        <v>716.59948181173115</v>
      </c>
      <c r="AS378" s="3">
        <v>729.11240429827956</v>
      </c>
      <c r="AT378" s="3">
        <v>741.82528823855955</v>
      </c>
      <c r="AU378" s="3">
        <v>754.43131457901984</v>
      </c>
      <c r="AV378" s="3">
        <v>767.11309595201988</v>
      </c>
      <c r="AW378" s="3">
        <v>779.9865154466512</v>
      </c>
      <c r="AX378" s="3">
        <v>792.64684127324028</v>
      </c>
      <c r="AY378" s="3">
        <v>805.17849337752534</v>
      </c>
      <c r="AZ378" s="3">
        <v>817.4371498877407</v>
      </c>
      <c r="BA378" s="3">
        <v>829.59261537354541</v>
      </c>
      <c r="BC378" s="17" t="s">
        <v>2491</v>
      </c>
      <c r="BD378" s="3">
        <v>482.84579661683762</v>
      </c>
      <c r="BE378" s="3">
        <v>587.89792683836572</v>
      </c>
      <c r="BF378" s="3">
        <v>867.77526513617852</v>
      </c>
      <c r="BG378" s="3">
        <v>882.55707508122168</v>
      </c>
      <c r="BH378" s="3">
        <v>896.74268989701034</v>
      </c>
      <c r="BI378" s="3">
        <v>725.20655290967306</v>
      </c>
      <c r="BJ378" s="3">
        <v>595.26611623542942</v>
      </c>
      <c r="BK378" s="3">
        <v>514.75478709643971</v>
      </c>
      <c r="BL378" s="3">
        <v>458.58195653750471</v>
      </c>
      <c r="BM378" s="3">
        <v>424.66940557044182</v>
      </c>
      <c r="BN378" s="3">
        <v>397.63543702718448</v>
      </c>
      <c r="BO378" s="3">
        <v>375.64764022543051</v>
      </c>
      <c r="BP378" s="3">
        <v>357.47385080680471</v>
      </c>
      <c r="BQ378" s="3">
        <v>342.18052775486751</v>
      </c>
      <c r="BR378" s="3">
        <v>329.14426677004991</v>
      </c>
      <c r="BS378" s="3">
        <v>317.94900994741971</v>
      </c>
      <c r="BT378" s="3">
        <v>308.20838902974538</v>
      </c>
      <c r="BU378" s="3">
        <v>299.64017581176341</v>
      </c>
      <c r="BV378" s="3">
        <v>291.98725121012251</v>
      </c>
      <c r="BW378" s="3">
        <v>285.08952016365799</v>
      </c>
      <c r="BY378" s="17" t="s">
        <v>2492</v>
      </c>
      <c r="BZ378" s="3">
        <v>482.84579661683762</v>
      </c>
      <c r="CA378" s="3">
        <v>587.89792683836572</v>
      </c>
      <c r="CB378" s="3">
        <v>867.77526513617852</v>
      </c>
      <c r="CC378" s="3">
        <v>882.55707508122168</v>
      </c>
      <c r="CD378" s="3">
        <v>896.74268989701034</v>
      </c>
      <c r="CE378" s="3">
        <v>611.92830406071107</v>
      </c>
      <c r="CF378" s="3">
        <v>625.3794568790604</v>
      </c>
      <c r="CG378" s="3">
        <v>638.17398088882692</v>
      </c>
      <c r="CH378" s="3">
        <v>649.3429329092844</v>
      </c>
      <c r="CI378" s="3">
        <v>661.01481984476845</v>
      </c>
      <c r="CJ378" s="3">
        <v>672.33483597958377</v>
      </c>
      <c r="CK378" s="3">
        <v>684.10344209757784</v>
      </c>
      <c r="CL378" s="3">
        <v>695.88842335960339</v>
      </c>
      <c r="CM378" s="3">
        <v>707.60300473851009</v>
      </c>
      <c r="CN378" s="3">
        <v>719.38452578334386</v>
      </c>
      <c r="CO378" s="3">
        <v>731.29606855232566</v>
      </c>
      <c r="CP378" s="3">
        <v>743.02096031031897</v>
      </c>
      <c r="CQ378" s="3">
        <v>754.68632869921043</v>
      </c>
      <c r="CR378" s="3">
        <v>766.14365573945349</v>
      </c>
      <c r="CS378" s="3">
        <v>777.59126333693814</v>
      </c>
      <c r="CU378" s="17" t="s">
        <v>2493</v>
      </c>
      <c r="CV378" s="3">
        <v>482.84579661683762</v>
      </c>
      <c r="CW378" s="3">
        <v>587.89792683836572</v>
      </c>
      <c r="CX378" s="3">
        <v>867.77526513617852</v>
      </c>
      <c r="CY378" s="3">
        <v>882.55707508122168</v>
      </c>
      <c r="CZ378" s="3">
        <v>896.74268989701034</v>
      </c>
      <c r="DA378" s="3">
        <v>475.0197860726787</v>
      </c>
      <c r="DB378" s="3">
        <v>485.46162720404112</v>
      </c>
      <c r="DC378" s="3">
        <v>495.5789877785536</v>
      </c>
      <c r="DD378" s="3">
        <v>503.84571518228489</v>
      </c>
      <c r="DE378" s="3">
        <v>512.93531504272119</v>
      </c>
      <c r="DF378" s="3">
        <v>521.557882260273</v>
      </c>
      <c r="DG378" s="3">
        <v>530.89356013353211</v>
      </c>
      <c r="DH378" s="3">
        <v>540.49631123527581</v>
      </c>
      <c r="DI378" s="3">
        <v>549.96102953822208</v>
      </c>
      <c r="DJ378" s="3">
        <v>559.55049178482795</v>
      </c>
      <c r="DK378" s="3">
        <v>569.45450515321193</v>
      </c>
      <c r="DL378" s="3">
        <v>579.03757700691835</v>
      </c>
      <c r="DM378" s="3">
        <v>588.46229070524112</v>
      </c>
      <c r="DN378" s="3">
        <v>597.49078540872222</v>
      </c>
      <c r="DO378" s="3">
        <v>606.40078100232211</v>
      </c>
    </row>
    <row r="379" spans="1:119" x14ac:dyDescent="0.45">
      <c r="A379" s="16" t="s">
        <v>2494</v>
      </c>
      <c r="B379" s="3" t="s">
        <v>89</v>
      </c>
      <c r="C379" s="16" t="s">
        <v>2495</v>
      </c>
      <c r="H379" s="3" t="s">
        <v>2496</v>
      </c>
      <c r="I379" s="3" t="s">
        <v>2363</v>
      </c>
      <c r="K379" s="17" t="s">
        <v>2497</v>
      </c>
      <c r="L379" s="3">
        <v>1870.2698725680741</v>
      </c>
      <c r="M379" s="3">
        <v>2257.731705536974</v>
      </c>
      <c r="N379" s="3">
        <v>3313.1737030987679</v>
      </c>
      <c r="O379" s="3">
        <v>3336.94550153105</v>
      </c>
      <c r="P379" s="3">
        <v>3358.9823999598252</v>
      </c>
      <c r="Q379" s="3">
        <v>3386.602161711121</v>
      </c>
      <c r="R379" s="3">
        <v>3420.8477833658071</v>
      </c>
      <c r="S379" s="3">
        <v>3451.8362994266558</v>
      </c>
      <c r="T379" s="3">
        <v>3478.8386015116771</v>
      </c>
      <c r="U379" s="3">
        <v>3505.2388224699698</v>
      </c>
      <c r="V379" s="3">
        <v>3531.194759645613</v>
      </c>
      <c r="W379" s="3">
        <v>3556.7042166876499</v>
      </c>
      <c r="X379" s="3">
        <v>3581.765275411225</v>
      </c>
      <c r="Y379" s="3">
        <v>3606.376273203502</v>
      </c>
      <c r="Z379" s="3">
        <v>3630.5357807820878</v>
      </c>
      <c r="AA379" s="3">
        <v>3654.2425803393312</v>
      </c>
      <c r="AB379" s="3">
        <v>3677.4956440992728</v>
      </c>
      <c r="AC379" s="3">
        <v>3700.2941133079971</v>
      </c>
      <c r="AD379" s="3">
        <v>3722.6372776725971</v>
      </c>
      <c r="AE379" s="3">
        <v>3744.5245552591132</v>
      </c>
      <c r="AG379" s="17" t="s">
        <v>2498</v>
      </c>
      <c r="AH379" s="3">
        <v>1870.2698725680741</v>
      </c>
      <c r="AI379" s="3">
        <v>2257.731705536974</v>
      </c>
      <c r="AJ379" s="3">
        <v>3313.1737030987679</v>
      </c>
      <c r="AK379" s="3">
        <v>3336.94550153105</v>
      </c>
      <c r="AL379" s="3">
        <v>3358.9823999598252</v>
      </c>
      <c r="AM379" s="3">
        <v>2417.9075590582511</v>
      </c>
      <c r="AN379" s="3">
        <v>2442.357515935571</v>
      </c>
      <c r="AO379" s="3">
        <v>2464.9115179372052</v>
      </c>
      <c r="AP379" s="3">
        <v>2483.2215580255529</v>
      </c>
      <c r="AQ379" s="3">
        <v>2502.234517369835</v>
      </c>
      <c r="AR379" s="3">
        <v>2520.371986747261</v>
      </c>
      <c r="AS379" s="3">
        <v>2539.0954663894149</v>
      </c>
      <c r="AT379" s="3">
        <v>2557.9196969635732</v>
      </c>
      <c r="AU379" s="3">
        <v>2576.2104502367001</v>
      </c>
      <c r="AV379" s="3">
        <v>2594.3510390524871</v>
      </c>
      <c r="AW379" s="3">
        <v>2612.5760791575599</v>
      </c>
      <c r="AX379" s="3">
        <v>2630.0749034640771</v>
      </c>
      <c r="AY379" s="3">
        <v>2647.0318371896478</v>
      </c>
      <c r="AZ379" s="3">
        <v>2663.1772707732848</v>
      </c>
      <c r="BA379" s="3">
        <v>2678.8596904317101</v>
      </c>
      <c r="BC379" s="17" t="s">
        <v>2499</v>
      </c>
      <c r="BD379" s="3">
        <v>1870.2698725680741</v>
      </c>
      <c r="BE379" s="3">
        <v>2257.731705536974</v>
      </c>
      <c r="BF379" s="3">
        <v>3313.1737030987679</v>
      </c>
      <c r="BG379" s="3">
        <v>3336.94550153105</v>
      </c>
      <c r="BH379" s="3">
        <v>3358.9823999598252</v>
      </c>
      <c r="BI379" s="3">
        <v>2804.6716169422598</v>
      </c>
      <c r="BJ379" s="3">
        <v>2339.072721746983</v>
      </c>
      <c r="BK379" s="3">
        <v>2031.16177594441</v>
      </c>
      <c r="BL379" s="3">
        <v>1808.7591161771361</v>
      </c>
      <c r="BM379" s="3">
        <v>1640.583479222591</v>
      </c>
      <c r="BN379" s="3">
        <v>1508.2174303902359</v>
      </c>
      <c r="BO379" s="3">
        <v>1401.189631022238</v>
      </c>
      <c r="BP379" s="3">
        <v>1312.783849272829</v>
      </c>
      <c r="BQ379" s="3">
        <v>1238.3237601319411</v>
      </c>
      <c r="BR379" s="3">
        <v>1174.6515843175109</v>
      </c>
      <c r="BS379" s="3">
        <v>1119.586932979764</v>
      </c>
      <c r="BT379" s="3">
        <v>1071.364636236902</v>
      </c>
      <c r="BU379" s="3">
        <v>1028.684248197236</v>
      </c>
      <c r="BV379" s="3">
        <v>990.47157426427316</v>
      </c>
      <c r="BW379" s="3">
        <v>955.97773032052135</v>
      </c>
      <c r="BY379" s="17" t="s">
        <v>2500</v>
      </c>
      <c r="BZ379" s="3">
        <v>1870.2698725680741</v>
      </c>
      <c r="CA379" s="3">
        <v>2257.731705536974</v>
      </c>
      <c r="CB379" s="3">
        <v>3313.1737030987679</v>
      </c>
      <c r="CC379" s="3">
        <v>3336.94550153105</v>
      </c>
      <c r="CD379" s="3">
        <v>3358.9823999598252</v>
      </c>
      <c r="CE379" s="3">
        <v>2268.3430852211632</v>
      </c>
      <c r="CF379" s="3">
        <v>2291.2800380157578</v>
      </c>
      <c r="CG379" s="3">
        <v>2312.3791715429352</v>
      </c>
      <c r="CH379" s="3">
        <v>2329.6123050421961</v>
      </c>
      <c r="CI379" s="3">
        <v>2347.6291117199648</v>
      </c>
      <c r="CJ379" s="3">
        <v>2364.6002155142342</v>
      </c>
      <c r="CK379" s="3">
        <v>2382.2262703551828</v>
      </c>
      <c r="CL379" s="3">
        <v>2399.5914129451071</v>
      </c>
      <c r="CM379" s="3">
        <v>2416.5229330768761</v>
      </c>
      <c r="CN379" s="3">
        <v>2433.309562722146</v>
      </c>
      <c r="CO379" s="3">
        <v>2450.0798516370651</v>
      </c>
      <c r="CP379" s="3">
        <v>2466.201301817719</v>
      </c>
      <c r="CQ379" s="3">
        <v>2481.940472447408</v>
      </c>
      <c r="CR379" s="3">
        <v>2497.0151944468612</v>
      </c>
      <c r="CS379" s="3">
        <v>2511.8255318921551</v>
      </c>
      <c r="CU379" s="17" t="s">
        <v>2501</v>
      </c>
      <c r="CV379" s="3">
        <v>1870.2698725680741</v>
      </c>
      <c r="CW379" s="3">
        <v>2257.731705536974</v>
      </c>
      <c r="CX379" s="3">
        <v>3313.1737030987679</v>
      </c>
      <c r="CY379" s="3">
        <v>3336.94550153105</v>
      </c>
      <c r="CZ379" s="3">
        <v>3358.9823999598252</v>
      </c>
      <c r="DA379" s="3">
        <v>1760.8400828589911</v>
      </c>
      <c r="DB379" s="3">
        <v>1778.645623552806</v>
      </c>
      <c r="DC379" s="3">
        <v>1795.42720783758</v>
      </c>
      <c r="DD379" s="3">
        <v>1807.9324556934489</v>
      </c>
      <c r="DE379" s="3">
        <v>1821.985044522836</v>
      </c>
      <c r="DF379" s="3">
        <v>1834.8152586487311</v>
      </c>
      <c r="DG379" s="3">
        <v>1848.9233084991411</v>
      </c>
      <c r="DH379" s="3">
        <v>1863.346626863512</v>
      </c>
      <c r="DI379" s="3">
        <v>1877.2441022425701</v>
      </c>
      <c r="DJ379" s="3">
        <v>1891.162099790587</v>
      </c>
      <c r="DK379" s="3">
        <v>1905.4791209987891</v>
      </c>
      <c r="DL379" s="3">
        <v>1918.9179769458869</v>
      </c>
      <c r="DM379" s="3">
        <v>1931.82211327759</v>
      </c>
      <c r="DN379" s="3">
        <v>1943.740417208817</v>
      </c>
      <c r="DO379" s="3">
        <v>1955.2350647124231</v>
      </c>
    </row>
    <row r="380" spans="1:119" x14ac:dyDescent="0.45">
      <c r="A380" s="16" t="s">
        <v>2502</v>
      </c>
      <c r="B380" s="3" t="s">
        <v>89</v>
      </c>
      <c r="C380" s="16" t="s">
        <v>2503</v>
      </c>
      <c r="H380" s="3" t="s">
        <v>2504</v>
      </c>
      <c r="I380" s="3" t="s">
        <v>2363</v>
      </c>
      <c r="K380" s="17" t="s">
        <v>2505</v>
      </c>
      <c r="L380" s="3">
        <v>10863.893656090149</v>
      </c>
      <c r="M380" s="3">
        <v>8604.4415416741576</v>
      </c>
      <c r="N380" s="3">
        <v>9923.028362515066</v>
      </c>
      <c r="O380" s="3">
        <v>10315.160442227971</v>
      </c>
      <c r="P380" s="3">
        <v>10702.53761087883</v>
      </c>
      <c r="Q380" s="3">
        <v>11164.098681541091</v>
      </c>
      <c r="R380" s="3">
        <v>11718.471177860411</v>
      </c>
      <c r="S380" s="3">
        <v>12257.66708960512</v>
      </c>
      <c r="T380" s="3">
        <v>12769.39081881586</v>
      </c>
      <c r="U380" s="3">
        <v>13292.194335460879</v>
      </c>
      <c r="V380" s="3">
        <v>13827.986181848961</v>
      </c>
      <c r="W380" s="3">
        <v>14376.76782353371</v>
      </c>
      <c r="X380" s="3">
        <v>14938.531009867491</v>
      </c>
      <c r="Y380" s="3">
        <v>15513.25762732729</v>
      </c>
      <c r="Z380" s="3">
        <v>16100.919532822711</v>
      </c>
      <c r="AA380" s="3">
        <v>16701.478365338411</v>
      </c>
      <c r="AB380" s="3">
        <v>17314.88533432746</v>
      </c>
      <c r="AC380" s="3">
        <v>17941.080983335261</v>
      </c>
      <c r="AD380" s="3">
        <v>18579.994927395339</v>
      </c>
      <c r="AE380" s="3">
        <v>19231.54556279895</v>
      </c>
      <c r="AG380" s="17" t="s">
        <v>2506</v>
      </c>
      <c r="AH380" s="3">
        <v>10863.893656090149</v>
      </c>
      <c r="AI380" s="3">
        <v>8604.4415416741576</v>
      </c>
      <c r="AJ380" s="3">
        <v>9923.028362515066</v>
      </c>
      <c r="AK380" s="3">
        <v>10315.160442227971</v>
      </c>
      <c r="AL380" s="3">
        <v>10702.53761087883</v>
      </c>
      <c r="AM380" s="3">
        <v>9573.5879986323052</v>
      </c>
      <c r="AN380" s="3">
        <v>10048.979049005249</v>
      </c>
      <c r="AO380" s="3">
        <v>10517.4629850934</v>
      </c>
      <c r="AP380" s="3">
        <v>10942.25518333949</v>
      </c>
      <c r="AQ380" s="3">
        <v>11392.80599827398</v>
      </c>
      <c r="AR380" s="3">
        <v>11845.903943426811</v>
      </c>
      <c r="AS380" s="3">
        <v>12324.37453083798</v>
      </c>
      <c r="AT380" s="3">
        <v>12821.53047372149</v>
      </c>
      <c r="AU380" s="3">
        <v>13327.132053163919</v>
      </c>
      <c r="AV380" s="3">
        <v>13847.672014983669</v>
      </c>
      <c r="AW380" s="3">
        <v>14387.748933534331</v>
      </c>
      <c r="AX380" s="3">
        <v>14932.716328710731</v>
      </c>
      <c r="AY380" s="3">
        <v>15485.469165338111</v>
      </c>
      <c r="AZ380" s="3">
        <v>16040.18838142001</v>
      </c>
      <c r="BA380" s="3">
        <v>16603.175716284459</v>
      </c>
      <c r="BC380" s="17" t="s">
        <v>2507</v>
      </c>
      <c r="BD380" s="3">
        <v>10863.893656090149</v>
      </c>
      <c r="BE380" s="3">
        <v>8604.4415416741576</v>
      </c>
      <c r="BF380" s="3">
        <v>9923.028362515066</v>
      </c>
      <c r="BG380" s="3">
        <v>10315.160442227971</v>
      </c>
      <c r="BH380" s="3">
        <v>10702.53761087883</v>
      </c>
      <c r="BI380" s="3">
        <v>10170.358176077751</v>
      </c>
      <c r="BJ380" s="3">
        <v>9580.5235733441696</v>
      </c>
      <c r="BK380" s="3">
        <v>9122.7987188318402</v>
      </c>
      <c r="BL380" s="3">
        <v>8738.2175429253402</v>
      </c>
      <c r="BM380" s="3">
        <v>8513.7528078244195</v>
      </c>
      <c r="BN380" s="3">
        <v>8332.1863068458933</v>
      </c>
      <c r="BO380" s="3">
        <v>8190.6169573206435</v>
      </c>
      <c r="BP380" s="3">
        <v>8084.8415837630391</v>
      </c>
      <c r="BQ380" s="3">
        <v>8007.1933748320052</v>
      </c>
      <c r="BR380" s="3">
        <v>7953.3057704133189</v>
      </c>
      <c r="BS380" s="3">
        <v>7921.5813790786351</v>
      </c>
      <c r="BT380" s="3">
        <v>7906.947544729338</v>
      </c>
      <c r="BU380" s="3">
        <v>7905.8265511266554</v>
      </c>
      <c r="BV380" s="3">
        <v>7913.1476812251822</v>
      </c>
      <c r="BW380" s="3">
        <v>7926.8882210388674</v>
      </c>
      <c r="BY380" s="17" t="s">
        <v>2508</v>
      </c>
      <c r="BZ380" s="3">
        <v>10863.893656090149</v>
      </c>
      <c r="CA380" s="3">
        <v>8604.4415416741576</v>
      </c>
      <c r="CB380" s="3">
        <v>9923.028362515066</v>
      </c>
      <c r="CC380" s="3">
        <v>10315.160442227971</v>
      </c>
      <c r="CD380" s="3">
        <v>10702.53761087883</v>
      </c>
      <c r="CE380" s="3">
        <v>9564.5405696516391</v>
      </c>
      <c r="CF380" s="3">
        <v>9961.7281861723241</v>
      </c>
      <c r="CG380" s="3">
        <v>10351.649959829379</v>
      </c>
      <c r="CH380" s="3">
        <v>10701.06737627357</v>
      </c>
      <c r="CI380" s="3">
        <v>11079.218199545599</v>
      </c>
      <c r="CJ380" s="3">
        <v>11456.684874604611</v>
      </c>
      <c r="CK380" s="3">
        <v>11858.975501278381</v>
      </c>
      <c r="CL380" s="3">
        <v>12272.88288618855</v>
      </c>
      <c r="CM380" s="3">
        <v>12694.712640645739</v>
      </c>
      <c r="CN380" s="3">
        <v>13158.875192672031</v>
      </c>
      <c r="CO380" s="3">
        <v>13637.723682485939</v>
      </c>
      <c r="CP380" s="3">
        <v>14119.91534657283</v>
      </c>
      <c r="CQ380" s="3">
        <v>14610.063231559079</v>
      </c>
      <c r="CR380" s="3">
        <v>15102.114119809359</v>
      </c>
      <c r="CS380" s="3">
        <v>15603.65990936926</v>
      </c>
      <c r="CU380" s="17" t="s">
        <v>2509</v>
      </c>
      <c r="CV380" s="3">
        <v>10863.893656090149</v>
      </c>
      <c r="CW380" s="3">
        <v>8604.4415416741576</v>
      </c>
      <c r="CX380" s="3">
        <v>9923.028362515066</v>
      </c>
      <c r="CY380" s="3">
        <v>10315.160442227971</v>
      </c>
      <c r="CZ380" s="3">
        <v>10702.53761087883</v>
      </c>
      <c r="DA380" s="3">
        <v>7965.1141311820465</v>
      </c>
      <c r="DB380" s="3">
        <v>8360.6319429815521</v>
      </c>
      <c r="DC380" s="3">
        <v>8756.2014783628874</v>
      </c>
      <c r="DD380" s="3">
        <v>9095.9026472890127</v>
      </c>
      <c r="DE380" s="3">
        <v>9474.0692060184956</v>
      </c>
      <c r="DF380" s="3">
        <v>9844.1237510869632</v>
      </c>
      <c r="DG380" s="3">
        <v>10250.561121409861</v>
      </c>
      <c r="DH380" s="3">
        <v>10677.72866265198</v>
      </c>
      <c r="DI380" s="3">
        <v>11110.099064493241</v>
      </c>
      <c r="DJ380" s="3">
        <v>11558.283677148191</v>
      </c>
      <c r="DK380" s="3">
        <v>12030.773177464051</v>
      </c>
      <c r="DL380" s="3">
        <v>12501.141079951771</v>
      </c>
      <c r="DM380" s="3">
        <v>12975.79938403491</v>
      </c>
      <c r="DN380" s="3">
        <v>13443.73543098874</v>
      </c>
      <c r="DO380" s="3">
        <v>13916.74674473624</v>
      </c>
    </row>
    <row r="381" spans="1:119" x14ac:dyDescent="0.45">
      <c r="A381" s="16" t="s">
        <v>2510</v>
      </c>
      <c r="B381" s="3" t="s">
        <v>89</v>
      </c>
      <c r="C381" s="16" t="s">
        <v>2511</v>
      </c>
      <c r="H381" s="3" t="s">
        <v>2512</v>
      </c>
      <c r="I381" s="3" t="s">
        <v>2363</v>
      </c>
      <c r="K381" s="17" t="s">
        <v>2513</v>
      </c>
      <c r="L381" s="3">
        <v>0</v>
      </c>
      <c r="M381" s="3">
        <v>0</v>
      </c>
      <c r="N381" s="3">
        <v>0</v>
      </c>
      <c r="O381" s="3">
        <v>0</v>
      </c>
      <c r="P381" s="3">
        <v>0</v>
      </c>
      <c r="Q381" s="3">
        <v>0</v>
      </c>
      <c r="R381" s="3">
        <v>0</v>
      </c>
      <c r="S381" s="3">
        <v>0</v>
      </c>
      <c r="T381" s="3">
        <v>0</v>
      </c>
      <c r="U381" s="3">
        <v>0</v>
      </c>
      <c r="V381" s="3">
        <v>0</v>
      </c>
      <c r="W381" s="3">
        <v>0</v>
      </c>
      <c r="X381" s="3">
        <v>0</v>
      </c>
      <c r="Y381" s="3">
        <v>0</v>
      </c>
      <c r="Z381" s="3">
        <v>0</v>
      </c>
      <c r="AA381" s="3">
        <v>0</v>
      </c>
      <c r="AB381" s="3">
        <v>0</v>
      </c>
      <c r="AC381" s="3">
        <v>0</v>
      </c>
      <c r="AD381" s="3">
        <v>0</v>
      </c>
      <c r="AE381" s="3">
        <v>0</v>
      </c>
      <c r="AG381" s="17" t="s">
        <v>2514</v>
      </c>
      <c r="AH381" s="3">
        <v>0</v>
      </c>
      <c r="AI381" s="3">
        <v>0</v>
      </c>
      <c r="AJ381" s="3">
        <v>0</v>
      </c>
      <c r="AK381" s="3">
        <v>0</v>
      </c>
      <c r="AL381" s="3">
        <v>0</v>
      </c>
      <c r="AM381" s="3">
        <v>0</v>
      </c>
      <c r="AN381" s="3">
        <v>0</v>
      </c>
      <c r="AO381" s="3">
        <v>0</v>
      </c>
      <c r="AP381" s="3">
        <v>0</v>
      </c>
      <c r="AQ381" s="3">
        <v>0</v>
      </c>
      <c r="AR381" s="3">
        <v>0</v>
      </c>
      <c r="AS381" s="3">
        <v>0</v>
      </c>
      <c r="AT381" s="3">
        <v>0</v>
      </c>
      <c r="AU381" s="3">
        <v>0</v>
      </c>
      <c r="AV381" s="3">
        <v>0</v>
      </c>
      <c r="AW381" s="3">
        <v>0</v>
      </c>
      <c r="AX381" s="3">
        <v>0</v>
      </c>
      <c r="AY381" s="3">
        <v>0</v>
      </c>
      <c r="AZ381" s="3">
        <v>0</v>
      </c>
      <c r="BA381" s="3">
        <v>0</v>
      </c>
      <c r="BC381" s="17" t="s">
        <v>2515</v>
      </c>
      <c r="BD381" s="3">
        <v>0</v>
      </c>
      <c r="BE381" s="3">
        <v>0</v>
      </c>
      <c r="BF381" s="3">
        <v>0</v>
      </c>
      <c r="BG381" s="3">
        <v>0</v>
      </c>
      <c r="BH381" s="3">
        <v>0</v>
      </c>
      <c r="BI381" s="3">
        <v>0</v>
      </c>
      <c r="BJ381" s="3">
        <v>0</v>
      </c>
      <c r="BK381" s="3">
        <v>0</v>
      </c>
      <c r="BL381" s="3">
        <v>0</v>
      </c>
      <c r="BM381" s="3">
        <v>0</v>
      </c>
      <c r="BN381" s="3">
        <v>0</v>
      </c>
      <c r="BO381" s="3">
        <v>0</v>
      </c>
      <c r="BP381" s="3">
        <v>0</v>
      </c>
      <c r="BQ381" s="3">
        <v>0</v>
      </c>
      <c r="BR381" s="3">
        <v>0</v>
      </c>
      <c r="BS381" s="3">
        <v>0</v>
      </c>
      <c r="BT381" s="3">
        <v>0</v>
      </c>
      <c r="BU381" s="3">
        <v>0</v>
      </c>
      <c r="BV381" s="3">
        <v>0</v>
      </c>
      <c r="BW381" s="3">
        <v>0</v>
      </c>
      <c r="BY381" s="17" t="s">
        <v>2516</v>
      </c>
      <c r="BZ381" s="3">
        <v>0</v>
      </c>
      <c r="CA381" s="3">
        <v>0</v>
      </c>
      <c r="CB381" s="3">
        <v>0</v>
      </c>
      <c r="CC381" s="3">
        <v>0</v>
      </c>
      <c r="CD381" s="3">
        <v>0</v>
      </c>
      <c r="CE381" s="3">
        <v>0</v>
      </c>
      <c r="CF381" s="3">
        <v>0</v>
      </c>
      <c r="CG381" s="3">
        <v>0</v>
      </c>
      <c r="CH381" s="3">
        <v>0</v>
      </c>
      <c r="CI381" s="3">
        <v>0</v>
      </c>
      <c r="CJ381" s="3">
        <v>0</v>
      </c>
      <c r="CK381" s="3">
        <v>0</v>
      </c>
      <c r="CL381" s="3">
        <v>0</v>
      </c>
      <c r="CM381" s="3">
        <v>0</v>
      </c>
      <c r="CN381" s="3">
        <v>0</v>
      </c>
      <c r="CO381" s="3">
        <v>0</v>
      </c>
      <c r="CP381" s="3">
        <v>0</v>
      </c>
      <c r="CQ381" s="3">
        <v>0</v>
      </c>
      <c r="CR381" s="3">
        <v>0</v>
      </c>
      <c r="CS381" s="3">
        <v>0</v>
      </c>
      <c r="CU381" s="17" t="s">
        <v>2517</v>
      </c>
      <c r="CV381" s="3">
        <v>0</v>
      </c>
      <c r="CW381" s="3">
        <v>0</v>
      </c>
      <c r="CX381" s="3">
        <v>0</v>
      </c>
      <c r="CY381" s="3">
        <v>0</v>
      </c>
      <c r="CZ381" s="3">
        <v>0</v>
      </c>
      <c r="DA381" s="3">
        <v>0</v>
      </c>
      <c r="DB381" s="3">
        <v>0</v>
      </c>
      <c r="DC381" s="3">
        <v>0</v>
      </c>
      <c r="DD381" s="3">
        <v>0</v>
      </c>
      <c r="DE381" s="3">
        <v>0</v>
      </c>
      <c r="DF381" s="3">
        <v>0</v>
      </c>
      <c r="DG381" s="3">
        <v>0</v>
      </c>
      <c r="DH381" s="3">
        <v>0</v>
      </c>
      <c r="DI381" s="3">
        <v>0</v>
      </c>
      <c r="DJ381" s="3">
        <v>0</v>
      </c>
      <c r="DK381" s="3">
        <v>0</v>
      </c>
      <c r="DL381" s="3">
        <v>0</v>
      </c>
      <c r="DM381" s="3">
        <v>0</v>
      </c>
      <c r="DN381" s="3">
        <v>0</v>
      </c>
      <c r="DO381" s="3">
        <v>0</v>
      </c>
    </row>
    <row r="382" spans="1:119" x14ac:dyDescent="0.45">
      <c r="A382" s="11"/>
      <c r="B382" s="3" t="s">
        <v>89</v>
      </c>
      <c r="C382" s="16" t="s">
        <v>2518</v>
      </c>
      <c r="H382" s="11" t="s">
        <v>2519</v>
      </c>
      <c r="I382" s="11" t="s">
        <v>2363</v>
      </c>
    </row>
    <row r="383" spans="1:119" x14ac:dyDescent="0.45">
      <c r="A383" s="16" t="s">
        <v>2520</v>
      </c>
      <c r="B383" s="3" t="s">
        <v>89</v>
      </c>
      <c r="C383" s="16" t="s">
        <v>2521</v>
      </c>
      <c r="H383" s="3" t="s">
        <v>2522</v>
      </c>
      <c r="I383" s="3" t="s">
        <v>2363</v>
      </c>
      <c r="K383" s="17" t="s">
        <v>2523</v>
      </c>
      <c r="L383" s="3">
        <v>7328.942890599129</v>
      </c>
      <c r="M383" s="3">
        <v>7997.9066092599078</v>
      </c>
      <c r="N383" s="3">
        <v>10130.346790681209</v>
      </c>
      <c r="O383" s="3">
        <v>10383.079937987761</v>
      </c>
      <c r="P383" s="3">
        <v>10628.045301055339</v>
      </c>
      <c r="Q383" s="3">
        <v>10919.65421757317</v>
      </c>
      <c r="R383" s="3">
        <v>11268.38418503122</v>
      </c>
      <c r="S383" s="3">
        <v>11599.97646409353</v>
      </c>
      <c r="T383" s="3">
        <v>11907.221008997351</v>
      </c>
      <c r="U383" s="3">
        <v>12215.988726681109</v>
      </c>
      <c r="V383" s="3">
        <v>12527.42634917021</v>
      </c>
      <c r="W383" s="3">
        <v>12841.42265441394</v>
      </c>
      <c r="X383" s="3">
        <v>13157.86543244902</v>
      </c>
      <c r="Y383" s="3">
        <v>13476.641492700501</v>
      </c>
      <c r="Z383" s="3">
        <v>13797.636658253859</v>
      </c>
      <c r="AA383" s="3">
        <v>14120.735747323521</v>
      </c>
      <c r="AB383" s="3">
        <v>14445.82254215771</v>
      </c>
      <c r="AC383" s="3">
        <v>14772.77974563054</v>
      </c>
      <c r="AD383" s="3">
        <v>15101.488925779249</v>
      </c>
      <c r="AE383" s="3">
        <v>15431.83044854945</v>
      </c>
      <c r="AG383" s="17" t="s">
        <v>2524</v>
      </c>
      <c r="AH383" s="3">
        <v>7328.942890599129</v>
      </c>
      <c r="AI383" s="3">
        <v>7997.9066092599078</v>
      </c>
      <c r="AJ383" s="3">
        <v>10130.346790681209</v>
      </c>
      <c r="AK383" s="3">
        <v>10383.079937987761</v>
      </c>
      <c r="AL383" s="3">
        <v>10628.045301055339</v>
      </c>
      <c r="AM383" s="3">
        <v>10018.33959521673</v>
      </c>
      <c r="AN383" s="3">
        <v>10338.28381532863</v>
      </c>
      <c r="AO383" s="3">
        <v>10646.833028715429</v>
      </c>
      <c r="AP383" s="3">
        <v>10918.857352809669</v>
      </c>
      <c r="AQ383" s="3">
        <v>11203.75370884477</v>
      </c>
      <c r="AR383" s="3">
        <v>11485.223819661771</v>
      </c>
      <c r="AS383" s="3">
        <v>11778.684696568211</v>
      </c>
      <c r="AT383" s="3">
        <v>12079.22134768986</v>
      </c>
      <c r="AU383" s="3">
        <v>12379.878392991001</v>
      </c>
      <c r="AV383" s="3">
        <v>12684.813389484059</v>
      </c>
      <c r="AW383" s="3">
        <v>12996.756927573109</v>
      </c>
      <c r="AX383" s="3">
        <v>13306.285215258</v>
      </c>
      <c r="AY383" s="3">
        <v>13615.273558218711</v>
      </c>
      <c r="AZ383" s="3">
        <v>13920.203871007619</v>
      </c>
      <c r="BA383" s="3">
        <v>14225.00547490355</v>
      </c>
      <c r="BC383" s="17" t="s">
        <v>2525</v>
      </c>
      <c r="BD383" s="3">
        <v>7328.942890599129</v>
      </c>
      <c r="BE383" s="3">
        <v>7997.9066092599078</v>
      </c>
      <c r="BF383" s="3">
        <v>10130.346790681209</v>
      </c>
      <c r="BG383" s="3">
        <v>10383.079937987761</v>
      </c>
      <c r="BH383" s="3">
        <v>10628.045301055339</v>
      </c>
      <c r="BI383" s="3">
        <v>10282.394438147139</v>
      </c>
      <c r="BJ383" s="3">
        <v>9877.8137405324833</v>
      </c>
      <c r="BK383" s="3">
        <v>9541.7144078026558</v>
      </c>
      <c r="BL383" s="3">
        <v>9242.5945583835455</v>
      </c>
      <c r="BM383" s="3">
        <v>9105.1889496095682</v>
      </c>
      <c r="BN383" s="3">
        <v>8986.0648353325687</v>
      </c>
      <c r="BO383" s="3">
        <v>8886.8164548649802</v>
      </c>
      <c r="BP383" s="3">
        <v>8806.9560403817377</v>
      </c>
      <c r="BQ383" s="3">
        <v>8742.5511479983525</v>
      </c>
      <c r="BR383" s="3">
        <v>8691.6154899058783</v>
      </c>
      <c r="BS383" s="3">
        <v>8653.8972479111435</v>
      </c>
      <c r="BT383" s="3">
        <v>8626.2156897039295</v>
      </c>
      <c r="BU383" s="3">
        <v>8606.3487471728804</v>
      </c>
      <c r="BV383" s="3">
        <v>8590.8190308048434</v>
      </c>
      <c r="BW383" s="3">
        <v>8578.3986194138397</v>
      </c>
      <c r="BY383" s="17" t="s">
        <v>2526</v>
      </c>
      <c r="BZ383" s="3">
        <v>7328.942890599129</v>
      </c>
      <c r="CA383" s="3">
        <v>7997.9066092599078</v>
      </c>
      <c r="CB383" s="3">
        <v>10130.346790681209</v>
      </c>
      <c r="CC383" s="3">
        <v>10383.079937987761</v>
      </c>
      <c r="CD383" s="3">
        <v>10628.045301055339</v>
      </c>
      <c r="CE383" s="3">
        <v>9821.5414620745614</v>
      </c>
      <c r="CF383" s="3">
        <v>10135.194537666801</v>
      </c>
      <c r="CG383" s="3">
        <v>10437.05331619346</v>
      </c>
      <c r="CH383" s="3">
        <v>10704.319763843459</v>
      </c>
      <c r="CI383" s="3">
        <v>10985.583281371561</v>
      </c>
      <c r="CJ383" s="3">
        <v>11261.064422387601</v>
      </c>
      <c r="CK383" s="3">
        <v>11549.474024444051</v>
      </c>
      <c r="CL383" s="3">
        <v>11840.75279930977</v>
      </c>
      <c r="CM383" s="3">
        <v>12132.813758505719</v>
      </c>
      <c r="CN383" s="3">
        <v>12428.92768520507</v>
      </c>
      <c r="CO383" s="3">
        <v>12730.656620740659</v>
      </c>
      <c r="CP383" s="3">
        <v>13030.284520093441</v>
      </c>
      <c r="CQ383" s="3">
        <v>13330.843214908349</v>
      </c>
      <c r="CR383" s="3">
        <v>13628.59154526581</v>
      </c>
      <c r="CS383" s="3">
        <v>13928.38430125603</v>
      </c>
      <c r="CU383" s="17" t="s">
        <v>2527</v>
      </c>
      <c r="CV383" s="3">
        <v>7328.942890599129</v>
      </c>
      <c r="CW383" s="3">
        <v>7997.9066092599078</v>
      </c>
      <c r="CX383" s="3">
        <v>10130.346790681209</v>
      </c>
      <c r="CY383" s="3">
        <v>10383.079937987761</v>
      </c>
      <c r="CZ383" s="3">
        <v>10628.045301055339</v>
      </c>
      <c r="DA383" s="3">
        <v>8968.1098286851047</v>
      </c>
      <c r="DB383" s="3">
        <v>9254.5124955188512</v>
      </c>
      <c r="DC383" s="3">
        <v>9535.135112912827</v>
      </c>
      <c r="DD383" s="3">
        <v>9768.2675916308526</v>
      </c>
      <c r="DE383" s="3">
        <v>10025.839070020649</v>
      </c>
      <c r="DF383" s="3">
        <v>10272.797896649579</v>
      </c>
      <c r="DG383" s="3">
        <v>10541.630830022459</v>
      </c>
      <c r="DH383" s="3">
        <v>10820.30065504103</v>
      </c>
      <c r="DI383" s="3">
        <v>11097.529814209909</v>
      </c>
      <c r="DJ383" s="3">
        <v>11380.694606734271</v>
      </c>
      <c r="DK383" s="3">
        <v>11675.313713626239</v>
      </c>
      <c r="DL383" s="3">
        <v>11963.203699621799</v>
      </c>
      <c r="DM383" s="3">
        <v>12248.877191134299</v>
      </c>
      <c r="DN383" s="3">
        <v>12525.238988947031</v>
      </c>
      <c r="DO383" s="3">
        <v>12800.240060863051</v>
      </c>
    </row>
    <row r="384" spans="1:119" x14ac:dyDescent="0.45">
      <c r="A384" s="16" t="s">
        <v>2528</v>
      </c>
      <c r="B384" s="3" t="s">
        <v>89</v>
      </c>
      <c r="C384" s="16" t="s">
        <v>2529</v>
      </c>
      <c r="H384" s="3" t="s">
        <v>2530</v>
      </c>
      <c r="I384" s="3" t="s">
        <v>2363</v>
      </c>
      <c r="K384" s="17" t="s">
        <v>2531</v>
      </c>
      <c r="L384" s="3">
        <v>0</v>
      </c>
      <c r="M384" s="3">
        <v>0</v>
      </c>
      <c r="N384" s="3">
        <v>0</v>
      </c>
      <c r="O384" s="3">
        <v>0</v>
      </c>
      <c r="P384" s="3">
        <v>0</v>
      </c>
      <c r="Q384" s="3">
        <v>0</v>
      </c>
      <c r="R384" s="3">
        <v>0</v>
      </c>
      <c r="S384" s="3">
        <v>0</v>
      </c>
      <c r="T384" s="3">
        <v>0</v>
      </c>
      <c r="U384" s="3">
        <v>0</v>
      </c>
      <c r="V384" s="3">
        <v>0</v>
      </c>
      <c r="W384" s="3">
        <v>0</v>
      </c>
      <c r="X384" s="3">
        <v>0</v>
      </c>
      <c r="Y384" s="3">
        <v>0</v>
      </c>
      <c r="Z384" s="3">
        <v>0</v>
      </c>
      <c r="AA384" s="3">
        <v>0</v>
      </c>
      <c r="AB384" s="3">
        <v>0</v>
      </c>
      <c r="AC384" s="3">
        <v>0</v>
      </c>
      <c r="AD384" s="3">
        <v>0</v>
      </c>
      <c r="AE384" s="3">
        <v>0</v>
      </c>
      <c r="AG384" s="17" t="s">
        <v>2532</v>
      </c>
      <c r="AH384" s="3">
        <v>0</v>
      </c>
      <c r="AI384" s="3">
        <v>0</v>
      </c>
      <c r="AJ384" s="3">
        <v>0</v>
      </c>
      <c r="AK384" s="3">
        <v>0</v>
      </c>
      <c r="AL384" s="3">
        <v>0</v>
      </c>
      <c r="AM384" s="3">
        <v>0</v>
      </c>
      <c r="AN384" s="3">
        <v>0</v>
      </c>
      <c r="AO384" s="3">
        <v>0</v>
      </c>
      <c r="AP384" s="3">
        <v>0</v>
      </c>
      <c r="AQ384" s="3">
        <v>0</v>
      </c>
      <c r="AR384" s="3">
        <v>0</v>
      </c>
      <c r="AS384" s="3">
        <v>0</v>
      </c>
      <c r="AT384" s="3">
        <v>0</v>
      </c>
      <c r="AU384" s="3">
        <v>0</v>
      </c>
      <c r="AV384" s="3">
        <v>0</v>
      </c>
      <c r="AW384" s="3">
        <v>0</v>
      </c>
      <c r="AX384" s="3">
        <v>0</v>
      </c>
      <c r="AY384" s="3">
        <v>0</v>
      </c>
      <c r="AZ384" s="3">
        <v>0</v>
      </c>
      <c r="BA384" s="3">
        <v>0</v>
      </c>
      <c r="BC384" s="17" t="s">
        <v>2533</v>
      </c>
      <c r="BD384" s="3">
        <v>0</v>
      </c>
      <c r="BE384" s="3">
        <v>0</v>
      </c>
      <c r="BF384" s="3">
        <v>0</v>
      </c>
      <c r="BG384" s="3">
        <v>0</v>
      </c>
      <c r="BH384" s="3">
        <v>0</v>
      </c>
      <c r="BI384" s="3">
        <v>0</v>
      </c>
      <c r="BJ384" s="3">
        <v>0</v>
      </c>
      <c r="BK384" s="3">
        <v>0</v>
      </c>
      <c r="BL384" s="3">
        <v>0</v>
      </c>
      <c r="BM384" s="3">
        <v>0</v>
      </c>
      <c r="BN384" s="3">
        <v>0</v>
      </c>
      <c r="BO384" s="3">
        <v>0</v>
      </c>
      <c r="BP384" s="3">
        <v>0</v>
      </c>
      <c r="BQ384" s="3">
        <v>0</v>
      </c>
      <c r="BR384" s="3">
        <v>0</v>
      </c>
      <c r="BS384" s="3">
        <v>0</v>
      </c>
      <c r="BT384" s="3">
        <v>0</v>
      </c>
      <c r="BU384" s="3">
        <v>0</v>
      </c>
      <c r="BV384" s="3">
        <v>0</v>
      </c>
      <c r="BW384" s="3">
        <v>0</v>
      </c>
      <c r="BY384" s="17" t="s">
        <v>2534</v>
      </c>
      <c r="BZ384" s="3">
        <v>0</v>
      </c>
      <c r="CA384" s="3">
        <v>0</v>
      </c>
      <c r="CB384" s="3">
        <v>0</v>
      </c>
      <c r="CC384" s="3">
        <v>0</v>
      </c>
      <c r="CD384" s="3">
        <v>0</v>
      </c>
      <c r="CE384" s="3">
        <v>0</v>
      </c>
      <c r="CF384" s="3">
        <v>0</v>
      </c>
      <c r="CG384" s="3">
        <v>0</v>
      </c>
      <c r="CH384" s="3">
        <v>0</v>
      </c>
      <c r="CI384" s="3">
        <v>0</v>
      </c>
      <c r="CJ384" s="3">
        <v>0</v>
      </c>
      <c r="CK384" s="3">
        <v>0</v>
      </c>
      <c r="CL384" s="3">
        <v>0</v>
      </c>
      <c r="CM384" s="3">
        <v>0</v>
      </c>
      <c r="CN384" s="3">
        <v>0</v>
      </c>
      <c r="CO384" s="3">
        <v>0</v>
      </c>
      <c r="CP384" s="3">
        <v>0</v>
      </c>
      <c r="CQ384" s="3">
        <v>0</v>
      </c>
      <c r="CR384" s="3">
        <v>0</v>
      </c>
      <c r="CS384" s="3">
        <v>0</v>
      </c>
      <c r="CU384" s="17" t="s">
        <v>2535</v>
      </c>
      <c r="CV384" s="3">
        <v>0</v>
      </c>
      <c r="CW384" s="3">
        <v>0</v>
      </c>
      <c r="CX384" s="3">
        <v>0</v>
      </c>
      <c r="CY384" s="3">
        <v>0</v>
      </c>
      <c r="CZ384" s="3">
        <v>0</v>
      </c>
      <c r="DA384" s="3">
        <v>0</v>
      </c>
      <c r="DB384" s="3">
        <v>0</v>
      </c>
      <c r="DC384" s="3">
        <v>0</v>
      </c>
      <c r="DD384" s="3">
        <v>0</v>
      </c>
      <c r="DE384" s="3">
        <v>0</v>
      </c>
      <c r="DF384" s="3">
        <v>0</v>
      </c>
      <c r="DG384" s="3">
        <v>0</v>
      </c>
      <c r="DH384" s="3">
        <v>0</v>
      </c>
      <c r="DI384" s="3">
        <v>0</v>
      </c>
      <c r="DJ384" s="3">
        <v>0</v>
      </c>
      <c r="DK384" s="3">
        <v>0</v>
      </c>
      <c r="DL384" s="3">
        <v>0</v>
      </c>
      <c r="DM384" s="3">
        <v>0</v>
      </c>
      <c r="DN384" s="3">
        <v>0</v>
      </c>
      <c r="DO384" s="3">
        <v>0</v>
      </c>
    </row>
    <row r="385" spans="1:119" x14ac:dyDescent="0.45">
      <c r="A385" s="16" t="s">
        <v>2536</v>
      </c>
      <c r="B385" s="3" t="s">
        <v>89</v>
      </c>
      <c r="C385" s="16" t="s">
        <v>2537</v>
      </c>
      <c r="H385" s="3" t="s">
        <v>2538</v>
      </c>
      <c r="I385" s="3" t="s">
        <v>2363</v>
      </c>
      <c r="K385" s="17" t="s">
        <v>2539</v>
      </c>
      <c r="L385" s="3">
        <v>0</v>
      </c>
      <c r="M385" s="3">
        <v>0</v>
      </c>
      <c r="N385" s="3">
        <v>0</v>
      </c>
      <c r="O385" s="3">
        <v>0</v>
      </c>
      <c r="P385" s="3">
        <v>0</v>
      </c>
      <c r="Q385" s="3">
        <v>0</v>
      </c>
      <c r="R385" s="3">
        <v>0</v>
      </c>
      <c r="S385" s="3">
        <v>0</v>
      </c>
      <c r="T385" s="3">
        <v>0</v>
      </c>
      <c r="U385" s="3">
        <v>0</v>
      </c>
      <c r="V385" s="3">
        <v>0</v>
      </c>
      <c r="W385" s="3">
        <v>0</v>
      </c>
      <c r="X385" s="3">
        <v>0</v>
      </c>
      <c r="Y385" s="3">
        <v>0</v>
      </c>
      <c r="Z385" s="3">
        <v>0</v>
      </c>
      <c r="AA385" s="3">
        <v>0</v>
      </c>
      <c r="AB385" s="3">
        <v>0</v>
      </c>
      <c r="AC385" s="3">
        <v>0</v>
      </c>
      <c r="AD385" s="3">
        <v>0</v>
      </c>
      <c r="AE385" s="3">
        <v>0</v>
      </c>
      <c r="AG385" s="17" t="s">
        <v>2540</v>
      </c>
      <c r="AH385" s="3">
        <v>0</v>
      </c>
      <c r="AI385" s="3">
        <v>0</v>
      </c>
      <c r="AJ385" s="3">
        <v>0</v>
      </c>
      <c r="AK385" s="3">
        <v>0</v>
      </c>
      <c r="AL385" s="3">
        <v>0</v>
      </c>
      <c r="AM385" s="3">
        <v>0</v>
      </c>
      <c r="AN385" s="3">
        <v>0</v>
      </c>
      <c r="AO385" s="3">
        <v>0</v>
      </c>
      <c r="AP385" s="3">
        <v>0</v>
      </c>
      <c r="AQ385" s="3">
        <v>0</v>
      </c>
      <c r="AR385" s="3">
        <v>0</v>
      </c>
      <c r="AS385" s="3">
        <v>0</v>
      </c>
      <c r="AT385" s="3">
        <v>0</v>
      </c>
      <c r="AU385" s="3">
        <v>0</v>
      </c>
      <c r="AV385" s="3">
        <v>0</v>
      </c>
      <c r="AW385" s="3">
        <v>0</v>
      </c>
      <c r="AX385" s="3">
        <v>0</v>
      </c>
      <c r="AY385" s="3">
        <v>0</v>
      </c>
      <c r="AZ385" s="3">
        <v>0</v>
      </c>
      <c r="BA385" s="3">
        <v>0</v>
      </c>
      <c r="BC385" s="17" t="s">
        <v>2541</v>
      </c>
      <c r="BD385" s="3">
        <v>0</v>
      </c>
      <c r="BE385" s="3">
        <v>0</v>
      </c>
      <c r="BF385" s="3">
        <v>0</v>
      </c>
      <c r="BG385" s="3">
        <v>0</v>
      </c>
      <c r="BH385" s="3">
        <v>0</v>
      </c>
      <c r="BI385" s="3">
        <v>0</v>
      </c>
      <c r="BJ385" s="3">
        <v>0</v>
      </c>
      <c r="BK385" s="3">
        <v>0</v>
      </c>
      <c r="BL385" s="3">
        <v>0</v>
      </c>
      <c r="BM385" s="3">
        <v>0</v>
      </c>
      <c r="BN385" s="3">
        <v>0</v>
      </c>
      <c r="BO385" s="3">
        <v>0</v>
      </c>
      <c r="BP385" s="3">
        <v>0</v>
      </c>
      <c r="BQ385" s="3">
        <v>0</v>
      </c>
      <c r="BR385" s="3">
        <v>0</v>
      </c>
      <c r="BS385" s="3">
        <v>0</v>
      </c>
      <c r="BT385" s="3">
        <v>0</v>
      </c>
      <c r="BU385" s="3">
        <v>0</v>
      </c>
      <c r="BV385" s="3">
        <v>0</v>
      </c>
      <c r="BW385" s="3">
        <v>0</v>
      </c>
      <c r="BY385" s="17" t="s">
        <v>2542</v>
      </c>
      <c r="BZ385" s="3">
        <v>0</v>
      </c>
      <c r="CA385" s="3">
        <v>0</v>
      </c>
      <c r="CB385" s="3">
        <v>0</v>
      </c>
      <c r="CC385" s="3">
        <v>0</v>
      </c>
      <c r="CD385" s="3">
        <v>0</v>
      </c>
      <c r="CE385" s="3">
        <v>0</v>
      </c>
      <c r="CF385" s="3">
        <v>0</v>
      </c>
      <c r="CG385" s="3">
        <v>0</v>
      </c>
      <c r="CH385" s="3">
        <v>0</v>
      </c>
      <c r="CI385" s="3">
        <v>0</v>
      </c>
      <c r="CJ385" s="3">
        <v>0</v>
      </c>
      <c r="CK385" s="3">
        <v>0</v>
      </c>
      <c r="CL385" s="3">
        <v>0</v>
      </c>
      <c r="CM385" s="3">
        <v>0</v>
      </c>
      <c r="CN385" s="3">
        <v>0</v>
      </c>
      <c r="CO385" s="3">
        <v>0</v>
      </c>
      <c r="CP385" s="3">
        <v>0</v>
      </c>
      <c r="CQ385" s="3">
        <v>0</v>
      </c>
      <c r="CR385" s="3">
        <v>0</v>
      </c>
      <c r="CS385" s="3">
        <v>0</v>
      </c>
      <c r="CU385" s="17" t="s">
        <v>2543</v>
      </c>
      <c r="CV385" s="3">
        <v>0</v>
      </c>
      <c r="CW385" s="3">
        <v>0</v>
      </c>
      <c r="CX385" s="3">
        <v>0</v>
      </c>
      <c r="CY385" s="3">
        <v>0</v>
      </c>
      <c r="CZ385" s="3">
        <v>0</v>
      </c>
      <c r="DA385" s="3">
        <v>0</v>
      </c>
      <c r="DB385" s="3">
        <v>0</v>
      </c>
      <c r="DC385" s="3">
        <v>0</v>
      </c>
      <c r="DD385" s="3">
        <v>0</v>
      </c>
      <c r="DE385" s="3">
        <v>0</v>
      </c>
      <c r="DF385" s="3">
        <v>0</v>
      </c>
      <c r="DG385" s="3">
        <v>0</v>
      </c>
      <c r="DH385" s="3">
        <v>0</v>
      </c>
      <c r="DI385" s="3">
        <v>0</v>
      </c>
      <c r="DJ385" s="3">
        <v>0</v>
      </c>
      <c r="DK385" s="3">
        <v>0</v>
      </c>
      <c r="DL385" s="3">
        <v>0</v>
      </c>
      <c r="DM385" s="3">
        <v>0</v>
      </c>
      <c r="DN385" s="3">
        <v>0</v>
      </c>
      <c r="DO385" s="3">
        <v>0</v>
      </c>
    </row>
    <row r="386" spans="1:119" x14ac:dyDescent="0.45">
      <c r="A386" s="16" t="s">
        <v>2544</v>
      </c>
      <c r="B386" s="3" t="s">
        <v>89</v>
      </c>
      <c r="C386" s="16" t="s">
        <v>2545</v>
      </c>
      <c r="H386" s="3" t="s">
        <v>2546</v>
      </c>
      <c r="I386" s="3" t="s">
        <v>2363</v>
      </c>
      <c r="K386" s="17" t="s">
        <v>2547</v>
      </c>
      <c r="L386" s="3">
        <v>0</v>
      </c>
      <c r="M386" s="3">
        <v>0</v>
      </c>
      <c r="N386" s="3">
        <v>0</v>
      </c>
      <c r="O386" s="3">
        <v>0</v>
      </c>
      <c r="P386" s="3">
        <v>0</v>
      </c>
      <c r="Q386" s="3">
        <v>0</v>
      </c>
      <c r="R386" s="3">
        <v>0</v>
      </c>
      <c r="S386" s="3">
        <v>0</v>
      </c>
      <c r="T386" s="3">
        <v>0</v>
      </c>
      <c r="U386" s="3">
        <v>0</v>
      </c>
      <c r="V386" s="3">
        <v>0</v>
      </c>
      <c r="W386" s="3">
        <v>0</v>
      </c>
      <c r="X386" s="3">
        <v>0</v>
      </c>
      <c r="Y386" s="3">
        <v>0</v>
      </c>
      <c r="Z386" s="3">
        <v>0</v>
      </c>
      <c r="AA386" s="3">
        <v>0</v>
      </c>
      <c r="AB386" s="3">
        <v>0</v>
      </c>
      <c r="AC386" s="3">
        <v>0</v>
      </c>
      <c r="AD386" s="3">
        <v>0</v>
      </c>
      <c r="AE386" s="3">
        <v>0</v>
      </c>
      <c r="AG386" s="17" t="s">
        <v>2548</v>
      </c>
      <c r="AH386" s="3">
        <v>0</v>
      </c>
      <c r="AI386" s="3">
        <v>0</v>
      </c>
      <c r="AJ386" s="3">
        <v>0</v>
      </c>
      <c r="AK386" s="3">
        <v>0</v>
      </c>
      <c r="AL386" s="3">
        <v>0</v>
      </c>
      <c r="AM386" s="3">
        <v>0</v>
      </c>
      <c r="AN386" s="3">
        <v>0</v>
      </c>
      <c r="AO386" s="3">
        <v>0</v>
      </c>
      <c r="AP386" s="3">
        <v>0</v>
      </c>
      <c r="AQ386" s="3">
        <v>0</v>
      </c>
      <c r="AR386" s="3">
        <v>0</v>
      </c>
      <c r="AS386" s="3">
        <v>0</v>
      </c>
      <c r="AT386" s="3">
        <v>0</v>
      </c>
      <c r="AU386" s="3">
        <v>0</v>
      </c>
      <c r="AV386" s="3">
        <v>0</v>
      </c>
      <c r="AW386" s="3">
        <v>0</v>
      </c>
      <c r="AX386" s="3">
        <v>0</v>
      </c>
      <c r="AY386" s="3">
        <v>0</v>
      </c>
      <c r="AZ386" s="3">
        <v>0</v>
      </c>
      <c r="BA386" s="3">
        <v>0</v>
      </c>
      <c r="BC386" s="17" t="s">
        <v>2549</v>
      </c>
      <c r="BD386" s="3">
        <v>0</v>
      </c>
      <c r="BE386" s="3">
        <v>0</v>
      </c>
      <c r="BF386" s="3">
        <v>0</v>
      </c>
      <c r="BG386" s="3">
        <v>0</v>
      </c>
      <c r="BH386" s="3">
        <v>0</v>
      </c>
      <c r="BI386" s="3">
        <v>0</v>
      </c>
      <c r="BJ386" s="3">
        <v>0</v>
      </c>
      <c r="BK386" s="3">
        <v>0</v>
      </c>
      <c r="BL386" s="3">
        <v>0</v>
      </c>
      <c r="BM386" s="3">
        <v>0</v>
      </c>
      <c r="BN386" s="3">
        <v>0</v>
      </c>
      <c r="BO386" s="3">
        <v>0</v>
      </c>
      <c r="BP386" s="3">
        <v>0</v>
      </c>
      <c r="BQ386" s="3">
        <v>0</v>
      </c>
      <c r="BR386" s="3">
        <v>0</v>
      </c>
      <c r="BS386" s="3">
        <v>0</v>
      </c>
      <c r="BT386" s="3">
        <v>0</v>
      </c>
      <c r="BU386" s="3">
        <v>0</v>
      </c>
      <c r="BV386" s="3">
        <v>0</v>
      </c>
      <c r="BW386" s="3">
        <v>0</v>
      </c>
      <c r="BY386" s="17" t="s">
        <v>2550</v>
      </c>
      <c r="BZ386" s="3">
        <v>0</v>
      </c>
      <c r="CA386" s="3">
        <v>0</v>
      </c>
      <c r="CB386" s="3">
        <v>0</v>
      </c>
      <c r="CC386" s="3">
        <v>0</v>
      </c>
      <c r="CD386" s="3">
        <v>0</v>
      </c>
      <c r="CE386" s="3">
        <v>0</v>
      </c>
      <c r="CF386" s="3">
        <v>0</v>
      </c>
      <c r="CG386" s="3">
        <v>0</v>
      </c>
      <c r="CH386" s="3">
        <v>0</v>
      </c>
      <c r="CI386" s="3">
        <v>0</v>
      </c>
      <c r="CJ386" s="3">
        <v>0</v>
      </c>
      <c r="CK386" s="3">
        <v>0</v>
      </c>
      <c r="CL386" s="3">
        <v>0</v>
      </c>
      <c r="CM386" s="3">
        <v>0</v>
      </c>
      <c r="CN386" s="3">
        <v>0</v>
      </c>
      <c r="CO386" s="3">
        <v>0</v>
      </c>
      <c r="CP386" s="3">
        <v>0</v>
      </c>
      <c r="CQ386" s="3">
        <v>0</v>
      </c>
      <c r="CR386" s="3">
        <v>0</v>
      </c>
      <c r="CS386" s="3">
        <v>0</v>
      </c>
      <c r="CU386" s="17" t="s">
        <v>2551</v>
      </c>
      <c r="CV386" s="3">
        <v>0</v>
      </c>
      <c r="CW386" s="3">
        <v>0</v>
      </c>
      <c r="CX386" s="3">
        <v>0</v>
      </c>
      <c r="CY386" s="3">
        <v>0</v>
      </c>
      <c r="CZ386" s="3">
        <v>0</v>
      </c>
      <c r="DA386" s="3">
        <v>0</v>
      </c>
      <c r="DB386" s="3">
        <v>0</v>
      </c>
      <c r="DC386" s="3">
        <v>0</v>
      </c>
      <c r="DD386" s="3">
        <v>0</v>
      </c>
      <c r="DE386" s="3">
        <v>0</v>
      </c>
      <c r="DF386" s="3">
        <v>0</v>
      </c>
      <c r="DG386" s="3">
        <v>0</v>
      </c>
      <c r="DH386" s="3">
        <v>0</v>
      </c>
      <c r="DI386" s="3">
        <v>0</v>
      </c>
      <c r="DJ386" s="3">
        <v>0</v>
      </c>
      <c r="DK386" s="3">
        <v>0</v>
      </c>
      <c r="DL386" s="3">
        <v>0</v>
      </c>
      <c r="DM386" s="3">
        <v>0</v>
      </c>
      <c r="DN386" s="3">
        <v>0</v>
      </c>
      <c r="DO386" s="3">
        <v>0</v>
      </c>
    </row>
    <row r="387" spans="1:119" x14ac:dyDescent="0.45">
      <c r="A387" s="11"/>
      <c r="B387" s="3" t="s">
        <v>89</v>
      </c>
      <c r="C387" s="16" t="s">
        <v>2552</v>
      </c>
      <c r="H387" s="11" t="s">
        <v>2553</v>
      </c>
      <c r="I387" s="11" t="s">
        <v>2363</v>
      </c>
    </row>
    <row r="388" spans="1:119" x14ac:dyDescent="0.45">
      <c r="A388" s="16" t="s">
        <v>2554</v>
      </c>
      <c r="B388" s="3" t="s">
        <v>89</v>
      </c>
      <c r="C388" s="16" t="s">
        <v>2555</v>
      </c>
      <c r="H388" s="3" t="s">
        <v>2556</v>
      </c>
      <c r="I388" s="3" t="s">
        <v>2363</v>
      </c>
      <c r="K388" s="17" t="s">
        <v>2557</v>
      </c>
      <c r="L388" s="3">
        <v>10089.051693375681</v>
      </c>
      <c r="M388" s="3">
        <v>9806.1226332485567</v>
      </c>
      <c r="N388" s="3">
        <v>11513.826034363459</v>
      </c>
      <c r="O388" s="3">
        <v>11737.893549682951</v>
      </c>
      <c r="P388" s="3">
        <v>11952.756777359269</v>
      </c>
      <c r="Q388" s="3">
        <v>12210.731315020361</v>
      </c>
      <c r="R388" s="3">
        <v>12521.071609816179</v>
      </c>
      <c r="S388" s="3">
        <v>12812.535134638611</v>
      </c>
      <c r="T388" s="3">
        <v>13078.680608324459</v>
      </c>
      <c r="U388" s="3">
        <v>13344.161405855901</v>
      </c>
      <c r="V388" s="3">
        <v>13610.06156419485</v>
      </c>
      <c r="W388" s="3">
        <v>13876.276133551621</v>
      </c>
      <c r="X388" s="3">
        <v>14142.70114823205</v>
      </c>
      <c r="Y388" s="3">
        <v>14409.23359410269</v>
      </c>
      <c r="Z388" s="3">
        <v>14675.77136591747</v>
      </c>
      <c r="AA388" s="3">
        <v>14942.213215024431</v>
      </c>
      <c r="AB388" s="3">
        <v>15208.458687955979</v>
      </c>
      <c r="AC388" s="3">
        <v>15474.40805638995</v>
      </c>
      <c r="AD388" s="3">
        <v>15739.96223894924</v>
      </c>
      <c r="AE388" s="3">
        <v>16005.02271528944</v>
      </c>
      <c r="AG388" s="17" t="s">
        <v>2558</v>
      </c>
      <c r="AH388" s="3">
        <v>10089.051693375681</v>
      </c>
      <c r="AI388" s="3">
        <v>9806.1226332485567</v>
      </c>
      <c r="AJ388" s="3">
        <v>11513.826034363459</v>
      </c>
      <c r="AK388" s="3">
        <v>11737.893549682951</v>
      </c>
      <c r="AL388" s="3">
        <v>11952.756777359269</v>
      </c>
      <c r="AM388" s="3">
        <v>11095.80041521342</v>
      </c>
      <c r="AN388" s="3">
        <v>11377.80303014417</v>
      </c>
      <c r="AO388" s="3">
        <v>11646.71082267515</v>
      </c>
      <c r="AP388" s="3">
        <v>11879.33831289358</v>
      </c>
      <c r="AQ388" s="3">
        <v>12122.10438181974</v>
      </c>
      <c r="AR388" s="3">
        <v>12359.815064100059</v>
      </c>
      <c r="AS388" s="3">
        <v>12606.70039606767</v>
      </c>
      <c r="AT388" s="3">
        <v>12858.131734649811</v>
      </c>
      <c r="AU388" s="3">
        <v>13107.72799772245</v>
      </c>
      <c r="AV388" s="3">
        <v>13359.27567159773</v>
      </c>
      <c r="AW388" s="3">
        <v>13615.1995672501</v>
      </c>
      <c r="AX388" s="3">
        <v>13867.01676237283</v>
      </c>
      <c r="AY388" s="3">
        <v>14116.46067539037</v>
      </c>
      <c r="AZ388" s="3">
        <v>14360.459323393919</v>
      </c>
      <c r="BA388" s="3">
        <v>14602.55334596094</v>
      </c>
      <c r="BC388" s="17" t="s">
        <v>2559</v>
      </c>
      <c r="BD388" s="3">
        <v>10089.051693375681</v>
      </c>
      <c r="BE388" s="3">
        <v>9806.1226332485567</v>
      </c>
      <c r="BF388" s="3">
        <v>11513.826034363459</v>
      </c>
      <c r="BG388" s="3">
        <v>11737.893549682951</v>
      </c>
      <c r="BH388" s="3">
        <v>11952.756777359269</v>
      </c>
      <c r="BI388" s="3">
        <v>11397.662288900279</v>
      </c>
      <c r="BJ388" s="3">
        <v>10805.497597617081</v>
      </c>
      <c r="BK388" s="3">
        <v>10338.84648040996</v>
      </c>
      <c r="BL388" s="3">
        <v>9945.3001297735136</v>
      </c>
      <c r="BM388" s="3">
        <v>9748.8414121514234</v>
      </c>
      <c r="BN388" s="3">
        <v>9579.3430401892565</v>
      </c>
      <c r="BO388" s="3">
        <v>9435.9672984266908</v>
      </c>
      <c r="BP388" s="3">
        <v>9316.5416655877634</v>
      </c>
      <c r="BQ388" s="3">
        <v>9216.1894050064057</v>
      </c>
      <c r="BR388" s="3">
        <v>9132.1190190053476</v>
      </c>
      <c r="BS388" s="3">
        <v>9063.3227009690308</v>
      </c>
      <c r="BT388" s="3">
        <v>9006.3235041381322</v>
      </c>
      <c r="BU388" s="3">
        <v>8958.6459505889252</v>
      </c>
      <c r="BV388" s="3">
        <v>8916.8047892691629</v>
      </c>
      <c r="BW388" s="3">
        <v>8879.4091607382543</v>
      </c>
      <c r="BY388" s="17" t="s">
        <v>2560</v>
      </c>
      <c r="BZ388" s="3">
        <v>10089.051693375681</v>
      </c>
      <c r="CA388" s="3">
        <v>9806.1226332485567</v>
      </c>
      <c r="CB388" s="3">
        <v>11513.826034363459</v>
      </c>
      <c r="CC388" s="3">
        <v>11737.893549682951</v>
      </c>
      <c r="CD388" s="3">
        <v>11952.756777359269</v>
      </c>
      <c r="CE388" s="3">
        <v>10861.19689144619</v>
      </c>
      <c r="CF388" s="3">
        <v>11137.231131288399</v>
      </c>
      <c r="CG388" s="3">
        <v>11399.864107556539</v>
      </c>
      <c r="CH388" s="3">
        <v>11628.121652448781</v>
      </c>
      <c r="CI388" s="3">
        <v>11867.573306593689</v>
      </c>
      <c r="CJ388" s="3">
        <v>12099.8249385001</v>
      </c>
      <c r="CK388" s="3">
        <v>12342.13644532272</v>
      </c>
      <c r="CL388" s="3">
        <v>12585.185154431931</v>
      </c>
      <c r="CM388" s="3">
        <v>12827.072220227259</v>
      </c>
      <c r="CN388" s="3">
        <v>13070.768131916861</v>
      </c>
      <c r="CO388" s="3">
        <v>13317.648541728089</v>
      </c>
      <c r="CP388" s="3">
        <v>13560.78417185893</v>
      </c>
      <c r="CQ388" s="3">
        <v>13802.926252903309</v>
      </c>
      <c r="CR388" s="3">
        <v>14040.78866246731</v>
      </c>
      <c r="CS388" s="3">
        <v>14278.70300670858</v>
      </c>
      <c r="CU388" s="17" t="s">
        <v>2561</v>
      </c>
      <c r="CV388" s="3">
        <v>10089.051693375681</v>
      </c>
      <c r="CW388" s="3">
        <v>9806.1226332485567</v>
      </c>
      <c r="CX388" s="3">
        <v>11513.826034363459</v>
      </c>
      <c r="CY388" s="3">
        <v>11737.893549682951</v>
      </c>
      <c r="CZ388" s="3">
        <v>11952.756777359269</v>
      </c>
      <c r="DA388" s="3">
        <v>9875.0750192597225</v>
      </c>
      <c r="DB388" s="3">
        <v>10126.05111264878</v>
      </c>
      <c r="DC388" s="3">
        <v>10369.49365711401</v>
      </c>
      <c r="DD388" s="3">
        <v>10566.88631983608</v>
      </c>
      <c r="DE388" s="3">
        <v>10785.317521736441</v>
      </c>
      <c r="DF388" s="3">
        <v>10992.303045402479</v>
      </c>
      <c r="DG388" s="3">
        <v>11217.665570451751</v>
      </c>
      <c r="DH388" s="3">
        <v>11450.189741524009</v>
      </c>
      <c r="DI388" s="3">
        <v>11679.589108235299</v>
      </c>
      <c r="DJ388" s="3">
        <v>11912.5370838774</v>
      </c>
      <c r="DK388" s="3">
        <v>12153.90478996298</v>
      </c>
      <c r="DL388" s="3">
        <v>12387.422513333609</v>
      </c>
      <c r="DM388" s="3">
        <v>12617.20272180229</v>
      </c>
      <c r="DN388" s="3">
        <v>12837.073631922631</v>
      </c>
      <c r="DO388" s="3">
        <v>13054.13630120018</v>
      </c>
    </row>
    <row r="389" spans="1:119" x14ac:dyDescent="0.45">
      <c r="A389" s="16" t="s">
        <v>2562</v>
      </c>
      <c r="B389" s="3" t="s">
        <v>89</v>
      </c>
      <c r="C389" s="16" t="s">
        <v>2563</v>
      </c>
      <c r="H389" s="3" t="s">
        <v>2564</v>
      </c>
      <c r="I389" s="3" t="s">
        <v>2363</v>
      </c>
      <c r="K389" s="17" t="s">
        <v>2565</v>
      </c>
      <c r="L389" s="3">
        <v>874.12469728535962</v>
      </c>
      <c r="M389" s="3">
        <v>1043.59285685189</v>
      </c>
      <c r="N389" s="3">
        <v>1317.809745538995</v>
      </c>
      <c r="O389" s="3">
        <v>1344.9282538635321</v>
      </c>
      <c r="P389" s="3">
        <v>1371.3080636854379</v>
      </c>
      <c r="Q389" s="3">
        <v>1401.954783148595</v>
      </c>
      <c r="R389" s="3">
        <v>1437.7658910303201</v>
      </c>
      <c r="S389" s="3">
        <v>1471.929923008747</v>
      </c>
      <c r="T389" s="3">
        <v>1503.830323220541</v>
      </c>
      <c r="U389" s="3">
        <v>1535.8281169551899</v>
      </c>
      <c r="V389" s="3">
        <v>1568.029635045657</v>
      </c>
      <c r="W389" s="3">
        <v>1600.427305617465</v>
      </c>
      <c r="X389" s="3">
        <v>1633.0135723157621</v>
      </c>
      <c r="Y389" s="3">
        <v>1665.7808885415579</v>
      </c>
      <c r="Z389" s="3">
        <v>1698.721710819342</v>
      </c>
      <c r="AA389" s="3">
        <v>1731.828491325738</v>
      </c>
      <c r="AB389" s="3">
        <v>1765.09366960695</v>
      </c>
      <c r="AC389" s="3">
        <v>1798.509663510865</v>
      </c>
      <c r="AD389" s="3">
        <v>1832.0688593576219</v>
      </c>
      <c r="AE389" s="3">
        <v>1865.763601370438</v>
      </c>
      <c r="AG389" s="17" t="s">
        <v>2566</v>
      </c>
      <c r="AH389" s="3">
        <v>874.12469728535962</v>
      </c>
      <c r="AI389" s="3">
        <v>1043.59285685189</v>
      </c>
      <c r="AJ389" s="3">
        <v>1317.809745538995</v>
      </c>
      <c r="AK389" s="3">
        <v>1344.9282538635321</v>
      </c>
      <c r="AL389" s="3">
        <v>1371.3080636854379</v>
      </c>
      <c r="AM389" s="3">
        <v>1141.384875662678</v>
      </c>
      <c r="AN389" s="3">
        <v>1170.539953828127</v>
      </c>
      <c r="AO389" s="3">
        <v>1198.7021730593201</v>
      </c>
      <c r="AP389" s="3">
        <v>1223.8825445992791</v>
      </c>
      <c r="AQ389" s="3">
        <v>1250.0638534249219</v>
      </c>
      <c r="AR389" s="3">
        <v>1275.943590434473</v>
      </c>
      <c r="AS389" s="3">
        <v>1302.7477749965039</v>
      </c>
      <c r="AT389" s="3">
        <v>1330.0818143170279</v>
      </c>
      <c r="AU389" s="3">
        <v>1357.398286165698</v>
      </c>
      <c r="AV389" s="3">
        <v>1385.0257739436761</v>
      </c>
      <c r="AW389" s="3">
        <v>1413.176546841614</v>
      </c>
      <c r="AX389" s="3">
        <v>1441.119279611408</v>
      </c>
      <c r="AY389" s="3">
        <v>1469.0048498187141</v>
      </c>
      <c r="AZ389" s="3">
        <v>1496.567476449816</v>
      </c>
      <c r="BA389" s="3">
        <v>1524.1147904980301</v>
      </c>
      <c r="BC389" s="17" t="s">
        <v>2567</v>
      </c>
      <c r="BD389" s="3">
        <v>874.12469728535962</v>
      </c>
      <c r="BE389" s="3">
        <v>1043.59285685189</v>
      </c>
      <c r="BF389" s="3">
        <v>1317.809745538995</v>
      </c>
      <c r="BG389" s="3">
        <v>1344.9282538635321</v>
      </c>
      <c r="BH389" s="3">
        <v>1371.3080636854379</v>
      </c>
      <c r="BI389" s="3">
        <v>1258.6966186506229</v>
      </c>
      <c r="BJ389" s="3">
        <v>1135.147081673367</v>
      </c>
      <c r="BK389" s="3">
        <v>1036.436524730439</v>
      </c>
      <c r="BL389" s="3">
        <v>954.66061620731227</v>
      </c>
      <c r="BM389" s="3">
        <v>887.14418124159272</v>
      </c>
      <c r="BN389" s="3">
        <v>830.41202758186989</v>
      </c>
      <c r="BO389" s="3">
        <v>782.35996315720456</v>
      </c>
      <c r="BP389" s="3">
        <v>741.32904123316007</v>
      </c>
      <c r="BQ389" s="3">
        <v>705.87147475944732</v>
      </c>
      <c r="BR389" s="3">
        <v>674.96622022560018</v>
      </c>
      <c r="BS389" s="3">
        <v>647.90058332113176</v>
      </c>
      <c r="BT389" s="3">
        <v>623.95721138650993</v>
      </c>
      <c r="BU389" s="3">
        <v>602.5960956427574</v>
      </c>
      <c r="BV389" s="3">
        <v>583.30985287097781</v>
      </c>
      <c r="BW389" s="3">
        <v>565.77676090463103</v>
      </c>
      <c r="BY389" s="17" t="s">
        <v>2568</v>
      </c>
      <c r="BZ389" s="3">
        <v>874.12469728535962</v>
      </c>
      <c r="CA389" s="3">
        <v>1043.59285685189</v>
      </c>
      <c r="CB389" s="3">
        <v>1317.809745538995</v>
      </c>
      <c r="CC389" s="3">
        <v>1344.9282538635321</v>
      </c>
      <c r="CD389" s="3">
        <v>1371.3080636854379</v>
      </c>
      <c r="CE389" s="3">
        <v>1090.3682432037001</v>
      </c>
      <c r="CF389" s="3">
        <v>1118.219682106178</v>
      </c>
      <c r="CG389" s="3">
        <v>1145.073813652326</v>
      </c>
      <c r="CH389" s="3">
        <v>1169.1746115621961</v>
      </c>
      <c r="CI389" s="3">
        <v>1194.3381987526229</v>
      </c>
      <c r="CJ389" s="3">
        <v>1219.024989986674</v>
      </c>
      <c r="CK389" s="3">
        <v>1244.685523857351</v>
      </c>
      <c r="CL389" s="3">
        <v>1270.5400020925799</v>
      </c>
      <c r="CM389" s="3">
        <v>1296.4305846714201</v>
      </c>
      <c r="CN389" s="3">
        <v>1322.6092624712151</v>
      </c>
      <c r="CO389" s="3">
        <v>1349.1945403179179</v>
      </c>
      <c r="CP389" s="3">
        <v>1375.603493193888</v>
      </c>
      <c r="CQ389" s="3">
        <v>1402.069544960669</v>
      </c>
      <c r="CR389" s="3">
        <v>1428.3155065934279</v>
      </c>
      <c r="CS389" s="3">
        <v>1454.7091894521441</v>
      </c>
      <c r="CU389" s="17" t="s">
        <v>2569</v>
      </c>
      <c r="CV389" s="3">
        <v>874.12469728535962</v>
      </c>
      <c r="CW389" s="3">
        <v>1043.59285685189</v>
      </c>
      <c r="CX389" s="3">
        <v>1317.809745538995</v>
      </c>
      <c r="CY389" s="3">
        <v>1344.9282538635321</v>
      </c>
      <c r="CZ389" s="3">
        <v>1371.3080636854379</v>
      </c>
      <c r="DA389" s="3">
        <v>890.019752580881</v>
      </c>
      <c r="DB389" s="3">
        <v>912.7539501117418</v>
      </c>
      <c r="DC389" s="3">
        <v>935.02358689440348</v>
      </c>
      <c r="DD389" s="3">
        <v>953.93354318547847</v>
      </c>
      <c r="DE389" s="3">
        <v>974.52732240583566</v>
      </c>
      <c r="DF389" s="3">
        <v>994.36264423173384</v>
      </c>
      <c r="DG389" s="3">
        <v>1015.6886817635969</v>
      </c>
      <c r="DH389" s="3">
        <v>1037.664020311692</v>
      </c>
      <c r="DI389" s="3">
        <v>1059.514265991236</v>
      </c>
      <c r="DJ389" s="3">
        <v>1081.745363786948</v>
      </c>
      <c r="DK389" s="3">
        <v>1104.7287648723491</v>
      </c>
      <c r="DL389" s="3">
        <v>1127.234431708694</v>
      </c>
      <c r="DM389" s="3">
        <v>1149.5741882397799</v>
      </c>
      <c r="DN389" s="3">
        <v>1171.2792408679429</v>
      </c>
      <c r="DO389" s="3">
        <v>1192.888507575512</v>
      </c>
    </row>
    <row r="390" spans="1:119" x14ac:dyDescent="0.45">
      <c r="A390" s="16" t="s">
        <v>2570</v>
      </c>
      <c r="B390" s="3" t="s">
        <v>89</v>
      </c>
      <c r="C390" s="16" t="s">
        <v>2571</v>
      </c>
      <c r="H390" s="3" t="s">
        <v>2572</v>
      </c>
      <c r="I390" s="3" t="s">
        <v>2363</v>
      </c>
      <c r="K390" s="17" t="s">
        <v>2573</v>
      </c>
      <c r="L390" s="3">
        <v>4404.1659339908583</v>
      </c>
      <c r="M390" s="3">
        <v>5258.0096677017591</v>
      </c>
      <c r="N390" s="3">
        <v>6639.6165293214744</v>
      </c>
      <c r="O390" s="3">
        <v>6776.249678933289</v>
      </c>
      <c r="P390" s="3">
        <v>6909.1609902411656</v>
      </c>
      <c r="Q390" s="3">
        <v>7063.5705822220079</v>
      </c>
      <c r="R390" s="3">
        <v>7244.0002873670119</v>
      </c>
      <c r="S390" s="3">
        <v>7416.131410391492</v>
      </c>
      <c r="T390" s="3">
        <v>7576.857513120055</v>
      </c>
      <c r="U390" s="3">
        <v>7738.0743207067189</v>
      </c>
      <c r="V390" s="3">
        <v>7900.3175675080684</v>
      </c>
      <c r="W390" s="3">
        <v>8063.549103599119</v>
      </c>
      <c r="X390" s="3">
        <v>8227.7308572485472</v>
      </c>
      <c r="Y390" s="3">
        <v>8392.8248058786758</v>
      </c>
      <c r="Z390" s="3">
        <v>8558.792942649101</v>
      </c>
      <c r="AA390" s="3">
        <v>8725.5972388132468</v>
      </c>
      <c r="AB390" s="3">
        <v>8893.1996019877752</v>
      </c>
      <c r="AC390" s="3">
        <v>9061.5618304651452</v>
      </c>
      <c r="AD390" s="3">
        <v>9230.6455636892697</v>
      </c>
      <c r="AE390" s="3">
        <v>9400.4122290040832</v>
      </c>
      <c r="AG390" s="17" t="s">
        <v>2574</v>
      </c>
      <c r="AH390" s="3">
        <v>4404.1659339908583</v>
      </c>
      <c r="AI390" s="3">
        <v>5258.0096677017591</v>
      </c>
      <c r="AJ390" s="3">
        <v>6639.6165293214744</v>
      </c>
      <c r="AK390" s="3">
        <v>6776.249678933289</v>
      </c>
      <c r="AL390" s="3">
        <v>6909.1609902411656</v>
      </c>
      <c r="AM390" s="3">
        <v>5773.5816812242992</v>
      </c>
      <c r="AN390" s="3">
        <v>5921.0597395023779</v>
      </c>
      <c r="AO390" s="3">
        <v>6063.5155197767053</v>
      </c>
      <c r="AP390" s="3">
        <v>6190.8879205763214</v>
      </c>
      <c r="AQ390" s="3">
        <v>6323.3234629155731</v>
      </c>
      <c r="AR390" s="3">
        <v>6454.2335342677052</v>
      </c>
      <c r="AS390" s="3">
        <v>6589.819831464476</v>
      </c>
      <c r="AT390" s="3">
        <v>6728.0863461694444</v>
      </c>
      <c r="AU390" s="3">
        <v>6866.2639975682268</v>
      </c>
      <c r="AV390" s="3">
        <v>7006.0148920599513</v>
      </c>
      <c r="AW390" s="3">
        <v>7148.4127721978621</v>
      </c>
      <c r="AX390" s="3">
        <v>7289.7583020738948</v>
      </c>
      <c r="AY390" s="3">
        <v>7430.8146808224928</v>
      </c>
      <c r="AZ390" s="3">
        <v>7570.2374816646361</v>
      </c>
      <c r="BA390" s="3">
        <v>7709.5828253317886</v>
      </c>
      <c r="BC390" s="17" t="s">
        <v>2575</v>
      </c>
      <c r="BD390" s="3">
        <v>4404.1659339908583</v>
      </c>
      <c r="BE390" s="3">
        <v>5258.0096677017591</v>
      </c>
      <c r="BF390" s="3">
        <v>6639.6165293214744</v>
      </c>
      <c r="BG390" s="3">
        <v>6776.249678933289</v>
      </c>
      <c r="BH390" s="3">
        <v>6909.1609902411656</v>
      </c>
      <c r="BI390" s="3">
        <v>6250.4617318116034</v>
      </c>
      <c r="BJ390" s="3">
        <v>5554.5279405335132</v>
      </c>
      <c r="BK390" s="3">
        <v>5015.023412776216</v>
      </c>
      <c r="BL390" s="3">
        <v>4578.8156360159846</v>
      </c>
      <c r="BM390" s="3">
        <v>4279.3785453233786</v>
      </c>
      <c r="BN390" s="3">
        <v>4025.2818397302899</v>
      </c>
      <c r="BO390" s="3">
        <v>3808.332521417834</v>
      </c>
      <c r="BP390" s="3">
        <v>3621.8490719431429</v>
      </c>
      <c r="BQ390" s="3">
        <v>3459.744914659349</v>
      </c>
      <c r="BR390" s="3">
        <v>3317.7253443501122</v>
      </c>
      <c r="BS390" s="3">
        <v>3192.811408312702</v>
      </c>
      <c r="BT390" s="3">
        <v>3081.8622891288178</v>
      </c>
      <c r="BU390" s="3">
        <v>2982.5089616934729</v>
      </c>
      <c r="BV390" s="3">
        <v>2892.4689018404069</v>
      </c>
      <c r="BW390" s="3">
        <v>2810.3239968352818</v>
      </c>
      <c r="BY390" s="17" t="s">
        <v>2576</v>
      </c>
      <c r="BZ390" s="3">
        <v>4404.1659339908583</v>
      </c>
      <c r="CA390" s="3">
        <v>5258.0096677017591</v>
      </c>
      <c r="CB390" s="3">
        <v>6639.6165293214744</v>
      </c>
      <c r="CC390" s="3">
        <v>6776.249678933289</v>
      </c>
      <c r="CD390" s="3">
        <v>6909.1609902411656</v>
      </c>
      <c r="CE390" s="3">
        <v>5519.8459473211806</v>
      </c>
      <c r="CF390" s="3">
        <v>5660.8401968429771</v>
      </c>
      <c r="CG390" s="3">
        <v>5796.7857089282397</v>
      </c>
      <c r="CH390" s="3">
        <v>5918.7928312919012</v>
      </c>
      <c r="CI390" s="3">
        <v>6046.1801847286006</v>
      </c>
      <c r="CJ390" s="3">
        <v>6171.1538212912928</v>
      </c>
      <c r="CK390" s="3">
        <v>6301.0569019936274</v>
      </c>
      <c r="CL390" s="3">
        <v>6431.9418005555272</v>
      </c>
      <c r="CM390" s="3">
        <v>6563.0094726125326</v>
      </c>
      <c r="CN390" s="3">
        <v>6695.5355888673948</v>
      </c>
      <c r="CO390" s="3">
        <v>6830.1200644289393</v>
      </c>
      <c r="CP390" s="3">
        <v>6963.8119179967844</v>
      </c>
      <c r="CQ390" s="3">
        <v>7097.7928271960709</v>
      </c>
      <c r="CR390" s="3">
        <v>7230.6595590136294</v>
      </c>
      <c r="CS390" s="3">
        <v>7364.2741101257407</v>
      </c>
      <c r="CU390" s="17" t="s">
        <v>2577</v>
      </c>
      <c r="CV390" s="3">
        <v>4404.1659339908583</v>
      </c>
      <c r="CW390" s="3">
        <v>5258.0096677017591</v>
      </c>
      <c r="CX390" s="3">
        <v>6639.6165293214744</v>
      </c>
      <c r="CY390" s="3">
        <v>6776.249678933289</v>
      </c>
      <c r="CZ390" s="3">
        <v>6909.1609902411656</v>
      </c>
      <c r="DA390" s="3">
        <v>4519.626155066695</v>
      </c>
      <c r="DB390" s="3">
        <v>4635.0731139425807</v>
      </c>
      <c r="DC390" s="3">
        <v>4748.1609780881636</v>
      </c>
      <c r="DD390" s="3">
        <v>4844.1879851253416</v>
      </c>
      <c r="DE390" s="3">
        <v>4948.7656452571464</v>
      </c>
      <c r="DF390" s="3">
        <v>5049.4917685353466</v>
      </c>
      <c r="DG390" s="3">
        <v>5157.7879234616221</v>
      </c>
      <c r="DH390" s="3">
        <v>5269.3813061707206</v>
      </c>
      <c r="DI390" s="3">
        <v>5380.3394524158266</v>
      </c>
      <c r="DJ390" s="3">
        <v>5493.2316110021738</v>
      </c>
      <c r="DK390" s="3">
        <v>5609.9440551661883</v>
      </c>
      <c r="DL390" s="3">
        <v>5724.2305079958078</v>
      </c>
      <c r="DM390" s="3">
        <v>5837.6744485633426</v>
      </c>
      <c r="DN390" s="3">
        <v>5947.895287225494</v>
      </c>
      <c r="DO390" s="3">
        <v>6057.6297135908944</v>
      </c>
    </row>
    <row r="391" spans="1:119" x14ac:dyDescent="0.45">
      <c r="A391" s="16" t="s">
        <v>2578</v>
      </c>
      <c r="B391" s="3" t="s">
        <v>89</v>
      </c>
      <c r="C391" s="16" t="s">
        <v>2579</v>
      </c>
      <c r="H391" s="3" t="s">
        <v>2580</v>
      </c>
      <c r="I391" s="3" t="s">
        <v>2363</v>
      </c>
      <c r="K391" s="17" t="s">
        <v>2581</v>
      </c>
      <c r="L391" s="3">
        <v>0</v>
      </c>
      <c r="M391" s="3">
        <v>0</v>
      </c>
      <c r="N391" s="3">
        <v>0</v>
      </c>
      <c r="O391" s="3">
        <v>0</v>
      </c>
      <c r="P391" s="3">
        <v>0</v>
      </c>
      <c r="Q391" s="3">
        <v>0</v>
      </c>
      <c r="R391" s="3">
        <v>0</v>
      </c>
      <c r="S391" s="3">
        <v>0</v>
      </c>
      <c r="T391" s="3">
        <v>0</v>
      </c>
      <c r="U391" s="3">
        <v>0</v>
      </c>
      <c r="V391" s="3">
        <v>0</v>
      </c>
      <c r="W391" s="3">
        <v>0</v>
      </c>
      <c r="X391" s="3">
        <v>0</v>
      </c>
      <c r="Y391" s="3">
        <v>0</v>
      </c>
      <c r="Z391" s="3">
        <v>0</v>
      </c>
      <c r="AA391" s="3">
        <v>0</v>
      </c>
      <c r="AB391" s="3">
        <v>0</v>
      </c>
      <c r="AC391" s="3">
        <v>0</v>
      </c>
      <c r="AD391" s="3">
        <v>0</v>
      </c>
      <c r="AE391" s="3">
        <v>0</v>
      </c>
      <c r="AG391" s="17" t="s">
        <v>2582</v>
      </c>
      <c r="AH391" s="3">
        <v>0</v>
      </c>
      <c r="AI391" s="3">
        <v>0</v>
      </c>
      <c r="AJ391" s="3">
        <v>0</v>
      </c>
      <c r="AK391" s="3">
        <v>0</v>
      </c>
      <c r="AL391" s="3">
        <v>0</v>
      </c>
      <c r="AM391" s="3">
        <v>0</v>
      </c>
      <c r="AN391" s="3">
        <v>0</v>
      </c>
      <c r="AO391" s="3">
        <v>0</v>
      </c>
      <c r="AP391" s="3">
        <v>0</v>
      </c>
      <c r="AQ391" s="3">
        <v>0</v>
      </c>
      <c r="AR391" s="3">
        <v>0</v>
      </c>
      <c r="AS391" s="3">
        <v>0</v>
      </c>
      <c r="AT391" s="3">
        <v>0</v>
      </c>
      <c r="AU391" s="3">
        <v>0</v>
      </c>
      <c r="AV391" s="3">
        <v>0</v>
      </c>
      <c r="AW391" s="3">
        <v>0</v>
      </c>
      <c r="AX391" s="3">
        <v>0</v>
      </c>
      <c r="AY391" s="3">
        <v>0</v>
      </c>
      <c r="AZ391" s="3">
        <v>0</v>
      </c>
      <c r="BA391" s="3">
        <v>0</v>
      </c>
      <c r="BC391" s="17" t="s">
        <v>2583</v>
      </c>
      <c r="BD391" s="3">
        <v>0</v>
      </c>
      <c r="BE391" s="3">
        <v>0</v>
      </c>
      <c r="BF391" s="3">
        <v>0</v>
      </c>
      <c r="BG391" s="3">
        <v>0</v>
      </c>
      <c r="BH391" s="3">
        <v>0</v>
      </c>
      <c r="BI391" s="3">
        <v>0</v>
      </c>
      <c r="BJ391" s="3">
        <v>0</v>
      </c>
      <c r="BK391" s="3">
        <v>0</v>
      </c>
      <c r="BL391" s="3">
        <v>0</v>
      </c>
      <c r="BM391" s="3">
        <v>0</v>
      </c>
      <c r="BN391" s="3">
        <v>0</v>
      </c>
      <c r="BO391" s="3">
        <v>0</v>
      </c>
      <c r="BP391" s="3">
        <v>0</v>
      </c>
      <c r="BQ391" s="3">
        <v>0</v>
      </c>
      <c r="BR391" s="3">
        <v>0</v>
      </c>
      <c r="BS391" s="3">
        <v>0</v>
      </c>
      <c r="BT391" s="3">
        <v>0</v>
      </c>
      <c r="BU391" s="3">
        <v>0</v>
      </c>
      <c r="BV391" s="3">
        <v>0</v>
      </c>
      <c r="BW391" s="3">
        <v>0</v>
      </c>
      <c r="BY391" s="17" t="s">
        <v>2584</v>
      </c>
      <c r="BZ391" s="3">
        <v>0</v>
      </c>
      <c r="CA391" s="3">
        <v>0</v>
      </c>
      <c r="CB391" s="3">
        <v>0</v>
      </c>
      <c r="CC391" s="3">
        <v>0</v>
      </c>
      <c r="CD391" s="3">
        <v>0</v>
      </c>
      <c r="CE391" s="3">
        <v>0</v>
      </c>
      <c r="CF391" s="3">
        <v>0</v>
      </c>
      <c r="CG391" s="3">
        <v>0</v>
      </c>
      <c r="CH391" s="3">
        <v>0</v>
      </c>
      <c r="CI391" s="3">
        <v>0</v>
      </c>
      <c r="CJ391" s="3">
        <v>0</v>
      </c>
      <c r="CK391" s="3">
        <v>0</v>
      </c>
      <c r="CL391" s="3">
        <v>0</v>
      </c>
      <c r="CM391" s="3">
        <v>0</v>
      </c>
      <c r="CN391" s="3">
        <v>0</v>
      </c>
      <c r="CO391" s="3">
        <v>0</v>
      </c>
      <c r="CP391" s="3">
        <v>0</v>
      </c>
      <c r="CQ391" s="3">
        <v>0</v>
      </c>
      <c r="CR391" s="3">
        <v>0</v>
      </c>
      <c r="CS391" s="3">
        <v>0</v>
      </c>
      <c r="CU391" s="17" t="s">
        <v>2585</v>
      </c>
      <c r="CV391" s="3">
        <v>0</v>
      </c>
      <c r="CW391" s="3">
        <v>0</v>
      </c>
      <c r="CX391" s="3">
        <v>0</v>
      </c>
      <c r="CY391" s="3">
        <v>0</v>
      </c>
      <c r="CZ391" s="3">
        <v>0</v>
      </c>
      <c r="DA391" s="3">
        <v>0</v>
      </c>
      <c r="DB391" s="3">
        <v>0</v>
      </c>
      <c r="DC391" s="3">
        <v>0</v>
      </c>
      <c r="DD391" s="3">
        <v>0</v>
      </c>
      <c r="DE391" s="3">
        <v>0</v>
      </c>
      <c r="DF391" s="3">
        <v>0</v>
      </c>
      <c r="DG391" s="3">
        <v>0</v>
      </c>
      <c r="DH391" s="3">
        <v>0</v>
      </c>
      <c r="DI391" s="3">
        <v>0</v>
      </c>
      <c r="DJ391" s="3">
        <v>0</v>
      </c>
      <c r="DK391" s="3">
        <v>0</v>
      </c>
      <c r="DL391" s="3">
        <v>0</v>
      </c>
      <c r="DM391" s="3">
        <v>0</v>
      </c>
      <c r="DN391" s="3">
        <v>0</v>
      </c>
      <c r="DO391" s="3">
        <v>0</v>
      </c>
    </row>
    <row r="392" spans="1:119" x14ac:dyDescent="0.45">
      <c r="A392" s="11"/>
      <c r="B392" s="3" t="s">
        <v>89</v>
      </c>
      <c r="C392" s="16" t="s">
        <v>2586</v>
      </c>
      <c r="H392" s="11" t="s">
        <v>2587</v>
      </c>
      <c r="I392" s="11" t="s">
        <v>2363</v>
      </c>
    </row>
    <row r="393" spans="1:119" x14ac:dyDescent="0.45">
      <c r="A393" s="16" t="s">
        <v>2588</v>
      </c>
      <c r="B393" s="3" t="s">
        <v>89</v>
      </c>
      <c r="C393" s="16" t="s">
        <v>2589</v>
      </c>
      <c r="H393" s="3" t="s">
        <v>2590</v>
      </c>
      <c r="I393" s="3" t="s">
        <v>2363</v>
      </c>
      <c r="K393" s="17" t="s">
        <v>2591</v>
      </c>
      <c r="L393" s="3">
        <v>0</v>
      </c>
      <c r="M393" s="3">
        <v>0</v>
      </c>
      <c r="N393" s="3">
        <v>0</v>
      </c>
      <c r="O393" s="3">
        <v>0</v>
      </c>
      <c r="P393" s="3">
        <v>0</v>
      </c>
      <c r="Q393" s="3">
        <v>0</v>
      </c>
      <c r="R393" s="3">
        <v>0</v>
      </c>
      <c r="S393" s="3">
        <v>0</v>
      </c>
      <c r="T393" s="3">
        <v>0</v>
      </c>
      <c r="U393" s="3">
        <v>0</v>
      </c>
      <c r="V393" s="3">
        <v>0</v>
      </c>
      <c r="W393" s="3">
        <v>0</v>
      </c>
      <c r="X393" s="3">
        <v>0</v>
      </c>
      <c r="Y393" s="3">
        <v>0</v>
      </c>
      <c r="Z393" s="3">
        <v>0</v>
      </c>
      <c r="AA393" s="3">
        <v>0</v>
      </c>
      <c r="AB393" s="3">
        <v>0</v>
      </c>
      <c r="AC393" s="3">
        <v>0</v>
      </c>
      <c r="AD393" s="3">
        <v>0</v>
      </c>
      <c r="AE393" s="3">
        <v>0</v>
      </c>
      <c r="AG393" s="17" t="s">
        <v>2592</v>
      </c>
      <c r="AH393" s="3">
        <v>0</v>
      </c>
      <c r="AI393" s="3">
        <v>0</v>
      </c>
      <c r="AJ393" s="3">
        <v>0</v>
      </c>
      <c r="AK393" s="3">
        <v>0</v>
      </c>
      <c r="AL393" s="3">
        <v>0</v>
      </c>
      <c r="AM393" s="3">
        <v>0</v>
      </c>
      <c r="AN393" s="3">
        <v>0</v>
      </c>
      <c r="AO393" s="3">
        <v>0</v>
      </c>
      <c r="AP393" s="3">
        <v>0</v>
      </c>
      <c r="AQ393" s="3">
        <v>0</v>
      </c>
      <c r="AR393" s="3">
        <v>0</v>
      </c>
      <c r="AS393" s="3">
        <v>0</v>
      </c>
      <c r="AT393" s="3">
        <v>0</v>
      </c>
      <c r="AU393" s="3">
        <v>0</v>
      </c>
      <c r="AV393" s="3">
        <v>0</v>
      </c>
      <c r="AW393" s="3">
        <v>0</v>
      </c>
      <c r="AX393" s="3">
        <v>0</v>
      </c>
      <c r="AY393" s="3">
        <v>0</v>
      </c>
      <c r="AZ393" s="3">
        <v>0</v>
      </c>
      <c r="BA393" s="3">
        <v>0</v>
      </c>
      <c r="BC393" s="17" t="s">
        <v>2593</v>
      </c>
      <c r="BD393" s="3">
        <v>0</v>
      </c>
      <c r="BE393" s="3">
        <v>0</v>
      </c>
      <c r="BF393" s="3">
        <v>0</v>
      </c>
      <c r="BG393" s="3">
        <v>0</v>
      </c>
      <c r="BH393" s="3">
        <v>0</v>
      </c>
      <c r="BI393" s="3">
        <v>0</v>
      </c>
      <c r="BJ393" s="3">
        <v>0</v>
      </c>
      <c r="BK393" s="3">
        <v>0</v>
      </c>
      <c r="BL393" s="3">
        <v>0</v>
      </c>
      <c r="BM393" s="3">
        <v>0</v>
      </c>
      <c r="BN393" s="3">
        <v>0</v>
      </c>
      <c r="BO393" s="3">
        <v>0</v>
      </c>
      <c r="BP393" s="3">
        <v>0</v>
      </c>
      <c r="BQ393" s="3">
        <v>0</v>
      </c>
      <c r="BR393" s="3">
        <v>0</v>
      </c>
      <c r="BS393" s="3">
        <v>0</v>
      </c>
      <c r="BT393" s="3">
        <v>0</v>
      </c>
      <c r="BU393" s="3">
        <v>0</v>
      </c>
      <c r="BV393" s="3">
        <v>0</v>
      </c>
      <c r="BW393" s="3">
        <v>0</v>
      </c>
      <c r="BY393" s="17" t="s">
        <v>2594</v>
      </c>
      <c r="BZ393" s="3">
        <v>0</v>
      </c>
      <c r="CA393" s="3">
        <v>0</v>
      </c>
      <c r="CB393" s="3">
        <v>0</v>
      </c>
      <c r="CC393" s="3">
        <v>0</v>
      </c>
      <c r="CD393" s="3">
        <v>0</v>
      </c>
      <c r="CE393" s="3">
        <v>0</v>
      </c>
      <c r="CF393" s="3">
        <v>0</v>
      </c>
      <c r="CG393" s="3">
        <v>0</v>
      </c>
      <c r="CH393" s="3">
        <v>0</v>
      </c>
      <c r="CI393" s="3">
        <v>0</v>
      </c>
      <c r="CJ393" s="3">
        <v>0</v>
      </c>
      <c r="CK393" s="3">
        <v>0</v>
      </c>
      <c r="CL393" s="3">
        <v>0</v>
      </c>
      <c r="CM393" s="3">
        <v>0</v>
      </c>
      <c r="CN393" s="3">
        <v>0</v>
      </c>
      <c r="CO393" s="3">
        <v>0</v>
      </c>
      <c r="CP393" s="3">
        <v>0</v>
      </c>
      <c r="CQ393" s="3">
        <v>0</v>
      </c>
      <c r="CR393" s="3">
        <v>0</v>
      </c>
      <c r="CS393" s="3">
        <v>0</v>
      </c>
      <c r="CU393" s="17" t="s">
        <v>2595</v>
      </c>
      <c r="CV393" s="3">
        <v>0</v>
      </c>
      <c r="CW393" s="3">
        <v>0</v>
      </c>
      <c r="CX393" s="3">
        <v>0</v>
      </c>
      <c r="CY393" s="3">
        <v>0</v>
      </c>
      <c r="CZ393" s="3">
        <v>0</v>
      </c>
      <c r="DA393" s="3">
        <v>0</v>
      </c>
      <c r="DB393" s="3">
        <v>0</v>
      </c>
      <c r="DC393" s="3">
        <v>0</v>
      </c>
      <c r="DD393" s="3">
        <v>0</v>
      </c>
      <c r="DE393" s="3">
        <v>0</v>
      </c>
      <c r="DF393" s="3">
        <v>0</v>
      </c>
      <c r="DG393" s="3">
        <v>0</v>
      </c>
      <c r="DH393" s="3">
        <v>0</v>
      </c>
      <c r="DI393" s="3">
        <v>0</v>
      </c>
      <c r="DJ393" s="3">
        <v>0</v>
      </c>
      <c r="DK393" s="3">
        <v>0</v>
      </c>
      <c r="DL393" s="3">
        <v>0</v>
      </c>
      <c r="DM393" s="3">
        <v>0</v>
      </c>
      <c r="DN393" s="3">
        <v>0</v>
      </c>
      <c r="DO393" s="3">
        <v>0</v>
      </c>
    </row>
    <row r="394" spans="1:119" x14ac:dyDescent="0.45">
      <c r="A394" s="16" t="s">
        <v>2596</v>
      </c>
      <c r="B394" s="3" t="s">
        <v>89</v>
      </c>
      <c r="C394" s="16" t="s">
        <v>2597</v>
      </c>
      <c r="H394" s="3" t="s">
        <v>2598</v>
      </c>
      <c r="I394" s="3" t="s">
        <v>2363</v>
      </c>
      <c r="K394" s="17" t="s">
        <v>2599</v>
      </c>
      <c r="L394" s="3">
        <v>3039.0437423559101</v>
      </c>
      <c r="M394" s="3">
        <v>3332.0182706620299</v>
      </c>
      <c r="N394" s="3">
        <v>3349.5790223789791</v>
      </c>
      <c r="O394" s="3">
        <v>3411.695051606468</v>
      </c>
      <c r="P394" s="3">
        <v>3471.680047446227</v>
      </c>
      <c r="Q394" s="3">
        <v>3542.193205218965</v>
      </c>
      <c r="R394" s="3">
        <v>3625.4338939977051</v>
      </c>
      <c r="S394" s="3">
        <v>3704.1837633871151</v>
      </c>
      <c r="T394" s="3">
        <v>3776.9201437257698</v>
      </c>
      <c r="U394" s="3">
        <v>3849.5959987659762</v>
      </c>
      <c r="V394" s="3">
        <v>3922.4767843207419</v>
      </c>
      <c r="W394" s="3">
        <v>3995.541475614431</v>
      </c>
      <c r="X394" s="3">
        <v>4068.7692469064291</v>
      </c>
      <c r="Y394" s="3">
        <v>4142.1394559885794</v>
      </c>
      <c r="Z394" s="3">
        <v>4215.6316267038283</v>
      </c>
      <c r="AA394" s="3">
        <v>4289.2254295883286</v>
      </c>
      <c r="AB394" s="3">
        <v>4362.9006607332531</v>
      </c>
      <c r="AC394" s="3">
        <v>4436.6372189564954</v>
      </c>
      <c r="AD394" s="3">
        <v>4510.4150813682336</v>
      </c>
      <c r="AE394" s="3">
        <v>4584.2142774081576</v>
      </c>
      <c r="AG394" s="17" t="s">
        <v>2600</v>
      </c>
      <c r="AH394" s="3">
        <v>3039.0437423559101</v>
      </c>
      <c r="AI394" s="3">
        <v>3332.0182706620299</v>
      </c>
      <c r="AJ394" s="3">
        <v>3349.5790223789791</v>
      </c>
      <c r="AK394" s="3">
        <v>3411.695051606468</v>
      </c>
      <c r="AL394" s="3">
        <v>3471.680047446227</v>
      </c>
      <c r="AM394" s="3">
        <v>2994.7011569423048</v>
      </c>
      <c r="AN394" s="3">
        <v>3065.0756235246959</v>
      </c>
      <c r="AO394" s="3">
        <v>3132.5630443003288</v>
      </c>
      <c r="AP394" s="3">
        <v>3191.9923627743301</v>
      </c>
      <c r="AQ394" s="3">
        <v>3253.7776784597058</v>
      </c>
      <c r="AR394" s="3">
        <v>3314.520641752702</v>
      </c>
      <c r="AS394" s="3">
        <v>3377.40520838562</v>
      </c>
      <c r="AT394" s="3">
        <v>3441.396871391707</v>
      </c>
      <c r="AU394" s="3">
        <v>3505.07468172982</v>
      </c>
      <c r="AV394" s="3">
        <v>3569.2865038960858</v>
      </c>
      <c r="AW394" s="3">
        <v>3634.574297896771</v>
      </c>
      <c r="AX394" s="3">
        <v>3699.053677561169</v>
      </c>
      <c r="AY394" s="3">
        <v>3763.1151697197761</v>
      </c>
      <c r="AZ394" s="3">
        <v>3826.0809877880101</v>
      </c>
      <c r="BA394" s="3">
        <v>3888.7418032155419</v>
      </c>
      <c r="BC394" s="17" t="s">
        <v>2601</v>
      </c>
      <c r="BD394" s="3">
        <v>3039.0437423559101</v>
      </c>
      <c r="BE394" s="3">
        <v>3332.0182706620299</v>
      </c>
      <c r="BF394" s="3">
        <v>3349.5790223789791</v>
      </c>
      <c r="BG394" s="3">
        <v>3411.695051606468</v>
      </c>
      <c r="BH394" s="3">
        <v>3471.680047446227</v>
      </c>
      <c r="BI394" s="3">
        <v>3237.303730382519</v>
      </c>
      <c r="BJ394" s="3">
        <v>2992.9811811144432</v>
      </c>
      <c r="BK394" s="3">
        <v>2805.0607757209991</v>
      </c>
      <c r="BL394" s="3">
        <v>2652.2651367985031</v>
      </c>
      <c r="BM394" s="3">
        <v>2528.6720644670618</v>
      </c>
      <c r="BN394" s="3">
        <v>2426.396748700708</v>
      </c>
      <c r="BO394" s="3">
        <v>2341.1618032689348</v>
      </c>
      <c r="BP394" s="3">
        <v>2269.672415807262</v>
      </c>
      <c r="BQ394" s="3">
        <v>2208.916958206069</v>
      </c>
      <c r="BR394" s="3">
        <v>2156.87690353786</v>
      </c>
      <c r="BS394" s="3">
        <v>2112.2631381068641</v>
      </c>
      <c r="BT394" s="3">
        <v>2073.5690027358569</v>
      </c>
      <c r="BU394" s="3">
        <v>2039.6854328754409</v>
      </c>
      <c r="BV394" s="3">
        <v>2009.4611179590111</v>
      </c>
      <c r="BW394" s="3">
        <v>1982.2534976751649</v>
      </c>
      <c r="BY394" s="17" t="s">
        <v>2602</v>
      </c>
      <c r="BZ394" s="3">
        <v>3039.0437423559101</v>
      </c>
      <c r="CA394" s="3">
        <v>3332.0182706620299</v>
      </c>
      <c r="CB394" s="3">
        <v>3349.5790223789791</v>
      </c>
      <c r="CC394" s="3">
        <v>3411.695051606468</v>
      </c>
      <c r="CD394" s="3">
        <v>3471.680047446227</v>
      </c>
      <c r="CE394" s="3">
        <v>2890.6976897303762</v>
      </c>
      <c r="CF394" s="3">
        <v>2958.6268112629691</v>
      </c>
      <c r="CG394" s="3">
        <v>3023.6402277153538</v>
      </c>
      <c r="CH394" s="3">
        <v>3081.126882371148</v>
      </c>
      <c r="CI394" s="3">
        <v>3141.167569146904</v>
      </c>
      <c r="CJ394" s="3">
        <v>3199.705194355714</v>
      </c>
      <c r="CK394" s="3">
        <v>3260.5478005357272</v>
      </c>
      <c r="CL394" s="3">
        <v>3321.6422143125378</v>
      </c>
      <c r="CM394" s="3">
        <v>3382.5743523702799</v>
      </c>
      <c r="CN394" s="3">
        <v>3444.0006012874269</v>
      </c>
      <c r="CO394" s="3">
        <v>3506.225219276329</v>
      </c>
      <c r="CP394" s="3">
        <v>3567.7308143122182</v>
      </c>
      <c r="CQ394" s="3">
        <v>3629.1251124355922</v>
      </c>
      <c r="CR394" s="3">
        <v>3689.6919706521599</v>
      </c>
      <c r="CS394" s="3">
        <v>3750.3838304249462</v>
      </c>
      <c r="CU394" s="17" t="s">
        <v>2603</v>
      </c>
      <c r="CV394" s="3">
        <v>3039.0437423559101</v>
      </c>
      <c r="CW394" s="3">
        <v>3332.0182706620299</v>
      </c>
      <c r="CX394" s="3">
        <v>3349.5790223789791</v>
      </c>
      <c r="CY394" s="3">
        <v>3411.695051606468</v>
      </c>
      <c r="CZ394" s="3">
        <v>3471.680047446227</v>
      </c>
      <c r="DA394" s="3">
        <v>2487.521536937053</v>
      </c>
      <c r="DB394" s="3">
        <v>2545.9771451135898</v>
      </c>
      <c r="DC394" s="3">
        <v>2602.896631876682</v>
      </c>
      <c r="DD394" s="3">
        <v>2650.2451619561571</v>
      </c>
      <c r="DE394" s="3">
        <v>2702.0633400662491</v>
      </c>
      <c r="DF394" s="3">
        <v>2751.5656639545768</v>
      </c>
      <c r="DG394" s="3">
        <v>2804.976771001117</v>
      </c>
      <c r="DH394" s="3">
        <v>2859.9536171848131</v>
      </c>
      <c r="DI394" s="3">
        <v>2914.3560937029429</v>
      </c>
      <c r="DJ394" s="3">
        <v>2969.575862857856</v>
      </c>
      <c r="DK394" s="3">
        <v>3026.6250317185259</v>
      </c>
      <c r="DL394" s="3">
        <v>3082.1287639871789</v>
      </c>
      <c r="DM394" s="3">
        <v>3136.946498670045</v>
      </c>
      <c r="DN394" s="3">
        <v>3189.804962332998</v>
      </c>
      <c r="DO394" s="3">
        <v>3242.1799299360032</v>
      </c>
    </row>
    <row r="395" spans="1:119" x14ac:dyDescent="0.45">
      <c r="A395" s="16" t="s">
        <v>2604</v>
      </c>
      <c r="B395" s="3" t="s">
        <v>89</v>
      </c>
      <c r="C395" s="16" t="s">
        <v>2605</v>
      </c>
      <c r="H395" s="3" t="s">
        <v>2606</v>
      </c>
      <c r="I395" s="3" t="s">
        <v>2363</v>
      </c>
      <c r="K395" s="17" t="s">
        <v>2607</v>
      </c>
      <c r="L395" s="3">
        <v>2230.6514831533791</v>
      </c>
      <c r="M395" s="3">
        <v>2555.541527866194</v>
      </c>
      <c r="N395" s="3">
        <v>2564.5703208457198</v>
      </c>
      <c r="O395" s="3">
        <v>2647.944804849817</v>
      </c>
      <c r="P395" s="3">
        <v>2729.8982549839702</v>
      </c>
      <c r="Q395" s="3">
        <v>2826.4733600524219</v>
      </c>
      <c r="R395" s="3">
        <v>2941.1125248687349</v>
      </c>
      <c r="S395" s="3">
        <v>3051.8982187458032</v>
      </c>
      <c r="T395" s="3">
        <v>3156.5221695622299</v>
      </c>
      <c r="U395" s="3">
        <v>3262.7136416571379</v>
      </c>
      <c r="V395" s="3">
        <v>3370.8364000443439</v>
      </c>
      <c r="W395" s="3">
        <v>3480.875140173101</v>
      </c>
      <c r="X395" s="3">
        <v>3592.813424407771</v>
      </c>
      <c r="Y395" s="3">
        <v>3706.6336727873422</v>
      </c>
      <c r="Z395" s="3">
        <v>3822.3171495605689</v>
      </c>
      <c r="AA395" s="3">
        <v>3939.8439453681181</v>
      </c>
      <c r="AB395" s="3">
        <v>4059.1929549524039</v>
      </c>
      <c r="AC395" s="3">
        <v>4180.3418502843724</v>
      </c>
      <c r="AD395" s="3">
        <v>4303.2670490037126</v>
      </c>
      <c r="AE395" s="3">
        <v>4427.9436780758369</v>
      </c>
      <c r="AG395" s="17" t="s">
        <v>2608</v>
      </c>
      <c r="AH395" s="3">
        <v>2230.6514831533791</v>
      </c>
      <c r="AI395" s="3">
        <v>2555.541527866194</v>
      </c>
      <c r="AJ395" s="3">
        <v>2564.5703208457198</v>
      </c>
      <c r="AK395" s="3">
        <v>2647.944804849817</v>
      </c>
      <c r="AL395" s="3">
        <v>2729.8982549839702</v>
      </c>
      <c r="AM395" s="3">
        <v>2348.4581649636539</v>
      </c>
      <c r="AN395" s="3">
        <v>2443.709101477215</v>
      </c>
      <c r="AO395" s="3">
        <v>2536.936868570288</v>
      </c>
      <c r="AP395" s="3">
        <v>2621.170367612895</v>
      </c>
      <c r="AQ395" s="3">
        <v>2709.8375269463472</v>
      </c>
      <c r="AR395" s="3">
        <v>2798.479751591889</v>
      </c>
      <c r="AS395" s="3">
        <v>2891.4016616534132</v>
      </c>
      <c r="AT395" s="3">
        <v>2987.2895772394659</v>
      </c>
      <c r="AU395" s="3">
        <v>3084.2083011145951</v>
      </c>
      <c r="AV395" s="3">
        <v>3183.3520351740858</v>
      </c>
      <c r="AW395" s="3">
        <v>3285.537636370429</v>
      </c>
      <c r="AX395" s="3">
        <v>3388.0680945892032</v>
      </c>
      <c r="AY395" s="3">
        <v>3491.4794078572359</v>
      </c>
      <c r="AZ395" s="3">
        <v>3594.731644770899</v>
      </c>
      <c r="BA395" s="3">
        <v>3698.9694719775712</v>
      </c>
      <c r="BC395" s="17" t="s">
        <v>2609</v>
      </c>
      <c r="BD395" s="3">
        <v>2230.6514831533791</v>
      </c>
      <c r="BE395" s="3">
        <v>2555.541527866194</v>
      </c>
      <c r="BF395" s="3">
        <v>2564.5703208457198</v>
      </c>
      <c r="BG395" s="3">
        <v>2647.944804849817</v>
      </c>
      <c r="BH395" s="3">
        <v>2729.8982549839702</v>
      </c>
      <c r="BI395" s="3">
        <v>2516.9716423268742</v>
      </c>
      <c r="BJ395" s="3">
        <v>2306.3188274678751</v>
      </c>
      <c r="BK395" s="3">
        <v>2153.716770648798</v>
      </c>
      <c r="BL395" s="3">
        <v>2034.1231179928479</v>
      </c>
      <c r="BM395" s="3">
        <v>1962.591049954317</v>
      </c>
      <c r="BN395" s="3">
        <v>1904.9697797901599</v>
      </c>
      <c r="BO395" s="3">
        <v>1859.067263978214</v>
      </c>
      <c r="BP395" s="3">
        <v>1822.979686561853</v>
      </c>
      <c r="BQ395" s="3">
        <v>1794.520820389884</v>
      </c>
      <c r="BR395" s="3">
        <v>1772.332027625903</v>
      </c>
      <c r="BS395" s="3">
        <v>1755.7004996252431</v>
      </c>
      <c r="BT395" s="3">
        <v>1743.401096358381</v>
      </c>
      <c r="BU395" s="3">
        <v>1734.556134725545</v>
      </c>
      <c r="BV395" s="3">
        <v>1728.0871707165149</v>
      </c>
      <c r="BW395" s="3">
        <v>1723.497035060449</v>
      </c>
      <c r="BY395" s="17" t="s">
        <v>2610</v>
      </c>
      <c r="BZ395" s="3">
        <v>2230.6514831533791</v>
      </c>
      <c r="CA395" s="3">
        <v>2555.541527866194</v>
      </c>
      <c r="CB395" s="3">
        <v>2564.5703208457198</v>
      </c>
      <c r="CC395" s="3">
        <v>2647.944804849817</v>
      </c>
      <c r="CD395" s="3">
        <v>2729.8982549839702</v>
      </c>
      <c r="CE395" s="3">
        <v>2258.624450259756</v>
      </c>
      <c r="CF395" s="3">
        <v>2350.230177368514</v>
      </c>
      <c r="CG395" s="3">
        <v>2439.7236290578471</v>
      </c>
      <c r="CH395" s="3">
        <v>2520.8913844662111</v>
      </c>
      <c r="CI395" s="3">
        <v>2606.6992139643999</v>
      </c>
      <c r="CJ395" s="3">
        <v>2691.8288989153621</v>
      </c>
      <c r="CK395" s="3">
        <v>2781.3956534865529</v>
      </c>
      <c r="CL395" s="3">
        <v>2872.6900584083651</v>
      </c>
      <c r="CM395" s="3">
        <v>2965.1476505558171</v>
      </c>
      <c r="CN395" s="3">
        <v>3059.6944828749279</v>
      </c>
      <c r="CO395" s="3">
        <v>3156.7992187474201</v>
      </c>
      <c r="CP395" s="3">
        <v>3254.295194245964</v>
      </c>
      <c r="CQ395" s="3">
        <v>3353.0426289661018</v>
      </c>
      <c r="CR395" s="3">
        <v>3451.9659237615879</v>
      </c>
      <c r="CS395" s="3">
        <v>3552.4651185720818</v>
      </c>
      <c r="CU395" s="17" t="s">
        <v>2611</v>
      </c>
      <c r="CV395" s="3">
        <v>2230.6514831533791</v>
      </c>
      <c r="CW395" s="3">
        <v>2555.541527866194</v>
      </c>
      <c r="CX395" s="3">
        <v>2564.5703208457198</v>
      </c>
      <c r="CY395" s="3">
        <v>2647.944804849817</v>
      </c>
      <c r="CZ395" s="3">
        <v>2729.8982549839702</v>
      </c>
      <c r="DA395" s="3">
        <v>1913.6373831598089</v>
      </c>
      <c r="DB395" s="3">
        <v>1991.25207053644</v>
      </c>
      <c r="DC395" s="3">
        <v>2068.313971494194</v>
      </c>
      <c r="DD395" s="3">
        <v>2134.3686046023809</v>
      </c>
      <c r="DE395" s="3">
        <v>2207.2470038983101</v>
      </c>
      <c r="DF395" s="3">
        <v>2278.2021525472142</v>
      </c>
      <c r="DG395" s="3">
        <v>2355.4702873932911</v>
      </c>
      <c r="DH395" s="3">
        <v>2436.0799399112561</v>
      </c>
      <c r="DI395" s="3">
        <v>2517.165024435601</v>
      </c>
      <c r="DJ395" s="3">
        <v>2600.6441757423072</v>
      </c>
      <c r="DK395" s="3">
        <v>2688.00455042572</v>
      </c>
      <c r="DL395" s="3">
        <v>2774.494102661366</v>
      </c>
      <c r="DM395" s="3">
        <v>2861.2795526362561</v>
      </c>
      <c r="DN395" s="3">
        <v>2946.441830299821</v>
      </c>
      <c r="DO395" s="3">
        <v>3032.0823863348219</v>
      </c>
    </row>
    <row r="396" spans="1:119" x14ac:dyDescent="0.45">
      <c r="A396" s="16" t="s">
        <v>2612</v>
      </c>
      <c r="B396" s="3" t="s">
        <v>89</v>
      </c>
      <c r="C396" s="16" t="s">
        <v>2613</v>
      </c>
      <c r="H396" s="3" t="s">
        <v>2614</v>
      </c>
      <c r="I396" s="3" t="s">
        <v>2363</v>
      </c>
      <c r="K396" s="17" t="s">
        <v>2615</v>
      </c>
      <c r="L396" s="3">
        <v>0</v>
      </c>
      <c r="M396" s="3">
        <v>0</v>
      </c>
      <c r="N396" s="3">
        <v>0</v>
      </c>
      <c r="O396" s="3">
        <v>0</v>
      </c>
      <c r="P396" s="3">
        <v>0</v>
      </c>
      <c r="Q396" s="3">
        <v>0</v>
      </c>
      <c r="R396" s="3">
        <v>0</v>
      </c>
      <c r="S396" s="3">
        <v>0</v>
      </c>
      <c r="T396" s="3">
        <v>0</v>
      </c>
      <c r="U396" s="3">
        <v>0</v>
      </c>
      <c r="V396" s="3">
        <v>0</v>
      </c>
      <c r="W396" s="3">
        <v>0</v>
      </c>
      <c r="X396" s="3">
        <v>0</v>
      </c>
      <c r="Y396" s="3">
        <v>0</v>
      </c>
      <c r="Z396" s="3">
        <v>0</v>
      </c>
      <c r="AA396" s="3">
        <v>0</v>
      </c>
      <c r="AB396" s="3">
        <v>0</v>
      </c>
      <c r="AC396" s="3">
        <v>0</v>
      </c>
      <c r="AD396" s="3">
        <v>0</v>
      </c>
      <c r="AE396" s="3">
        <v>0</v>
      </c>
      <c r="AG396" s="17" t="s">
        <v>2616</v>
      </c>
      <c r="AH396" s="3">
        <v>0</v>
      </c>
      <c r="AI396" s="3">
        <v>0</v>
      </c>
      <c r="AJ396" s="3">
        <v>0</v>
      </c>
      <c r="AK396" s="3">
        <v>0</v>
      </c>
      <c r="AL396" s="3">
        <v>0</v>
      </c>
      <c r="AM396" s="3">
        <v>0</v>
      </c>
      <c r="AN396" s="3">
        <v>0</v>
      </c>
      <c r="AO396" s="3">
        <v>0</v>
      </c>
      <c r="AP396" s="3">
        <v>0</v>
      </c>
      <c r="AQ396" s="3">
        <v>0</v>
      </c>
      <c r="AR396" s="3">
        <v>0</v>
      </c>
      <c r="AS396" s="3">
        <v>0</v>
      </c>
      <c r="AT396" s="3">
        <v>0</v>
      </c>
      <c r="AU396" s="3">
        <v>0</v>
      </c>
      <c r="AV396" s="3">
        <v>0</v>
      </c>
      <c r="AW396" s="3">
        <v>0</v>
      </c>
      <c r="AX396" s="3">
        <v>0</v>
      </c>
      <c r="AY396" s="3">
        <v>0</v>
      </c>
      <c r="AZ396" s="3">
        <v>0</v>
      </c>
      <c r="BA396" s="3">
        <v>0</v>
      </c>
      <c r="BC396" s="17" t="s">
        <v>2617</v>
      </c>
      <c r="BD396" s="3">
        <v>0</v>
      </c>
      <c r="BE396" s="3">
        <v>0</v>
      </c>
      <c r="BF396" s="3">
        <v>0</v>
      </c>
      <c r="BG396" s="3">
        <v>0</v>
      </c>
      <c r="BH396" s="3">
        <v>0</v>
      </c>
      <c r="BI396" s="3">
        <v>0</v>
      </c>
      <c r="BJ396" s="3">
        <v>0</v>
      </c>
      <c r="BK396" s="3">
        <v>0</v>
      </c>
      <c r="BL396" s="3">
        <v>0</v>
      </c>
      <c r="BM396" s="3">
        <v>0</v>
      </c>
      <c r="BN396" s="3">
        <v>0</v>
      </c>
      <c r="BO396" s="3">
        <v>0</v>
      </c>
      <c r="BP396" s="3">
        <v>0</v>
      </c>
      <c r="BQ396" s="3">
        <v>0</v>
      </c>
      <c r="BR396" s="3">
        <v>0</v>
      </c>
      <c r="BS396" s="3">
        <v>0</v>
      </c>
      <c r="BT396" s="3">
        <v>0</v>
      </c>
      <c r="BU396" s="3">
        <v>0</v>
      </c>
      <c r="BV396" s="3">
        <v>0</v>
      </c>
      <c r="BW396" s="3">
        <v>0</v>
      </c>
      <c r="BY396" s="17" t="s">
        <v>2618</v>
      </c>
      <c r="BZ396" s="3">
        <v>0</v>
      </c>
      <c r="CA396" s="3">
        <v>0</v>
      </c>
      <c r="CB396" s="3">
        <v>0</v>
      </c>
      <c r="CC396" s="3">
        <v>0</v>
      </c>
      <c r="CD396" s="3">
        <v>0</v>
      </c>
      <c r="CE396" s="3">
        <v>0</v>
      </c>
      <c r="CF396" s="3">
        <v>0</v>
      </c>
      <c r="CG396" s="3">
        <v>0</v>
      </c>
      <c r="CH396" s="3">
        <v>0</v>
      </c>
      <c r="CI396" s="3">
        <v>0</v>
      </c>
      <c r="CJ396" s="3">
        <v>0</v>
      </c>
      <c r="CK396" s="3">
        <v>0</v>
      </c>
      <c r="CL396" s="3">
        <v>0</v>
      </c>
      <c r="CM396" s="3">
        <v>0</v>
      </c>
      <c r="CN396" s="3">
        <v>0</v>
      </c>
      <c r="CO396" s="3">
        <v>0</v>
      </c>
      <c r="CP396" s="3">
        <v>0</v>
      </c>
      <c r="CQ396" s="3">
        <v>0</v>
      </c>
      <c r="CR396" s="3">
        <v>0</v>
      </c>
      <c r="CS396" s="3">
        <v>0</v>
      </c>
      <c r="CU396" s="17" t="s">
        <v>2619</v>
      </c>
      <c r="CV396" s="3">
        <v>0</v>
      </c>
      <c r="CW396" s="3">
        <v>0</v>
      </c>
      <c r="CX396" s="3">
        <v>0</v>
      </c>
      <c r="CY396" s="3">
        <v>0</v>
      </c>
      <c r="CZ396" s="3">
        <v>0</v>
      </c>
      <c r="DA396" s="3">
        <v>0</v>
      </c>
      <c r="DB396" s="3">
        <v>0</v>
      </c>
      <c r="DC396" s="3">
        <v>0</v>
      </c>
      <c r="DD396" s="3">
        <v>0</v>
      </c>
      <c r="DE396" s="3">
        <v>0</v>
      </c>
      <c r="DF396" s="3">
        <v>0</v>
      </c>
      <c r="DG396" s="3">
        <v>0</v>
      </c>
      <c r="DH396" s="3">
        <v>0</v>
      </c>
      <c r="DI396" s="3">
        <v>0</v>
      </c>
      <c r="DJ396" s="3">
        <v>0</v>
      </c>
      <c r="DK396" s="3">
        <v>0</v>
      </c>
      <c r="DL396" s="3">
        <v>0</v>
      </c>
      <c r="DM396" s="3">
        <v>0</v>
      </c>
      <c r="DN396" s="3">
        <v>0</v>
      </c>
      <c r="DO396" s="3">
        <v>0</v>
      </c>
    </row>
    <row r="397" spans="1:119" x14ac:dyDescent="0.45">
      <c r="A397" s="11"/>
      <c r="B397" s="3" t="s">
        <v>89</v>
      </c>
      <c r="C397" s="16" t="s">
        <v>2620</v>
      </c>
      <c r="H397" s="11" t="s">
        <v>2621</v>
      </c>
      <c r="I397" s="11" t="s">
        <v>2363</v>
      </c>
    </row>
    <row r="398" spans="1:119" x14ac:dyDescent="0.45">
      <c r="A398" s="16" t="s">
        <v>2622</v>
      </c>
      <c r="B398" s="3" t="s">
        <v>89</v>
      </c>
      <c r="C398" s="16" t="s">
        <v>2623</v>
      </c>
      <c r="H398" s="3" t="s">
        <v>2624</v>
      </c>
      <c r="I398" s="3" t="s">
        <v>2363</v>
      </c>
      <c r="K398" s="17" t="s">
        <v>2625</v>
      </c>
      <c r="L398" s="3">
        <v>0</v>
      </c>
      <c r="M398" s="3">
        <v>0</v>
      </c>
      <c r="N398" s="3">
        <v>0</v>
      </c>
      <c r="O398" s="3">
        <v>0</v>
      </c>
      <c r="P398" s="3">
        <v>0</v>
      </c>
      <c r="Q398" s="3">
        <v>0</v>
      </c>
      <c r="R398" s="3">
        <v>0</v>
      </c>
      <c r="S398" s="3">
        <v>0</v>
      </c>
      <c r="T398" s="3">
        <v>0</v>
      </c>
      <c r="U398" s="3">
        <v>0</v>
      </c>
      <c r="V398" s="3">
        <v>0</v>
      </c>
      <c r="W398" s="3">
        <v>0</v>
      </c>
      <c r="X398" s="3">
        <v>0</v>
      </c>
      <c r="Y398" s="3">
        <v>0</v>
      </c>
      <c r="Z398" s="3">
        <v>0</v>
      </c>
      <c r="AA398" s="3">
        <v>0</v>
      </c>
      <c r="AB398" s="3">
        <v>0</v>
      </c>
      <c r="AC398" s="3">
        <v>0</v>
      </c>
      <c r="AD398" s="3">
        <v>0</v>
      </c>
      <c r="AE398" s="3">
        <v>0</v>
      </c>
      <c r="AG398" s="17" t="s">
        <v>2626</v>
      </c>
      <c r="AH398" s="3">
        <v>0</v>
      </c>
      <c r="AI398" s="3">
        <v>0</v>
      </c>
      <c r="AJ398" s="3">
        <v>0</v>
      </c>
      <c r="AK398" s="3">
        <v>0</v>
      </c>
      <c r="AL398" s="3">
        <v>0</v>
      </c>
      <c r="AM398" s="3">
        <v>0</v>
      </c>
      <c r="AN398" s="3">
        <v>0</v>
      </c>
      <c r="AO398" s="3">
        <v>0</v>
      </c>
      <c r="AP398" s="3">
        <v>0</v>
      </c>
      <c r="AQ398" s="3">
        <v>0</v>
      </c>
      <c r="AR398" s="3">
        <v>0</v>
      </c>
      <c r="AS398" s="3">
        <v>0</v>
      </c>
      <c r="AT398" s="3">
        <v>0</v>
      </c>
      <c r="AU398" s="3">
        <v>0</v>
      </c>
      <c r="AV398" s="3">
        <v>0</v>
      </c>
      <c r="AW398" s="3">
        <v>0</v>
      </c>
      <c r="AX398" s="3">
        <v>0</v>
      </c>
      <c r="AY398" s="3">
        <v>0</v>
      </c>
      <c r="AZ398" s="3">
        <v>0</v>
      </c>
      <c r="BA398" s="3">
        <v>0</v>
      </c>
      <c r="BC398" s="17" t="s">
        <v>2627</v>
      </c>
      <c r="BD398" s="3">
        <v>0</v>
      </c>
      <c r="BE398" s="3">
        <v>0</v>
      </c>
      <c r="BF398" s="3">
        <v>0</v>
      </c>
      <c r="BG398" s="3">
        <v>0</v>
      </c>
      <c r="BH398" s="3">
        <v>0</v>
      </c>
      <c r="BI398" s="3">
        <v>0</v>
      </c>
      <c r="BJ398" s="3">
        <v>0</v>
      </c>
      <c r="BK398" s="3">
        <v>0</v>
      </c>
      <c r="BL398" s="3">
        <v>0</v>
      </c>
      <c r="BM398" s="3">
        <v>0</v>
      </c>
      <c r="BN398" s="3">
        <v>0</v>
      </c>
      <c r="BO398" s="3">
        <v>0</v>
      </c>
      <c r="BP398" s="3">
        <v>0</v>
      </c>
      <c r="BQ398" s="3">
        <v>0</v>
      </c>
      <c r="BR398" s="3">
        <v>0</v>
      </c>
      <c r="BS398" s="3">
        <v>0</v>
      </c>
      <c r="BT398" s="3">
        <v>0</v>
      </c>
      <c r="BU398" s="3">
        <v>0</v>
      </c>
      <c r="BV398" s="3">
        <v>0</v>
      </c>
      <c r="BW398" s="3">
        <v>0</v>
      </c>
      <c r="BY398" s="17" t="s">
        <v>2628</v>
      </c>
      <c r="BZ398" s="3">
        <v>0</v>
      </c>
      <c r="CA398" s="3">
        <v>0</v>
      </c>
      <c r="CB398" s="3">
        <v>0</v>
      </c>
      <c r="CC398" s="3">
        <v>0</v>
      </c>
      <c r="CD398" s="3">
        <v>0</v>
      </c>
      <c r="CE398" s="3">
        <v>0</v>
      </c>
      <c r="CF398" s="3">
        <v>0</v>
      </c>
      <c r="CG398" s="3">
        <v>0</v>
      </c>
      <c r="CH398" s="3">
        <v>0</v>
      </c>
      <c r="CI398" s="3">
        <v>0</v>
      </c>
      <c r="CJ398" s="3">
        <v>0</v>
      </c>
      <c r="CK398" s="3">
        <v>0</v>
      </c>
      <c r="CL398" s="3">
        <v>0</v>
      </c>
      <c r="CM398" s="3">
        <v>0</v>
      </c>
      <c r="CN398" s="3">
        <v>0</v>
      </c>
      <c r="CO398" s="3">
        <v>0</v>
      </c>
      <c r="CP398" s="3">
        <v>0</v>
      </c>
      <c r="CQ398" s="3">
        <v>0</v>
      </c>
      <c r="CR398" s="3">
        <v>0</v>
      </c>
      <c r="CS398" s="3">
        <v>0</v>
      </c>
      <c r="CU398" s="17" t="s">
        <v>2629</v>
      </c>
      <c r="CV398" s="3">
        <v>0</v>
      </c>
      <c r="CW398" s="3">
        <v>0</v>
      </c>
      <c r="CX398" s="3">
        <v>0</v>
      </c>
      <c r="CY398" s="3">
        <v>0</v>
      </c>
      <c r="CZ398" s="3">
        <v>0</v>
      </c>
      <c r="DA398" s="3">
        <v>0</v>
      </c>
      <c r="DB398" s="3">
        <v>0</v>
      </c>
      <c r="DC398" s="3">
        <v>0</v>
      </c>
      <c r="DD398" s="3">
        <v>0</v>
      </c>
      <c r="DE398" s="3">
        <v>0</v>
      </c>
      <c r="DF398" s="3">
        <v>0</v>
      </c>
      <c r="DG398" s="3">
        <v>0</v>
      </c>
      <c r="DH398" s="3">
        <v>0</v>
      </c>
      <c r="DI398" s="3">
        <v>0</v>
      </c>
      <c r="DJ398" s="3">
        <v>0</v>
      </c>
      <c r="DK398" s="3">
        <v>0</v>
      </c>
      <c r="DL398" s="3">
        <v>0</v>
      </c>
      <c r="DM398" s="3">
        <v>0</v>
      </c>
      <c r="DN398" s="3">
        <v>0</v>
      </c>
      <c r="DO398" s="3">
        <v>0</v>
      </c>
    </row>
    <row r="399" spans="1:119" x14ac:dyDescent="0.45">
      <c r="A399" s="16" t="s">
        <v>2630</v>
      </c>
      <c r="B399" s="3" t="s">
        <v>89</v>
      </c>
      <c r="C399" s="16" t="s">
        <v>2631</v>
      </c>
      <c r="H399" s="3" t="s">
        <v>2632</v>
      </c>
      <c r="I399" s="3" t="s">
        <v>2363</v>
      </c>
      <c r="K399" s="17" t="s">
        <v>2633</v>
      </c>
      <c r="L399" s="3">
        <v>2.968203246085892</v>
      </c>
      <c r="M399" s="3">
        <v>3.0807615387467031</v>
      </c>
      <c r="N399" s="3">
        <v>3.3322178033901961</v>
      </c>
      <c r="O399" s="3">
        <v>3.3992096375805541</v>
      </c>
      <c r="P399" s="3">
        <v>3.4641120424573408</v>
      </c>
      <c r="Q399" s="3">
        <v>3.54044018122798</v>
      </c>
      <c r="R399" s="3">
        <v>3.6306372211063769</v>
      </c>
      <c r="S399" s="3">
        <v>3.7163064738602491</v>
      </c>
      <c r="T399" s="3">
        <v>3.7957673642489689</v>
      </c>
      <c r="U399" s="3">
        <v>3.8754022530773078</v>
      </c>
      <c r="V399" s="3">
        <v>3.955498515794277</v>
      </c>
      <c r="W399" s="3">
        <v>4.036035351659379</v>
      </c>
      <c r="X399" s="3">
        <v>4.1169919713824381</v>
      </c>
      <c r="Y399" s="3">
        <v>4.198347582082901</v>
      </c>
      <c r="Z399" s="3">
        <v>4.2800813698874212</v>
      </c>
      <c r="AA399" s="3">
        <v>4.3621724802373976</v>
      </c>
      <c r="AB399" s="3">
        <v>4.4445999959742428</v>
      </c>
      <c r="AC399" s="3">
        <v>4.5273429132659624</v>
      </c>
      <c r="AD399" s="3">
        <v>4.6103801154342614</v>
      </c>
      <c r="AE399" s="3">
        <v>4.6936903447368827</v>
      </c>
      <c r="AG399" s="17" t="s">
        <v>2634</v>
      </c>
      <c r="AH399" s="3">
        <v>2.968203246085892</v>
      </c>
      <c r="AI399" s="3">
        <v>3.0807615387467031</v>
      </c>
      <c r="AJ399" s="3">
        <v>3.3322178033901961</v>
      </c>
      <c r="AK399" s="3">
        <v>3.3992096375805541</v>
      </c>
      <c r="AL399" s="3">
        <v>3.4641120424573408</v>
      </c>
      <c r="AM399" s="3">
        <v>3.1922529511727382</v>
      </c>
      <c r="AN399" s="3">
        <v>3.2735203666682469</v>
      </c>
      <c r="AO399" s="3">
        <v>3.351747865571864</v>
      </c>
      <c r="AP399" s="3">
        <v>3.42096833333393</v>
      </c>
      <c r="AQ399" s="3">
        <v>3.4931036914856768</v>
      </c>
      <c r="AR399" s="3">
        <v>3.5642515779437138</v>
      </c>
      <c r="AS399" s="3">
        <v>3.638088026219136</v>
      </c>
      <c r="AT399" s="3">
        <v>3.7134319000792049</v>
      </c>
      <c r="AU399" s="3">
        <v>3.7886404420094779</v>
      </c>
      <c r="AV399" s="3">
        <v>3.864700028502293</v>
      </c>
      <c r="AW399" s="3">
        <v>3.9422495067229311</v>
      </c>
      <c r="AX399" s="3">
        <v>4.0190899553858683</v>
      </c>
      <c r="AY399" s="3">
        <v>4.095673507654185</v>
      </c>
      <c r="AZ399" s="3">
        <v>4.1711983444365774</v>
      </c>
      <c r="BA399" s="3">
        <v>4.2465891454981373</v>
      </c>
      <c r="BC399" s="17" t="s">
        <v>2635</v>
      </c>
      <c r="BD399" s="3">
        <v>2.968203246085892</v>
      </c>
      <c r="BE399" s="3">
        <v>3.0807615387467031</v>
      </c>
      <c r="BF399" s="3">
        <v>3.3322178033901961</v>
      </c>
      <c r="BG399" s="3">
        <v>3.3992096375805541</v>
      </c>
      <c r="BH399" s="3">
        <v>3.4641120424573408</v>
      </c>
      <c r="BI399" s="3">
        <v>3.3541825224179651</v>
      </c>
      <c r="BJ399" s="3">
        <v>3.2228159898389181</v>
      </c>
      <c r="BK399" s="3">
        <v>3.111588155728553</v>
      </c>
      <c r="BL399" s="3">
        <v>3.012482431237689</v>
      </c>
      <c r="BM399" s="3">
        <v>2.928389411359813</v>
      </c>
      <c r="BN399" s="3">
        <v>2.856046573995199</v>
      </c>
      <c r="BO399" s="3">
        <v>2.794329366926851</v>
      </c>
      <c r="BP399" s="3">
        <v>2.741965041393617</v>
      </c>
      <c r="BQ399" s="3">
        <v>2.6971292361352091</v>
      </c>
      <c r="BR399" s="3">
        <v>2.658671896695612</v>
      </c>
      <c r="BS399" s="3">
        <v>2.625996919014153</v>
      </c>
      <c r="BT399" s="3">
        <v>2.5979330540466501</v>
      </c>
      <c r="BU399" s="3">
        <v>2.5736259198643698</v>
      </c>
      <c r="BV399" s="3">
        <v>2.5520049781280161</v>
      </c>
      <c r="BW399" s="3">
        <v>2.532573840182796</v>
      </c>
      <c r="BY399" s="17" t="s">
        <v>2636</v>
      </c>
      <c r="BZ399" s="3">
        <v>2.968203246085892</v>
      </c>
      <c r="CA399" s="3">
        <v>3.0807615387467031</v>
      </c>
      <c r="CB399" s="3">
        <v>3.3322178033901961</v>
      </c>
      <c r="CC399" s="3">
        <v>3.3992096375805541</v>
      </c>
      <c r="CD399" s="3">
        <v>3.4641120424573408</v>
      </c>
      <c r="CE399" s="3">
        <v>3.1188635007549799</v>
      </c>
      <c r="CF399" s="3">
        <v>3.1982482457549901</v>
      </c>
      <c r="CG399" s="3">
        <v>3.2745133830307589</v>
      </c>
      <c r="CH399" s="3">
        <v>3.3422710047516979</v>
      </c>
      <c r="CI399" s="3">
        <v>3.4132025072284091</v>
      </c>
      <c r="CJ399" s="3">
        <v>3.4825907989258491</v>
      </c>
      <c r="CK399" s="3">
        <v>3.5548829321870579</v>
      </c>
      <c r="CL399" s="3">
        <v>3.627688877145967</v>
      </c>
      <c r="CM399" s="3">
        <v>3.700523762004305</v>
      </c>
      <c r="CN399" s="3">
        <v>3.7741611331134148</v>
      </c>
      <c r="CO399" s="3">
        <v>3.8489657887302449</v>
      </c>
      <c r="CP399" s="3">
        <v>3.92314540209476</v>
      </c>
      <c r="CQ399" s="3">
        <v>3.9974166192977649</v>
      </c>
      <c r="CR399" s="3">
        <v>4.0709251531566517</v>
      </c>
      <c r="CS399" s="3">
        <v>4.1448023531892577</v>
      </c>
      <c r="CU399" s="17" t="s">
        <v>2637</v>
      </c>
      <c r="CV399" s="3">
        <v>2.968203246085892</v>
      </c>
      <c r="CW399" s="3">
        <v>3.0807615387467031</v>
      </c>
      <c r="CX399" s="3">
        <v>3.3322178033901961</v>
      </c>
      <c r="CY399" s="3">
        <v>3.3992096375805541</v>
      </c>
      <c r="CZ399" s="3">
        <v>3.4641120424573408</v>
      </c>
      <c r="DA399" s="3">
        <v>2.810268430463863</v>
      </c>
      <c r="DB399" s="3">
        <v>2.881747872486113</v>
      </c>
      <c r="DC399" s="3">
        <v>2.95159668356448</v>
      </c>
      <c r="DD399" s="3">
        <v>3.010025502570076</v>
      </c>
      <c r="DE399" s="3">
        <v>3.0740679580537531</v>
      </c>
      <c r="DF399" s="3">
        <v>3.1354704791140149</v>
      </c>
      <c r="DG399" s="3">
        <v>3.2018397867823651</v>
      </c>
      <c r="DH399" s="3">
        <v>3.2703340568591979</v>
      </c>
      <c r="DI399" s="3">
        <v>3.338332276983619</v>
      </c>
      <c r="DJ399" s="3">
        <v>3.4075479751266031</v>
      </c>
      <c r="DK399" s="3">
        <v>3.4792426361174358</v>
      </c>
      <c r="DL399" s="3">
        <v>3.549244344225464</v>
      </c>
      <c r="DM399" s="3">
        <v>3.618608285296395</v>
      </c>
      <c r="DN399" s="3">
        <v>3.6857394328589441</v>
      </c>
      <c r="DO399" s="3">
        <v>3.7524660204701439</v>
      </c>
    </row>
    <row r="400" spans="1:119" x14ac:dyDescent="0.45">
      <c r="A400" s="16" t="s">
        <v>2638</v>
      </c>
      <c r="B400" s="3" t="s">
        <v>89</v>
      </c>
      <c r="C400" s="16" t="s">
        <v>2639</v>
      </c>
      <c r="H400" s="3" t="s">
        <v>2640</v>
      </c>
      <c r="I400" s="3" t="s">
        <v>2363</v>
      </c>
      <c r="K400" s="17" t="s">
        <v>2641</v>
      </c>
      <c r="L400" s="3">
        <v>3.9319855091792562</v>
      </c>
      <c r="M400" s="3">
        <v>4.2209787675690347</v>
      </c>
      <c r="N400" s="3">
        <v>4.5889967369122511</v>
      </c>
      <c r="O400" s="3">
        <v>4.7381855627855742</v>
      </c>
      <c r="P400" s="3">
        <v>4.8848316158056022</v>
      </c>
      <c r="Q400" s="3">
        <v>5.0576413993485776</v>
      </c>
      <c r="R400" s="3">
        <v>5.2627746916542133</v>
      </c>
      <c r="S400" s="3">
        <v>5.4610126512710782</v>
      </c>
      <c r="T400" s="3">
        <v>5.6482248969236446</v>
      </c>
      <c r="U400" s="3">
        <v>5.8382420374053874</v>
      </c>
      <c r="V400" s="3">
        <v>6.0317149873930536</v>
      </c>
      <c r="W400" s="3">
        <v>6.2286163611944456</v>
      </c>
      <c r="X400" s="3">
        <v>6.4289167455953153</v>
      </c>
      <c r="Y400" s="3">
        <v>6.6325846833246063</v>
      </c>
      <c r="Z400" s="3">
        <v>6.8395866489606822</v>
      </c>
      <c r="AA400" s="3">
        <v>7.0498870170483574</v>
      </c>
      <c r="AB400" s="3">
        <v>7.2634480222133018</v>
      </c>
      <c r="AC400" s="3">
        <v>7.4802297110755456</v>
      </c>
      <c r="AD400" s="3">
        <v>7.700189885776985</v>
      </c>
      <c r="AE400" s="3">
        <v>7.9232840389497943</v>
      </c>
      <c r="AG400" s="17" t="s">
        <v>2642</v>
      </c>
      <c r="AH400" s="3">
        <v>3.9319855091792562</v>
      </c>
      <c r="AI400" s="3">
        <v>4.2209787675690347</v>
      </c>
      <c r="AJ400" s="3">
        <v>4.5889967369122511</v>
      </c>
      <c r="AK400" s="3">
        <v>4.7381855627855742</v>
      </c>
      <c r="AL400" s="3">
        <v>4.8848316158056022</v>
      </c>
      <c r="AM400" s="3">
        <v>4.5229514561861892</v>
      </c>
      <c r="AN400" s="3">
        <v>4.7063975010995653</v>
      </c>
      <c r="AO400" s="3">
        <v>4.8859470758892556</v>
      </c>
      <c r="AP400" s="3">
        <v>5.0481743758421658</v>
      </c>
      <c r="AQ400" s="3">
        <v>5.2189405676381924</v>
      </c>
      <c r="AR400" s="3">
        <v>5.389658737125508</v>
      </c>
      <c r="AS400" s="3">
        <v>5.568619254580959</v>
      </c>
      <c r="AT400" s="3">
        <v>5.7532920726455323</v>
      </c>
      <c r="AU400" s="3">
        <v>5.9399501489198041</v>
      </c>
      <c r="AV400" s="3">
        <v>6.1308934252472538</v>
      </c>
      <c r="AW400" s="3">
        <v>6.3276951058679556</v>
      </c>
      <c r="AX400" s="3">
        <v>6.5251609548332548</v>
      </c>
      <c r="AY400" s="3">
        <v>6.7243232634958883</v>
      </c>
      <c r="AZ400" s="3">
        <v>6.9231792032227766</v>
      </c>
      <c r="BA400" s="3">
        <v>7.1239333147448756</v>
      </c>
      <c r="BC400" s="17" t="s">
        <v>2643</v>
      </c>
      <c r="BD400" s="3">
        <v>3.9319855091792562</v>
      </c>
      <c r="BE400" s="3">
        <v>4.2209787675690347</v>
      </c>
      <c r="BF400" s="3">
        <v>4.5889967369122511</v>
      </c>
      <c r="BG400" s="3">
        <v>4.7381855627855742</v>
      </c>
      <c r="BH400" s="3">
        <v>4.8848316158056022</v>
      </c>
      <c r="BI400" s="3">
        <v>4.7226479636963159</v>
      </c>
      <c r="BJ400" s="3">
        <v>4.5319507970980659</v>
      </c>
      <c r="BK400" s="3">
        <v>4.3785975587697852</v>
      </c>
      <c r="BL400" s="3">
        <v>4.2452696043560856</v>
      </c>
      <c r="BM400" s="3">
        <v>4.1720598290404229</v>
      </c>
      <c r="BN400" s="3">
        <v>4.1123239403911036</v>
      </c>
      <c r="BO400" s="3">
        <v>4.0659400178843743</v>
      </c>
      <c r="BP400" s="3">
        <v>4.031976163655246</v>
      </c>
      <c r="BQ400" s="3">
        <v>4.0078964122049774</v>
      </c>
      <c r="BR400" s="3">
        <v>3.9923175004524851</v>
      </c>
      <c r="BS400" s="3">
        <v>3.9848622493145842</v>
      </c>
      <c r="BT400" s="3">
        <v>3.9836821106743581</v>
      </c>
      <c r="BU400" s="3">
        <v>3.9874724449850869</v>
      </c>
      <c r="BV400" s="3">
        <v>3.9942869548162778</v>
      </c>
      <c r="BW400" s="3">
        <v>4.0033825123454543</v>
      </c>
      <c r="BY400" s="17" t="s">
        <v>2644</v>
      </c>
      <c r="BZ400" s="3">
        <v>3.9319855091792562</v>
      </c>
      <c r="CA400" s="3">
        <v>4.2209787675690347</v>
      </c>
      <c r="CB400" s="3">
        <v>4.5889967369122511</v>
      </c>
      <c r="CC400" s="3">
        <v>4.7381855627855742</v>
      </c>
      <c r="CD400" s="3">
        <v>4.8848316158056022</v>
      </c>
      <c r="CE400" s="3">
        <v>4.4107006207373143</v>
      </c>
      <c r="CF400" s="3">
        <v>4.589590669224668</v>
      </c>
      <c r="CG400" s="3">
        <v>4.7643558112883122</v>
      </c>
      <c r="CH400" s="3">
        <v>4.9228623169282182</v>
      </c>
      <c r="CI400" s="3">
        <v>5.0904300800365379</v>
      </c>
      <c r="CJ400" s="3">
        <v>5.2566735448202433</v>
      </c>
      <c r="CK400" s="3">
        <v>5.4315818346597284</v>
      </c>
      <c r="CL400" s="3">
        <v>5.6098639250763851</v>
      </c>
      <c r="CM400" s="3">
        <v>5.7904175177862056</v>
      </c>
      <c r="CN400" s="3">
        <v>5.9750510330882696</v>
      </c>
      <c r="CO400" s="3">
        <v>6.1646796890341786</v>
      </c>
      <c r="CP400" s="3">
        <v>6.3550723679062084</v>
      </c>
      <c r="CQ400" s="3">
        <v>6.5479089289229089</v>
      </c>
      <c r="CR400" s="3">
        <v>6.7410889140725638</v>
      </c>
      <c r="CS400" s="3">
        <v>6.9373463577937944</v>
      </c>
      <c r="CU400" s="17" t="s">
        <v>2645</v>
      </c>
      <c r="CV400" s="3">
        <v>3.9319855091792562</v>
      </c>
      <c r="CW400" s="3">
        <v>4.2209787675690347</v>
      </c>
      <c r="CX400" s="3">
        <v>4.5889967369122511</v>
      </c>
      <c r="CY400" s="3">
        <v>4.7381855627855742</v>
      </c>
      <c r="CZ400" s="3">
        <v>4.8848316158056022</v>
      </c>
      <c r="DA400" s="3">
        <v>3.9406346608343288</v>
      </c>
      <c r="DB400" s="3">
        <v>4.100461768079251</v>
      </c>
      <c r="DC400" s="3">
        <v>4.2591505565698284</v>
      </c>
      <c r="DD400" s="3">
        <v>4.3951727617302483</v>
      </c>
      <c r="DE400" s="3">
        <v>4.5452467249684947</v>
      </c>
      <c r="DF400" s="3">
        <v>4.6913602575484417</v>
      </c>
      <c r="DG400" s="3">
        <v>4.8504737306818431</v>
      </c>
      <c r="DH400" s="3">
        <v>5.0164681837090894</v>
      </c>
      <c r="DI400" s="3">
        <v>5.183441664351335</v>
      </c>
      <c r="DJ400" s="3">
        <v>5.3553450980902069</v>
      </c>
      <c r="DK400" s="3">
        <v>5.5352408941748834</v>
      </c>
      <c r="DL400" s="3">
        <v>5.7133434596552117</v>
      </c>
      <c r="DM400" s="3">
        <v>5.8920553489800627</v>
      </c>
      <c r="DN400" s="3">
        <v>6.0674247403338768</v>
      </c>
      <c r="DO400" s="3">
        <v>6.2437790206455457</v>
      </c>
    </row>
    <row r="401" spans="1:119" x14ac:dyDescent="0.45">
      <c r="A401" s="16" t="s">
        <v>2646</v>
      </c>
      <c r="B401" s="3" t="s">
        <v>89</v>
      </c>
      <c r="C401" s="16" t="s">
        <v>2647</v>
      </c>
      <c r="H401" s="3" t="s">
        <v>2648</v>
      </c>
      <c r="I401" s="3" t="s">
        <v>2363</v>
      </c>
      <c r="K401" s="17" t="s">
        <v>2649</v>
      </c>
      <c r="L401" s="3">
        <v>0</v>
      </c>
      <c r="M401" s="3">
        <v>0</v>
      </c>
      <c r="N401" s="3">
        <v>0</v>
      </c>
      <c r="O401" s="3">
        <v>0</v>
      </c>
      <c r="P401" s="3">
        <v>0</v>
      </c>
      <c r="Q401" s="3">
        <v>0</v>
      </c>
      <c r="R401" s="3">
        <v>0</v>
      </c>
      <c r="S401" s="3">
        <v>0</v>
      </c>
      <c r="T401" s="3">
        <v>0</v>
      </c>
      <c r="U401" s="3">
        <v>0</v>
      </c>
      <c r="V401" s="3">
        <v>0</v>
      </c>
      <c r="W401" s="3">
        <v>0</v>
      </c>
      <c r="X401" s="3">
        <v>0</v>
      </c>
      <c r="Y401" s="3">
        <v>0</v>
      </c>
      <c r="Z401" s="3">
        <v>0</v>
      </c>
      <c r="AA401" s="3">
        <v>0</v>
      </c>
      <c r="AB401" s="3">
        <v>0</v>
      </c>
      <c r="AC401" s="3">
        <v>0</v>
      </c>
      <c r="AD401" s="3">
        <v>0</v>
      </c>
      <c r="AE401" s="3">
        <v>0</v>
      </c>
      <c r="AG401" s="17" t="s">
        <v>2650</v>
      </c>
      <c r="AH401" s="3">
        <v>0</v>
      </c>
      <c r="AI401" s="3">
        <v>0</v>
      </c>
      <c r="AJ401" s="3">
        <v>0</v>
      </c>
      <c r="AK401" s="3">
        <v>0</v>
      </c>
      <c r="AL401" s="3">
        <v>0</v>
      </c>
      <c r="AM401" s="3">
        <v>0</v>
      </c>
      <c r="AN401" s="3">
        <v>0</v>
      </c>
      <c r="AO401" s="3">
        <v>0</v>
      </c>
      <c r="AP401" s="3">
        <v>0</v>
      </c>
      <c r="AQ401" s="3">
        <v>0</v>
      </c>
      <c r="AR401" s="3">
        <v>0</v>
      </c>
      <c r="AS401" s="3">
        <v>0</v>
      </c>
      <c r="AT401" s="3">
        <v>0</v>
      </c>
      <c r="AU401" s="3">
        <v>0</v>
      </c>
      <c r="AV401" s="3">
        <v>0</v>
      </c>
      <c r="AW401" s="3">
        <v>0</v>
      </c>
      <c r="AX401" s="3">
        <v>0</v>
      </c>
      <c r="AY401" s="3">
        <v>0</v>
      </c>
      <c r="AZ401" s="3">
        <v>0</v>
      </c>
      <c r="BA401" s="3">
        <v>0</v>
      </c>
      <c r="BC401" s="17" t="s">
        <v>2651</v>
      </c>
      <c r="BD401" s="3">
        <v>0</v>
      </c>
      <c r="BE401" s="3">
        <v>0</v>
      </c>
      <c r="BF401" s="3">
        <v>0</v>
      </c>
      <c r="BG401" s="3">
        <v>0</v>
      </c>
      <c r="BH401" s="3">
        <v>0</v>
      </c>
      <c r="BI401" s="3">
        <v>0</v>
      </c>
      <c r="BJ401" s="3">
        <v>0</v>
      </c>
      <c r="BK401" s="3">
        <v>0</v>
      </c>
      <c r="BL401" s="3">
        <v>0</v>
      </c>
      <c r="BM401" s="3">
        <v>0</v>
      </c>
      <c r="BN401" s="3">
        <v>0</v>
      </c>
      <c r="BO401" s="3">
        <v>0</v>
      </c>
      <c r="BP401" s="3">
        <v>0</v>
      </c>
      <c r="BQ401" s="3">
        <v>0</v>
      </c>
      <c r="BR401" s="3">
        <v>0</v>
      </c>
      <c r="BS401" s="3">
        <v>0</v>
      </c>
      <c r="BT401" s="3">
        <v>0</v>
      </c>
      <c r="BU401" s="3">
        <v>0</v>
      </c>
      <c r="BV401" s="3">
        <v>0</v>
      </c>
      <c r="BW401" s="3">
        <v>0</v>
      </c>
      <c r="BY401" s="17" t="s">
        <v>2652</v>
      </c>
      <c r="BZ401" s="3">
        <v>0</v>
      </c>
      <c r="CA401" s="3">
        <v>0</v>
      </c>
      <c r="CB401" s="3">
        <v>0</v>
      </c>
      <c r="CC401" s="3">
        <v>0</v>
      </c>
      <c r="CD401" s="3">
        <v>0</v>
      </c>
      <c r="CE401" s="3">
        <v>0</v>
      </c>
      <c r="CF401" s="3">
        <v>0</v>
      </c>
      <c r="CG401" s="3">
        <v>0</v>
      </c>
      <c r="CH401" s="3">
        <v>0</v>
      </c>
      <c r="CI401" s="3">
        <v>0</v>
      </c>
      <c r="CJ401" s="3">
        <v>0</v>
      </c>
      <c r="CK401" s="3">
        <v>0</v>
      </c>
      <c r="CL401" s="3">
        <v>0</v>
      </c>
      <c r="CM401" s="3">
        <v>0</v>
      </c>
      <c r="CN401" s="3">
        <v>0</v>
      </c>
      <c r="CO401" s="3">
        <v>0</v>
      </c>
      <c r="CP401" s="3">
        <v>0</v>
      </c>
      <c r="CQ401" s="3">
        <v>0</v>
      </c>
      <c r="CR401" s="3">
        <v>0</v>
      </c>
      <c r="CS401" s="3">
        <v>0</v>
      </c>
      <c r="CU401" s="17" t="s">
        <v>2653</v>
      </c>
      <c r="CV401" s="3">
        <v>0</v>
      </c>
      <c r="CW401" s="3">
        <v>0</v>
      </c>
      <c r="CX401" s="3">
        <v>0</v>
      </c>
      <c r="CY401" s="3">
        <v>0</v>
      </c>
      <c r="CZ401" s="3">
        <v>0</v>
      </c>
      <c r="DA401" s="3">
        <v>0</v>
      </c>
      <c r="DB401" s="3">
        <v>0</v>
      </c>
      <c r="DC401" s="3">
        <v>0</v>
      </c>
      <c r="DD401" s="3">
        <v>0</v>
      </c>
      <c r="DE401" s="3">
        <v>0</v>
      </c>
      <c r="DF401" s="3">
        <v>0</v>
      </c>
      <c r="DG401" s="3">
        <v>0</v>
      </c>
      <c r="DH401" s="3">
        <v>0</v>
      </c>
      <c r="DI401" s="3">
        <v>0</v>
      </c>
      <c r="DJ401" s="3">
        <v>0</v>
      </c>
      <c r="DK401" s="3">
        <v>0</v>
      </c>
      <c r="DL401" s="3">
        <v>0</v>
      </c>
      <c r="DM401" s="3">
        <v>0</v>
      </c>
      <c r="DN401" s="3">
        <v>0</v>
      </c>
      <c r="DO401" s="3">
        <v>0</v>
      </c>
    </row>
    <row r="402" spans="1:119" x14ac:dyDescent="0.45">
      <c r="A402" s="16" t="s">
        <v>2654</v>
      </c>
      <c r="B402" s="3" t="s">
        <v>89</v>
      </c>
      <c r="C402" s="16" t="s">
        <v>2655</v>
      </c>
      <c r="H402" s="3" t="s">
        <v>2656</v>
      </c>
      <c r="I402" s="3" t="s">
        <v>2363</v>
      </c>
      <c r="K402" s="17" t="s">
        <v>2657</v>
      </c>
      <c r="L402" s="3">
        <v>4653.5063009740225</v>
      </c>
      <c r="M402" s="3">
        <v>4528.295483410443</v>
      </c>
      <c r="N402" s="3">
        <v>4398.9156124558594</v>
      </c>
      <c r="O402" s="3">
        <v>5317.8270355687182</v>
      </c>
      <c r="P402" s="3">
        <v>6293.3129472490518</v>
      </c>
      <c r="Q402" s="3">
        <v>7330.0644157885308</v>
      </c>
      <c r="R402" s="3">
        <v>8433.1216073287942</v>
      </c>
      <c r="S402" s="3">
        <v>9607.900690582379</v>
      </c>
      <c r="T402" s="3">
        <v>10860.22279337002</v>
      </c>
      <c r="U402" s="3">
        <v>10562.08899498402</v>
      </c>
      <c r="V402" s="3">
        <v>10274.67921235936</v>
      </c>
      <c r="W402" s="3">
        <v>9995.5617364261634</v>
      </c>
      <c r="X402" s="3">
        <v>9735.1029622520928</v>
      </c>
      <c r="Y402" s="3">
        <v>9476.8122911829778</v>
      </c>
      <c r="Z402" s="3">
        <v>9226.4327537842291</v>
      </c>
      <c r="AA402" s="3">
        <v>8982.651264083308</v>
      </c>
      <c r="AB402" s="3">
        <v>8745.3553897956335</v>
      </c>
      <c r="AC402" s="3">
        <v>8514.3102258320323</v>
      </c>
      <c r="AD402" s="3">
        <v>8289.1714750927476</v>
      </c>
      <c r="AE402" s="3">
        <v>8069.7131434134972</v>
      </c>
      <c r="AG402" s="17" t="s">
        <v>2658</v>
      </c>
      <c r="AH402" s="3">
        <v>4653.5063009740225</v>
      </c>
      <c r="AI402" s="3">
        <v>4526.953551811539</v>
      </c>
      <c r="AJ402" s="3">
        <v>4397.6120217597809</v>
      </c>
      <c r="AK402" s="3">
        <v>5316.5585180057215</v>
      </c>
      <c r="AL402" s="3">
        <v>6292.076247302075</v>
      </c>
      <c r="AM402" s="3">
        <v>7328.8562803317218</v>
      </c>
      <c r="AN402" s="3">
        <v>8431.9387754498348</v>
      </c>
      <c r="AO402" s="3">
        <v>8191.0262390084117</v>
      </c>
      <c r="AP402" s="3">
        <v>9328.0875180595485</v>
      </c>
      <c r="AQ402" s="3">
        <v>9068.665179446054</v>
      </c>
      <c r="AR402" s="3">
        <v>8821.5100609014389</v>
      </c>
      <c r="AS402" s="3">
        <v>8576.5623094405655</v>
      </c>
      <c r="AT402" s="3">
        <v>8345.7350504905626</v>
      </c>
      <c r="AU402" s="3">
        <v>8118.3767699742266</v>
      </c>
      <c r="AV402" s="3">
        <v>7898.0982002604633</v>
      </c>
      <c r="AW402" s="3">
        <v>7683.8580029247687</v>
      </c>
      <c r="AX402" s="3">
        <v>7475.5493072035188</v>
      </c>
      <c r="AY402" s="3">
        <v>7272.7269608943598</v>
      </c>
      <c r="AZ402" s="3">
        <v>7075.3027101634352</v>
      </c>
      <c r="BA402" s="3">
        <v>6882.9588310590671</v>
      </c>
      <c r="BC402" s="17" t="s">
        <v>2659</v>
      </c>
      <c r="BD402" s="3">
        <v>4653.5063009740225</v>
      </c>
      <c r="BE402" s="3">
        <v>4524.2824499080116</v>
      </c>
      <c r="BF402" s="3">
        <v>4395.0172370534974</v>
      </c>
      <c r="BG402" s="3">
        <v>5314.032541395226</v>
      </c>
      <c r="BH402" s="3">
        <v>6289.6115859419751</v>
      </c>
      <c r="BI402" s="3">
        <v>7326.4454338425949</v>
      </c>
      <c r="BJ402" s="3">
        <v>8429.574211343881</v>
      </c>
      <c r="BK402" s="3">
        <v>8191.412710873039</v>
      </c>
      <c r="BL402" s="3">
        <v>7957.8032344308804</v>
      </c>
      <c r="BM402" s="3">
        <v>7730.7083119554882</v>
      </c>
      <c r="BN402" s="3">
        <v>7510.4827251695742</v>
      </c>
      <c r="BO402" s="3">
        <v>7296.2698464484811</v>
      </c>
      <c r="BP402" s="3">
        <v>7088.3192105341914</v>
      </c>
      <c r="BQ402" s="3">
        <v>6886.1750117540423</v>
      </c>
      <c r="BR402" s="3">
        <v>6689.8267118210888</v>
      </c>
      <c r="BS402" s="3">
        <v>6498.9898637721972</v>
      </c>
      <c r="BT402" s="3">
        <v>6313.5940142681093</v>
      </c>
      <c r="BU402" s="3">
        <v>6133.4115854964921</v>
      </c>
      <c r="BV402" s="3">
        <v>5958.3618931998772</v>
      </c>
      <c r="BW402" s="3">
        <v>5788.245772524725</v>
      </c>
      <c r="BY402" s="17" t="s">
        <v>2660</v>
      </c>
      <c r="BZ402" s="3">
        <v>4653.5063009740225</v>
      </c>
      <c r="CA402" s="3">
        <v>4521.1989148797784</v>
      </c>
      <c r="CB402" s="3">
        <v>4392.0218030260694</v>
      </c>
      <c r="CC402" s="3">
        <v>5311.1194090790868</v>
      </c>
      <c r="CD402" s="3">
        <v>6286.7749980410354</v>
      </c>
      <c r="CE402" s="3">
        <v>7323.6796594744574</v>
      </c>
      <c r="CF402" s="3">
        <v>8426.8735299970267</v>
      </c>
      <c r="CG402" s="3">
        <v>9601.7726962317665</v>
      </c>
      <c r="CH402" s="3">
        <v>10854.198149354121</v>
      </c>
      <c r="CI402" s="3">
        <v>10544.07820267681</v>
      </c>
      <c r="CJ402" s="3">
        <v>10242.818825472499</v>
      </c>
      <c r="CK402" s="3">
        <v>9950.1668590305417</v>
      </c>
      <c r="CL402" s="3">
        <v>9665.8763773439568</v>
      </c>
      <c r="CM402" s="3">
        <v>9389.7084808484142</v>
      </c>
      <c r="CN402" s="3">
        <v>9121.4310956813169</v>
      </c>
      <c r="CO402" s="3">
        <v>8860.818778661851</v>
      </c>
      <c r="CP402" s="3">
        <v>8607.6525278429399</v>
      </c>
      <c r="CQ402" s="3">
        <v>8361.7195984760001</v>
      </c>
      <c r="CR402" s="3">
        <v>8122.8133242338272</v>
      </c>
      <c r="CS402" s="3">
        <v>7890.732943541434</v>
      </c>
      <c r="CU402" s="17" t="s">
        <v>2661</v>
      </c>
      <c r="CV402" s="3">
        <v>4653.5063009740225</v>
      </c>
      <c r="CW402" s="3">
        <v>4525.3447511347986</v>
      </c>
      <c r="CX402" s="3">
        <v>4396.0491868166619</v>
      </c>
      <c r="CY402" s="3">
        <v>5315.0373335378736</v>
      </c>
      <c r="CZ402" s="3">
        <v>6290.5924095216087</v>
      </c>
      <c r="DA402" s="3">
        <v>7327.4054834517174</v>
      </c>
      <c r="DB402" s="3">
        <v>8430.5166977744848</v>
      </c>
      <c r="DC402" s="3">
        <v>8189.6447921237841</v>
      </c>
      <c r="DD402" s="3">
        <v>7958.5058144431359</v>
      </c>
      <c r="DE402" s="3">
        <v>7732.0042148730909</v>
      </c>
      <c r="DF402" s="3">
        <v>7516.8405012335334</v>
      </c>
      <c r="DG402" s="3">
        <v>7305.9584758217179</v>
      </c>
      <c r="DH402" s="3">
        <v>7103.2258008313356</v>
      </c>
      <c r="DI402" s="3">
        <v>6905.5769440490694</v>
      </c>
      <c r="DJ402" s="3">
        <v>6713.9333087434043</v>
      </c>
      <c r="DK402" s="3">
        <v>6527.3510053916698</v>
      </c>
      <c r="DL402" s="3">
        <v>6346.1549773939823</v>
      </c>
      <c r="DM402" s="3">
        <v>6169.6086007077338</v>
      </c>
      <c r="DN402" s="3">
        <v>5998.0030213017308</v>
      </c>
      <c r="DO402" s="3">
        <v>5830.7902100851879</v>
      </c>
    </row>
    <row r="403" spans="1:119" x14ac:dyDescent="0.45">
      <c r="A403" s="16" t="s">
        <v>2662</v>
      </c>
      <c r="B403" s="3" t="s">
        <v>89</v>
      </c>
      <c r="C403" s="16" t="s">
        <v>2663</v>
      </c>
      <c r="H403" s="3" t="s">
        <v>2664</v>
      </c>
      <c r="I403" s="3" t="s">
        <v>2363</v>
      </c>
      <c r="K403" s="17" t="s">
        <v>2665</v>
      </c>
      <c r="L403" s="3">
        <v>263.8514166917642</v>
      </c>
      <c r="M403" s="3">
        <v>226.7115632524926</v>
      </c>
      <c r="N403" s="3">
        <v>258.05796029823239</v>
      </c>
      <c r="O403" s="3">
        <v>265.39103728490159</v>
      </c>
      <c r="P403" s="3">
        <v>272.5200500450365</v>
      </c>
      <c r="Q403" s="3">
        <v>281.04222237556269</v>
      </c>
      <c r="R403" s="3">
        <v>291.28155911542899</v>
      </c>
      <c r="S403" s="3">
        <v>301.05515706885973</v>
      </c>
      <c r="T403" s="3">
        <v>310.14125834711888</v>
      </c>
      <c r="U403" s="3">
        <v>319.303982220036</v>
      </c>
      <c r="V403" s="3">
        <v>328.57742859239931</v>
      </c>
      <c r="W403" s="3">
        <v>337.95834311850251</v>
      </c>
      <c r="X403" s="3">
        <v>347.4434006849994</v>
      </c>
      <c r="Y403" s="3">
        <v>357.0292063546953</v>
      </c>
      <c r="Z403" s="3">
        <v>366.7122959028793</v>
      </c>
      <c r="AA403" s="3">
        <v>376.48913594508258</v>
      </c>
      <c r="AB403" s="3">
        <v>386.35612365624911</v>
      </c>
      <c r="AC403" s="3">
        <v>396.30958608229332</v>
      </c>
      <c r="AD403" s="3">
        <v>406.34577904585529</v>
      </c>
      <c r="AE403" s="3">
        <v>416.46088564883212</v>
      </c>
      <c r="AG403" s="17" t="s">
        <v>2666</v>
      </c>
      <c r="AH403" s="3">
        <v>263.8514166917642</v>
      </c>
      <c r="AI403" s="3">
        <v>226.7115632524926</v>
      </c>
      <c r="AJ403" s="3">
        <v>258.05796029823239</v>
      </c>
      <c r="AK403" s="3">
        <v>265.39103728490159</v>
      </c>
      <c r="AL403" s="3">
        <v>272.5200500450365</v>
      </c>
      <c r="AM403" s="3">
        <v>237.49057689988919</v>
      </c>
      <c r="AN403" s="3">
        <v>246.14313975038081</v>
      </c>
      <c r="AO403" s="3">
        <v>254.5203812562431</v>
      </c>
      <c r="AP403" s="3">
        <v>261.9285448065819</v>
      </c>
      <c r="AQ403" s="3">
        <v>269.71525377164932</v>
      </c>
      <c r="AR403" s="3">
        <v>277.43362741268788</v>
      </c>
      <c r="AS403" s="3">
        <v>285.50915127941192</v>
      </c>
      <c r="AT403" s="3">
        <v>293.80799248820489</v>
      </c>
      <c r="AU403" s="3">
        <v>302.13751942812348</v>
      </c>
      <c r="AV403" s="3">
        <v>310.61348140877118</v>
      </c>
      <c r="AW403" s="3">
        <v>319.31311379955542</v>
      </c>
      <c r="AX403" s="3">
        <v>327.97226123820042</v>
      </c>
      <c r="AY403" s="3">
        <v>336.64265568309588</v>
      </c>
      <c r="AZ403" s="3">
        <v>345.22386417921638</v>
      </c>
      <c r="BA403" s="3">
        <v>353.82601163821153</v>
      </c>
      <c r="BC403" s="17" t="s">
        <v>2667</v>
      </c>
      <c r="BD403" s="3">
        <v>263.8514166917642</v>
      </c>
      <c r="BE403" s="3">
        <v>226.7115632524926</v>
      </c>
      <c r="BF403" s="3">
        <v>258.05796029823239</v>
      </c>
      <c r="BG403" s="3">
        <v>265.39103728490159</v>
      </c>
      <c r="BH403" s="3">
        <v>272.5200500450365</v>
      </c>
      <c r="BI403" s="3">
        <v>256.78208414343169</v>
      </c>
      <c r="BJ403" s="3">
        <v>240.3398463383497</v>
      </c>
      <c r="BK403" s="3">
        <v>227.8378426577672</v>
      </c>
      <c r="BL403" s="3">
        <v>217.59792258079111</v>
      </c>
      <c r="BM403" s="3">
        <v>209.5095298097994</v>
      </c>
      <c r="BN403" s="3">
        <v>202.97519480586831</v>
      </c>
      <c r="BO403" s="3">
        <v>197.7311050420243</v>
      </c>
      <c r="BP403" s="3">
        <v>193.5556474736764</v>
      </c>
      <c r="BQ403" s="3">
        <v>190.20415892702371</v>
      </c>
      <c r="BR403" s="3">
        <v>187.5242463746192</v>
      </c>
      <c r="BS403" s="3">
        <v>185.4345276896909</v>
      </c>
      <c r="BT403" s="3">
        <v>183.8011931099856</v>
      </c>
      <c r="BU403" s="3">
        <v>182.52855876668869</v>
      </c>
      <c r="BV403" s="3">
        <v>181.5009178489513</v>
      </c>
      <c r="BW403" s="3">
        <v>180.66459428251429</v>
      </c>
      <c r="BY403" s="17" t="s">
        <v>2668</v>
      </c>
      <c r="BZ403" s="3">
        <v>263.8514166917642</v>
      </c>
      <c r="CA403" s="3">
        <v>226.7115632524926</v>
      </c>
      <c r="CB403" s="3">
        <v>258.05796029823239</v>
      </c>
      <c r="CC403" s="3">
        <v>265.39103728490159</v>
      </c>
      <c r="CD403" s="3">
        <v>272.5200500450365</v>
      </c>
      <c r="CE403" s="3">
        <v>229.22356600663221</v>
      </c>
      <c r="CF403" s="3">
        <v>237.57476760834589</v>
      </c>
      <c r="CG403" s="3">
        <v>245.6434693695106</v>
      </c>
      <c r="CH403" s="3">
        <v>252.80950572595361</v>
      </c>
      <c r="CI403" s="3">
        <v>260.37834481763269</v>
      </c>
      <c r="CJ403" s="3">
        <v>267.81572149615408</v>
      </c>
      <c r="CK403" s="3">
        <v>275.6297323671792</v>
      </c>
      <c r="CL403" s="3">
        <v>283.54809809311138</v>
      </c>
      <c r="CM403" s="3">
        <v>291.51369795068388</v>
      </c>
      <c r="CN403" s="3">
        <v>299.61626193625619</v>
      </c>
      <c r="CO403" s="3">
        <v>307.89947884787802</v>
      </c>
      <c r="CP403" s="3">
        <v>316.15031120464778</v>
      </c>
      <c r="CQ403" s="3">
        <v>324.4519727130733</v>
      </c>
      <c r="CR403" s="3">
        <v>332.6997844609275</v>
      </c>
      <c r="CS403" s="3">
        <v>341.02837632895518</v>
      </c>
      <c r="CU403" s="17" t="s">
        <v>2669</v>
      </c>
      <c r="CV403" s="3">
        <v>263.8514166917642</v>
      </c>
      <c r="CW403" s="3">
        <v>226.7115632524926</v>
      </c>
      <c r="CX403" s="3">
        <v>258.05796029823239</v>
      </c>
      <c r="CY403" s="3">
        <v>265.39103728490159</v>
      </c>
      <c r="CZ403" s="3">
        <v>272.5200500450365</v>
      </c>
      <c r="DA403" s="3">
        <v>197.1930130226518</v>
      </c>
      <c r="DB403" s="3">
        <v>204.37736345534759</v>
      </c>
      <c r="DC403" s="3">
        <v>211.44513291812819</v>
      </c>
      <c r="DD403" s="3">
        <v>217.33282577070361</v>
      </c>
      <c r="DE403" s="3">
        <v>223.86258486091029</v>
      </c>
      <c r="DF403" s="3">
        <v>230.14286296039381</v>
      </c>
      <c r="DG403" s="3">
        <v>237.00502781481589</v>
      </c>
      <c r="DH403" s="3">
        <v>244.14404734073571</v>
      </c>
      <c r="DI403" s="3">
        <v>251.270190147927</v>
      </c>
      <c r="DJ403" s="3">
        <v>258.57402188643431</v>
      </c>
      <c r="DK403" s="3">
        <v>266.20035489354632</v>
      </c>
      <c r="DL403" s="3">
        <v>273.67625101728851</v>
      </c>
      <c r="DM403" s="3">
        <v>281.11775290563719</v>
      </c>
      <c r="DN403" s="3">
        <v>288.33710141850958</v>
      </c>
      <c r="DO403" s="3">
        <v>295.54140235981617</v>
      </c>
    </row>
    <row r="404" spans="1:119" x14ac:dyDescent="0.45">
      <c r="A404" s="16" t="s">
        <v>2670</v>
      </c>
      <c r="B404" s="3" t="s">
        <v>89</v>
      </c>
      <c r="C404" s="16" t="s">
        <v>2671</v>
      </c>
      <c r="H404" s="3" t="s">
        <v>2672</v>
      </c>
      <c r="I404" s="3" t="s">
        <v>2363</v>
      </c>
      <c r="K404" s="17" t="s">
        <v>2673</v>
      </c>
      <c r="L404" s="3">
        <v>0</v>
      </c>
      <c r="M404" s="3">
        <v>0</v>
      </c>
      <c r="N404" s="3">
        <v>0</v>
      </c>
      <c r="O404" s="3">
        <v>0</v>
      </c>
      <c r="P404" s="3">
        <v>0</v>
      </c>
      <c r="Q404" s="3">
        <v>0</v>
      </c>
      <c r="R404" s="3">
        <v>0</v>
      </c>
      <c r="S404" s="3">
        <v>0</v>
      </c>
      <c r="T404" s="3">
        <v>0</v>
      </c>
      <c r="U404" s="3">
        <v>0</v>
      </c>
      <c r="V404" s="3">
        <v>0</v>
      </c>
      <c r="W404" s="3">
        <v>0</v>
      </c>
      <c r="X404" s="3">
        <v>0</v>
      </c>
      <c r="Y404" s="3">
        <v>0</v>
      </c>
      <c r="Z404" s="3">
        <v>0</v>
      </c>
      <c r="AA404" s="3">
        <v>0</v>
      </c>
      <c r="AB404" s="3">
        <v>0</v>
      </c>
      <c r="AC404" s="3">
        <v>0</v>
      </c>
      <c r="AD404" s="3">
        <v>0</v>
      </c>
      <c r="AE404" s="3">
        <v>0</v>
      </c>
      <c r="AG404" s="17" t="s">
        <v>2674</v>
      </c>
      <c r="AH404" s="3">
        <v>0</v>
      </c>
      <c r="AI404" s="3">
        <v>0</v>
      </c>
      <c r="AJ404" s="3">
        <v>0</v>
      </c>
      <c r="AK404" s="3">
        <v>0</v>
      </c>
      <c r="AL404" s="3">
        <v>0</v>
      </c>
      <c r="AM404" s="3">
        <v>0</v>
      </c>
      <c r="AN404" s="3">
        <v>0</v>
      </c>
      <c r="AO404" s="3">
        <v>0</v>
      </c>
      <c r="AP404" s="3">
        <v>0</v>
      </c>
      <c r="AQ404" s="3">
        <v>0</v>
      </c>
      <c r="AR404" s="3">
        <v>0</v>
      </c>
      <c r="AS404" s="3">
        <v>0</v>
      </c>
      <c r="AT404" s="3">
        <v>0</v>
      </c>
      <c r="AU404" s="3">
        <v>0</v>
      </c>
      <c r="AV404" s="3">
        <v>0</v>
      </c>
      <c r="AW404" s="3">
        <v>0</v>
      </c>
      <c r="AX404" s="3">
        <v>0</v>
      </c>
      <c r="AY404" s="3">
        <v>0</v>
      </c>
      <c r="AZ404" s="3">
        <v>0</v>
      </c>
      <c r="BA404" s="3">
        <v>0</v>
      </c>
      <c r="BC404" s="17" t="s">
        <v>2675</v>
      </c>
      <c r="BD404" s="3">
        <v>0</v>
      </c>
      <c r="BE404" s="3">
        <v>0</v>
      </c>
      <c r="BF404" s="3">
        <v>0</v>
      </c>
      <c r="BG404" s="3">
        <v>0</v>
      </c>
      <c r="BH404" s="3">
        <v>0</v>
      </c>
      <c r="BI404" s="3">
        <v>0</v>
      </c>
      <c r="BJ404" s="3">
        <v>0</v>
      </c>
      <c r="BK404" s="3">
        <v>0</v>
      </c>
      <c r="BL404" s="3">
        <v>0</v>
      </c>
      <c r="BM404" s="3">
        <v>0</v>
      </c>
      <c r="BN404" s="3">
        <v>0</v>
      </c>
      <c r="BO404" s="3">
        <v>0</v>
      </c>
      <c r="BP404" s="3">
        <v>0</v>
      </c>
      <c r="BQ404" s="3">
        <v>0</v>
      </c>
      <c r="BR404" s="3">
        <v>0</v>
      </c>
      <c r="BS404" s="3">
        <v>0</v>
      </c>
      <c r="BT404" s="3">
        <v>0</v>
      </c>
      <c r="BU404" s="3">
        <v>0</v>
      </c>
      <c r="BV404" s="3">
        <v>0</v>
      </c>
      <c r="BW404" s="3">
        <v>0</v>
      </c>
      <c r="BY404" s="17" t="s">
        <v>2676</v>
      </c>
      <c r="BZ404" s="3">
        <v>0</v>
      </c>
      <c r="CA404" s="3">
        <v>0</v>
      </c>
      <c r="CB404" s="3">
        <v>0</v>
      </c>
      <c r="CC404" s="3">
        <v>0</v>
      </c>
      <c r="CD404" s="3">
        <v>0</v>
      </c>
      <c r="CE404" s="3">
        <v>0</v>
      </c>
      <c r="CF404" s="3">
        <v>0</v>
      </c>
      <c r="CG404" s="3">
        <v>0</v>
      </c>
      <c r="CH404" s="3">
        <v>0</v>
      </c>
      <c r="CI404" s="3">
        <v>0</v>
      </c>
      <c r="CJ404" s="3">
        <v>0</v>
      </c>
      <c r="CK404" s="3">
        <v>0</v>
      </c>
      <c r="CL404" s="3">
        <v>0</v>
      </c>
      <c r="CM404" s="3">
        <v>0</v>
      </c>
      <c r="CN404" s="3">
        <v>0</v>
      </c>
      <c r="CO404" s="3">
        <v>0</v>
      </c>
      <c r="CP404" s="3">
        <v>0</v>
      </c>
      <c r="CQ404" s="3">
        <v>0</v>
      </c>
      <c r="CR404" s="3">
        <v>0</v>
      </c>
      <c r="CS404" s="3">
        <v>0</v>
      </c>
      <c r="CU404" s="17" t="s">
        <v>2677</v>
      </c>
      <c r="CV404" s="3">
        <v>0</v>
      </c>
      <c r="CW404" s="3">
        <v>0</v>
      </c>
      <c r="CX404" s="3">
        <v>0</v>
      </c>
      <c r="CY404" s="3">
        <v>0</v>
      </c>
      <c r="CZ404" s="3">
        <v>0</v>
      </c>
      <c r="DA404" s="3">
        <v>0</v>
      </c>
      <c r="DB404" s="3">
        <v>0</v>
      </c>
      <c r="DC404" s="3">
        <v>0</v>
      </c>
      <c r="DD404" s="3">
        <v>0</v>
      </c>
      <c r="DE404" s="3">
        <v>0</v>
      </c>
      <c r="DF404" s="3">
        <v>0</v>
      </c>
      <c r="DG404" s="3">
        <v>0</v>
      </c>
      <c r="DH404" s="3">
        <v>0</v>
      </c>
      <c r="DI404" s="3">
        <v>0</v>
      </c>
      <c r="DJ404" s="3">
        <v>0</v>
      </c>
      <c r="DK404" s="3">
        <v>0</v>
      </c>
      <c r="DL404" s="3">
        <v>0</v>
      </c>
      <c r="DM404" s="3">
        <v>0</v>
      </c>
      <c r="DN404" s="3">
        <v>0</v>
      </c>
      <c r="DO404" s="3">
        <v>0</v>
      </c>
    </row>
    <row r="405" spans="1:119" x14ac:dyDescent="0.45">
      <c r="A405" s="16" t="s">
        <v>2678</v>
      </c>
      <c r="B405" s="3" t="s">
        <v>89</v>
      </c>
      <c r="C405" s="16" t="s">
        <v>2679</v>
      </c>
      <c r="H405" s="3" t="s">
        <v>2680</v>
      </c>
      <c r="I405" s="3" t="s">
        <v>2363</v>
      </c>
      <c r="K405" s="17" t="s">
        <v>2681</v>
      </c>
      <c r="L405" s="3">
        <v>2563.5366919895559</v>
      </c>
      <c r="M405" s="3">
        <v>2224.834857899355</v>
      </c>
      <c r="N405" s="3">
        <v>2550.110876367437</v>
      </c>
      <c r="O405" s="3">
        <v>2633.0152821238971</v>
      </c>
      <c r="P405" s="3">
        <v>2714.506666019357</v>
      </c>
      <c r="Q405" s="3">
        <v>2810.5372656950849</v>
      </c>
      <c r="R405" s="3">
        <v>2924.5300771534012</v>
      </c>
      <c r="S405" s="3">
        <v>3034.6911441381658</v>
      </c>
      <c r="T405" s="3">
        <v>3138.7252089235358</v>
      </c>
      <c r="U405" s="3">
        <v>3244.3179570597599</v>
      </c>
      <c r="V405" s="3">
        <v>3351.8311025971911</v>
      </c>
      <c r="W405" s="3">
        <v>3461.2494272745089</v>
      </c>
      <c r="X405" s="3">
        <v>3572.5565861340119</v>
      </c>
      <c r="Y405" s="3">
        <v>3685.735098333229</v>
      </c>
      <c r="Z405" s="3">
        <v>3800.766333755982</v>
      </c>
      <c r="AA405" s="3">
        <v>3917.6304952949822</v>
      </c>
      <c r="AB405" s="3">
        <v>4036.3065966873578</v>
      </c>
      <c r="AC405" s="3">
        <v>4156.7724357929401</v>
      </c>
      <c r="AD405" s="3">
        <v>4279.0045632124175</v>
      </c>
      <c r="AE405" s="3">
        <v>4402.9782461492159</v>
      </c>
      <c r="AG405" s="17" t="s">
        <v>2682</v>
      </c>
      <c r="AH405" s="3">
        <v>2563.5366919895559</v>
      </c>
      <c r="AI405" s="3">
        <v>2224.834857899355</v>
      </c>
      <c r="AJ405" s="3">
        <v>2550.110876367437</v>
      </c>
      <c r="AK405" s="3">
        <v>2633.0152821238971</v>
      </c>
      <c r="AL405" s="3">
        <v>2714.506666019357</v>
      </c>
      <c r="AM405" s="3">
        <v>2303.2084863819709</v>
      </c>
      <c r="AN405" s="3">
        <v>2396.6241446154481</v>
      </c>
      <c r="AO405" s="3">
        <v>2488.055615500743</v>
      </c>
      <c r="AP405" s="3">
        <v>2570.666118309332</v>
      </c>
      <c r="AQ405" s="3">
        <v>2657.624854422626</v>
      </c>
      <c r="AR405" s="3">
        <v>2744.5591362851901</v>
      </c>
      <c r="AS405" s="3">
        <v>2835.6906433383879</v>
      </c>
      <c r="AT405" s="3">
        <v>2929.7310074436991</v>
      </c>
      <c r="AU405" s="3">
        <v>3024.7823184054009</v>
      </c>
      <c r="AV405" s="3">
        <v>3122.0157684468459</v>
      </c>
      <c r="AW405" s="3">
        <v>3222.2324754645342</v>
      </c>
      <c r="AX405" s="3">
        <v>3322.787394860241</v>
      </c>
      <c r="AY405" s="3">
        <v>3424.2061971451531</v>
      </c>
      <c r="AZ405" s="3">
        <v>3525.4689881308932</v>
      </c>
      <c r="BA405" s="3">
        <v>3627.6983792293449</v>
      </c>
      <c r="BC405" s="17" t="s">
        <v>2683</v>
      </c>
      <c r="BD405" s="3">
        <v>2563.5366919895559</v>
      </c>
      <c r="BE405" s="3">
        <v>2224.834857899355</v>
      </c>
      <c r="BF405" s="3">
        <v>2550.110876367437</v>
      </c>
      <c r="BG405" s="3">
        <v>2633.0152821238971</v>
      </c>
      <c r="BH405" s="3">
        <v>2714.506666019357</v>
      </c>
      <c r="BI405" s="3">
        <v>2480.0920623016168</v>
      </c>
      <c r="BJ405" s="3">
        <v>2254.141713124026</v>
      </c>
      <c r="BK405" s="3">
        <v>2093.3110030736011</v>
      </c>
      <c r="BL405" s="3">
        <v>1969.05940704976</v>
      </c>
      <c r="BM405" s="3">
        <v>1894.589613646848</v>
      </c>
      <c r="BN405" s="3">
        <v>1834.867869566235</v>
      </c>
      <c r="BO405" s="3">
        <v>1787.356513891649</v>
      </c>
      <c r="BP405" s="3">
        <v>1749.9470663604061</v>
      </c>
      <c r="BQ405" s="3">
        <v>1720.354066828336</v>
      </c>
      <c r="BR405" s="3">
        <v>1697.1468285130579</v>
      </c>
      <c r="BS405" s="3">
        <v>1679.551350031958</v>
      </c>
      <c r="BT405" s="3">
        <v>1666.328787252397</v>
      </c>
      <c r="BU405" s="3">
        <v>1656.5913461687021</v>
      </c>
      <c r="BV405" s="3">
        <v>1649.2727028593811</v>
      </c>
      <c r="BW405" s="3">
        <v>1643.871136108439</v>
      </c>
      <c r="BY405" s="17" t="s">
        <v>2684</v>
      </c>
      <c r="BZ405" s="3">
        <v>2563.5366919895559</v>
      </c>
      <c r="CA405" s="3">
        <v>2224.834857899355</v>
      </c>
      <c r="CB405" s="3">
        <v>2550.110876367437</v>
      </c>
      <c r="CC405" s="3">
        <v>2633.0152821238971</v>
      </c>
      <c r="CD405" s="3">
        <v>2714.506666019357</v>
      </c>
      <c r="CE405" s="3">
        <v>2209.7959731828728</v>
      </c>
      <c r="CF405" s="3">
        <v>2299.42130547844</v>
      </c>
      <c r="CG405" s="3">
        <v>2386.9800269589332</v>
      </c>
      <c r="CH405" s="3">
        <v>2466.3930427141941</v>
      </c>
      <c r="CI405" s="3">
        <v>2550.3458202867801</v>
      </c>
      <c r="CJ405" s="3">
        <v>2633.6351139014509</v>
      </c>
      <c r="CK405" s="3">
        <v>2721.2655535523259</v>
      </c>
      <c r="CL405" s="3">
        <v>2810.5862940353868</v>
      </c>
      <c r="CM405" s="3">
        <v>2901.0450751727849</v>
      </c>
      <c r="CN405" s="3">
        <v>2993.5479298691198</v>
      </c>
      <c r="CO405" s="3">
        <v>3088.5533896228822</v>
      </c>
      <c r="CP405" s="3">
        <v>3183.9416309187909</v>
      </c>
      <c r="CQ405" s="3">
        <v>3280.5542765410428</v>
      </c>
      <c r="CR405" s="3">
        <v>3377.338980376117</v>
      </c>
      <c r="CS405" s="3">
        <v>3475.6655153495649</v>
      </c>
      <c r="CU405" s="17" t="s">
        <v>2685</v>
      </c>
      <c r="CV405" s="3">
        <v>2563.5366919895559</v>
      </c>
      <c r="CW405" s="3">
        <v>2224.834857899355</v>
      </c>
      <c r="CX405" s="3">
        <v>2550.110876367437</v>
      </c>
      <c r="CY405" s="3">
        <v>2633.0152821238971</v>
      </c>
      <c r="CZ405" s="3">
        <v>2714.506666019357</v>
      </c>
      <c r="DA405" s="3">
        <v>1856.161780049694</v>
      </c>
      <c r="DB405" s="3">
        <v>1931.445330395647</v>
      </c>
      <c r="DC405" s="3">
        <v>2006.192697119624</v>
      </c>
      <c r="DD405" s="3">
        <v>2070.2633964326619</v>
      </c>
      <c r="DE405" s="3">
        <v>2140.9529118835658</v>
      </c>
      <c r="DF405" s="3">
        <v>2209.776941022446</v>
      </c>
      <c r="DG405" s="3">
        <v>2284.724347453332</v>
      </c>
      <c r="DH405" s="3">
        <v>2362.912909938389</v>
      </c>
      <c r="DI405" s="3">
        <v>2441.5626249526658</v>
      </c>
      <c r="DJ405" s="3">
        <v>2522.534501573638</v>
      </c>
      <c r="DK405" s="3">
        <v>2607.2710300325571</v>
      </c>
      <c r="DL405" s="3">
        <v>2691.162890970355</v>
      </c>
      <c r="DM405" s="3">
        <v>2775.341762435447</v>
      </c>
      <c r="DN405" s="3">
        <v>2857.9462131491318</v>
      </c>
      <c r="DO405" s="3">
        <v>2941.0145772672572</v>
      </c>
    </row>
    <row r="406" spans="1:119" x14ac:dyDescent="0.45">
      <c r="A406" s="16" t="s">
        <v>2686</v>
      </c>
      <c r="B406" s="3" t="s">
        <v>89</v>
      </c>
      <c r="C406" s="16" t="s">
        <v>2687</v>
      </c>
      <c r="H406" s="3" t="s">
        <v>2688</v>
      </c>
      <c r="I406" s="3" t="s">
        <v>2363</v>
      </c>
      <c r="K406" s="17" t="s">
        <v>2689</v>
      </c>
      <c r="L406" s="3">
        <v>95.817106428539162</v>
      </c>
      <c r="M406" s="3">
        <v>83.157474995928325</v>
      </c>
      <c r="N406" s="3">
        <v>95.315290789085125</v>
      </c>
      <c r="O406" s="3">
        <v>98.414002149286702</v>
      </c>
      <c r="P406" s="3">
        <v>101.4598991041145</v>
      </c>
      <c r="Q406" s="3">
        <v>105.0492271672851</v>
      </c>
      <c r="R406" s="3">
        <v>109.30992738730529</v>
      </c>
      <c r="S406" s="3">
        <v>113.4274087998178</v>
      </c>
      <c r="T406" s="3">
        <v>117.3158817399094</v>
      </c>
      <c r="U406" s="3">
        <v>121.26261346326081</v>
      </c>
      <c r="V406" s="3">
        <v>125.28112372707599</v>
      </c>
      <c r="W406" s="3">
        <v>129.37084371961581</v>
      </c>
      <c r="X406" s="3">
        <v>133.53116251670011</v>
      </c>
      <c r="Y406" s="3">
        <v>137.76142673827431</v>
      </c>
      <c r="Z406" s="3">
        <v>142.0609400479722</v>
      </c>
      <c r="AA406" s="3">
        <v>146.42896249089421</v>
      </c>
      <c r="AB406" s="3">
        <v>150.86470966516711</v>
      </c>
      <c r="AC406" s="3">
        <v>155.36735172316881</v>
      </c>
      <c r="AD406" s="3">
        <v>159.93601219857209</v>
      </c>
      <c r="AE406" s="3">
        <v>164.56976665561251</v>
      </c>
      <c r="AG406" s="17" t="s">
        <v>2690</v>
      </c>
      <c r="AH406" s="3">
        <v>95.817106428539162</v>
      </c>
      <c r="AI406" s="3">
        <v>83.157474995928325</v>
      </c>
      <c r="AJ406" s="3">
        <v>95.315290789085125</v>
      </c>
      <c r="AK406" s="3">
        <v>98.414002149286702</v>
      </c>
      <c r="AL406" s="3">
        <v>101.4598991041145</v>
      </c>
      <c r="AM406" s="3">
        <v>105.04923214657791</v>
      </c>
      <c r="AN406" s="3">
        <v>109.309915982156</v>
      </c>
      <c r="AO406" s="3">
        <v>113.4801011248915</v>
      </c>
      <c r="AP406" s="3">
        <v>117.2479623231268</v>
      </c>
      <c r="AQ406" s="3">
        <v>121.2141462405404</v>
      </c>
      <c r="AR406" s="3">
        <v>125.1792148007132</v>
      </c>
      <c r="AS406" s="3">
        <v>129.33571860699141</v>
      </c>
      <c r="AT406" s="3">
        <v>133.62489524838441</v>
      </c>
      <c r="AU406" s="3">
        <v>137.96018112896809</v>
      </c>
      <c r="AV406" s="3">
        <v>142.39499427168181</v>
      </c>
      <c r="AW406" s="3">
        <v>146.96587362659599</v>
      </c>
      <c r="AX406" s="3">
        <v>151.5521788323716</v>
      </c>
      <c r="AY406" s="3">
        <v>156.17788569662139</v>
      </c>
      <c r="AZ406" s="3">
        <v>160.79647689275831</v>
      </c>
      <c r="BA406" s="3">
        <v>165.45915467516531</v>
      </c>
      <c r="BC406" s="17" t="s">
        <v>2691</v>
      </c>
      <c r="BD406" s="3">
        <v>95.817106428539162</v>
      </c>
      <c r="BE406" s="3">
        <v>83.157474995928325</v>
      </c>
      <c r="BF406" s="3">
        <v>95.315290789085125</v>
      </c>
      <c r="BG406" s="3">
        <v>98.414002149286702</v>
      </c>
      <c r="BH406" s="3">
        <v>101.4598991041145</v>
      </c>
      <c r="BI406" s="3">
        <v>102.8713597574591</v>
      </c>
      <c r="BJ406" s="3">
        <v>104.3631345752855</v>
      </c>
      <c r="BK406" s="3">
        <v>105.8667456212162</v>
      </c>
      <c r="BL406" s="3">
        <v>107.1934193146778</v>
      </c>
      <c r="BM406" s="3">
        <v>110.7686000721306</v>
      </c>
      <c r="BN406" s="3">
        <v>114.3835875420671</v>
      </c>
      <c r="BO406" s="3">
        <v>118.1061018160607</v>
      </c>
      <c r="BP406" s="3">
        <v>121.97331881871411</v>
      </c>
      <c r="BQ406" s="3">
        <v>125.9631406351829</v>
      </c>
      <c r="BR406" s="3">
        <v>130.07572866980189</v>
      </c>
      <c r="BS406" s="3">
        <v>134.33619959464269</v>
      </c>
      <c r="BT406" s="3">
        <v>138.71462344222141</v>
      </c>
      <c r="BU406" s="3">
        <v>143.19074770282219</v>
      </c>
      <c r="BV406" s="3">
        <v>147.71364096509379</v>
      </c>
      <c r="BW406" s="3">
        <v>152.26887671715059</v>
      </c>
      <c r="BY406" s="17" t="s">
        <v>2692</v>
      </c>
      <c r="BZ406" s="3">
        <v>95.817106428539162</v>
      </c>
      <c r="CA406" s="3">
        <v>83.157474995928325</v>
      </c>
      <c r="CB406" s="3">
        <v>95.315290789085125</v>
      </c>
      <c r="CC406" s="3">
        <v>98.414002149286702</v>
      </c>
      <c r="CD406" s="3">
        <v>101.4598991041145</v>
      </c>
      <c r="CE406" s="3">
        <v>105.04925351220299</v>
      </c>
      <c r="CF406" s="3">
        <v>109.3098614451025</v>
      </c>
      <c r="CG406" s="3">
        <v>113.4722268587567</v>
      </c>
      <c r="CH406" s="3">
        <v>117.2473618148708</v>
      </c>
      <c r="CI406" s="3">
        <v>121.2383079118417</v>
      </c>
      <c r="CJ406" s="3">
        <v>125.1977133166663</v>
      </c>
      <c r="CK406" s="3">
        <v>129.36348806781291</v>
      </c>
      <c r="CL406" s="3">
        <v>133.60961631891459</v>
      </c>
      <c r="CM406" s="3">
        <v>137.90984473249989</v>
      </c>
      <c r="CN406" s="3">
        <v>142.30724428952851</v>
      </c>
      <c r="CO406" s="3">
        <v>146.82361265467719</v>
      </c>
      <c r="CP406" s="3">
        <v>151.35817768401981</v>
      </c>
      <c r="CQ406" s="3">
        <v>155.95094843101251</v>
      </c>
      <c r="CR406" s="3">
        <v>160.55189847918811</v>
      </c>
      <c r="CS406" s="3">
        <v>165.22614407685961</v>
      </c>
      <c r="CU406" s="17" t="s">
        <v>2693</v>
      </c>
      <c r="CV406" s="3">
        <v>95.817106428539162</v>
      </c>
      <c r="CW406" s="3">
        <v>83.157474995928325</v>
      </c>
      <c r="CX406" s="3">
        <v>95.315290789085125</v>
      </c>
      <c r="CY406" s="3">
        <v>98.414002149286702</v>
      </c>
      <c r="CZ406" s="3">
        <v>101.4598991041145</v>
      </c>
      <c r="DA406" s="3">
        <v>105.049238480832</v>
      </c>
      <c r="DB406" s="3">
        <v>109.3099013815432</v>
      </c>
      <c r="DC406" s="3">
        <v>113.5402190387632</v>
      </c>
      <c r="DD406" s="3">
        <v>117.16629206974051</v>
      </c>
      <c r="DE406" s="3">
        <v>121.166956153287</v>
      </c>
      <c r="DF406" s="3">
        <v>125.0620432776584</v>
      </c>
      <c r="DG406" s="3">
        <v>129.30368215649969</v>
      </c>
      <c r="DH406" s="3">
        <v>133.7287538475816</v>
      </c>
      <c r="DI406" s="3">
        <v>138.17992440705899</v>
      </c>
      <c r="DJ406" s="3">
        <v>142.76251740559019</v>
      </c>
      <c r="DK406" s="3">
        <v>147.5581703932734</v>
      </c>
      <c r="DL406" s="3">
        <v>152.3060195306582</v>
      </c>
      <c r="DM406" s="3">
        <v>157.0701119921176</v>
      </c>
      <c r="DN406" s="3">
        <v>161.74510031256861</v>
      </c>
      <c r="DO406" s="3">
        <v>166.446343752795</v>
      </c>
    </row>
    <row r="407" spans="1:119" x14ac:dyDescent="0.45">
      <c r="A407" s="11"/>
      <c r="B407" s="3" t="s">
        <v>89</v>
      </c>
      <c r="C407" s="16" t="s">
        <v>2694</v>
      </c>
      <c r="H407" s="11" t="s">
        <v>2695</v>
      </c>
      <c r="I407" s="11" t="s">
        <v>2363</v>
      </c>
    </row>
    <row r="408" spans="1:119" x14ac:dyDescent="0.45">
      <c r="A408" s="16" t="s">
        <v>2696</v>
      </c>
      <c r="B408" s="3" t="s">
        <v>89</v>
      </c>
      <c r="C408" s="16" t="s">
        <v>2697</v>
      </c>
      <c r="H408" s="3" t="s">
        <v>2698</v>
      </c>
      <c r="I408" s="3" t="s">
        <v>2363</v>
      </c>
      <c r="K408" s="17" t="s">
        <v>2699</v>
      </c>
      <c r="L408" s="3">
        <v>0</v>
      </c>
      <c r="M408" s="3">
        <v>0</v>
      </c>
      <c r="N408" s="3">
        <v>0</v>
      </c>
      <c r="O408" s="3">
        <v>0</v>
      </c>
      <c r="P408" s="3">
        <v>0</v>
      </c>
      <c r="Q408" s="3">
        <v>0</v>
      </c>
      <c r="R408" s="3">
        <v>0</v>
      </c>
      <c r="S408" s="3">
        <v>0</v>
      </c>
      <c r="T408" s="3">
        <v>0</v>
      </c>
      <c r="U408" s="3">
        <v>0</v>
      </c>
      <c r="V408" s="3">
        <v>0</v>
      </c>
      <c r="W408" s="3">
        <v>0</v>
      </c>
      <c r="X408" s="3">
        <v>0</v>
      </c>
      <c r="Y408" s="3">
        <v>0</v>
      </c>
      <c r="Z408" s="3">
        <v>0</v>
      </c>
      <c r="AA408" s="3">
        <v>0</v>
      </c>
      <c r="AB408" s="3">
        <v>0</v>
      </c>
      <c r="AC408" s="3">
        <v>0</v>
      </c>
      <c r="AD408" s="3">
        <v>0</v>
      </c>
      <c r="AE408" s="3">
        <v>0</v>
      </c>
      <c r="AG408" s="17" t="s">
        <v>2700</v>
      </c>
      <c r="AH408" s="3">
        <v>0</v>
      </c>
      <c r="AI408" s="3">
        <v>0</v>
      </c>
      <c r="AJ408" s="3">
        <v>0</v>
      </c>
      <c r="AK408" s="3">
        <v>0</v>
      </c>
      <c r="AL408" s="3">
        <v>0</v>
      </c>
      <c r="AM408" s="3">
        <v>0</v>
      </c>
      <c r="AN408" s="3">
        <v>0</v>
      </c>
      <c r="AO408" s="3">
        <v>0</v>
      </c>
      <c r="AP408" s="3">
        <v>0</v>
      </c>
      <c r="AQ408" s="3">
        <v>0</v>
      </c>
      <c r="AR408" s="3">
        <v>0</v>
      </c>
      <c r="AS408" s="3">
        <v>0</v>
      </c>
      <c r="AT408" s="3">
        <v>0</v>
      </c>
      <c r="AU408" s="3">
        <v>0</v>
      </c>
      <c r="AV408" s="3">
        <v>0</v>
      </c>
      <c r="AW408" s="3">
        <v>0</v>
      </c>
      <c r="AX408" s="3">
        <v>0</v>
      </c>
      <c r="AY408" s="3">
        <v>0</v>
      </c>
      <c r="AZ408" s="3">
        <v>0</v>
      </c>
      <c r="BA408" s="3">
        <v>0</v>
      </c>
      <c r="BC408" s="17" t="s">
        <v>2701</v>
      </c>
      <c r="BD408" s="3">
        <v>0</v>
      </c>
      <c r="BE408" s="3">
        <v>0</v>
      </c>
      <c r="BF408" s="3">
        <v>0</v>
      </c>
      <c r="BG408" s="3">
        <v>0</v>
      </c>
      <c r="BH408" s="3">
        <v>0</v>
      </c>
      <c r="BI408" s="3">
        <v>0</v>
      </c>
      <c r="BJ408" s="3">
        <v>0</v>
      </c>
      <c r="BK408" s="3">
        <v>0</v>
      </c>
      <c r="BL408" s="3">
        <v>0</v>
      </c>
      <c r="BM408" s="3">
        <v>0</v>
      </c>
      <c r="BN408" s="3">
        <v>0</v>
      </c>
      <c r="BO408" s="3">
        <v>0</v>
      </c>
      <c r="BP408" s="3">
        <v>0</v>
      </c>
      <c r="BQ408" s="3">
        <v>0</v>
      </c>
      <c r="BR408" s="3">
        <v>0</v>
      </c>
      <c r="BS408" s="3">
        <v>0</v>
      </c>
      <c r="BT408" s="3">
        <v>0</v>
      </c>
      <c r="BU408" s="3">
        <v>0</v>
      </c>
      <c r="BV408" s="3">
        <v>0</v>
      </c>
      <c r="BW408" s="3">
        <v>0</v>
      </c>
      <c r="BY408" s="17" t="s">
        <v>2702</v>
      </c>
      <c r="BZ408" s="3">
        <v>0</v>
      </c>
      <c r="CA408" s="3">
        <v>0</v>
      </c>
      <c r="CB408" s="3">
        <v>0</v>
      </c>
      <c r="CC408" s="3">
        <v>0</v>
      </c>
      <c r="CD408" s="3">
        <v>0</v>
      </c>
      <c r="CE408" s="3">
        <v>0</v>
      </c>
      <c r="CF408" s="3">
        <v>0</v>
      </c>
      <c r="CG408" s="3">
        <v>0</v>
      </c>
      <c r="CH408" s="3">
        <v>0</v>
      </c>
      <c r="CI408" s="3">
        <v>0</v>
      </c>
      <c r="CJ408" s="3">
        <v>0</v>
      </c>
      <c r="CK408" s="3">
        <v>0</v>
      </c>
      <c r="CL408" s="3">
        <v>0</v>
      </c>
      <c r="CM408" s="3">
        <v>0</v>
      </c>
      <c r="CN408" s="3">
        <v>0</v>
      </c>
      <c r="CO408" s="3">
        <v>0</v>
      </c>
      <c r="CP408" s="3">
        <v>0</v>
      </c>
      <c r="CQ408" s="3">
        <v>0</v>
      </c>
      <c r="CR408" s="3">
        <v>0</v>
      </c>
      <c r="CS408" s="3">
        <v>0</v>
      </c>
      <c r="CU408" s="17" t="s">
        <v>2703</v>
      </c>
      <c r="CV408" s="3">
        <v>0</v>
      </c>
      <c r="CW408" s="3">
        <v>0</v>
      </c>
      <c r="CX408" s="3">
        <v>0</v>
      </c>
      <c r="CY408" s="3">
        <v>0</v>
      </c>
      <c r="CZ408" s="3">
        <v>0</v>
      </c>
      <c r="DA408" s="3">
        <v>0</v>
      </c>
      <c r="DB408" s="3">
        <v>0</v>
      </c>
      <c r="DC408" s="3">
        <v>0</v>
      </c>
      <c r="DD408" s="3">
        <v>0</v>
      </c>
      <c r="DE408" s="3">
        <v>0</v>
      </c>
      <c r="DF408" s="3">
        <v>0</v>
      </c>
      <c r="DG408" s="3">
        <v>0</v>
      </c>
      <c r="DH408" s="3">
        <v>0</v>
      </c>
      <c r="DI408" s="3">
        <v>0</v>
      </c>
      <c r="DJ408" s="3">
        <v>0</v>
      </c>
      <c r="DK408" s="3">
        <v>0</v>
      </c>
      <c r="DL408" s="3">
        <v>0</v>
      </c>
      <c r="DM408" s="3">
        <v>0</v>
      </c>
      <c r="DN408" s="3">
        <v>0</v>
      </c>
      <c r="DO408" s="3">
        <v>0</v>
      </c>
    </row>
    <row r="409" spans="1:119" x14ac:dyDescent="0.45">
      <c r="A409" s="11"/>
      <c r="B409" s="3" t="s">
        <v>89</v>
      </c>
      <c r="C409" s="16" t="s">
        <v>2704</v>
      </c>
      <c r="H409" s="11" t="s">
        <v>2705</v>
      </c>
      <c r="I409" s="11" t="s">
        <v>2363</v>
      </c>
    </row>
    <row r="410" spans="1:119" x14ac:dyDescent="0.45">
      <c r="A410" s="11"/>
      <c r="B410" s="3" t="s">
        <v>89</v>
      </c>
      <c r="C410" s="16" t="s">
        <v>2706</v>
      </c>
      <c r="H410" s="11" t="s">
        <v>2707</v>
      </c>
      <c r="I410" s="11" t="s">
        <v>2363</v>
      </c>
    </row>
    <row r="411" spans="1:119" x14ac:dyDescent="0.45">
      <c r="A411" s="11"/>
      <c r="B411" s="3" t="s">
        <v>89</v>
      </c>
      <c r="C411" s="16" t="s">
        <v>2708</v>
      </c>
      <c r="H411" s="11" t="s">
        <v>2709</v>
      </c>
      <c r="I411" s="11" t="s">
        <v>2363</v>
      </c>
    </row>
    <row r="412" spans="1:119" x14ac:dyDescent="0.45">
      <c r="A412" s="16" t="s">
        <v>2710</v>
      </c>
      <c r="B412" s="3" t="s">
        <v>89</v>
      </c>
      <c r="C412" s="16" t="s">
        <v>2711</v>
      </c>
      <c r="H412" s="3" t="s">
        <v>2712</v>
      </c>
      <c r="I412" s="3" t="s">
        <v>2363</v>
      </c>
      <c r="K412" s="17" t="s">
        <v>2713</v>
      </c>
      <c r="L412" s="3">
        <v>0</v>
      </c>
      <c r="M412" s="3">
        <v>0</v>
      </c>
      <c r="N412" s="3">
        <v>0</v>
      </c>
      <c r="O412" s="3">
        <v>0</v>
      </c>
      <c r="P412" s="3">
        <v>0</v>
      </c>
      <c r="Q412" s="3">
        <v>0</v>
      </c>
      <c r="R412" s="3">
        <v>0</v>
      </c>
      <c r="S412" s="3">
        <v>0</v>
      </c>
      <c r="T412" s="3">
        <v>0</v>
      </c>
      <c r="U412" s="3">
        <v>0</v>
      </c>
      <c r="V412" s="3">
        <v>0</v>
      </c>
      <c r="W412" s="3">
        <v>0</v>
      </c>
      <c r="X412" s="3">
        <v>0</v>
      </c>
      <c r="Y412" s="3">
        <v>0</v>
      </c>
      <c r="Z412" s="3">
        <v>0</v>
      </c>
      <c r="AA412" s="3">
        <v>0</v>
      </c>
      <c r="AB412" s="3">
        <v>0</v>
      </c>
      <c r="AC412" s="3">
        <v>0</v>
      </c>
      <c r="AD412" s="3">
        <v>0</v>
      </c>
      <c r="AE412" s="3">
        <v>0</v>
      </c>
      <c r="AG412" s="17" t="s">
        <v>2714</v>
      </c>
      <c r="AH412" s="3">
        <v>0</v>
      </c>
      <c r="AI412" s="3">
        <v>0</v>
      </c>
      <c r="AJ412" s="3">
        <v>0</v>
      </c>
      <c r="AK412" s="3">
        <v>0</v>
      </c>
      <c r="AL412" s="3">
        <v>0</v>
      </c>
      <c r="AM412" s="3">
        <v>0</v>
      </c>
      <c r="AN412" s="3">
        <v>0</v>
      </c>
      <c r="AO412" s="3">
        <v>0</v>
      </c>
      <c r="AP412" s="3">
        <v>0</v>
      </c>
      <c r="AQ412" s="3">
        <v>0</v>
      </c>
      <c r="AR412" s="3">
        <v>0</v>
      </c>
      <c r="AS412" s="3">
        <v>0</v>
      </c>
      <c r="AT412" s="3">
        <v>0</v>
      </c>
      <c r="AU412" s="3">
        <v>0</v>
      </c>
      <c r="AV412" s="3">
        <v>0</v>
      </c>
      <c r="AW412" s="3">
        <v>0</v>
      </c>
      <c r="AX412" s="3">
        <v>0</v>
      </c>
      <c r="AY412" s="3">
        <v>0</v>
      </c>
      <c r="AZ412" s="3">
        <v>0</v>
      </c>
      <c r="BA412" s="3">
        <v>0</v>
      </c>
      <c r="BC412" s="17" t="s">
        <v>2715</v>
      </c>
      <c r="BD412" s="3">
        <v>0</v>
      </c>
      <c r="BE412" s="3">
        <v>0</v>
      </c>
      <c r="BF412" s="3">
        <v>0</v>
      </c>
      <c r="BG412" s="3">
        <v>0</v>
      </c>
      <c r="BH412" s="3">
        <v>0</v>
      </c>
      <c r="BI412" s="3">
        <v>0</v>
      </c>
      <c r="BJ412" s="3">
        <v>0</v>
      </c>
      <c r="BK412" s="3">
        <v>0</v>
      </c>
      <c r="BL412" s="3">
        <v>0</v>
      </c>
      <c r="BM412" s="3">
        <v>0</v>
      </c>
      <c r="BN412" s="3">
        <v>0</v>
      </c>
      <c r="BO412" s="3">
        <v>0</v>
      </c>
      <c r="BP412" s="3">
        <v>0</v>
      </c>
      <c r="BQ412" s="3">
        <v>0</v>
      </c>
      <c r="BR412" s="3">
        <v>0</v>
      </c>
      <c r="BS412" s="3">
        <v>0</v>
      </c>
      <c r="BT412" s="3">
        <v>0</v>
      </c>
      <c r="BU412" s="3">
        <v>0</v>
      </c>
      <c r="BV412" s="3">
        <v>0</v>
      </c>
      <c r="BW412" s="3">
        <v>0</v>
      </c>
      <c r="BY412" s="17" t="s">
        <v>2716</v>
      </c>
      <c r="BZ412" s="3">
        <v>0</v>
      </c>
      <c r="CA412" s="3">
        <v>0</v>
      </c>
      <c r="CB412" s="3">
        <v>0</v>
      </c>
      <c r="CC412" s="3">
        <v>0</v>
      </c>
      <c r="CD412" s="3">
        <v>0</v>
      </c>
      <c r="CE412" s="3">
        <v>0</v>
      </c>
      <c r="CF412" s="3">
        <v>0</v>
      </c>
      <c r="CG412" s="3">
        <v>0</v>
      </c>
      <c r="CH412" s="3">
        <v>0</v>
      </c>
      <c r="CI412" s="3">
        <v>0</v>
      </c>
      <c r="CJ412" s="3">
        <v>0</v>
      </c>
      <c r="CK412" s="3">
        <v>0</v>
      </c>
      <c r="CL412" s="3">
        <v>0</v>
      </c>
      <c r="CM412" s="3">
        <v>0</v>
      </c>
      <c r="CN412" s="3">
        <v>0</v>
      </c>
      <c r="CO412" s="3">
        <v>0</v>
      </c>
      <c r="CP412" s="3">
        <v>0</v>
      </c>
      <c r="CQ412" s="3">
        <v>0</v>
      </c>
      <c r="CR412" s="3">
        <v>0</v>
      </c>
      <c r="CS412" s="3">
        <v>0</v>
      </c>
      <c r="CU412" s="17" t="s">
        <v>2717</v>
      </c>
      <c r="CV412" s="3">
        <v>0</v>
      </c>
      <c r="CW412" s="3">
        <v>0</v>
      </c>
      <c r="CX412" s="3">
        <v>0</v>
      </c>
      <c r="CY412" s="3">
        <v>0</v>
      </c>
      <c r="CZ412" s="3">
        <v>0</v>
      </c>
      <c r="DA412" s="3">
        <v>0</v>
      </c>
      <c r="DB412" s="3">
        <v>0</v>
      </c>
      <c r="DC412" s="3">
        <v>0</v>
      </c>
      <c r="DD412" s="3">
        <v>0</v>
      </c>
      <c r="DE412" s="3">
        <v>0</v>
      </c>
      <c r="DF412" s="3">
        <v>0</v>
      </c>
      <c r="DG412" s="3">
        <v>0</v>
      </c>
      <c r="DH412" s="3">
        <v>0</v>
      </c>
      <c r="DI412" s="3">
        <v>0</v>
      </c>
      <c r="DJ412" s="3">
        <v>0</v>
      </c>
      <c r="DK412" s="3">
        <v>0</v>
      </c>
      <c r="DL412" s="3">
        <v>0</v>
      </c>
      <c r="DM412" s="3">
        <v>0</v>
      </c>
      <c r="DN412" s="3">
        <v>0</v>
      </c>
      <c r="DO412" s="3">
        <v>0</v>
      </c>
    </row>
    <row r="413" spans="1:119" x14ac:dyDescent="0.45">
      <c r="A413" s="11"/>
      <c r="B413" s="3" t="s">
        <v>89</v>
      </c>
      <c r="C413" s="16" t="s">
        <v>2361</v>
      </c>
      <c r="H413" s="11" t="s">
        <v>2718</v>
      </c>
      <c r="I413" s="11" t="s">
        <v>2363</v>
      </c>
    </row>
    <row r="414" spans="1:119" x14ac:dyDescent="0.45">
      <c r="A414" s="11"/>
      <c r="B414" s="3" t="s">
        <v>89</v>
      </c>
      <c r="C414" s="16" t="s">
        <v>2719</v>
      </c>
      <c r="H414" s="11" t="s">
        <v>2720</v>
      </c>
      <c r="I414" s="11" t="s">
        <v>2363</v>
      </c>
    </row>
    <row r="415" spans="1:119" x14ac:dyDescent="0.45">
      <c r="A415" s="11"/>
      <c r="B415" s="3" t="s">
        <v>89</v>
      </c>
      <c r="C415" s="16" t="s">
        <v>2719</v>
      </c>
      <c r="H415" s="11" t="s">
        <v>2721</v>
      </c>
      <c r="I415" s="11" t="s">
        <v>2363</v>
      </c>
    </row>
    <row r="416" spans="1:119" x14ac:dyDescent="0.45">
      <c r="A416" s="16" t="s">
        <v>2722</v>
      </c>
      <c r="B416" s="3" t="s">
        <v>89</v>
      </c>
      <c r="C416" s="16" t="s">
        <v>2723</v>
      </c>
      <c r="H416" s="3" t="s">
        <v>2724</v>
      </c>
      <c r="I416" s="3" t="s">
        <v>2725</v>
      </c>
      <c r="K416" s="17" t="s">
        <v>2726</v>
      </c>
      <c r="L416" s="20">
        <v>24192.484884399881</v>
      </c>
      <c r="M416" s="20">
        <v>23573.901564728279</v>
      </c>
      <c r="N416" s="20">
        <v>26717.986434678049</v>
      </c>
      <c r="O416" s="20">
        <v>30251.40341301123</v>
      </c>
      <c r="P416" s="20">
        <v>31717.865066752569</v>
      </c>
      <c r="Q416" s="20">
        <v>32965.922250881478</v>
      </c>
      <c r="R416" s="20">
        <v>34278.232342247429</v>
      </c>
      <c r="S416" s="20">
        <v>35661.743863061558</v>
      </c>
      <c r="T416" s="20">
        <v>36740.92385438177</v>
      </c>
      <c r="U416" s="20">
        <v>37863.937855073287</v>
      </c>
      <c r="V416" s="20">
        <v>38972.248517430147</v>
      </c>
      <c r="W416" s="20">
        <v>40913.623165403587</v>
      </c>
      <c r="X416" s="20">
        <v>42886.679329757462</v>
      </c>
      <c r="Y416" s="20">
        <v>44961.674882251711</v>
      </c>
      <c r="Z416" s="20">
        <v>47090.46178101845</v>
      </c>
      <c r="AA416" s="20">
        <v>49273.840720568383</v>
      </c>
      <c r="AB416" s="20">
        <v>51510.801851748249</v>
      </c>
      <c r="AC416" s="20">
        <v>53802.096513605124</v>
      </c>
      <c r="AD416" s="20">
        <v>56150.510710655501</v>
      </c>
      <c r="AE416" s="20">
        <v>58557.473172250036</v>
      </c>
      <c r="AG416" s="17" t="s">
        <v>2727</v>
      </c>
      <c r="AH416" s="20">
        <v>24192.484884399881</v>
      </c>
      <c r="AI416" s="20">
        <v>23573.901564728279</v>
      </c>
      <c r="AJ416" s="20">
        <v>26717.986434678049</v>
      </c>
      <c r="AK416" s="20">
        <v>30251.40341301123</v>
      </c>
      <c r="AL416" s="20">
        <v>31717.3399316914</v>
      </c>
      <c r="AM416" s="20">
        <v>32964.548965223548</v>
      </c>
      <c r="AN416" s="20">
        <v>31384.93060647518</v>
      </c>
      <c r="AO416" s="20">
        <v>32730.118463515821</v>
      </c>
      <c r="AP416" s="20">
        <v>33467.475740331764</v>
      </c>
      <c r="AQ416" s="20">
        <v>34953.584023673982</v>
      </c>
      <c r="AR416" s="20">
        <v>36107.167188701133</v>
      </c>
      <c r="AS416" s="20">
        <v>38040.649680135954</v>
      </c>
      <c r="AT416" s="20">
        <v>39968.481150810992</v>
      </c>
      <c r="AU416" s="20">
        <v>42006.628512023177</v>
      </c>
      <c r="AV416" s="20">
        <v>44107.286414970571</v>
      </c>
      <c r="AW416" s="20">
        <v>46278.553384883053</v>
      </c>
      <c r="AX416" s="20">
        <v>48483.760094194702</v>
      </c>
      <c r="AY416" s="20">
        <v>50733.20375268651</v>
      </c>
      <c r="AZ416" s="20">
        <v>53010.072879308813</v>
      </c>
      <c r="BA416" s="20">
        <v>55335.082982056563</v>
      </c>
      <c r="BC416" s="17" t="s">
        <v>2728</v>
      </c>
      <c r="BD416" s="20">
        <v>24192.484884399881</v>
      </c>
      <c r="BE416" s="20">
        <v>23573.901564728279</v>
      </c>
      <c r="BF416" s="20">
        <v>26717.986434678049</v>
      </c>
      <c r="BG416" s="20">
        <v>30251.40341301123</v>
      </c>
      <c r="BH416" s="20">
        <v>31716.114857555549</v>
      </c>
      <c r="BI416" s="20">
        <v>32961.290455631162</v>
      </c>
      <c r="BJ416" s="20">
        <v>32732.974724130701</v>
      </c>
      <c r="BK416" s="20">
        <v>32283.814784415459</v>
      </c>
      <c r="BL416" s="20">
        <v>31782.216351621119</v>
      </c>
      <c r="BM416" s="20">
        <v>31796.40445409017</v>
      </c>
      <c r="BN416" s="20">
        <v>31789.367186674281</v>
      </c>
      <c r="BO416" s="20">
        <v>32153.8344841861</v>
      </c>
      <c r="BP416" s="20">
        <v>32588.64560420554</v>
      </c>
      <c r="BQ416" s="20">
        <v>33287.491826382051</v>
      </c>
      <c r="BR416" s="20">
        <v>34050.256107363231</v>
      </c>
      <c r="BS416" s="20">
        <v>35054.642068321482</v>
      </c>
      <c r="BT416" s="20">
        <v>36085.024071191299</v>
      </c>
      <c r="BU416" s="20">
        <v>37365.071815351781</v>
      </c>
      <c r="BV416" s="20">
        <v>38592.652393996759</v>
      </c>
      <c r="BW416" s="20">
        <v>40126.892221557253</v>
      </c>
      <c r="BY416" s="17" t="s">
        <v>2729</v>
      </c>
      <c r="BZ416" s="20">
        <v>24192.484884399881</v>
      </c>
      <c r="CA416" s="20">
        <v>23573.901564728279</v>
      </c>
      <c r="CB416" s="20">
        <v>26717.986434678049</v>
      </c>
      <c r="CC416" s="20">
        <v>30251.40341301123</v>
      </c>
      <c r="CD416" s="20">
        <v>31714.859364795961</v>
      </c>
      <c r="CE416" s="20">
        <v>32957.993694467114</v>
      </c>
      <c r="CF416" s="20">
        <v>34266.665063680754</v>
      </c>
      <c r="CG416" s="20">
        <v>35661.913315853883</v>
      </c>
      <c r="CH416" s="20">
        <v>36697.592418706947</v>
      </c>
      <c r="CI416" s="20">
        <v>37834.720495694273</v>
      </c>
      <c r="CJ416" s="20">
        <v>38915.809758544739</v>
      </c>
      <c r="CK416" s="20">
        <v>40917.629188476298</v>
      </c>
      <c r="CL416" s="20">
        <v>42975.090315440357</v>
      </c>
      <c r="CM416" s="20">
        <v>45118.084113866753</v>
      </c>
      <c r="CN416" s="20">
        <v>47433.403366443948</v>
      </c>
      <c r="CO416" s="20">
        <v>49803.627150380147</v>
      </c>
      <c r="CP416" s="20">
        <v>52222.163080823419</v>
      </c>
      <c r="CQ416" s="20">
        <v>54714.231077921359</v>
      </c>
      <c r="CR416" s="20">
        <v>57231.200070424988</v>
      </c>
      <c r="CS416" s="20">
        <v>59810.415669876267</v>
      </c>
      <c r="CU416" s="17" t="s">
        <v>2730</v>
      </c>
      <c r="CV416" s="20">
        <v>24192.484884399881</v>
      </c>
      <c r="CW416" s="20">
        <v>23573.901564728279</v>
      </c>
      <c r="CX416" s="20">
        <v>26717.986434678049</v>
      </c>
      <c r="CY416" s="20">
        <v>30251.40341301123</v>
      </c>
      <c r="CZ416" s="20">
        <v>31716.639043647421</v>
      </c>
      <c r="DA416" s="20">
        <v>32962.694477627207</v>
      </c>
      <c r="DB416" s="20">
        <v>28156.583079565389</v>
      </c>
      <c r="DC416" s="20">
        <v>29497.778140892631</v>
      </c>
      <c r="DD416" s="20">
        <v>29939.764750505012</v>
      </c>
      <c r="DE416" s="20">
        <v>31380.733633988919</v>
      </c>
      <c r="DF416" s="20">
        <v>32745.59102499548</v>
      </c>
      <c r="DG416" s="20">
        <v>34651.625648862981</v>
      </c>
      <c r="DH416" s="20">
        <v>36673.574038371808</v>
      </c>
      <c r="DI416" s="20">
        <v>38921.911658173267</v>
      </c>
      <c r="DJ416" s="20">
        <v>41233.300459455517</v>
      </c>
      <c r="DK416" s="20">
        <v>43694.972637653147</v>
      </c>
      <c r="DL416" s="20">
        <v>46152.34583588846</v>
      </c>
      <c r="DM416" s="20">
        <v>48690.432452004738</v>
      </c>
      <c r="DN416" s="20">
        <v>51192.677683446163</v>
      </c>
      <c r="DO416" s="20">
        <v>53765.663292816811</v>
      </c>
    </row>
    <row r="417" spans="1:230" x14ac:dyDescent="0.45">
      <c r="A417" s="16" t="s">
        <v>2731</v>
      </c>
      <c r="B417" s="3" t="s">
        <v>89</v>
      </c>
      <c r="C417" s="16" t="s">
        <v>2732</v>
      </c>
      <c r="H417" s="3" t="s">
        <v>2733</v>
      </c>
      <c r="I417" s="3" t="s">
        <v>2725</v>
      </c>
      <c r="K417" s="17" t="s">
        <v>2734</v>
      </c>
      <c r="L417" s="3">
        <v>0</v>
      </c>
      <c r="M417" s="3">
        <v>0</v>
      </c>
      <c r="N417" s="3">
        <v>0</v>
      </c>
      <c r="O417" s="3">
        <v>0</v>
      </c>
      <c r="P417" s="3">
        <v>0</v>
      </c>
      <c r="Q417" s="3">
        <v>0</v>
      </c>
      <c r="R417" s="3">
        <v>0</v>
      </c>
      <c r="S417" s="3">
        <v>0</v>
      </c>
      <c r="T417" s="3">
        <v>0</v>
      </c>
      <c r="U417" s="3">
        <v>0</v>
      </c>
      <c r="V417" s="3">
        <v>0</v>
      </c>
      <c r="W417" s="3">
        <v>0</v>
      </c>
      <c r="X417" s="3">
        <v>0</v>
      </c>
      <c r="Y417" s="3">
        <v>0</v>
      </c>
      <c r="Z417" s="3">
        <v>0</v>
      </c>
      <c r="AA417" s="3">
        <v>0</v>
      </c>
      <c r="AB417" s="3">
        <v>0</v>
      </c>
      <c r="AC417" s="3">
        <v>0</v>
      </c>
      <c r="AD417" s="3">
        <v>0</v>
      </c>
      <c r="AE417" s="3">
        <v>0</v>
      </c>
      <c r="AG417" s="17" t="s">
        <v>2735</v>
      </c>
      <c r="AH417" s="3">
        <v>0</v>
      </c>
      <c r="AI417" s="3">
        <v>0</v>
      </c>
      <c r="AJ417" s="3">
        <v>0</v>
      </c>
      <c r="AK417" s="3">
        <v>0</v>
      </c>
      <c r="AL417" s="3">
        <v>0</v>
      </c>
      <c r="AM417" s="3">
        <v>0</v>
      </c>
      <c r="AN417" s="3">
        <v>0</v>
      </c>
      <c r="AO417" s="3">
        <v>0</v>
      </c>
      <c r="AP417" s="3">
        <v>0</v>
      </c>
      <c r="AQ417" s="3">
        <v>0</v>
      </c>
      <c r="AR417" s="3">
        <v>0</v>
      </c>
      <c r="AS417" s="3">
        <v>0</v>
      </c>
      <c r="AT417" s="3">
        <v>0</v>
      </c>
      <c r="AU417" s="3">
        <v>0</v>
      </c>
      <c r="AV417" s="3">
        <v>0</v>
      </c>
      <c r="AW417" s="3">
        <v>0</v>
      </c>
      <c r="AX417" s="3">
        <v>0</v>
      </c>
      <c r="AY417" s="3">
        <v>0</v>
      </c>
      <c r="AZ417" s="3">
        <v>0</v>
      </c>
      <c r="BA417" s="3">
        <v>0</v>
      </c>
      <c r="BC417" s="17" t="s">
        <v>2736</v>
      </c>
      <c r="BD417" s="3">
        <v>0</v>
      </c>
      <c r="BE417" s="3">
        <v>0</v>
      </c>
      <c r="BF417" s="3">
        <v>0</v>
      </c>
      <c r="BG417" s="3">
        <v>0</v>
      </c>
      <c r="BH417" s="3">
        <v>0</v>
      </c>
      <c r="BI417" s="3">
        <v>0</v>
      </c>
      <c r="BJ417" s="3">
        <v>0</v>
      </c>
      <c r="BK417" s="3">
        <v>0</v>
      </c>
      <c r="BL417" s="3">
        <v>0</v>
      </c>
      <c r="BM417" s="3">
        <v>0</v>
      </c>
      <c r="BN417" s="3">
        <v>0</v>
      </c>
      <c r="BO417" s="3">
        <v>0</v>
      </c>
      <c r="BP417" s="3">
        <v>0</v>
      </c>
      <c r="BQ417" s="3">
        <v>0</v>
      </c>
      <c r="BR417" s="3">
        <v>0</v>
      </c>
      <c r="BS417" s="3">
        <v>0</v>
      </c>
      <c r="BT417" s="3">
        <v>0</v>
      </c>
      <c r="BU417" s="3">
        <v>0</v>
      </c>
      <c r="BV417" s="3">
        <v>0</v>
      </c>
      <c r="BW417" s="3">
        <v>0</v>
      </c>
      <c r="BY417" s="17" t="s">
        <v>2737</v>
      </c>
      <c r="BZ417" s="3">
        <v>0</v>
      </c>
      <c r="CA417" s="3">
        <v>0</v>
      </c>
      <c r="CB417" s="3">
        <v>0</v>
      </c>
      <c r="CC417" s="3">
        <v>0</v>
      </c>
      <c r="CD417" s="3">
        <v>0</v>
      </c>
      <c r="CE417" s="3">
        <v>0</v>
      </c>
      <c r="CF417" s="3">
        <v>0</v>
      </c>
      <c r="CG417" s="3">
        <v>0</v>
      </c>
      <c r="CH417" s="3">
        <v>0</v>
      </c>
      <c r="CI417" s="3">
        <v>0</v>
      </c>
      <c r="CJ417" s="3">
        <v>0</v>
      </c>
      <c r="CK417" s="3">
        <v>0</v>
      </c>
      <c r="CL417" s="3">
        <v>0</v>
      </c>
      <c r="CM417" s="3">
        <v>0</v>
      </c>
      <c r="CN417" s="3">
        <v>0</v>
      </c>
      <c r="CO417" s="3">
        <v>0</v>
      </c>
      <c r="CP417" s="3">
        <v>0</v>
      </c>
      <c r="CQ417" s="3">
        <v>0</v>
      </c>
      <c r="CR417" s="3">
        <v>0</v>
      </c>
      <c r="CS417" s="3">
        <v>0</v>
      </c>
      <c r="CU417" s="17" t="s">
        <v>2738</v>
      </c>
      <c r="CV417" s="3">
        <v>0</v>
      </c>
      <c r="CW417" s="3">
        <v>0</v>
      </c>
      <c r="CX417" s="3">
        <v>0</v>
      </c>
      <c r="CY417" s="3">
        <v>0</v>
      </c>
      <c r="CZ417" s="3">
        <v>0</v>
      </c>
      <c r="DA417" s="3">
        <v>0</v>
      </c>
      <c r="DB417" s="3">
        <v>0</v>
      </c>
      <c r="DC417" s="3">
        <v>0</v>
      </c>
      <c r="DD417" s="3">
        <v>0</v>
      </c>
      <c r="DE417" s="3">
        <v>0</v>
      </c>
      <c r="DF417" s="3">
        <v>0</v>
      </c>
      <c r="DG417" s="3">
        <v>0</v>
      </c>
      <c r="DH417" s="3">
        <v>0</v>
      </c>
      <c r="DI417" s="3">
        <v>0</v>
      </c>
      <c r="DJ417" s="3">
        <v>0</v>
      </c>
      <c r="DK417" s="3">
        <v>0</v>
      </c>
      <c r="DL417" s="3">
        <v>0</v>
      </c>
      <c r="DM417" s="3">
        <v>0</v>
      </c>
      <c r="DN417" s="3">
        <v>0</v>
      </c>
      <c r="DO417" s="3">
        <v>0</v>
      </c>
    </row>
    <row r="418" spans="1:230" x14ac:dyDescent="0.45">
      <c r="A418" s="16" t="s">
        <v>2739</v>
      </c>
      <c r="B418" s="3" t="s">
        <v>89</v>
      </c>
      <c r="C418" s="16" t="s">
        <v>2740</v>
      </c>
      <c r="H418" s="3" t="s">
        <v>2741</v>
      </c>
      <c r="I418" s="3" t="s">
        <v>2725</v>
      </c>
      <c r="K418" s="17" t="s">
        <v>2742</v>
      </c>
      <c r="L418" s="3">
        <v>19164.975476812771</v>
      </c>
      <c r="M418" s="3">
        <v>18093.949816533921</v>
      </c>
      <c r="N418" s="3">
        <v>21359.05128383022</v>
      </c>
      <c r="O418" s="3">
        <v>23602.653736407599</v>
      </c>
      <c r="P418" s="3">
        <v>23711.69979288978</v>
      </c>
      <c r="Q418" s="3">
        <v>23528.50873775264</v>
      </c>
      <c r="R418" s="3">
        <v>23329.06702934876</v>
      </c>
      <c r="S418" s="3">
        <v>23113.178053722029</v>
      </c>
      <c r="T418" s="3">
        <v>22497.65200889502</v>
      </c>
      <c r="U418" s="3">
        <v>22374.025544321779</v>
      </c>
      <c r="V418" s="3">
        <v>22127.549298892001</v>
      </c>
      <c r="W418" s="3">
        <v>22709.480358575529</v>
      </c>
      <c r="X418" s="3">
        <v>23095.507009741879</v>
      </c>
      <c r="Y418" s="3">
        <v>23609.848472965539</v>
      </c>
      <c r="Z418" s="3">
        <v>24117.095300307628</v>
      </c>
      <c r="AA418" s="3">
        <v>24634.612414679799</v>
      </c>
      <c r="AB418" s="3">
        <v>25158.31424662178</v>
      </c>
      <c r="AC418" s="3">
        <v>25689.19778428127</v>
      </c>
      <c r="AD418" s="3">
        <v>26230.94539168874</v>
      </c>
      <c r="AE418" s="3">
        <v>26784.919175394349</v>
      </c>
      <c r="AG418" s="17" t="s">
        <v>2743</v>
      </c>
      <c r="AH418" s="3">
        <v>19164.975476812771</v>
      </c>
      <c r="AI418" s="3">
        <v>18079.77740795042</v>
      </c>
      <c r="AJ418" s="3">
        <v>21345.400050204222</v>
      </c>
      <c r="AK418" s="3">
        <v>23589.507313253071</v>
      </c>
      <c r="AL418" s="3">
        <v>23698.517409296899</v>
      </c>
      <c r="AM418" s="3">
        <v>23514.952456550531</v>
      </c>
      <c r="AN418" s="3">
        <v>20424.042330569569</v>
      </c>
      <c r="AO418" s="3">
        <v>22076.963195942841</v>
      </c>
      <c r="AP418" s="3">
        <v>21265.016828757649</v>
      </c>
      <c r="AQ418" s="3">
        <v>21518.14668078105</v>
      </c>
      <c r="AR418" s="3">
        <v>21269.686501331751</v>
      </c>
      <c r="AS418" s="3">
        <v>22001.201627537521</v>
      </c>
      <c r="AT418" s="3">
        <v>22306.483652868701</v>
      </c>
      <c r="AU418" s="3">
        <v>22844.50083507723</v>
      </c>
      <c r="AV418" s="3">
        <v>23377.52256787974</v>
      </c>
      <c r="AW418" s="3">
        <v>23934.095650613359</v>
      </c>
      <c r="AX418" s="3">
        <v>24472.463509111931</v>
      </c>
      <c r="AY418" s="3">
        <v>25012.025216158581</v>
      </c>
      <c r="AZ418" s="3">
        <v>25532.350159121121</v>
      </c>
      <c r="BA418" s="3">
        <v>26059.798949550219</v>
      </c>
      <c r="BC418" s="17" t="s">
        <v>2744</v>
      </c>
      <c r="BD418" s="3">
        <v>19164.975476812771</v>
      </c>
      <c r="BE418" s="3">
        <v>18044.307265933468</v>
      </c>
      <c r="BF418" s="3">
        <v>21311.231856031951</v>
      </c>
      <c r="BG418" s="3">
        <v>23556.600126119371</v>
      </c>
      <c r="BH418" s="3">
        <v>23665.607028354549</v>
      </c>
      <c r="BI418" s="3">
        <v>23481.193171527571</v>
      </c>
      <c r="BJ418" s="3">
        <v>21742.734600098309</v>
      </c>
      <c r="BK418" s="3">
        <v>20330.080374752051</v>
      </c>
      <c r="BL418" s="3">
        <v>19845.05310570449</v>
      </c>
      <c r="BM418" s="3">
        <v>19779.85937694546</v>
      </c>
      <c r="BN418" s="3">
        <v>18699.82327629652</v>
      </c>
      <c r="BO418" s="3">
        <v>18523.92486728678</v>
      </c>
      <c r="BP418" s="3">
        <v>17701.79124546035</v>
      </c>
      <c r="BQ418" s="3">
        <v>17377.119493281811</v>
      </c>
      <c r="BR418" s="3">
        <v>16681.939754348979</v>
      </c>
      <c r="BS418" s="3">
        <v>16374.59915224537</v>
      </c>
      <c r="BT418" s="3">
        <v>15688.08203220086</v>
      </c>
      <c r="BU418" s="3">
        <v>15453.45041346883</v>
      </c>
      <c r="BV418" s="3">
        <v>14699.753985191281</v>
      </c>
      <c r="BW418" s="3">
        <v>14625.045039751079</v>
      </c>
      <c r="BY418" s="17" t="s">
        <v>2745</v>
      </c>
      <c r="BZ418" s="3">
        <v>19164.975476812771</v>
      </c>
      <c r="CA418" s="3">
        <v>18009.990291592421</v>
      </c>
      <c r="CB418" s="3">
        <v>21278.132453595241</v>
      </c>
      <c r="CC418" s="3">
        <v>23524.679258648332</v>
      </c>
      <c r="CD418" s="3">
        <v>23633.571743886401</v>
      </c>
      <c r="CE418" s="3">
        <v>23448.221775365171</v>
      </c>
      <c r="CF418" s="3">
        <v>23247.821047511508</v>
      </c>
      <c r="CG418" s="3">
        <v>23046.268145538921</v>
      </c>
      <c r="CH418" s="3">
        <v>22389.764006435249</v>
      </c>
      <c r="CI418" s="3">
        <v>21966.947464034809</v>
      </c>
      <c r="CJ418" s="3">
        <v>21076.056763970271</v>
      </c>
      <c r="CK418" s="3">
        <v>21351.966275155359</v>
      </c>
      <c r="CL418" s="3">
        <v>20347.571735587691</v>
      </c>
      <c r="CM418" s="3">
        <v>19697.153112548131</v>
      </c>
      <c r="CN418" s="3">
        <v>19123.369710704312</v>
      </c>
      <c r="CO418" s="3">
        <v>18358.732820303481</v>
      </c>
      <c r="CP418" s="3">
        <v>17738.428479857808</v>
      </c>
      <c r="CQ418" s="3">
        <v>17171.021315121881</v>
      </c>
      <c r="CR418" s="3">
        <v>16547.08395489028</v>
      </c>
      <c r="CS418" s="3">
        <v>16032.86302907575</v>
      </c>
      <c r="CU418" s="17" t="s">
        <v>2746</v>
      </c>
      <c r="CV418" s="3">
        <v>19164.975476812771</v>
      </c>
      <c r="CW418" s="3">
        <v>18059.913038373888</v>
      </c>
      <c r="CX418" s="3">
        <v>21326.265210225509</v>
      </c>
      <c r="CY418" s="3">
        <v>23571.079072203709</v>
      </c>
      <c r="CZ418" s="3">
        <v>23680.072965975149</v>
      </c>
      <c r="DA418" s="3">
        <v>23496.018183490982</v>
      </c>
      <c r="DB418" s="3">
        <v>17179.258850885501</v>
      </c>
      <c r="DC418" s="3">
        <v>18828.789874675629</v>
      </c>
      <c r="DD418" s="3">
        <v>18631.999798221161</v>
      </c>
      <c r="DE418" s="3">
        <v>19989.699695399959</v>
      </c>
      <c r="DF418" s="3">
        <v>18941.210553539899</v>
      </c>
      <c r="DG418" s="3">
        <v>19196.876384304989</v>
      </c>
      <c r="DH418" s="3">
        <v>18534.417859447061</v>
      </c>
      <c r="DI418" s="3">
        <v>18390.360307811519</v>
      </c>
      <c r="DJ418" s="3">
        <v>18006.837947272321</v>
      </c>
      <c r="DK418" s="3">
        <v>17885.489591669451</v>
      </c>
      <c r="DL418" s="3">
        <v>17542.88438349689</v>
      </c>
      <c r="DM418" s="3">
        <v>17441.120432840318</v>
      </c>
      <c r="DN418" s="3">
        <v>17147.973052940779</v>
      </c>
      <c r="DO418" s="3">
        <v>17073.569928016219</v>
      </c>
    </row>
    <row r="419" spans="1:230" x14ac:dyDescent="0.45">
      <c r="A419" s="16" t="s">
        <v>2747</v>
      </c>
      <c r="B419" s="3" t="s">
        <v>89</v>
      </c>
      <c r="C419" s="16" t="s">
        <v>2748</v>
      </c>
      <c r="H419" s="3" t="s">
        <v>2749</v>
      </c>
      <c r="I419" s="3" t="s">
        <v>2725</v>
      </c>
      <c r="K419" s="17" t="s">
        <v>2750</v>
      </c>
      <c r="L419" s="3">
        <v>2089.118332734939</v>
      </c>
      <c r="M419" s="3">
        <v>2032.906909023307</v>
      </c>
      <c r="N419" s="3">
        <v>1974.8238544797839</v>
      </c>
      <c r="O419" s="3">
        <v>2387.3546594306249</v>
      </c>
      <c r="P419" s="3">
        <v>2825.283689630819</v>
      </c>
      <c r="Q419" s="3">
        <v>3290.7169262769912</v>
      </c>
      <c r="R419" s="3">
        <v>3785.9170725450949</v>
      </c>
      <c r="S419" s="3">
        <v>4313.3156320409553</v>
      </c>
      <c r="T419" s="3">
        <v>4875.5259083814462</v>
      </c>
      <c r="U419" s="3">
        <v>4741.6834370205033</v>
      </c>
      <c r="V419" s="3">
        <v>4612.6553435670021</v>
      </c>
      <c r="W419" s="3">
        <v>4487.3499505482578</v>
      </c>
      <c r="X419" s="3">
        <v>4370.4210876959978</v>
      </c>
      <c r="Y419" s="3">
        <v>4254.4655605718681</v>
      </c>
      <c r="Z419" s="3">
        <v>4142.061612260477</v>
      </c>
      <c r="AA419" s="3">
        <v>4032.619753503559</v>
      </c>
      <c r="AB419" s="3">
        <v>3926.0895095984451</v>
      </c>
      <c r="AC419" s="3">
        <v>3822.3654236065381</v>
      </c>
      <c r="AD419" s="3">
        <v>3721.2929287696802</v>
      </c>
      <c r="AE419" s="3">
        <v>3622.7705685686028</v>
      </c>
      <c r="AG419" s="17" t="s">
        <v>2751</v>
      </c>
      <c r="AH419" s="3">
        <v>2089.118332734939</v>
      </c>
      <c r="AI419" s="3">
        <v>2032.304469975581</v>
      </c>
      <c r="AJ419" s="3">
        <v>1974.2386279762779</v>
      </c>
      <c r="AK419" s="3">
        <v>2386.785178457601</v>
      </c>
      <c r="AL419" s="3">
        <v>2824.728492675185</v>
      </c>
      <c r="AM419" s="3">
        <v>3290.1745528991528</v>
      </c>
      <c r="AN419" s="3">
        <v>3785.3860588098478</v>
      </c>
      <c r="AO419" s="3">
        <v>3677.2321714152808</v>
      </c>
      <c r="AP419" s="3">
        <v>4187.6979169997576</v>
      </c>
      <c r="AQ419" s="3">
        <v>4071.2343455622422</v>
      </c>
      <c r="AR419" s="3">
        <v>3960.2779492911641</v>
      </c>
      <c r="AS419" s="3">
        <v>3850.3125156928459</v>
      </c>
      <c r="AT419" s="3">
        <v>3746.6862547234618</v>
      </c>
      <c r="AU419" s="3">
        <v>3644.6173369643188</v>
      </c>
      <c r="AV419" s="3">
        <v>3545.7267438213948</v>
      </c>
      <c r="AW419" s="3">
        <v>3449.546982816436</v>
      </c>
      <c r="AX419" s="3">
        <v>3356.03007600398</v>
      </c>
      <c r="AY419" s="3">
        <v>3264.976179316639</v>
      </c>
      <c r="AZ419" s="3">
        <v>3176.3456725862402</v>
      </c>
      <c r="BA419" s="3">
        <v>3089.9959186507649</v>
      </c>
      <c r="BC419" s="17" t="s">
        <v>2752</v>
      </c>
      <c r="BD419" s="3">
        <v>2089.118332734939</v>
      </c>
      <c r="BE419" s="3">
        <v>2031.1053208621281</v>
      </c>
      <c r="BF419" s="3">
        <v>1973.073740266067</v>
      </c>
      <c r="BG419" s="3">
        <v>2385.6511810578472</v>
      </c>
      <c r="BH419" s="3">
        <v>2823.6220217910068</v>
      </c>
      <c r="BI419" s="3">
        <v>3289.0922413533858</v>
      </c>
      <c r="BJ419" s="3">
        <v>3784.3245250107771</v>
      </c>
      <c r="BK419" s="3">
        <v>3677.4056718696179</v>
      </c>
      <c r="BL419" s="3">
        <v>3572.5303781940138</v>
      </c>
      <c r="BM419" s="3">
        <v>3470.5796908778589</v>
      </c>
      <c r="BN419" s="3">
        <v>3371.7128835855892</v>
      </c>
      <c r="BO419" s="3">
        <v>3275.545386842221</v>
      </c>
      <c r="BP419" s="3">
        <v>3182.189225338474</v>
      </c>
      <c r="BQ419" s="3">
        <v>3091.4397722993258</v>
      </c>
      <c r="BR419" s="3">
        <v>3003.2922967268919</v>
      </c>
      <c r="BS419" s="3">
        <v>2917.619100638849</v>
      </c>
      <c r="BT419" s="3">
        <v>2834.3885551186058</v>
      </c>
      <c r="BU419" s="3">
        <v>2753.498492693052</v>
      </c>
      <c r="BV419" s="3">
        <v>2674.9126914360691</v>
      </c>
      <c r="BW419" s="3">
        <v>2598.541739424717</v>
      </c>
      <c r="BY419" s="17" t="s">
        <v>2753</v>
      </c>
      <c r="BZ419" s="3">
        <v>2089.118332734939</v>
      </c>
      <c r="CA419" s="3">
        <v>2029.7210163956729</v>
      </c>
      <c r="CB419" s="3">
        <v>1971.7289873557961</v>
      </c>
      <c r="CC419" s="3">
        <v>2384.3433762041059</v>
      </c>
      <c r="CD419" s="3">
        <v>2822.3485803464282</v>
      </c>
      <c r="CE419" s="3">
        <v>3287.8505905286152</v>
      </c>
      <c r="CF419" s="3">
        <v>3783.1120966722979</v>
      </c>
      <c r="CG419" s="3">
        <v>4310.5645655305098</v>
      </c>
      <c r="CH419" s="3">
        <v>4872.8212393753747</v>
      </c>
      <c r="CI419" s="3">
        <v>4733.5977755939339</v>
      </c>
      <c r="CJ419" s="3">
        <v>4598.352124869426</v>
      </c>
      <c r="CK419" s="3">
        <v>4466.9706355874941</v>
      </c>
      <c r="CL419" s="3">
        <v>4339.3429031421374</v>
      </c>
      <c r="CM419" s="3">
        <v>4215.3616773380763</v>
      </c>
      <c r="CN419" s="3">
        <v>4094.922772271274</v>
      </c>
      <c r="CO419" s="3">
        <v>3977.924978777809</v>
      </c>
      <c r="CP419" s="3">
        <v>3864.269979384158</v>
      </c>
      <c r="CQ419" s="3">
        <v>3753.8622656874682</v>
      </c>
      <c r="CR419" s="3">
        <v>3646.6090580963969</v>
      </c>
      <c r="CS419" s="3">
        <v>3542.420227865071</v>
      </c>
      <c r="CU419" s="17" t="s">
        <v>2754</v>
      </c>
      <c r="CV419" s="3">
        <v>2089.118332734939</v>
      </c>
      <c r="CW419" s="3">
        <v>2031.5822242601751</v>
      </c>
      <c r="CX419" s="3">
        <v>1973.537017852741</v>
      </c>
      <c r="CY419" s="3">
        <v>2386.1022666586882</v>
      </c>
      <c r="CZ419" s="3">
        <v>2824.0623470831338</v>
      </c>
      <c r="DA419" s="3">
        <v>3289.5232404987692</v>
      </c>
      <c r="DB419" s="3">
        <v>3784.74763944389</v>
      </c>
      <c r="DC419" s="3">
        <v>3676.6119926026358</v>
      </c>
      <c r="DD419" s="3">
        <v>3572.8457904205989</v>
      </c>
      <c r="DE419" s="3">
        <v>3471.1614660743471</v>
      </c>
      <c r="DF419" s="3">
        <v>3374.56710697578</v>
      </c>
      <c r="DG419" s="3">
        <v>3279.8949443443712</v>
      </c>
      <c r="DH419" s="3">
        <v>3188.8813041827252</v>
      </c>
      <c r="DI419" s="3">
        <v>3100.1499641044888</v>
      </c>
      <c r="DJ419" s="3">
        <v>3014.1145735893351</v>
      </c>
      <c r="DK419" s="3">
        <v>2930.35138830807</v>
      </c>
      <c r="DL419" s="3">
        <v>2849.006286480339</v>
      </c>
      <c r="DM419" s="3">
        <v>2769.7485723485302</v>
      </c>
      <c r="DN419" s="3">
        <v>2692.708951308015</v>
      </c>
      <c r="DO419" s="3">
        <v>2617.6413943332868</v>
      </c>
    </row>
    <row r="420" spans="1:230" x14ac:dyDescent="0.45">
      <c r="A420" s="16" t="s">
        <v>2755</v>
      </c>
      <c r="B420" s="3" t="s">
        <v>89</v>
      </c>
      <c r="C420" s="16" t="s">
        <v>2756</v>
      </c>
      <c r="H420" s="3" t="s">
        <v>2757</v>
      </c>
      <c r="I420" s="3" t="s">
        <v>2725</v>
      </c>
      <c r="K420" s="17" t="s">
        <v>2758</v>
      </c>
      <c r="L420" s="3">
        <v>0</v>
      </c>
      <c r="M420" s="3">
        <v>0</v>
      </c>
      <c r="N420" s="3">
        <v>0</v>
      </c>
      <c r="O420" s="3">
        <v>0</v>
      </c>
      <c r="P420" s="3">
        <v>0</v>
      </c>
      <c r="Q420" s="3">
        <v>0</v>
      </c>
      <c r="R420" s="3">
        <v>0</v>
      </c>
      <c r="S420" s="3">
        <v>0</v>
      </c>
      <c r="T420" s="3">
        <v>0</v>
      </c>
      <c r="U420" s="3">
        <v>0</v>
      </c>
      <c r="V420" s="3">
        <v>0</v>
      </c>
      <c r="W420" s="3">
        <v>0</v>
      </c>
      <c r="X420" s="3">
        <v>0</v>
      </c>
      <c r="Y420" s="3">
        <v>0</v>
      </c>
      <c r="Z420" s="3">
        <v>0</v>
      </c>
      <c r="AA420" s="3">
        <v>0</v>
      </c>
      <c r="AB420" s="3">
        <v>0</v>
      </c>
      <c r="AC420" s="3">
        <v>0</v>
      </c>
      <c r="AD420" s="3">
        <v>0</v>
      </c>
      <c r="AE420" s="3">
        <v>0</v>
      </c>
      <c r="AG420" s="17" t="s">
        <v>2759</v>
      </c>
      <c r="AH420" s="3">
        <v>0</v>
      </c>
      <c r="AI420" s="3">
        <v>0</v>
      </c>
      <c r="AJ420" s="3">
        <v>0</v>
      </c>
      <c r="AK420" s="3">
        <v>0</v>
      </c>
      <c r="AL420" s="3">
        <v>0</v>
      </c>
      <c r="AM420" s="3">
        <v>0</v>
      </c>
      <c r="AN420" s="3">
        <v>0</v>
      </c>
      <c r="AO420" s="3">
        <v>0</v>
      </c>
      <c r="AP420" s="3">
        <v>0</v>
      </c>
      <c r="AQ420" s="3">
        <v>0</v>
      </c>
      <c r="AR420" s="3">
        <v>0</v>
      </c>
      <c r="AS420" s="3">
        <v>0</v>
      </c>
      <c r="AT420" s="3">
        <v>0</v>
      </c>
      <c r="AU420" s="3">
        <v>0</v>
      </c>
      <c r="AV420" s="3">
        <v>0</v>
      </c>
      <c r="AW420" s="3">
        <v>0</v>
      </c>
      <c r="AX420" s="3">
        <v>0</v>
      </c>
      <c r="AY420" s="3">
        <v>0</v>
      </c>
      <c r="AZ420" s="3">
        <v>0</v>
      </c>
      <c r="BA420" s="3">
        <v>0</v>
      </c>
      <c r="BC420" s="17" t="s">
        <v>2760</v>
      </c>
      <c r="BD420" s="3">
        <v>0</v>
      </c>
      <c r="BE420" s="3">
        <v>0</v>
      </c>
      <c r="BF420" s="3">
        <v>0</v>
      </c>
      <c r="BG420" s="3">
        <v>0</v>
      </c>
      <c r="BH420" s="3">
        <v>0</v>
      </c>
      <c r="BI420" s="3">
        <v>0</v>
      </c>
      <c r="BJ420" s="3">
        <v>0</v>
      </c>
      <c r="BK420" s="3">
        <v>0</v>
      </c>
      <c r="BL420" s="3">
        <v>0</v>
      </c>
      <c r="BM420" s="3">
        <v>0</v>
      </c>
      <c r="BN420" s="3">
        <v>0</v>
      </c>
      <c r="BO420" s="3">
        <v>0</v>
      </c>
      <c r="BP420" s="3">
        <v>0</v>
      </c>
      <c r="BQ420" s="3">
        <v>0</v>
      </c>
      <c r="BR420" s="3">
        <v>0</v>
      </c>
      <c r="BS420" s="3">
        <v>0</v>
      </c>
      <c r="BT420" s="3">
        <v>0</v>
      </c>
      <c r="BU420" s="3">
        <v>0</v>
      </c>
      <c r="BV420" s="3">
        <v>0</v>
      </c>
      <c r="BW420" s="3">
        <v>0</v>
      </c>
      <c r="BY420" s="17" t="s">
        <v>2761</v>
      </c>
      <c r="BZ420" s="3">
        <v>0</v>
      </c>
      <c r="CA420" s="3">
        <v>0</v>
      </c>
      <c r="CB420" s="3">
        <v>0</v>
      </c>
      <c r="CC420" s="3">
        <v>0</v>
      </c>
      <c r="CD420" s="3">
        <v>0</v>
      </c>
      <c r="CE420" s="3">
        <v>0</v>
      </c>
      <c r="CF420" s="3">
        <v>0</v>
      </c>
      <c r="CG420" s="3">
        <v>0</v>
      </c>
      <c r="CH420" s="3">
        <v>0</v>
      </c>
      <c r="CI420" s="3">
        <v>0</v>
      </c>
      <c r="CJ420" s="3">
        <v>0</v>
      </c>
      <c r="CK420" s="3">
        <v>0</v>
      </c>
      <c r="CL420" s="3">
        <v>0</v>
      </c>
      <c r="CM420" s="3">
        <v>0</v>
      </c>
      <c r="CN420" s="3">
        <v>0</v>
      </c>
      <c r="CO420" s="3">
        <v>0</v>
      </c>
      <c r="CP420" s="3">
        <v>0</v>
      </c>
      <c r="CQ420" s="3">
        <v>0</v>
      </c>
      <c r="CR420" s="3">
        <v>0</v>
      </c>
      <c r="CS420" s="3">
        <v>0</v>
      </c>
      <c r="CU420" s="17" t="s">
        <v>2762</v>
      </c>
      <c r="CV420" s="3">
        <v>0</v>
      </c>
      <c r="CW420" s="3">
        <v>0</v>
      </c>
      <c r="CX420" s="3">
        <v>0</v>
      </c>
      <c r="CY420" s="3">
        <v>0</v>
      </c>
      <c r="CZ420" s="3">
        <v>0</v>
      </c>
      <c r="DA420" s="3">
        <v>0</v>
      </c>
      <c r="DB420" s="3">
        <v>0</v>
      </c>
      <c r="DC420" s="3">
        <v>0</v>
      </c>
      <c r="DD420" s="3">
        <v>0</v>
      </c>
      <c r="DE420" s="3">
        <v>0</v>
      </c>
      <c r="DF420" s="3">
        <v>0</v>
      </c>
      <c r="DG420" s="3">
        <v>0</v>
      </c>
      <c r="DH420" s="3">
        <v>0</v>
      </c>
      <c r="DI420" s="3">
        <v>0</v>
      </c>
      <c r="DJ420" s="3">
        <v>0</v>
      </c>
      <c r="DK420" s="3">
        <v>0</v>
      </c>
      <c r="DL420" s="3">
        <v>0</v>
      </c>
      <c r="DM420" s="3">
        <v>0</v>
      </c>
      <c r="DN420" s="3">
        <v>0</v>
      </c>
      <c r="DO420" s="3">
        <v>0</v>
      </c>
    </row>
    <row r="421" spans="1:230" x14ac:dyDescent="0.45">
      <c r="A421" s="16" t="s">
        <v>2763</v>
      </c>
      <c r="B421" s="3" t="s">
        <v>89</v>
      </c>
      <c r="C421" s="16" t="s">
        <v>2764</v>
      </c>
      <c r="H421" s="3" t="s">
        <v>2765</v>
      </c>
      <c r="I421" s="3" t="s">
        <v>2725</v>
      </c>
      <c r="K421" s="17" t="s">
        <v>2766</v>
      </c>
      <c r="L421" s="3">
        <v>666.27355833532476</v>
      </c>
      <c r="M421" s="3">
        <v>939.44432103832469</v>
      </c>
      <c r="N421" s="3">
        <v>908.12951033704712</v>
      </c>
      <c r="O421" s="3">
        <v>1346.8128703094089</v>
      </c>
      <c r="P421" s="3">
        <v>1808.0582712925441</v>
      </c>
      <c r="Q421" s="3">
        <v>2293.9452900279398</v>
      </c>
      <c r="R421" s="3">
        <v>2806.7010769030271</v>
      </c>
      <c r="S421" s="3">
        <v>3348.711993051028</v>
      </c>
      <c r="T421" s="3">
        <v>3922.5361257767022</v>
      </c>
      <c r="U421" s="3">
        <v>4462.0179482040348</v>
      </c>
      <c r="V421" s="3">
        <v>5070.3392469062037</v>
      </c>
      <c r="W421" s="3">
        <v>5681.7534911607754</v>
      </c>
      <c r="X421" s="3">
        <v>6294.6217162162129</v>
      </c>
      <c r="Y421" s="3">
        <v>6943.8351123634066</v>
      </c>
      <c r="Z421" s="3">
        <v>7611.4716613088513</v>
      </c>
      <c r="AA421" s="3">
        <v>8300.4972472007266</v>
      </c>
      <c r="AB421" s="3">
        <v>9010.2147998846594</v>
      </c>
      <c r="AC421" s="3">
        <v>9741.0433745699611</v>
      </c>
      <c r="AD421" s="3">
        <v>10493.32828443502</v>
      </c>
      <c r="AE421" s="3">
        <v>11267.45691799403</v>
      </c>
      <c r="AG421" s="17" t="s">
        <v>2767</v>
      </c>
      <c r="AH421" s="3">
        <v>666.27355833532476</v>
      </c>
      <c r="AI421" s="3">
        <v>947.33528156747786</v>
      </c>
      <c r="AJ421" s="3">
        <v>915.75743884856195</v>
      </c>
      <c r="AK421" s="3">
        <v>1354.185559310446</v>
      </c>
      <c r="AL421" s="3">
        <v>1815.1832171259939</v>
      </c>
      <c r="AM421" s="3">
        <v>2300.8296984745771</v>
      </c>
      <c r="AN421" s="3">
        <v>2813.351868328476</v>
      </c>
      <c r="AO421" s="3">
        <v>2719.5734727175259</v>
      </c>
      <c r="AP421" s="3">
        <v>3244.4505455375711</v>
      </c>
      <c r="AQ421" s="3">
        <v>3800.1787176871958</v>
      </c>
      <c r="AR421" s="3">
        <v>4357.9349837349973</v>
      </c>
      <c r="AS421" s="3">
        <v>4863.129126881684</v>
      </c>
      <c r="AT421" s="3">
        <v>5447.0012704522132</v>
      </c>
      <c r="AU421" s="3">
        <v>6066.9879043090004</v>
      </c>
      <c r="AV421" s="3">
        <v>6704.6352069874183</v>
      </c>
      <c r="AW421" s="3">
        <v>7364.1215444766985</v>
      </c>
      <c r="AX421" s="3">
        <v>8044.9106971168767</v>
      </c>
      <c r="AY421" s="3">
        <v>8747.8811111104042</v>
      </c>
      <c r="AZ421" s="3">
        <v>9472.1660041973973</v>
      </c>
      <c r="BA421" s="3">
        <v>10218.167381138859</v>
      </c>
      <c r="BC421" s="17" t="s">
        <v>2768</v>
      </c>
      <c r="BD421" s="3">
        <v>666.27355833532476</v>
      </c>
      <c r="BE421" s="3">
        <v>966.91964116049155</v>
      </c>
      <c r="BF421" s="3">
        <v>934.68898645514184</v>
      </c>
      <c r="BG421" s="3">
        <v>1372.48366313459</v>
      </c>
      <c r="BH421" s="3">
        <v>1832.8665107458689</v>
      </c>
      <c r="BI421" s="3">
        <v>2317.9160948583681</v>
      </c>
      <c r="BJ421" s="3">
        <v>2829.8585727258142</v>
      </c>
      <c r="BK421" s="3">
        <v>3371.0793287805909</v>
      </c>
      <c r="BL421" s="3">
        <v>3405.8989340352182</v>
      </c>
      <c r="BM421" s="3">
        <v>3447.9961057756909</v>
      </c>
      <c r="BN421" s="3">
        <v>3917.5814316994602</v>
      </c>
      <c r="BO421" s="3">
        <v>4118.9843349840849</v>
      </c>
      <c r="BP421" s="3">
        <v>4617.3314866865967</v>
      </c>
      <c r="BQ421" s="3">
        <v>5044.0051439290974</v>
      </c>
      <c r="BR421" s="3">
        <v>5536.4583712295116</v>
      </c>
      <c r="BS421" s="3">
        <v>6031.9362475586458</v>
      </c>
      <c r="BT421" s="3">
        <v>6527.4816800886956</v>
      </c>
      <c r="BU421" s="3">
        <v>7031.6720487365301</v>
      </c>
      <c r="BV421" s="3">
        <v>7540.1968345822952</v>
      </c>
      <c r="BW421" s="3">
        <v>8062.6674765736043</v>
      </c>
      <c r="BY421" s="17" t="s">
        <v>2769</v>
      </c>
      <c r="BZ421" s="3">
        <v>666.27355833532476</v>
      </c>
      <c r="CA421" s="3">
        <v>992.55879492806514</v>
      </c>
      <c r="CB421" s="3">
        <v>959.47350176379643</v>
      </c>
      <c r="CC421" s="3">
        <v>1396.440554477764</v>
      </c>
      <c r="CD421" s="3">
        <v>1856.021836600469</v>
      </c>
      <c r="CE421" s="3">
        <v>2340.294983096348</v>
      </c>
      <c r="CF421" s="3">
        <v>2851.4852447709709</v>
      </c>
      <c r="CG421" s="3">
        <v>3391.9771225179302</v>
      </c>
      <c r="CH421" s="3">
        <v>3964.326879865449</v>
      </c>
      <c r="CI421" s="3">
        <v>4571.2760012779208</v>
      </c>
      <c r="CJ421" s="3">
        <v>5174.1671206116307</v>
      </c>
      <c r="CK421" s="3">
        <v>5781.8365659354931</v>
      </c>
      <c r="CL421" s="3">
        <v>6389.6644817009483</v>
      </c>
      <c r="CM421" s="3">
        <v>7037.1240997349914</v>
      </c>
      <c r="CN421" s="3">
        <v>7705.2734315938796</v>
      </c>
      <c r="CO421" s="3">
        <v>8395.7897906452599</v>
      </c>
      <c r="CP421" s="3">
        <v>9113.2808824852418</v>
      </c>
      <c r="CQ421" s="3">
        <v>9855.3506500370349</v>
      </c>
      <c r="CR421" s="3">
        <v>10622.00189375381</v>
      </c>
      <c r="CS421" s="3">
        <v>11414.43960033129</v>
      </c>
      <c r="CU421" s="17" t="s">
        <v>2770</v>
      </c>
      <c r="CV421" s="3">
        <v>666.27355833532476</v>
      </c>
      <c r="CW421" s="3">
        <v>958.33019486554349</v>
      </c>
      <c r="CX421" s="3">
        <v>926.38585503669208</v>
      </c>
      <c r="CY421" s="3">
        <v>1364.4583472800659</v>
      </c>
      <c r="CZ421" s="3">
        <v>1825.1108332711381</v>
      </c>
      <c r="DA421" s="3">
        <v>2310.4221945420159</v>
      </c>
      <c r="DB421" s="3">
        <v>2822.618898635701</v>
      </c>
      <c r="DC421" s="3">
        <v>2728.531602014511</v>
      </c>
      <c r="DD421" s="3">
        <v>3055.9814603121172</v>
      </c>
      <c r="DE421" s="3">
        <v>3103.017265702204</v>
      </c>
      <c r="DF421" s="3">
        <v>3607.3508361682002</v>
      </c>
      <c r="DG421" s="3">
        <v>4144.9269044959246</v>
      </c>
      <c r="DH421" s="3">
        <v>4690.1588906887337</v>
      </c>
      <c r="DI421" s="3">
        <v>5267.1923715787516</v>
      </c>
      <c r="DJ421" s="3">
        <v>5867.8893852350793</v>
      </c>
      <c r="DK421" s="3">
        <v>6498.4548233820078</v>
      </c>
      <c r="DL421" s="3">
        <v>7155.4786974534099</v>
      </c>
      <c r="DM421" s="3">
        <v>7843.0349264744355</v>
      </c>
      <c r="DN421" s="3">
        <v>8556.5588269172531</v>
      </c>
      <c r="DO421" s="3">
        <v>9298.7021543852006</v>
      </c>
    </row>
    <row r="422" spans="1:230" x14ac:dyDescent="0.45">
      <c r="A422" s="16" t="s">
        <v>2771</v>
      </c>
      <c r="B422" s="3" t="s">
        <v>89</v>
      </c>
      <c r="C422" s="16" t="s">
        <v>2772</v>
      </c>
      <c r="H422" s="3" t="s">
        <v>2773</v>
      </c>
      <c r="I422" s="3" t="s">
        <v>2725</v>
      </c>
      <c r="K422" s="17" t="s">
        <v>2774</v>
      </c>
      <c r="L422" s="3">
        <v>554.98530092729095</v>
      </c>
      <c r="M422" s="3">
        <v>790.46830254316421</v>
      </c>
      <c r="N422" s="3">
        <v>758.84957044143755</v>
      </c>
      <c r="O422" s="3">
        <v>1197.4499312740429</v>
      </c>
      <c r="P422" s="3">
        <v>1655.6910973498641</v>
      </c>
      <c r="Q422" s="3">
        <v>2135.6190812343511</v>
      </c>
      <c r="R422" s="3">
        <v>2639.4149478609952</v>
      </c>
      <c r="S422" s="3">
        <v>3169.4059686579899</v>
      </c>
      <c r="T422" s="3">
        <v>3728.0775957390451</v>
      </c>
      <c r="U422" s="3">
        <v>4318.086320096485</v>
      </c>
      <c r="V422" s="3">
        <v>4902.4180976015959</v>
      </c>
      <c r="W422" s="3">
        <v>5486.7469261823098</v>
      </c>
      <c r="X422" s="3">
        <v>6069.5370572291476</v>
      </c>
      <c r="Y422" s="3">
        <v>6685.7896949610504</v>
      </c>
      <c r="Z422" s="3">
        <v>7317.4558265201667</v>
      </c>
      <c r="AA422" s="3">
        <v>7967.4989013948634</v>
      </c>
      <c r="AB422" s="3">
        <v>8635.199739596359</v>
      </c>
      <c r="AC422" s="3">
        <v>9320.9608180272935</v>
      </c>
      <c r="AD422" s="3">
        <v>10025.10874099025</v>
      </c>
      <c r="AE422" s="3">
        <v>10748.010634390819</v>
      </c>
      <c r="AG422" s="17" t="s">
        <v>2775</v>
      </c>
      <c r="AH422" s="3">
        <v>554.98530092729095</v>
      </c>
      <c r="AI422" s="3">
        <v>797.35218964524404</v>
      </c>
      <c r="AJ422" s="3">
        <v>765.45810205943428</v>
      </c>
      <c r="AK422" s="3">
        <v>1203.793146400559</v>
      </c>
      <c r="AL422" s="3">
        <v>1661.7785970037669</v>
      </c>
      <c r="AM422" s="3">
        <v>2141.4600417097322</v>
      </c>
      <c r="AN422" s="3">
        <v>2645.018133177728</v>
      </c>
      <c r="AO422" s="3">
        <v>2539.2174078506182</v>
      </c>
      <c r="AP422" s="3">
        <v>3053.1782334472218</v>
      </c>
      <c r="AQ422" s="3">
        <v>3594.9276277768772</v>
      </c>
      <c r="AR422" s="3">
        <v>4135.5594126365086</v>
      </c>
      <c r="AS422" s="3">
        <v>4700.2506817369513</v>
      </c>
      <c r="AT422" s="3">
        <v>5258.217102267392</v>
      </c>
      <c r="AU422" s="3">
        <v>5849.4417610485571</v>
      </c>
      <c r="AV422" s="3">
        <v>6455.344323428666</v>
      </c>
      <c r="AW422" s="3">
        <v>7080.1047282137151</v>
      </c>
      <c r="AX422" s="3">
        <v>7723.1604098745674</v>
      </c>
      <c r="AY422" s="3">
        <v>8385.3680973770061</v>
      </c>
      <c r="AZ422" s="3">
        <v>9065.8343036059359</v>
      </c>
      <c r="BA422" s="3">
        <v>9764.9411752097458</v>
      </c>
      <c r="BC422" s="17" t="s">
        <v>2776</v>
      </c>
      <c r="BD422" s="3">
        <v>554.98530092729095</v>
      </c>
      <c r="BE422" s="3">
        <v>814.43712118263477</v>
      </c>
      <c r="BF422" s="3">
        <v>781.85963633532947</v>
      </c>
      <c r="BG422" s="3">
        <v>1219.53622710987</v>
      </c>
      <c r="BH422" s="3">
        <v>1676.887081074573</v>
      </c>
      <c r="BI422" s="3">
        <v>2155.9567323022839</v>
      </c>
      <c r="BJ422" s="3">
        <v>2658.9248107062522</v>
      </c>
      <c r="BK422" s="3">
        <v>3188.117193423639</v>
      </c>
      <c r="BL422" s="3">
        <v>3241.601718097837</v>
      </c>
      <c r="BM422" s="3">
        <v>3316.5260994029331</v>
      </c>
      <c r="BN422" s="3">
        <v>3809.633281992697</v>
      </c>
      <c r="BO422" s="3">
        <v>4105.287110913343</v>
      </c>
      <c r="BP422" s="3">
        <v>4576.7222560121236</v>
      </c>
      <c r="BQ422" s="3">
        <v>5044.1029742620021</v>
      </c>
      <c r="BR422" s="3">
        <v>5502.9255873895727</v>
      </c>
      <c r="BS422" s="3">
        <v>5962.8350525974411</v>
      </c>
      <c r="BT422" s="3">
        <v>6420.931624608882</v>
      </c>
      <c r="BU422" s="3">
        <v>6885.8674509419834</v>
      </c>
      <c r="BV422" s="3">
        <v>7353.346607041286</v>
      </c>
      <c r="BW422" s="3">
        <v>7833.0232792370198</v>
      </c>
      <c r="BY422" s="17" t="s">
        <v>2777</v>
      </c>
      <c r="BZ422" s="3">
        <v>554.98530092729095</v>
      </c>
      <c r="CA422" s="3">
        <v>824.49924622256515</v>
      </c>
      <c r="CB422" s="3">
        <v>791.51927637366259</v>
      </c>
      <c r="CC422" s="3">
        <v>1228.8080080914769</v>
      </c>
      <c r="CD422" s="3">
        <v>1685.7849883731151</v>
      </c>
      <c r="CE422" s="3">
        <v>2164.4941298874178</v>
      </c>
      <c r="CF422" s="3">
        <v>2667.1144591364218</v>
      </c>
      <c r="CG422" s="3">
        <v>3195.971266676956</v>
      </c>
      <c r="CH422" s="3">
        <v>3753.548077441329</v>
      </c>
      <c r="CI422" s="3">
        <v>4342.4995050849957</v>
      </c>
      <c r="CJ422" s="3">
        <v>4924.0665109245701</v>
      </c>
      <c r="CK422" s="3">
        <v>5507.2455331651699</v>
      </c>
      <c r="CL422" s="3">
        <v>6087.5115131352031</v>
      </c>
      <c r="CM422" s="3">
        <v>6704.4594867005344</v>
      </c>
      <c r="CN422" s="3">
        <v>7339.0012424159022</v>
      </c>
      <c r="CO422" s="3">
        <v>7992.7999994904421</v>
      </c>
      <c r="CP422" s="3">
        <v>8670.4387510389788</v>
      </c>
      <c r="CQ422" s="3">
        <v>9369.4669979653881</v>
      </c>
      <c r="CR422" s="3">
        <v>10089.85125009812</v>
      </c>
      <c r="CS422" s="3">
        <v>10832.76163646346</v>
      </c>
      <c r="CU422" s="17" t="s">
        <v>2778</v>
      </c>
      <c r="CV422" s="3">
        <v>554.98530092729095</v>
      </c>
      <c r="CW422" s="3">
        <v>806.94389163911512</v>
      </c>
      <c r="CX422" s="3">
        <v>774.66613597355035</v>
      </c>
      <c r="CY422" s="3">
        <v>1212.6315112792049</v>
      </c>
      <c r="CZ422" s="3">
        <v>1670.260681728445</v>
      </c>
      <c r="DA422" s="3">
        <v>2149.598643505889</v>
      </c>
      <c r="DB422" s="3">
        <v>2652.825475010739</v>
      </c>
      <c r="DC422" s="3">
        <v>2546.7124560103098</v>
      </c>
      <c r="DD422" s="3">
        <v>2961.8054859615859</v>
      </c>
      <c r="DE422" s="3">
        <v>3039.471403259643</v>
      </c>
      <c r="DF422" s="3">
        <v>3525.6600264519948</v>
      </c>
      <c r="DG422" s="3">
        <v>4042.4547215939128</v>
      </c>
      <c r="DH422" s="3">
        <v>4564.1527490728286</v>
      </c>
      <c r="DI422" s="3">
        <v>5114.9587496895601</v>
      </c>
      <c r="DJ422" s="3">
        <v>5686.6304924109299</v>
      </c>
      <c r="DK422" s="3">
        <v>6285.3270237025909</v>
      </c>
      <c r="DL422" s="3">
        <v>6907.5529776052908</v>
      </c>
      <c r="DM422" s="3">
        <v>7557.323044103885</v>
      </c>
      <c r="DN422" s="3">
        <v>8229.9885203316935</v>
      </c>
      <c r="DO422" s="3">
        <v>8928.1509345502818</v>
      </c>
    </row>
    <row r="423" spans="1:230" x14ac:dyDescent="0.45">
      <c r="A423" s="16" t="s">
        <v>2779</v>
      </c>
      <c r="B423" s="3" t="s">
        <v>89</v>
      </c>
      <c r="C423" s="16" t="s">
        <v>2780</v>
      </c>
      <c r="H423" s="3" t="s">
        <v>2781</v>
      </c>
      <c r="I423" s="3" t="s">
        <v>2725</v>
      </c>
      <c r="K423" s="17" t="s">
        <v>2782</v>
      </c>
      <c r="L423" s="3">
        <v>1717.1322155895541</v>
      </c>
      <c r="M423" s="3">
        <v>1717.1322155895541</v>
      </c>
      <c r="N423" s="3">
        <v>1717.1322155895541</v>
      </c>
      <c r="O423" s="3">
        <v>1717.1322155895541</v>
      </c>
      <c r="P423" s="3">
        <v>1717.1322155895541</v>
      </c>
      <c r="Q423" s="3">
        <v>1717.1322155895541</v>
      </c>
      <c r="R423" s="3">
        <v>1717.1322155895541</v>
      </c>
      <c r="S423" s="3">
        <v>1717.1322155895541</v>
      </c>
      <c r="T423" s="3">
        <v>1717.1322155895541</v>
      </c>
      <c r="U423" s="3">
        <v>1968.1246054304941</v>
      </c>
      <c r="V423" s="3">
        <v>2259.286530463351</v>
      </c>
      <c r="W423" s="3">
        <v>2548.2924389367258</v>
      </c>
      <c r="X423" s="3">
        <v>3056.5924588742218</v>
      </c>
      <c r="Y423" s="3">
        <v>3467.73604138984</v>
      </c>
      <c r="Z423" s="3">
        <v>3902.3773806213221</v>
      </c>
      <c r="AA423" s="3">
        <v>4338.6124037894397</v>
      </c>
      <c r="AB423" s="3">
        <v>4780.9835560470083</v>
      </c>
      <c r="AC423" s="3">
        <v>5228.5291131200502</v>
      </c>
      <c r="AD423" s="3">
        <v>5679.8353647718113</v>
      </c>
      <c r="AE423" s="3">
        <v>6134.315875902229</v>
      </c>
      <c r="AG423" s="17" t="s">
        <v>2783</v>
      </c>
      <c r="AH423" s="3">
        <v>1717.1322155895541</v>
      </c>
      <c r="AI423" s="3">
        <v>1717.1322155895541</v>
      </c>
      <c r="AJ423" s="3">
        <v>1717.1322155895541</v>
      </c>
      <c r="AK423" s="3">
        <v>1717.1322155895541</v>
      </c>
      <c r="AL423" s="3">
        <v>1717.1322155895541</v>
      </c>
      <c r="AM423" s="3">
        <v>1717.1322155895541</v>
      </c>
      <c r="AN423" s="3">
        <v>1717.1322155895541</v>
      </c>
      <c r="AO423" s="3">
        <v>1717.1322155895541</v>
      </c>
      <c r="AP423" s="3">
        <v>1717.1322155895541</v>
      </c>
      <c r="AQ423" s="3">
        <v>1969.0966518666071</v>
      </c>
      <c r="AR423" s="3">
        <v>2383.7083417067029</v>
      </c>
      <c r="AS423" s="3">
        <v>2625.7557282869429</v>
      </c>
      <c r="AT423" s="3">
        <v>3210.0928704992261</v>
      </c>
      <c r="AU423" s="3">
        <v>3601.0806746240801</v>
      </c>
      <c r="AV423" s="3">
        <v>4024.0575728533559</v>
      </c>
      <c r="AW423" s="3">
        <v>4450.6844787628397</v>
      </c>
      <c r="AX423" s="3">
        <v>4887.1954020873518</v>
      </c>
      <c r="AY423" s="3">
        <v>5322.9531487238764</v>
      </c>
      <c r="AZ423" s="3">
        <v>5763.3767397981164</v>
      </c>
      <c r="BA423" s="3">
        <v>6202.1795575069646</v>
      </c>
      <c r="BC423" s="17" t="s">
        <v>2784</v>
      </c>
      <c r="BD423" s="3">
        <v>1717.1322155895541</v>
      </c>
      <c r="BE423" s="3">
        <v>1717.1322155895541</v>
      </c>
      <c r="BF423" s="3">
        <v>1717.1322155895541</v>
      </c>
      <c r="BG423" s="3">
        <v>1717.1322155895541</v>
      </c>
      <c r="BH423" s="3">
        <v>1717.1322155895541</v>
      </c>
      <c r="BI423" s="3">
        <v>1717.1322155895541</v>
      </c>
      <c r="BJ423" s="3">
        <v>1717.1322155895541</v>
      </c>
      <c r="BK423" s="3">
        <v>1717.1322155895541</v>
      </c>
      <c r="BL423" s="3">
        <v>1717.1322155895541</v>
      </c>
      <c r="BM423" s="3">
        <v>1781.443181088229</v>
      </c>
      <c r="BN423" s="3">
        <v>1990.6163131000169</v>
      </c>
      <c r="BO423" s="3">
        <v>2130.0927841596749</v>
      </c>
      <c r="BP423" s="3">
        <v>2510.611390707998</v>
      </c>
      <c r="BQ423" s="3">
        <v>2730.8244426098149</v>
      </c>
      <c r="BR423" s="3">
        <v>3325.6400976682789</v>
      </c>
      <c r="BS423" s="3">
        <v>3767.652515281181</v>
      </c>
      <c r="BT423" s="3">
        <v>4614.1401791742583</v>
      </c>
      <c r="BU423" s="3">
        <v>5240.5834095113823</v>
      </c>
      <c r="BV423" s="3">
        <v>6324.4422757458287</v>
      </c>
      <c r="BW423" s="3">
        <v>7007.614686570837</v>
      </c>
      <c r="BY423" s="17" t="s">
        <v>2785</v>
      </c>
      <c r="BZ423" s="3">
        <v>1717.1322155895541</v>
      </c>
      <c r="CA423" s="3">
        <v>1717.1322155895541</v>
      </c>
      <c r="CB423" s="3">
        <v>1717.1322155895541</v>
      </c>
      <c r="CC423" s="3">
        <v>1717.1322155895541</v>
      </c>
      <c r="CD423" s="3">
        <v>1717.1322155895541</v>
      </c>
      <c r="CE423" s="3">
        <v>1717.1322155895541</v>
      </c>
      <c r="CF423" s="3">
        <v>1717.1322155895541</v>
      </c>
      <c r="CG423" s="3">
        <v>1717.1322155895541</v>
      </c>
      <c r="CH423" s="3">
        <v>1717.1322155895541</v>
      </c>
      <c r="CI423" s="3">
        <v>2220.3997497026089</v>
      </c>
      <c r="CJ423" s="3">
        <v>3143.1672381688431</v>
      </c>
      <c r="CK423" s="3">
        <v>3809.6101786327858</v>
      </c>
      <c r="CL423" s="3">
        <v>5810.9996818743848</v>
      </c>
      <c r="CM423" s="3">
        <v>7463.985737545011</v>
      </c>
      <c r="CN423" s="3">
        <v>9170.8362094585791</v>
      </c>
      <c r="CO423" s="3">
        <v>11078.379561163159</v>
      </c>
      <c r="CP423" s="3">
        <v>12835.744988057229</v>
      </c>
      <c r="CQ423" s="3">
        <v>14564.52984910958</v>
      </c>
      <c r="CR423" s="3">
        <v>16325.65391358639</v>
      </c>
      <c r="CS423" s="3">
        <v>17987.93117614069</v>
      </c>
      <c r="CU423" s="17" t="s">
        <v>2786</v>
      </c>
      <c r="CV423" s="3">
        <v>1717.1322155895541</v>
      </c>
      <c r="CW423" s="3">
        <v>1717.1322155895541</v>
      </c>
      <c r="CX423" s="3">
        <v>1717.1322155895541</v>
      </c>
      <c r="CY423" s="3">
        <v>1717.1322155895541</v>
      </c>
      <c r="CZ423" s="3">
        <v>1717.1322155895541</v>
      </c>
      <c r="DA423" s="3">
        <v>1717.1322155895541</v>
      </c>
      <c r="DB423" s="3">
        <v>1717.1322155895541</v>
      </c>
      <c r="DC423" s="3">
        <v>1717.1322155895541</v>
      </c>
      <c r="DD423" s="3">
        <v>1717.1322155895541</v>
      </c>
      <c r="DE423" s="3">
        <v>1777.3838035527631</v>
      </c>
      <c r="DF423" s="3">
        <v>3296.8025018596059</v>
      </c>
      <c r="DG423" s="3">
        <v>3987.4726941237791</v>
      </c>
      <c r="DH423" s="3">
        <v>5695.9632349804624</v>
      </c>
      <c r="DI423" s="3">
        <v>7049.2502649889511</v>
      </c>
      <c r="DJ423" s="3">
        <v>8657.8280609478534</v>
      </c>
      <c r="DK423" s="3">
        <v>10095.349810591029</v>
      </c>
      <c r="DL423" s="3">
        <v>11697.42349085253</v>
      </c>
      <c r="DM423" s="3">
        <v>13079.20547623757</v>
      </c>
      <c r="DN423" s="3">
        <v>14565.44833194843</v>
      </c>
      <c r="DO423" s="3">
        <v>15847.598881531831</v>
      </c>
    </row>
    <row r="424" spans="1:230" x14ac:dyDescent="0.45">
      <c r="A424" s="16" t="s">
        <v>2787</v>
      </c>
      <c r="B424" s="3" t="s">
        <v>89</v>
      </c>
      <c r="C424" s="16" t="s">
        <v>2788</v>
      </c>
      <c r="H424" s="3" t="s">
        <v>2789</v>
      </c>
      <c r="I424" s="3" t="s">
        <v>2725</v>
      </c>
      <c r="K424" s="17" t="s">
        <v>2790</v>
      </c>
      <c r="L424" s="3">
        <v>0</v>
      </c>
      <c r="M424" s="3">
        <v>0</v>
      </c>
      <c r="N424" s="3">
        <v>0</v>
      </c>
      <c r="O424" s="3">
        <v>0</v>
      </c>
      <c r="P424" s="3">
        <v>0</v>
      </c>
      <c r="Q424" s="3">
        <v>0</v>
      </c>
      <c r="R424" s="3">
        <v>0</v>
      </c>
      <c r="S424" s="3">
        <v>0</v>
      </c>
      <c r="T424" s="3">
        <v>0</v>
      </c>
      <c r="U424" s="3">
        <v>0</v>
      </c>
      <c r="V424" s="3">
        <v>0</v>
      </c>
      <c r="W424" s="3">
        <v>0</v>
      </c>
      <c r="X424" s="3">
        <v>0</v>
      </c>
      <c r="Y424" s="3">
        <v>0</v>
      </c>
      <c r="Z424" s="3">
        <v>0</v>
      </c>
      <c r="AA424" s="3">
        <v>0</v>
      </c>
      <c r="AB424" s="3">
        <v>0</v>
      </c>
      <c r="AC424" s="3">
        <v>0</v>
      </c>
      <c r="AD424" s="3">
        <v>0</v>
      </c>
      <c r="AE424" s="3">
        <v>0</v>
      </c>
      <c r="AG424" s="17" t="s">
        <v>2791</v>
      </c>
      <c r="AH424" s="3">
        <v>0</v>
      </c>
      <c r="AI424" s="3">
        <v>0</v>
      </c>
      <c r="AJ424" s="3">
        <v>0</v>
      </c>
      <c r="AK424" s="3">
        <v>0</v>
      </c>
      <c r="AL424" s="3">
        <v>0</v>
      </c>
      <c r="AM424" s="3">
        <v>0</v>
      </c>
      <c r="AN424" s="3">
        <v>0</v>
      </c>
      <c r="AO424" s="3">
        <v>0</v>
      </c>
      <c r="AP424" s="3">
        <v>0</v>
      </c>
      <c r="AQ424" s="3">
        <v>0</v>
      </c>
      <c r="AR424" s="3">
        <v>0</v>
      </c>
      <c r="AS424" s="3">
        <v>0</v>
      </c>
      <c r="AT424" s="3">
        <v>0</v>
      </c>
      <c r="AU424" s="3">
        <v>0</v>
      </c>
      <c r="AV424" s="3">
        <v>0</v>
      </c>
      <c r="AW424" s="3">
        <v>0</v>
      </c>
      <c r="AX424" s="3">
        <v>0</v>
      </c>
      <c r="AY424" s="3">
        <v>0</v>
      </c>
      <c r="AZ424" s="3">
        <v>0</v>
      </c>
      <c r="BA424" s="3">
        <v>0</v>
      </c>
      <c r="BC424" s="17" t="s">
        <v>2792</v>
      </c>
      <c r="BD424" s="3">
        <v>0</v>
      </c>
      <c r="BE424" s="3">
        <v>0</v>
      </c>
      <c r="BF424" s="3">
        <v>0</v>
      </c>
      <c r="BG424" s="3">
        <v>0</v>
      </c>
      <c r="BH424" s="3">
        <v>0</v>
      </c>
      <c r="BI424" s="3">
        <v>0</v>
      </c>
      <c r="BJ424" s="3">
        <v>0</v>
      </c>
      <c r="BK424" s="3">
        <v>0</v>
      </c>
      <c r="BL424" s="3">
        <v>0</v>
      </c>
      <c r="BM424" s="3">
        <v>0</v>
      </c>
      <c r="BN424" s="3">
        <v>0</v>
      </c>
      <c r="BO424" s="3">
        <v>0</v>
      </c>
      <c r="BP424" s="3">
        <v>0</v>
      </c>
      <c r="BQ424" s="3">
        <v>0</v>
      </c>
      <c r="BR424" s="3">
        <v>0</v>
      </c>
      <c r="BS424" s="3">
        <v>0</v>
      </c>
      <c r="BT424" s="3">
        <v>0</v>
      </c>
      <c r="BU424" s="3">
        <v>0</v>
      </c>
      <c r="BV424" s="3">
        <v>0</v>
      </c>
      <c r="BW424" s="3">
        <v>0</v>
      </c>
      <c r="BY424" s="17" t="s">
        <v>2793</v>
      </c>
      <c r="BZ424" s="3">
        <v>0</v>
      </c>
      <c r="CA424" s="3">
        <v>0</v>
      </c>
      <c r="CB424" s="3">
        <v>0</v>
      </c>
      <c r="CC424" s="3">
        <v>0</v>
      </c>
      <c r="CD424" s="3">
        <v>0</v>
      </c>
      <c r="CE424" s="3">
        <v>0</v>
      </c>
      <c r="CF424" s="3">
        <v>0</v>
      </c>
      <c r="CG424" s="3">
        <v>0</v>
      </c>
      <c r="CH424" s="3">
        <v>0</v>
      </c>
      <c r="CI424" s="3">
        <v>0</v>
      </c>
      <c r="CJ424" s="3">
        <v>0</v>
      </c>
      <c r="CK424" s="3">
        <v>0</v>
      </c>
      <c r="CL424" s="3">
        <v>0</v>
      </c>
      <c r="CM424" s="3">
        <v>0</v>
      </c>
      <c r="CN424" s="3">
        <v>0</v>
      </c>
      <c r="CO424" s="3">
        <v>0</v>
      </c>
      <c r="CP424" s="3">
        <v>0</v>
      </c>
      <c r="CQ424" s="3">
        <v>0</v>
      </c>
      <c r="CR424" s="3">
        <v>0</v>
      </c>
      <c r="CS424" s="3">
        <v>0</v>
      </c>
      <c r="CU424" s="17" t="s">
        <v>2794</v>
      </c>
      <c r="CV424" s="3">
        <v>0</v>
      </c>
      <c r="CW424" s="3">
        <v>0</v>
      </c>
      <c r="CX424" s="3">
        <v>0</v>
      </c>
      <c r="CY424" s="3">
        <v>0</v>
      </c>
      <c r="CZ424" s="3">
        <v>0</v>
      </c>
      <c r="DA424" s="3">
        <v>0</v>
      </c>
      <c r="DB424" s="3">
        <v>0</v>
      </c>
      <c r="DC424" s="3">
        <v>0</v>
      </c>
      <c r="DD424" s="3">
        <v>0</v>
      </c>
      <c r="DE424" s="3">
        <v>0</v>
      </c>
      <c r="DF424" s="3">
        <v>0</v>
      </c>
      <c r="DG424" s="3">
        <v>0</v>
      </c>
      <c r="DH424" s="3">
        <v>0</v>
      </c>
      <c r="DI424" s="3">
        <v>0</v>
      </c>
      <c r="DJ424" s="3">
        <v>0</v>
      </c>
      <c r="DK424" s="3">
        <v>0</v>
      </c>
      <c r="DL424" s="3">
        <v>0</v>
      </c>
      <c r="DM424" s="3">
        <v>0</v>
      </c>
      <c r="DN424" s="3">
        <v>0</v>
      </c>
      <c r="DO424" s="3">
        <v>0</v>
      </c>
    </row>
    <row r="425" spans="1:230" x14ac:dyDescent="0.45">
      <c r="A425" s="16" t="s">
        <v>2795</v>
      </c>
      <c r="B425" s="3" t="s">
        <v>89</v>
      </c>
      <c r="C425" s="16" t="s">
        <v>2796</v>
      </c>
      <c r="H425" s="3" t="s">
        <v>2797</v>
      </c>
      <c r="I425" s="3" t="s">
        <v>2725</v>
      </c>
      <c r="K425" s="17" t="s">
        <v>2798</v>
      </c>
      <c r="L425" s="3">
        <v>0</v>
      </c>
      <c r="M425" s="3">
        <v>0</v>
      </c>
      <c r="N425" s="3">
        <v>0</v>
      </c>
      <c r="O425" s="3">
        <v>0</v>
      </c>
      <c r="P425" s="3">
        <v>0</v>
      </c>
      <c r="Q425" s="3">
        <v>0</v>
      </c>
      <c r="R425" s="3">
        <v>0</v>
      </c>
      <c r="S425" s="3">
        <v>0</v>
      </c>
      <c r="T425" s="3">
        <v>0</v>
      </c>
      <c r="U425" s="3">
        <v>0</v>
      </c>
      <c r="V425" s="3">
        <v>0</v>
      </c>
      <c r="W425" s="3">
        <v>0</v>
      </c>
      <c r="X425" s="3">
        <v>0</v>
      </c>
      <c r="Y425" s="3">
        <v>0</v>
      </c>
      <c r="Z425" s="3">
        <v>0</v>
      </c>
      <c r="AA425" s="3">
        <v>0</v>
      </c>
      <c r="AB425" s="3">
        <v>0</v>
      </c>
      <c r="AC425" s="3">
        <v>0</v>
      </c>
      <c r="AD425" s="3">
        <v>0</v>
      </c>
      <c r="AE425" s="3">
        <v>0</v>
      </c>
      <c r="AG425" s="17" t="s">
        <v>2799</v>
      </c>
      <c r="AH425" s="3">
        <v>0</v>
      </c>
      <c r="AI425" s="3">
        <v>0</v>
      </c>
      <c r="AJ425" s="3">
        <v>0</v>
      </c>
      <c r="AK425" s="3">
        <v>0</v>
      </c>
      <c r="AL425" s="3">
        <v>0</v>
      </c>
      <c r="AM425" s="3">
        <v>0</v>
      </c>
      <c r="AN425" s="3">
        <v>0</v>
      </c>
      <c r="AO425" s="3">
        <v>0</v>
      </c>
      <c r="AP425" s="3">
        <v>0</v>
      </c>
      <c r="AQ425" s="3">
        <v>0</v>
      </c>
      <c r="AR425" s="3">
        <v>0</v>
      </c>
      <c r="AS425" s="3">
        <v>0</v>
      </c>
      <c r="AT425" s="3">
        <v>0</v>
      </c>
      <c r="AU425" s="3">
        <v>0</v>
      </c>
      <c r="AV425" s="3">
        <v>0</v>
      </c>
      <c r="AW425" s="3">
        <v>0</v>
      </c>
      <c r="AX425" s="3">
        <v>0</v>
      </c>
      <c r="AY425" s="3">
        <v>0</v>
      </c>
      <c r="AZ425" s="3">
        <v>0</v>
      </c>
      <c r="BA425" s="3">
        <v>0</v>
      </c>
      <c r="BC425" s="17" t="s">
        <v>2800</v>
      </c>
      <c r="BD425" s="3">
        <v>0</v>
      </c>
      <c r="BE425" s="3">
        <v>0</v>
      </c>
      <c r="BF425" s="3">
        <v>0</v>
      </c>
      <c r="BG425" s="3">
        <v>0</v>
      </c>
      <c r="BH425" s="3">
        <v>0</v>
      </c>
      <c r="BI425" s="3">
        <v>0</v>
      </c>
      <c r="BJ425" s="3">
        <v>0</v>
      </c>
      <c r="BK425" s="3">
        <v>0</v>
      </c>
      <c r="BL425" s="3">
        <v>0</v>
      </c>
      <c r="BM425" s="3">
        <v>0</v>
      </c>
      <c r="BN425" s="3">
        <v>0</v>
      </c>
      <c r="BO425" s="3">
        <v>0</v>
      </c>
      <c r="BP425" s="3">
        <v>0</v>
      </c>
      <c r="BQ425" s="3">
        <v>0</v>
      </c>
      <c r="BR425" s="3">
        <v>0</v>
      </c>
      <c r="BS425" s="3">
        <v>0</v>
      </c>
      <c r="BT425" s="3">
        <v>0</v>
      </c>
      <c r="BU425" s="3">
        <v>0</v>
      </c>
      <c r="BV425" s="3">
        <v>0</v>
      </c>
      <c r="BW425" s="3">
        <v>0</v>
      </c>
      <c r="BY425" s="17" t="s">
        <v>2801</v>
      </c>
      <c r="BZ425" s="3">
        <v>0</v>
      </c>
      <c r="CA425" s="3">
        <v>0</v>
      </c>
      <c r="CB425" s="3">
        <v>0</v>
      </c>
      <c r="CC425" s="3">
        <v>0</v>
      </c>
      <c r="CD425" s="3">
        <v>0</v>
      </c>
      <c r="CE425" s="3">
        <v>0</v>
      </c>
      <c r="CF425" s="3">
        <v>0</v>
      </c>
      <c r="CG425" s="3">
        <v>0</v>
      </c>
      <c r="CH425" s="3">
        <v>0</v>
      </c>
      <c r="CI425" s="3">
        <v>0</v>
      </c>
      <c r="CJ425" s="3">
        <v>0</v>
      </c>
      <c r="CK425" s="3">
        <v>0</v>
      </c>
      <c r="CL425" s="3">
        <v>0</v>
      </c>
      <c r="CM425" s="3">
        <v>0</v>
      </c>
      <c r="CN425" s="3">
        <v>0</v>
      </c>
      <c r="CO425" s="3">
        <v>0</v>
      </c>
      <c r="CP425" s="3">
        <v>0</v>
      </c>
      <c r="CQ425" s="3">
        <v>0</v>
      </c>
      <c r="CR425" s="3">
        <v>0</v>
      </c>
      <c r="CS425" s="3">
        <v>0</v>
      </c>
      <c r="CU425" s="17" t="s">
        <v>2802</v>
      </c>
      <c r="CV425" s="3">
        <v>0</v>
      </c>
      <c r="CW425" s="3">
        <v>0</v>
      </c>
      <c r="CX425" s="3">
        <v>0</v>
      </c>
      <c r="CY425" s="3">
        <v>0</v>
      </c>
      <c r="CZ425" s="3">
        <v>0</v>
      </c>
      <c r="DA425" s="3">
        <v>0</v>
      </c>
      <c r="DB425" s="3">
        <v>0</v>
      </c>
      <c r="DC425" s="3">
        <v>0</v>
      </c>
      <c r="DD425" s="3">
        <v>0</v>
      </c>
      <c r="DE425" s="3">
        <v>0</v>
      </c>
      <c r="DF425" s="3">
        <v>0</v>
      </c>
      <c r="DG425" s="3">
        <v>0</v>
      </c>
      <c r="DH425" s="3">
        <v>0</v>
      </c>
      <c r="DI425" s="3">
        <v>0</v>
      </c>
      <c r="DJ425" s="3">
        <v>0</v>
      </c>
      <c r="DK425" s="3">
        <v>0</v>
      </c>
      <c r="DL425" s="3">
        <v>0</v>
      </c>
      <c r="DM425" s="3">
        <v>0</v>
      </c>
      <c r="DN425" s="3">
        <v>0</v>
      </c>
      <c r="DO425" s="3">
        <v>0</v>
      </c>
    </row>
    <row r="426" spans="1:230" x14ac:dyDescent="0.45">
      <c r="A426" s="11"/>
      <c r="B426" s="3" t="s">
        <v>89</v>
      </c>
      <c r="C426" s="16" t="s">
        <v>2803</v>
      </c>
      <c r="H426" s="11" t="s">
        <v>2804</v>
      </c>
      <c r="I426" s="11" t="s">
        <v>2805</v>
      </c>
    </row>
    <row r="427" spans="1:230" ht="15.4" x14ac:dyDescent="0.45">
      <c r="A427" s="5"/>
      <c r="B427" s="15" t="s">
        <v>2806</v>
      </c>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row>
    <row r="428" spans="1:230" x14ac:dyDescent="0.45">
      <c r="A428" s="16" t="s">
        <v>2807</v>
      </c>
      <c r="B428" s="3" t="s">
        <v>89</v>
      </c>
      <c r="C428" s="16" t="s">
        <v>2808</v>
      </c>
      <c r="H428" s="3" t="s">
        <v>2809</v>
      </c>
      <c r="I428" s="3" t="s">
        <v>2363</v>
      </c>
      <c r="K428" s="17" t="s">
        <v>2810</v>
      </c>
      <c r="L428" s="20">
        <v>18799.43616325871</v>
      </c>
      <c r="M428" s="20">
        <v>19279.93939037103</v>
      </c>
      <c r="N428" s="20">
        <v>23487.532694203601</v>
      </c>
      <c r="O428" s="20">
        <v>24006.83776444244</v>
      </c>
      <c r="P428" s="20">
        <v>24507.803105640931</v>
      </c>
      <c r="Q428" s="20">
        <v>25106.46153747752</v>
      </c>
      <c r="R428" s="20">
        <v>25824.32433908878</v>
      </c>
      <c r="S428" s="20">
        <v>26503.195561063509</v>
      </c>
      <c r="T428" s="20">
        <v>27128.1998179687</v>
      </c>
      <c r="U428" s="20">
        <v>27754.283430904619</v>
      </c>
      <c r="V428" s="20">
        <v>28383.87423225712</v>
      </c>
      <c r="W428" s="20">
        <v>29016.73825891046</v>
      </c>
      <c r="X428" s="20">
        <v>29652.641359531761</v>
      </c>
      <c r="Y428" s="20">
        <v>30291.349168457749</v>
      </c>
      <c r="Z428" s="20">
        <v>30932.62705440737</v>
      </c>
      <c r="AA428" s="20">
        <v>31576.24004479088</v>
      </c>
      <c r="AB428" s="20">
        <v>32221.952726388041</v>
      </c>
      <c r="AC428" s="20">
        <v>32869.529123164102</v>
      </c>
      <c r="AD428" s="20">
        <v>33518.732551982343</v>
      </c>
      <c r="AE428" s="20">
        <v>34169.325456957922</v>
      </c>
      <c r="AG428" s="17" t="s">
        <v>2811</v>
      </c>
      <c r="AH428" s="20">
        <v>18799.43616325871</v>
      </c>
      <c r="AI428" s="20">
        <v>19279.93939037103</v>
      </c>
      <c r="AJ428" s="20">
        <v>23487.532694203601</v>
      </c>
      <c r="AK428" s="20">
        <v>24006.83776444244</v>
      </c>
      <c r="AL428" s="20">
        <v>24507.803105640931</v>
      </c>
      <c r="AM428" s="20">
        <v>22706.523736554871</v>
      </c>
      <c r="AN428" s="20">
        <v>23357.060138290301</v>
      </c>
      <c r="AO428" s="20">
        <v>23981.34593021667</v>
      </c>
      <c r="AP428" s="20">
        <v>24527.20109323311</v>
      </c>
      <c r="AQ428" s="20">
        <v>25098.038742818469</v>
      </c>
      <c r="AR428" s="20">
        <v>25659.860747119899</v>
      </c>
      <c r="AS428" s="20">
        <v>26244.6868795101</v>
      </c>
      <c r="AT428" s="20">
        <v>26842.218756983049</v>
      </c>
      <c r="AU428" s="20">
        <v>27438.050565144091</v>
      </c>
      <c r="AV428" s="20">
        <v>28040.76715416271</v>
      </c>
      <c r="AW428" s="20">
        <v>28655.945545096991</v>
      </c>
      <c r="AX428" s="20">
        <v>29264.228631546859</v>
      </c>
      <c r="AY428" s="20">
        <v>29869.51433877473</v>
      </c>
      <c r="AZ428" s="20">
        <v>30464.67071220493</v>
      </c>
      <c r="BA428" s="20">
        <v>31057.773447268952</v>
      </c>
      <c r="BC428" s="17" t="s">
        <v>2812</v>
      </c>
      <c r="BD428" s="20">
        <v>18799.43616325871</v>
      </c>
      <c r="BE428" s="20">
        <v>19279.93939037103</v>
      </c>
      <c r="BF428" s="20">
        <v>23487.532694203601</v>
      </c>
      <c r="BG428" s="20">
        <v>24006.83776444244</v>
      </c>
      <c r="BH428" s="20">
        <v>24507.803105640931</v>
      </c>
      <c r="BI428" s="20">
        <v>23401.22337968236</v>
      </c>
      <c r="BJ428" s="20">
        <v>22235.596523059161</v>
      </c>
      <c r="BK428" s="20">
        <v>21321.059517490699</v>
      </c>
      <c r="BL428" s="20">
        <v>20544.884375596219</v>
      </c>
      <c r="BM428" s="20">
        <v>20155.042972171948</v>
      </c>
      <c r="BN428" s="20">
        <v>19821.264221826921</v>
      </c>
      <c r="BO428" s="20">
        <v>19542.115564857111</v>
      </c>
      <c r="BP428" s="20">
        <v>19313.280141119139</v>
      </c>
      <c r="BQ428" s="20">
        <v>19124.327947806891</v>
      </c>
      <c r="BR428" s="20">
        <v>18969.456702870801</v>
      </c>
      <c r="BS428" s="20">
        <v>18846.82640970984</v>
      </c>
      <c r="BT428" s="20">
        <v>18748.949967021919</v>
      </c>
      <c r="BU428" s="20">
        <v>18670.53331262352</v>
      </c>
      <c r="BV428" s="20">
        <v>18603.926269560779</v>
      </c>
      <c r="BW428" s="20">
        <v>18546.173159578218</v>
      </c>
      <c r="BY428" s="17" t="s">
        <v>2813</v>
      </c>
      <c r="BZ428" s="20">
        <v>18799.43616325871</v>
      </c>
      <c r="CA428" s="20">
        <v>19279.93939037103</v>
      </c>
      <c r="CB428" s="20">
        <v>23487.532694203601</v>
      </c>
      <c r="CC428" s="20">
        <v>24006.83776444244</v>
      </c>
      <c r="CD428" s="20">
        <v>24507.803105640931</v>
      </c>
      <c r="CE428" s="20">
        <v>22209.98861367007</v>
      </c>
      <c r="CF428" s="20">
        <v>22846.47460512452</v>
      </c>
      <c r="CG428" s="20">
        <v>23455.98034551321</v>
      </c>
      <c r="CH428" s="20">
        <v>23991.288281673191</v>
      </c>
      <c r="CI428" s="20">
        <v>24553.898779884381</v>
      </c>
      <c r="CJ428" s="20">
        <v>25102.650060628821</v>
      </c>
      <c r="CK428" s="20">
        <v>25676.342220644819</v>
      </c>
      <c r="CL428" s="20">
        <v>26254.07383452147</v>
      </c>
      <c r="CM428" s="20">
        <v>26831.544202065921</v>
      </c>
      <c r="CN428" s="20">
        <v>27415.490239711082</v>
      </c>
      <c r="CO428" s="20">
        <v>28009.087178593989</v>
      </c>
      <c r="CP428" s="20">
        <v>28596.522334517918</v>
      </c>
      <c r="CQ428" s="20">
        <v>29184.03818140383</v>
      </c>
      <c r="CR428" s="20">
        <v>29764.040921331391</v>
      </c>
      <c r="CS428" s="20">
        <v>30346.45286851369</v>
      </c>
      <c r="CU428" s="17" t="s">
        <v>2814</v>
      </c>
      <c r="CV428" s="20">
        <v>18799.43616325871</v>
      </c>
      <c r="CW428" s="20">
        <v>19279.93939037103</v>
      </c>
      <c r="CX428" s="20">
        <v>23487.532694203601</v>
      </c>
      <c r="CY428" s="20">
        <v>24006.83776444244</v>
      </c>
      <c r="CZ428" s="20">
        <v>24507.803105640931</v>
      </c>
      <c r="DA428" s="20">
        <v>20132.365565694428</v>
      </c>
      <c r="DB428" s="20">
        <v>20709.848564068241</v>
      </c>
      <c r="DC428" s="20">
        <v>21273.21214967702</v>
      </c>
      <c r="DD428" s="20">
        <v>21736.312838720929</v>
      </c>
      <c r="DE428" s="20">
        <v>22248.36487095918</v>
      </c>
      <c r="DF428" s="20">
        <v>22736.861495565729</v>
      </c>
      <c r="DG428" s="20">
        <v>23268.724804718371</v>
      </c>
      <c r="DH428" s="20">
        <v>23818.99678888507</v>
      </c>
      <c r="DI428" s="20">
        <v>24364.51210527162</v>
      </c>
      <c r="DJ428" s="20">
        <v>24920.37004131484</v>
      </c>
      <c r="DK428" s="20">
        <v>25497.748100860241</v>
      </c>
      <c r="DL428" s="20">
        <v>26059.604998784409</v>
      </c>
      <c r="DM428" s="20">
        <v>26615.207523920111</v>
      </c>
      <c r="DN428" s="20">
        <v>27150.275621949379</v>
      </c>
      <c r="DO428" s="20">
        <v>27680.994126446869</v>
      </c>
    </row>
    <row r="429" spans="1:230" x14ac:dyDescent="0.45">
      <c r="A429" s="16" t="s">
        <v>2815</v>
      </c>
      <c r="B429" s="3" t="s">
        <v>89</v>
      </c>
      <c r="C429" s="16" t="s">
        <v>2816</v>
      </c>
      <c r="H429" s="3" t="s">
        <v>2817</v>
      </c>
      <c r="I429" s="3" t="s">
        <v>2363</v>
      </c>
      <c r="K429" s="17" t="s">
        <v>2818</v>
      </c>
      <c r="L429" s="3">
        <v>0</v>
      </c>
      <c r="M429" s="3">
        <v>0</v>
      </c>
      <c r="N429" s="3">
        <v>0</v>
      </c>
      <c r="O429" s="3">
        <v>0</v>
      </c>
      <c r="P429" s="3">
        <v>0</v>
      </c>
      <c r="Q429" s="3">
        <v>0</v>
      </c>
      <c r="R429" s="3">
        <v>0</v>
      </c>
      <c r="S429" s="3">
        <v>0</v>
      </c>
      <c r="T429" s="3">
        <v>0</v>
      </c>
      <c r="U429" s="3">
        <v>0</v>
      </c>
      <c r="V429" s="3">
        <v>0</v>
      </c>
      <c r="W429" s="3">
        <v>0</v>
      </c>
      <c r="X429" s="3">
        <v>0</v>
      </c>
      <c r="Y429" s="3">
        <v>0</v>
      </c>
      <c r="Z429" s="3">
        <v>0</v>
      </c>
      <c r="AA429" s="3">
        <v>0</v>
      </c>
      <c r="AB429" s="3">
        <v>0</v>
      </c>
      <c r="AC429" s="3">
        <v>0</v>
      </c>
      <c r="AD429" s="3">
        <v>0</v>
      </c>
      <c r="AE429" s="3">
        <v>0</v>
      </c>
      <c r="AG429" s="17" t="s">
        <v>2819</v>
      </c>
      <c r="AH429" s="3">
        <v>0</v>
      </c>
      <c r="AI429" s="3">
        <v>0</v>
      </c>
      <c r="AJ429" s="3">
        <v>0</v>
      </c>
      <c r="AK429" s="3">
        <v>0</v>
      </c>
      <c r="AL429" s="3">
        <v>0</v>
      </c>
      <c r="AM429" s="3">
        <v>0</v>
      </c>
      <c r="AN429" s="3">
        <v>0</v>
      </c>
      <c r="AO429" s="3">
        <v>0</v>
      </c>
      <c r="AP429" s="3">
        <v>0</v>
      </c>
      <c r="AQ429" s="3">
        <v>0</v>
      </c>
      <c r="AR429" s="3">
        <v>0</v>
      </c>
      <c r="AS429" s="3">
        <v>0</v>
      </c>
      <c r="AT429" s="3">
        <v>0</v>
      </c>
      <c r="AU429" s="3">
        <v>0</v>
      </c>
      <c r="AV429" s="3">
        <v>0</v>
      </c>
      <c r="AW429" s="3">
        <v>0</v>
      </c>
      <c r="AX429" s="3">
        <v>0</v>
      </c>
      <c r="AY429" s="3">
        <v>0</v>
      </c>
      <c r="AZ429" s="3">
        <v>0</v>
      </c>
      <c r="BA429" s="3">
        <v>0</v>
      </c>
      <c r="BC429" s="17" t="s">
        <v>2820</v>
      </c>
      <c r="BD429" s="3">
        <v>0</v>
      </c>
      <c r="BE429" s="3">
        <v>0</v>
      </c>
      <c r="BF429" s="3">
        <v>0</v>
      </c>
      <c r="BG429" s="3">
        <v>0</v>
      </c>
      <c r="BH429" s="3">
        <v>0</v>
      </c>
      <c r="BI429" s="3">
        <v>0</v>
      </c>
      <c r="BJ429" s="3">
        <v>0</v>
      </c>
      <c r="BK429" s="3">
        <v>0</v>
      </c>
      <c r="BL429" s="3">
        <v>0</v>
      </c>
      <c r="BM429" s="3">
        <v>0</v>
      </c>
      <c r="BN429" s="3">
        <v>0</v>
      </c>
      <c r="BO429" s="3">
        <v>0</v>
      </c>
      <c r="BP429" s="3">
        <v>0</v>
      </c>
      <c r="BQ429" s="3">
        <v>0</v>
      </c>
      <c r="BR429" s="3">
        <v>0</v>
      </c>
      <c r="BS429" s="3">
        <v>0</v>
      </c>
      <c r="BT429" s="3">
        <v>0</v>
      </c>
      <c r="BU429" s="3">
        <v>0</v>
      </c>
      <c r="BV429" s="3">
        <v>0</v>
      </c>
      <c r="BW429" s="3">
        <v>0</v>
      </c>
      <c r="BY429" s="17" t="s">
        <v>2821</v>
      </c>
      <c r="BZ429" s="3">
        <v>0</v>
      </c>
      <c r="CA429" s="3">
        <v>0</v>
      </c>
      <c r="CB429" s="3">
        <v>0</v>
      </c>
      <c r="CC429" s="3">
        <v>0</v>
      </c>
      <c r="CD429" s="3">
        <v>0</v>
      </c>
      <c r="CE429" s="3">
        <v>0</v>
      </c>
      <c r="CF429" s="3">
        <v>0</v>
      </c>
      <c r="CG429" s="3">
        <v>0</v>
      </c>
      <c r="CH429" s="3">
        <v>0</v>
      </c>
      <c r="CI429" s="3">
        <v>0</v>
      </c>
      <c r="CJ429" s="3">
        <v>0</v>
      </c>
      <c r="CK429" s="3">
        <v>0</v>
      </c>
      <c r="CL429" s="3">
        <v>0</v>
      </c>
      <c r="CM429" s="3">
        <v>0</v>
      </c>
      <c r="CN429" s="3">
        <v>0</v>
      </c>
      <c r="CO429" s="3">
        <v>0</v>
      </c>
      <c r="CP429" s="3">
        <v>0</v>
      </c>
      <c r="CQ429" s="3">
        <v>0</v>
      </c>
      <c r="CR429" s="3">
        <v>0</v>
      </c>
      <c r="CS429" s="3">
        <v>0</v>
      </c>
      <c r="CU429" s="17" t="s">
        <v>2822</v>
      </c>
      <c r="CV429" s="3">
        <v>0</v>
      </c>
      <c r="CW429" s="3">
        <v>0</v>
      </c>
      <c r="CX429" s="3">
        <v>0</v>
      </c>
      <c r="CY429" s="3">
        <v>0</v>
      </c>
      <c r="CZ429" s="3">
        <v>0</v>
      </c>
      <c r="DA429" s="3">
        <v>0</v>
      </c>
      <c r="DB429" s="3">
        <v>0</v>
      </c>
      <c r="DC429" s="3">
        <v>0</v>
      </c>
      <c r="DD429" s="3">
        <v>0</v>
      </c>
      <c r="DE429" s="3">
        <v>0</v>
      </c>
      <c r="DF429" s="3">
        <v>0</v>
      </c>
      <c r="DG429" s="3">
        <v>0</v>
      </c>
      <c r="DH429" s="3">
        <v>0</v>
      </c>
      <c r="DI429" s="3">
        <v>0</v>
      </c>
      <c r="DJ429" s="3">
        <v>0</v>
      </c>
      <c r="DK429" s="3">
        <v>0</v>
      </c>
      <c r="DL429" s="3">
        <v>0</v>
      </c>
      <c r="DM429" s="3">
        <v>0</v>
      </c>
      <c r="DN429" s="3">
        <v>0</v>
      </c>
      <c r="DO429" s="3">
        <v>0</v>
      </c>
    </row>
    <row r="430" spans="1:230" x14ac:dyDescent="0.45">
      <c r="A430" s="16" t="s">
        <v>2823</v>
      </c>
      <c r="B430" s="3" t="s">
        <v>89</v>
      </c>
      <c r="C430" s="16"/>
      <c r="H430" s="3" t="s">
        <v>2824</v>
      </c>
      <c r="I430" s="3" t="s">
        <v>2363</v>
      </c>
      <c r="K430" s="17" t="s">
        <v>2825</v>
      </c>
      <c r="L430" s="3">
        <v>482.84579661683762</v>
      </c>
      <c r="M430" s="3">
        <v>587.89792683836572</v>
      </c>
      <c r="N430" s="3">
        <v>867.77526513617852</v>
      </c>
      <c r="O430" s="3">
        <v>882.55707508122168</v>
      </c>
      <c r="P430" s="3">
        <v>896.74268989701034</v>
      </c>
      <c r="Q430" s="3">
        <v>913.59971113558652</v>
      </c>
      <c r="R430" s="3">
        <v>933.68257741303967</v>
      </c>
      <c r="S430" s="3">
        <v>952.54904156160887</v>
      </c>
      <c r="T430" s="3">
        <v>969.81339775213803</v>
      </c>
      <c r="U430" s="3">
        <v>987.0089426724046</v>
      </c>
      <c r="V430" s="3">
        <v>1004.203825495336</v>
      </c>
      <c r="W430" s="3">
        <v>1021.392557955216</v>
      </c>
      <c r="X430" s="3">
        <v>1038.569734922321</v>
      </c>
      <c r="Y430" s="3">
        <v>1055.7300299555959</v>
      </c>
      <c r="Z430" s="3">
        <v>1072.868190388918</v>
      </c>
      <c r="AA430" s="3">
        <v>1089.979031981967</v>
      </c>
      <c r="AB430" s="3">
        <v>1107.057433164854</v>
      </c>
      <c r="AC430" s="3">
        <v>1124.0983289038361</v>
      </c>
      <c r="AD430" s="3">
        <v>1141.096704213528</v>
      </c>
      <c r="AE430" s="3">
        <v>1158.0475873392211</v>
      </c>
      <c r="AG430" s="17" t="s">
        <v>2826</v>
      </c>
      <c r="AH430" s="3">
        <v>482.84579661683762</v>
      </c>
      <c r="AI430" s="3">
        <v>587.89792683836572</v>
      </c>
      <c r="AJ430" s="3">
        <v>867.77526513617852</v>
      </c>
      <c r="AK430" s="3">
        <v>882.55707508122168</v>
      </c>
      <c r="AL430" s="3">
        <v>896.74268989701034</v>
      </c>
      <c r="AM430" s="3">
        <v>652.27610690724862</v>
      </c>
      <c r="AN430" s="3">
        <v>666.61446090902791</v>
      </c>
      <c r="AO430" s="3">
        <v>680.28189512635981</v>
      </c>
      <c r="AP430" s="3">
        <v>692.15999190227171</v>
      </c>
      <c r="AQ430" s="3">
        <v>704.51149070850965</v>
      </c>
      <c r="AR430" s="3">
        <v>716.59948181173115</v>
      </c>
      <c r="AS430" s="3">
        <v>729.11240429827956</v>
      </c>
      <c r="AT430" s="3">
        <v>741.82528823855955</v>
      </c>
      <c r="AU430" s="3">
        <v>754.43131457901984</v>
      </c>
      <c r="AV430" s="3">
        <v>767.11309595201988</v>
      </c>
      <c r="AW430" s="3">
        <v>779.9865154466512</v>
      </c>
      <c r="AX430" s="3">
        <v>792.64684127324028</v>
      </c>
      <c r="AY430" s="3">
        <v>805.17849337752534</v>
      </c>
      <c r="AZ430" s="3">
        <v>817.4371498877407</v>
      </c>
      <c r="BA430" s="3">
        <v>829.59261537354541</v>
      </c>
      <c r="BC430" s="17" t="s">
        <v>2827</v>
      </c>
      <c r="BD430" s="3">
        <v>482.84579661683762</v>
      </c>
      <c r="BE430" s="3">
        <v>587.89792683836572</v>
      </c>
      <c r="BF430" s="3">
        <v>867.77526513617852</v>
      </c>
      <c r="BG430" s="3">
        <v>882.55707508122168</v>
      </c>
      <c r="BH430" s="3">
        <v>896.74268989701034</v>
      </c>
      <c r="BI430" s="3">
        <v>725.20655290967306</v>
      </c>
      <c r="BJ430" s="3">
        <v>595.26611623542942</v>
      </c>
      <c r="BK430" s="3">
        <v>514.75478709643971</v>
      </c>
      <c r="BL430" s="3">
        <v>458.58195653750471</v>
      </c>
      <c r="BM430" s="3">
        <v>424.66940557044182</v>
      </c>
      <c r="BN430" s="3">
        <v>397.63543702718448</v>
      </c>
      <c r="BO430" s="3">
        <v>375.64764022543051</v>
      </c>
      <c r="BP430" s="3">
        <v>357.47385080680471</v>
      </c>
      <c r="BQ430" s="3">
        <v>342.18052775486751</v>
      </c>
      <c r="BR430" s="3">
        <v>329.14426677004991</v>
      </c>
      <c r="BS430" s="3">
        <v>317.94900994741971</v>
      </c>
      <c r="BT430" s="3">
        <v>308.20838902974538</v>
      </c>
      <c r="BU430" s="3">
        <v>299.64017581176341</v>
      </c>
      <c r="BV430" s="3">
        <v>291.98725121012251</v>
      </c>
      <c r="BW430" s="3">
        <v>285.08952016365799</v>
      </c>
      <c r="BY430" s="17" t="s">
        <v>2828</v>
      </c>
      <c r="BZ430" s="3">
        <v>482.84579661683762</v>
      </c>
      <c r="CA430" s="3">
        <v>587.89792683836572</v>
      </c>
      <c r="CB430" s="3">
        <v>867.77526513617852</v>
      </c>
      <c r="CC430" s="3">
        <v>882.55707508122168</v>
      </c>
      <c r="CD430" s="3">
        <v>896.74268989701034</v>
      </c>
      <c r="CE430" s="3">
        <v>611.92830406071107</v>
      </c>
      <c r="CF430" s="3">
        <v>625.3794568790604</v>
      </c>
      <c r="CG430" s="3">
        <v>638.17398088882692</v>
      </c>
      <c r="CH430" s="3">
        <v>649.3429329092844</v>
      </c>
      <c r="CI430" s="3">
        <v>661.01481984476845</v>
      </c>
      <c r="CJ430" s="3">
        <v>672.33483597958377</v>
      </c>
      <c r="CK430" s="3">
        <v>684.10344209757784</v>
      </c>
      <c r="CL430" s="3">
        <v>695.88842335960339</v>
      </c>
      <c r="CM430" s="3">
        <v>707.60300473851009</v>
      </c>
      <c r="CN430" s="3">
        <v>719.38452578334386</v>
      </c>
      <c r="CO430" s="3">
        <v>731.29606855232566</v>
      </c>
      <c r="CP430" s="3">
        <v>743.02096031031897</v>
      </c>
      <c r="CQ430" s="3">
        <v>754.68632869921043</v>
      </c>
      <c r="CR430" s="3">
        <v>766.14365573945349</v>
      </c>
      <c r="CS430" s="3">
        <v>777.59126333693814</v>
      </c>
      <c r="CU430" s="17" t="s">
        <v>2829</v>
      </c>
      <c r="CV430" s="3">
        <v>482.84579661683762</v>
      </c>
      <c r="CW430" s="3">
        <v>587.89792683836572</v>
      </c>
      <c r="CX430" s="3">
        <v>867.77526513617852</v>
      </c>
      <c r="CY430" s="3">
        <v>882.55707508122168</v>
      </c>
      <c r="CZ430" s="3">
        <v>896.74268989701034</v>
      </c>
      <c r="DA430" s="3">
        <v>475.0197860726787</v>
      </c>
      <c r="DB430" s="3">
        <v>485.46162720404112</v>
      </c>
      <c r="DC430" s="3">
        <v>495.5789877785536</v>
      </c>
      <c r="DD430" s="3">
        <v>503.84571518228489</v>
      </c>
      <c r="DE430" s="3">
        <v>512.93531504272119</v>
      </c>
      <c r="DF430" s="3">
        <v>521.557882260273</v>
      </c>
      <c r="DG430" s="3">
        <v>530.89356013353211</v>
      </c>
      <c r="DH430" s="3">
        <v>540.49631123527581</v>
      </c>
      <c r="DI430" s="3">
        <v>549.96102953822208</v>
      </c>
      <c r="DJ430" s="3">
        <v>559.55049178482795</v>
      </c>
      <c r="DK430" s="3">
        <v>569.45450515321193</v>
      </c>
      <c r="DL430" s="3">
        <v>579.03757700691835</v>
      </c>
      <c r="DM430" s="3">
        <v>588.46229070524112</v>
      </c>
      <c r="DN430" s="3">
        <v>597.49078540872222</v>
      </c>
      <c r="DO430" s="3">
        <v>606.40078100232211</v>
      </c>
    </row>
    <row r="431" spans="1:230" x14ac:dyDescent="0.45">
      <c r="A431" s="16" t="s">
        <v>2830</v>
      </c>
      <c r="B431" s="3" t="s">
        <v>89</v>
      </c>
      <c r="C431" s="16"/>
      <c r="H431" s="3" t="s">
        <v>2831</v>
      </c>
      <c r="I431" s="3" t="s">
        <v>2363</v>
      </c>
      <c r="K431" s="17" t="s">
        <v>2832</v>
      </c>
      <c r="L431" s="3">
        <v>7328.942890599129</v>
      </c>
      <c r="M431" s="3">
        <v>7997.9066092599078</v>
      </c>
      <c r="N431" s="3">
        <v>10130.346790681209</v>
      </c>
      <c r="O431" s="3">
        <v>10383.079937987761</v>
      </c>
      <c r="P431" s="3">
        <v>10628.045301055339</v>
      </c>
      <c r="Q431" s="3">
        <v>10919.65421757317</v>
      </c>
      <c r="R431" s="3">
        <v>11268.38418503122</v>
      </c>
      <c r="S431" s="3">
        <v>11599.97646409353</v>
      </c>
      <c r="T431" s="3">
        <v>11907.221008997351</v>
      </c>
      <c r="U431" s="3">
        <v>12215.988726681109</v>
      </c>
      <c r="V431" s="3">
        <v>12527.42634917021</v>
      </c>
      <c r="W431" s="3">
        <v>12841.42265441394</v>
      </c>
      <c r="X431" s="3">
        <v>13157.86543244902</v>
      </c>
      <c r="Y431" s="3">
        <v>13476.641492700501</v>
      </c>
      <c r="Z431" s="3">
        <v>13797.636658253859</v>
      </c>
      <c r="AA431" s="3">
        <v>14120.735747323521</v>
      </c>
      <c r="AB431" s="3">
        <v>14445.82254215771</v>
      </c>
      <c r="AC431" s="3">
        <v>14772.77974563054</v>
      </c>
      <c r="AD431" s="3">
        <v>15101.488925779249</v>
      </c>
      <c r="AE431" s="3">
        <v>15431.83044854945</v>
      </c>
      <c r="AG431" s="17" t="s">
        <v>2833</v>
      </c>
      <c r="AH431" s="3">
        <v>7328.942890599129</v>
      </c>
      <c r="AI431" s="3">
        <v>7997.9066092599078</v>
      </c>
      <c r="AJ431" s="3">
        <v>10130.346790681209</v>
      </c>
      <c r="AK431" s="3">
        <v>10383.079937987761</v>
      </c>
      <c r="AL431" s="3">
        <v>10628.045301055339</v>
      </c>
      <c r="AM431" s="3">
        <v>10018.33959521673</v>
      </c>
      <c r="AN431" s="3">
        <v>10338.28381532863</v>
      </c>
      <c r="AO431" s="3">
        <v>10646.833028715429</v>
      </c>
      <c r="AP431" s="3">
        <v>10918.857352809669</v>
      </c>
      <c r="AQ431" s="3">
        <v>11203.75370884477</v>
      </c>
      <c r="AR431" s="3">
        <v>11485.223819661771</v>
      </c>
      <c r="AS431" s="3">
        <v>11778.684696568211</v>
      </c>
      <c r="AT431" s="3">
        <v>12079.22134768986</v>
      </c>
      <c r="AU431" s="3">
        <v>12379.878392991001</v>
      </c>
      <c r="AV431" s="3">
        <v>12684.813389484059</v>
      </c>
      <c r="AW431" s="3">
        <v>12996.756927573109</v>
      </c>
      <c r="AX431" s="3">
        <v>13306.285215258</v>
      </c>
      <c r="AY431" s="3">
        <v>13615.273558218711</v>
      </c>
      <c r="AZ431" s="3">
        <v>13920.203871007619</v>
      </c>
      <c r="BA431" s="3">
        <v>14225.00547490355</v>
      </c>
      <c r="BC431" s="17" t="s">
        <v>2834</v>
      </c>
      <c r="BD431" s="3">
        <v>7328.942890599129</v>
      </c>
      <c r="BE431" s="3">
        <v>7997.9066092599078</v>
      </c>
      <c r="BF431" s="3">
        <v>10130.346790681209</v>
      </c>
      <c r="BG431" s="3">
        <v>10383.079937987761</v>
      </c>
      <c r="BH431" s="3">
        <v>10628.045301055339</v>
      </c>
      <c r="BI431" s="3">
        <v>10282.394438147139</v>
      </c>
      <c r="BJ431" s="3">
        <v>9877.8137405324833</v>
      </c>
      <c r="BK431" s="3">
        <v>9541.7144078026558</v>
      </c>
      <c r="BL431" s="3">
        <v>9242.5945583835455</v>
      </c>
      <c r="BM431" s="3">
        <v>9105.1889496095682</v>
      </c>
      <c r="BN431" s="3">
        <v>8986.0648353325687</v>
      </c>
      <c r="BO431" s="3">
        <v>8886.8164548649802</v>
      </c>
      <c r="BP431" s="3">
        <v>8806.9560403817377</v>
      </c>
      <c r="BQ431" s="3">
        <v>8742.5511479983525</v>
      </c>
      <c r="BR431" s="3">
        <v>8691.6154899058783</v>
      </c>
      <c r="BS431" s="3">
        <v>8653.8972479111435</v>
      </c>
      <c r="BT431" s="3">
        <v>8626.2156897039295</v>
      </c>
      <c r="BU431" s="3">
        <v>8606.3487471728804</v>
      </c>
      <c r="BV431" s="3">
        <v>8590.8190308048434</v>
      </c>
      <c r="BW431" s="3">
        <v>8578.3986194138397</v>
      </c>
      <c r="BY431" s="17" t="s">
        <v>2835</v>
      </c>
      <c r="BZ431" s="3">
        <v>7328.942890599129</v>
      </c>
      <c r="CA431" s="3">
        <v>7997.9066092599078</v>
      </c>
      <c r="CB431" s="3">
        <v>10130.346790681209</v>
      </c>
      <c r="CC431" s="3">
        <v>10383.079937987761</v>
      </c>
      <c r="CD431" s="3">
        <v>10628.045301055339</v>
      </c>
      <c r="CE431" s="3">
        <v>9821.5414620745614</v>
      </c>
      <c r="CF431" s="3">
        <v>10135.194537666801</v>
      </c>
      <c r="CG431" s="3">
        <v>10437.05331619346</v>
      </c>
      <c r="CH431" s="3">
        <v>10704.319763843459</v>
      </c>
      <c r="CI431" s="3">
        <v>10985.583281371561</v>
      </c>
      <c r="CJ431" s="3">
        <v>11261.064422387601</v>
      </c>
      <c r="CK431" s="3">
        <v>11549.474024444051</v>
      </c>
      <c r="CL431" s="3">
        <v>11840.75279930977</v>
      </c>
      <c r="CM431" s="3">
        <v>12132.813758505719</v>
      </c>
      <c r="CN431" s="3">
        <v>12428.92768520507</v>
      </c>
      <c r="CO431" s="3">
        <v>12730.656620740659</v>
      </c>
      <c r="CP431" s="3">
        <v>13030.284520093441</v>
      </c>
      <c r="CQ431" s="3">
        <v>13330.843214908349</v>
      </c>
      <c r="CR431" s="3">
        <v>13628.59154526581</v>
      </c>
      <c r="CS431" s="3">
        <v>13928.38430125603</v>
      </c>
      <c r="CU431" s="17" t="s">
        <v>2836</v>
      </c>
      <c r="CV431" s="3">
        <v>7328.942890599129</v>
      </c>
      <c r="CW431" s="3">
        <v>7997.9066092599078</v>
      </c>
      <c r="CX431" s="3">
        <v>10130.346790681209</v>
      </c>
      <c r="CY431" s="3">
        <v>10383.079937987761</v>
      </c>
      <c r="CZ431" s="3">
        <v>10628.045301055339</v>
      </c>
      <c r="DA431" s="3">
        <v>8968.1098286851047</v>
      </c>
      <c r="DB431" s="3">
        <v>9254.5124955188512</v>
      </c>
      <c r="DC431" s="3">
        <v>9535.135112912827</v>
      </c>
      <c r="DD431" s="3">
        <v>9768.2675916308526</v>
      </c>
      <c r="DE431" s="3">
        <v>10025.839070020649</v>
      </c>
      <c r="DF431" s="3">
        <v>10272.797896649579</v>
      </c>
      <c r="DG431" s="3">
        <v>10541.630830022459</v>
      </c>
      <c r="DH431" s="3">
        <v>10820.30065504103</v>
      </c>
      <c r="DI431" s="3">
        <v>11097.529814209909</v>
      </c>
      <c r="DJ431" s="3">
        <v>11380.694606734271</v>
      </c>
      <c r="DK431" s="3">
        <v>11675.313713626239</v>
      </c>
      <c r="DL431" s="3">
        <v>11963.203699621799</v>
      </c>
      <c r="DM431" s="3">
        <v>12248.877191134299</v>
      </c>
      <c r="DN431" s="3">
        <v>12525.238988947031</v>
      </c>
      <c r="DO431" s="3">
        <v>12800.240060863051</v>
      </c>
    </row>
    <row r="432" spans="1:230" x14ac:dyDescent="0.45">
      <c r="A432" s="16" t="s">
        <v>2837</v>
      </c>
      <c r="B432" s="3" t="s">
        <v>89</v>
      </c>
      <c r="C432" s="16" t="s">
        <v>2838</v>
      </c>
      <c r="H432" s="3" t="s">
        <v>2839</v>
      </c>
      <c r="I432" s="3" t="s">
        <v>2363</v>
      </c>
      <c r="K432" s="17" t="s">
        <v>2840</v>
      </c>
      <c r="L432" s="3">
        <v>10089.051693375681</v>
      </c>
      <c r="M432" s="3">
        <v>9806.1226332485567</v>
      </c>
      <c r="N432" s="3">
        <v>11513.826034363459</v>
      </c>
      <c r="O432" s="3">
        <v>11737.893549682951</v>
      </c>
      <c r="P432" s="3">
        <v>11952.756777359269</v>
      </c>
      <c r="Q432" s="3">
        <v>12210.731315020361</v>
      </c>
      <c r="R432" s="3">
        <v>12521.071609816179</v>
      </c>
      <c r="S432" s="3">
        <v>12812.535134638611</v>
      </c>
      <c r="T432" s="3">
        <v>13078.680608324459</v>
      </c>
      <c r="U432" s="3">
        <v>13344.161405855901</v>
      </c>
      <c r="V432" s="3">
        <v>13610.06156419485</v>
      </c>
      <c r="W432" s="3">
        <v>13876.276133551621</v>
      </c>
      <c r="X432" s="3">
        <v>14142.70114823205</v>
      </c>
      <c r="Y432" s="3">
        <v>14409.23359410269</v>
      </c>
      <c r="Z432" s="3">
        <v>14675.77136591747</v>
      </c>
      <c r="AA432" s="3">
        <v>14942.213215024431</v>
      </c>
      <c r="AB432" s="3">
        <v>15208.458687955979</v>
      </c>
      <c r="AC432" s="3">
        <v>15474.40805638995</v>
      </c>
      <c r="AD432" s="3">
        <v>15739.96223894924</v>
      </c>
      <c r="AE432" s="3">
        <v>16005.02271528944</v>
      </c>
      <c r="AG432" s="17" t="s">
        <v>2841</v>
      </c>
      <c r="AH432" s="3">
        <v>10089.051693375681</v>
      </c>
      <c r="AI432" s="3">
        <v>9806.1226332485567</v>
      </c>
      <c r="AJ432" s="3">
        <v>11513.826034363459</v>
      </c>
      <c r="AK432" s="3">
        <v>11737.893549682951</v>
      </c>
      <c r="AL432" s="3">
        <v>11952.756777359269</v>
      </c>
      <c r="AM432" s="3">
        <v>11095.80041521342</v>
      </c>
      <c r="AN432" s="3">
        <v>11377.80303014417</v>
      </c>
      <c r="AO432" s="3">
        <v>11646.71082267515</v>
      </c>
      <c r="AP432" s="3">
        <v>11879.33831289358</v>
      </c>
      <c r="AQ432" s="3">
        <v>12122.10438181974</v>
      </c>
      <c r="AR432" s="3">
        <v>12359.815064100059</v>
      </c>
      <c r="AS432" s="3">
        <v>12606.70039606767</v>
      </c>
      <c r="AT432" s="3">
        <v>12858.131734649811</v>
      </c>
      <c r="AU432" s="3">
        <v>13107.72799772245</v>
      </c>
      <c r="AV432" s="3">
        <v>13359.27567159773</v>
      </c>
      <c r="AW432" s="3">
        <v>13615.1995672501</v>
      </c>
      <c r="AX432" s="3">
        <v>13867.01676237283</v>
      </c>
      <c r="AY432" s="3">
        <v>14116.46067539037</v>
      </c>
      <c r="AZ432" s="3">
        <v>14360.459323393919</v>
      </c>
      <c r="BA432" s="3">
        <v>14602.55334596094</v>
      </c>
      <c r="BC432" s="17" t="s">
        <v>2842</v>
      </c>
      <c r="BD432" s="3">
        <v>10089.051693375681</v>
      </c>
      <c r="BE432" s="3">
        <v>9806.1226332485567</v>
      </c>
      <c r="BF432" s="3">
        <v>11513.826034363459</v>
      </c>
      <c r="BG432" s="3">
        <v>11737.893549682951</v>
      </c>
      <c r="BH432" s="3">
        <v>11952.756777359269</v>
      </c>
      <c r="BI432" s="3">
        <v>11397.662288900279</v>
      </c>
      <c r="BJ432" s="3">
        <v>10805.497597617081</v>
      </c>
      <c r="BK432" s="3">
        <v>10338.84648040996</v>
      </c>
      <c r="BL432" s="3">
        <v>9945.3001297735136</v>
      </c>
      <c r="BM432" s="3">
        <v>9748.8414121514234</v>
      </c>
      <c r="BN432" s="3">
        <v>9579.3430401892565</v>
      </c>
      <c r="BO432" s="3">
        <v>9435.9672984266908</v>
      </c>
      <c r="BP432" s="3">
        <v>9316.5416655877634</v>
      </c>
      <c r="BQ432" s="3">
        <v>9216.1894050064057</v>
      </c>
      <c r="BR432" s="3">
        <v>9132.1190190053476</v>
      </c>
      <c r="BS432" s="3">
        <v>9063.3227009690308</v>
      </c>
      <c r="BT432" s="3">
        <v>9006.3235041381322</v>
      </c>
      <c r="BU432" s="3">
        <v>8958.6459505889252</v>
      </c>
      <c r="BV432" s="3">
        <v>8916.8047892691629</v>
      </c>
      <c r="BW432" s="3">
        <v>8879.4091607382543</v>
      </c>
      <c r="BY432" s="17" t="s">
        <v>2843</v>
      </c>
      <c r="BZ432" s="3">
        <v>10089.051693375681</v>
      </c>
      <c r="CA432" s="3">
        <v>9806.1226332485567</v>
      </c>
      <c r="CB432" s="3">
        <v>11513.826034363459</v>
      </c>
      <c r="CC432" s="3">
        <v>11737.893549682951</v>
      </c>
      <c r="CD432" s="3">
        <v>11952.756777359269</v>
      </c>
      <c r="CE432" s="3">
        <v>10861.19689144619</v>
      </c>
      <c r="CF432" s="3">
        <v>11137.231131288399</v>
      </c>
      <c r="CG432" s="3">
        <v>11399.864107556539</v>
      </c>
      <c r="CH432" s="3">
        <v>11628.121652448781</v>
      </c>
      <c r="CI432" s="3">
        <v>11867.573306593689</v>
      </c>
      <c r="CJ432" s="3">
        <v>12099.8249385001</v>
      </c>
      <c r="CK432" s="3">
        <v>12342.13644532272</v>
      </c>
      <c r="CL432" s="3">
        <v>12585.185154431931</v>
      </c>
      <c r="CM432" s="3">
        <v>12827.072220227259</v>
      </c>
      <c r="CN432" s="3">
        <v>13070.768131916861</v>
      </c>
      <c r="CO432" s="3">
        <v>13317.648541728089</v>
      </c>
      <c r="CP432" s="3">
        <v>13560.78417185893</v>
      </c>
      <c r="CQ432" s="3">
        <v>13802.926252903309</v>
      </c>
      <c r="CR432" s="3">
        <v>14040.78866246731</v>
      </c>
      <c r="CS432" s="3">
        <v>14278.70300670858</v>
      </c>
      <c r="CU432" s="17" t="s">
        <v>2844</v>
      </c>
      <c r="CV432" s="3">
        <v>10089.051693375681</v>
      </c>
      <c r="CW432" s="3">
        <v>9806.1226332485567</v>
      </c>
      <c r="CX432" s="3">
        <v>11513.826034363459</v>
      </c>
      <c r="CY432" s="3">
        <v>11737.893549682951</v>
      </c>
      <c r="CZ432" s="3">
        <v>11952.756777359269</v>
      </c>
      <c r="DA432" s="3">
        <v>9875.0750192597225</v>
      </c>
      <c r="DB432" s="3">
        <v>10126.05111264878</v>
      </c>
      <c r="DC432" s="3">
        <v>10369.49365711401</v>
      </c>
      <c r="DD432" s="3">
        <v>10566.88631983608</v>
      </c>
      <c r="DE432" s="3">
        <v>10785.317521736441</v>
      </c>
      <c r="DF432" s="3">
        <v>10992.303045402479</v>
      </c>
      <c r="DG432" s="3">
        <v>11217.665570451751</v>
      </c>
      <c r="DH432" s="3">
        <v>11450.189741524009</v>
      </c>
      <c r="DI432" s="3">
        <v>11679.589108235299</v>
      </c>
      <c r="DJ432" s="3">
        <v>11912.5370838774</v>
      </c>
      <c r="DK432" s="3">
        <v>12153.90478996298</v>
      </c>
      <c r="DL432" s="3">
        <v>12387.422513333609</v>
      </c>
      <c r="DM432" s="3">
        <v>12617.20272180229</v>
      </c>
      <c r="DN432" s="3">
        <v>12837.073631922631</v>
      </c>
      <c r="DO432" s="3">
        <v>13054.13630120018</v>
      </c>
    </row>
    <row r="433" spans="1:119" x14ac:dyDescent="0.45">
      <c r="A433" s="16" t="s">
        <v>2845</v>
      </c>
      <c r="B433" s="3" t="s">
        <v>89</v>
      </c>
      <c r="C433" s="16"/>
      <c r="H433" s="3" t="s">
        <v>2846</v>
      </c>
      <c r="I433" s="3" t="s">
        <v>2363</v>
      </c>
      <c r="K433" s="17" t="s">
        <v>2847</v>
      </c>
      <c r="L433" s="3">
        <v>0</v>
      </c>
      <c r="M433" s="3">
        <v>0</v>
      </c>
      <c r="N433" s="3">
        <v>0</v>
      </c>
      <c r="O433" s="3">
        <v>0</v>
      </c>
      <c r="P433" s="3">
        <v>0</v>
      </c>
      <c r="Q433" s="3">
        <v>0</v>
      </c>
      <c r="R433" s="3">
        <v>0</v>
      </c>
      <c r="S433" s="3">
        <v>0</v>
      </c>
      <c r="T433" s="3">
        <v>0</v>
      </c>
      <c r="U433" s="3">
        <v>0</v>
      </c>
      <c r="V433" s="3">
        <v>0</v>
      </c>
      <c r="W433" s="3">
        <v>0</v>
      </c>
      <c r="X433" s="3">
        <v>0</v>
      </c>
      <c r="Y433" s="3">
        <v>0</v>
      </c>
      <c r="Z433" s="3">
        <v>0</v>
      </c>
      <c r="AA433" s="3">
        <v>0</v>
      </c>
      <c r="AB433" s="3">
        <v>0</v>
      </c>
      <c r="AC433" s="3">
        <v>0</v>
      </c>
      <c r="AD433" s="3">
        <v>0</v>
      </c>
      <c r="AE433" s="3">
        <v>0</v>
      </c>
      <c r="AG433" s="17" t="s">
        <v>2848</v>
      </c>
      <c r="AH433" s="3">
        <v>0</v>
      </c>
      <c r="AI433" s="3">
        <v>0</v>
      </c>
      <c r="AJ433" s="3">
        <v>0</v>
      </c>
      <c r="AK433" s="3">
        <v>0</v>
      </c>
      <c r="AL433" s="3">
        <v>0</v>
      </c>
      <c r="AM433" s="3">
        <v>0</v>
      </c>
      <c r="AN433" s="3">
        <v>0</v>
      </c>
      <c r="AO433" s="3">
        <v>0</v>
      </c>
      <c r="AP433" s="3">
        <v>0</v>
      </c>
      <c r="AQ433" s="3">
        <v>0</v>
      </c>
      <c r="AR433" s="3">
        <v>0</v>
      </c>
      <c r="AS433" s="3">
        <v>0</v>
      </c>
      <c r="AT433" s="3">
        <v>0</v>
      </c>
      <c r="AU433" s="3">
        <v>0</v>
      </c>
      <c r="AV433" s="3">
        <v>0</v>
      </c>
      <c r="AW433" s="3">
        <v>0</v>
      </c>
      <c r="AX433" s="3">
        <v>0</v>
      </c>
      <c r="AY433" s="3">
        <v>0</v>
      </c>
      <c r="AZ433" s="3">
        <v>0</v>
      </c>
      <c r="BA433" s="3">
        <v>0</v>
      </c>
      <c r="BC433" s="17" t="s">
        <v>2849</v>
      </c>
      <c r="BD433" s="3">
        <v>0</v>
      </c>
      <c r="BE433" s="3">
        <v>0</v>
      </c>
      <c r="BF433" s="3">
        <v>0</v>
      </c>
      <c r="BG433" s="3">
        <v>0</v>
      </c>
      <c r="BH433" s="3">
        <v>0</v>
      </c>
      <c r="BI433" s="3">
        <v>0</v>
      </c>
      <c r="BJ433" s="3">
        <v>0</v>
      </c>
      <c r="BK433" s="3">
        <v>0</v>
      </c>
      <c r="BL433" s="3">
        <v>0</v>
      </c>
      <c r="BM433" s="3">
        <v>0</v>
      </c>
      <c r="BN433" s="3">
        <v>0</v>
      </c>
      <c r="BO433" s="3">
        <v>0</v>
      </c>
      <c r="BP433" s="3">
        <v>0</v>
      </c>
      <c r="BQ433" s="3">
        <v>0</v>
      </c>
      <c r="BR433" s="3">
        <v>0</v>
      </c>
      <c r="BS433" s="3">
        <v>0</v>
      </c>
      <c r="BT433" s="3">
        <v>0</v>
      </c>
      <c r="BU433" s="3">
        <v>0</v>
      </c>
      <c r="BV433" s="3">
        <v>0</v>
      </c>
      <c r="BW433" s="3">
        <v>0</v>
      </c>
      <c r="BY433" s="17" t="s">
        <v>2850</v>
      </c>
      <c r="BZ433" s="3">
        <v>0</v>
      </c>
      <c r="CA433" s="3">
        <v>0</v>
      </c>
      <c r="CB433" s="3">
        <v>0</v>
      </c>
      <c r="CC433" s="3">
        <v>0</v>
      </c>
      <c r="CD433" s="3">
        <v>0</v>
      </c>
      <c r="CE433" s="3">
        <v>0</v>
      </c>
      <c r="CF433" s="3">
        <v>0</v>
      </c>
      <c r="CG433" s="3">
        <v>0</v>
      </c>
      <c r="CH433" s="3">
        <v>0</v>
      </c>
      <c r="CI433" s="3">
        <v>0</v>
      </c>
      <c r="CJ433" s="3">
        <v>0</v>
      </c>
      <c r="CK433" s="3">
        <v>0</v>
      </c>
      <c r="CL433" s="3">
        <v>0</v>
      </c>
      <c r="CM433" s="3">
        <v>0</v>
      </c>
      <c r="CN433" s="3">
        <v>0</v>
      </c>
      <c r="CO433" s="3">
        <v>0</v>
      </c>
      <c r="CP433" s="3">
        <v>0</v>
      </c>
      <c r="CQ433" s="3">
        <v>0</v>
      </c>
      <c r="CR433" s="3">
        <v>0</v>
      </c>
      <c r="CS433" s="3">
        <v>0</v>
      </c>
      <c r="CU433" s="17" t="s">
        <v>2851</v>
      </c>
      <c r="CV433" s="3">
        <v>0</v>
      </c>
      <c r="CW433" s="3">
        <v>0</v>
      </c>
      <c r="CX433" s="3">
        <v>0</v>
      </c>
      <c r="CY433" s="3">
        <v>0</v>
      </c>
      <c r="CZ433" s="3">
        <v>0</v>
      </c>
      <c r="DA433" s="3">
        <v>0</v>
      </c>
      <c r="DB433" s="3">
        <v>0</v>
      </c>
      <c r="DC433" s="3">
        <v>0</v>
      </c>
      <c r="DD433" s="3">
        <v>0</v>
      </c>
      <c r="DE433" s="3">
        <v>0</v>
      </c>
      <c r="DF433" s="3">
        <v>0</v>
      </c>
      <c r="DG433" s="3">
        <v>0</v>
      </c>
      <c r="DH433" s="3">
        <v>0</v>
      </c>
      <c r="DI433" s="3">
        <v>0</v>
      </c>
      <c r="DJ433" s="3">
        <v>0</v>
      </c>
      <c r="DK433" s="3">
        <v>0</v>
      </c>
      <c r="DL433" s="3">
        <v>0</v>
      </c>
      <c r="DM433" s="3">
        <v>0</v>
      </c>
      <c r="DN433" s="3">
        <v>0</v>
      </c>
      <c r="DO433" s="3">
        <v>0</v>
      </c>
    </row>
    <row r="434" spans="1:119" x14ac:dyDescent="0.45">
      <c r="A434" s="16" t="s">
        <v>2852</v>
      </c>
      <c r="B434" s="3" t="s">
        <v>89</v>
      </c>
      <c r="C434" s="16" t="s">
        <v>2853</v>
      </c>
      <c r="H434" s="3" t="s">
        <v>2854</v>
      </c>
      <c r="I434" s="3" t="s">
        <v>2363</v>
      </c>
      <c r="K434" s="17" t="s">
        <v>2855</v>
      </c>
      <c r="L434" s="3">
        <v>0</v>
      </c>
      <c r="M434" s="3">
        <v>0</v>
      </c>
      <c r="N434" s="3">
        <v>0</v>
      </c>
      <c r="O434" s="3">
        <v>0</v>
      </c>
      <c r="P434" s="3">
        <v>0</v>
      </c>
      <c r="Q434" s="3">
        <v>0</v>
      </c>
      <c r="R434" s="3">
        <v>0</v>
      </c>
      <c r="S434" s="3">
        <v>0</v>
      </c>
      <c r="T434" s="3">
        <v>0</v>
      </c>
      <c r="U434" s="3">
        <v>0</v>
      </c>
      <c r="V434" s="3">
        <v>0</v>
      </c>
      <c r="W434" s="3">
        <v>0</v>
      </c>
      <c r="X434" s="3">
        <v>0</v>
      </c>
      <c r="Y434" s="3">
        <v>0</v>
      </c>
      <c r="Z434" s="3">
        <v>0</v>
      </c>
      <c r="AA434" s="3">
        <v>0</v>
      </c>
      <c r="AB434" s="3">
        <v>0</v>
      </c>
      <c r="AC434" s="3">
        <v>0</v>
      </c>
      <c r="AD434" s="3">
        <v>0</v>
      </c>
      <c r="AE434" s="3">
        <v>0</v>
      </c>
      <c r="AG434" s="17" t="s">
        <v>2856</v>
      </c>
      <c r="AH434" s="3">
        <v>0</v>
      </c>
      <c r="AI434" s="3">
        <v>0</v>
      </c>
      <c r="AJ434" s="3">
        <v>0</v>
      </c>
      <c r="AK434" s="3">
        <v>0</v>
      </c>
      <c r="AL434" s="3">
        <v>0</v>
      </c>
      <c r="AM434" s="3">
        <v>0</v>
      </c>
      <c r="AN434" s="3">
        <v>0</v>
      </c>
      <c r="AO434" s="3">
        <v>0</v>
      </c>
      <c r="AP434" s="3">
        <v>0</v>
      </c>
      <c r="AQ434" s="3">
        <v>0</v>
      </c>
      <c r="AR434" s="3">
        <v>0</v>
      </c>
      <c r="AS434" s="3">
        <v>0</v>
      </c>
      <c r="AT434" s="3">
        <v>0</v>
      </c>
      <c r="AU434" s="3">
        <v>0</v>
      </c>
      <c r="AV434" s="3">
        <v>0</v>
      </c>
      <c r="AW434" s="3">
        <v>0</v>
      </c>
      <c r="AX434" s="3">
        <v>0</v>
      </c>
      <c r="AY434" s="3">
        <v>0</v>
      </c>
      <c r="AZ434" s="3">
        <v>0</v>
      </c>
      <c r="BA434" s="3">
        <v>0</v>
      </c>
      <c r="BC434" s="17" t="s">
        <v>2857</v>
      </c>
      <c r="BD434" s="3">
        <v>0</v>
      </c>
      <c r="BE434" s="3">
        <v>0</v>
      </c>
      <c r="BF434" s="3">
        <v>0</v>
      </c>
      <c r="BG434" s="3">
        <v>0</v>
      </c>
      <c r="BH434" s="3">
        <v>0</v>
      </c>
      <c r="BI434" s="3">
        <v>0</v>
      </c>
      <c r="BJ434" s="3">
        <v>0</v>
      </c>
      <c r="BK434" s="3">
        <v>0</v>
      </c>
      <c r="BL434" s="3">
        <v>0</v>
      </c>
      <c r="BM434" s="3">
        <v>0</v>
      </c>
      <c r="BN434" s="3">
        <v>0</v>
      </c>
      <c r="BO434" s="3">
        <v>0</v>
      </c>
      <c r="BP434" s="3">
        <v>0</v>
      </c>
      <c r="BQ434" s="3">
        <v>0</v>
      </c>
      <c r="BR434" s="3">
        <v>0</v>
      </c>
      <c r="BS434" s="3">
        <v>0</v>
      </c>
      <c r="BT434" s="3">
        <v>0</v>
      </c>
      <c r="BU434" s="3">
        <v>0</v>
      </c>
      <c r="BV434" s="3">
        <v>0</v>
      </c>
      <c r="BW434" s="3">
        <v>0</v>
      </c>
      <c r="BY434" s="17" t="s">
        <v>2858</v>
      </c>
      <c r="BZ434" s="3">
        <v>0</v>
      </c>
      <c r="CA434" s="3">
        <v>0</v>
      </c>
      <c r="CB434" s="3">
        <v>0</v>
      </c>
      <c r="CC434" s="3">
        <v>0</v>
      </c>
      <c r="CD434" s="3">
        <v>0</v>
      </c>
      <c r="CE434" s="3">
        <v>0</v>
      </c>
      <c r="CF434" s="3">
        <v>0</v>
      </c>
      <c r="CG434" s="3">
        <v>0</v>
      </c>
      <c r="CH434" s="3">
        <v>0</v>
      </c>
      <c r="CI434" s="3">
        <v>0</v>
      </c>
      <c r="CJ434" s="3">
        <v>0</v>
      </c>
      <c r="CK434" s="3">
        <v>0</v>
      </c>
      <c r="CL434" s="3">
        <v>0</v>
      </c>
      <c r="CM434" s="3">
        <v>0</v>
      </c>
      <c r="CN434" s="3">
        <v>0</v>
      </c>
      <c r="CO434" s="3">
        <v>0</v>
      </c>
      <c r="CP434" s="3">
        <v>0</v>
      </c>
      <c r="CQ434" s="3">
        <v>0</v>
      </c>
      <c r="CR434" s="3">
        <v>0</v>
      </c>
      <c r="CS434" s="3">
        <v>0</v>
      </c>
      <c r="CU434" s="17" t="s">
        <v>2859</v>
      </c>
      <c r="CV434" s="3">
        <v>0</v>
      </c>
      <c r="CW434" s="3">
        <v>0</v>
      </c>
      <c r="CX434" s="3">
        <v>0</v>
      </c>
      <c r="CY434" s="3">
        <v>0</v>
      </c>
      <c r="CZ434" s="3">
        <v>0</v>
      </c>
      <c r="DA434" s="3">
        <v>0</v>
      </c>
      <c r="DB434" s="3">
        <v>0</v>
      </c>
      <c r="DC434" s="3">
        <v>0</v>
      </c>
      <c r="DD434" s="3">
        <v>0</v>
      </c>
      <c r="DE434" s="3">
        <v>0</v>
      </c>
      <c r="DF434" s="3">
        <v>0</v>
      </c>
      <c r="DG434" s="3">
        <v>0</v>
      </c>
      <c r="DH434" s="3">
        <v>0</v>
      </c>
      <c r="DI434" s="3">
        <v>0</v>
      </c>
      <c r="DJ434" s="3">
        <v>0</v>
      </c>
      <c r="DK434" s="3">
        <v>0</v>
      </c>
      <c r="DL434" s="3">
        <v>0</v>
      </c>
      <c r="DM434" s="3">
        <v>0</v>
      </c>
      <c r="DN434" s="3">
        <v>0</v>
      </c>
      <c r="DO434" s="3">
        <v>0</v>
      </c>
    </row>
    <row r="435" spans="1:119" x14ac:dyDescent="0.45">
      <c r="A435" s="16" t="s">
        <v>2860</v>
      </c>
      <c r="B435" s="3" t="s">
        <v>89</v>
      </c>
      <c r="C435" s="16" t="s">
        <v>2861</v>
      </c>
      <c r="H435" s="3" t="s">
        <v>2862</v>
      </c>
      <c r="I435" s="3" t="s">
        <v>2363</v>
      </c>
      <c r="K435" s="17" t="s">
        <v>2863</v>
      </c>
      <c r="L435" s="3">
        <v>0</v>
      </c>
      <c r="M435" s="3">
        <v>0</v>
      </c>
      <c r="N435" s="3">
        <v>0</v>
      </c>
      <c r="O435" s="3">
        <v>0</v>
      </c>
      <c r="P435" s="3">
        <v>0</v>
      </c>
      <c r="Q435" s="3">
        <v>0</v>
      </c>
      <c r="R435" s="3">
        <v>0</v>
      </c>
      <c r="S435" s="3">
        <v>0</v>
      </c>
      <c r="T435" s="3">
        <v>0</v>
      </c>
      <c r="U435" s="3">
        <v>0</v>
      </c>
      <c r="V435" s="3">
        <v>0</v>
      </c>
      <c r="W435" s="3">
        <v>0</v>
      </c>
      <c r="X435" s="3">
        <v>0</v>
      </c>
      <c r="Y435" s="3">
        <v>0</v>
      </c>
      <c r="Z435" s="3">
        <v>0</v>
      </c>
      <c r="AA435" s="3">
        <v>0</v>
      </c>
      <c r="AB435" s="3">
        <v>0</v>
      </c>
      <c r="AC435" s="3">
        <v>0</v>
      </c>
      <c r="AD435" s="3">
        <v>0</v>
      </c>
      <c r="AE435" s="3">
        <v>0</v>
      </c>
      <c r="AG435" s="17" t="s">
        <v>2864</v>
      </c>
      <c r="AH435" s="3">
        <v>0</v>
      </c>
      <c r="AI435" s="3">
        <v>0</v>
      </c>
      <c r="AJ435" s="3">
        <v>0</v>
      </c>
      <c r="AK435" s="3">
        <v>0</v>
      </c>
      <c r="AL435" s="3">
        <v>0</v>
      </c>
      <c r="AM435" s="3">
        <v>0</v>
      </c>
      <c r="AN435" s="3">
        <v>0</v>
      </c>
      <c r="AO435" s="3">
        <v>0</v>
      </c>
      <c r="AP435" s="3">
        <v>0</v>
      </c>
      <c r="AQ435" s="3">
        <v>0</v>
      </c>
      <c r="AR435" s="3">
        <v>0</v>
      </c>
      <c r="AS435" s="3">
        <v>0</v>
      </c>
      <c r="AT435" s="3">
        <v>0</v>
      </c>
      <c r="AU435" s="3">
        <v>0</v>
      </c>
      <c r="AV435" s="3">
        <v>0</v>
      </c>
      <c r="AW435" s="3">
        <v>0</v>
      </c>
      <c r="AX435" s="3">
        <v>0</v>
      </c>
      <c r="AY435" s="3">
        <v>0</v>
      </c>
      <c r="AZ435" s="3">
        <v>0</v>
      </c>
      <c r="BA435" s="3">
        <v>0</v>
      </c>
      <c r="BC435" s="17" t="s">
        <v>2865</v>
      </c>
      <c r="BD435" s="3">
        <v>0</v>
      </c>
      <c r="BE435" s="3">
        <v>0</v>
      </c>
      <c r="BF435" s="3">
        <v>0</v>
      </c>
      <c r="BG435" s="3">
        <v>0</v>
      </c>
      <c r="BH435" s="3">
        <v>0</v>
      </c>
      <c r="BI435" s="3">
        <v>0</v>
      </c>
      <c r="BJ435" s="3">
        <v>0</v>
      </c>
      <c r="BK435" s="3">
        <v>0</v>
      </c>
      <c r="BL435" s="3">
        <v>0</v>
      </c>
      <c r="BM435" s="3">
        <v>0</v>
      </c>
      <c r="BN435" s="3">
        <v>0</v>
      </c>
      <c r="BO435" s="3">
        <v>0</v>
      </c>
      <c r="BP435" s="3">
        <v>0</v>
      </c>
      <c r="BQ435" s="3">
        <v>0</v>
      </c>
      <c r="BR435" s="3">
        <v>0</v>
      </c>
      <c r="BS435" s="3">
        <v>0</v>
      </c>
      <c r="BT435" s="3">
        <v>0</v>
      </c>
      <c r="BU435" s="3">
        <v>0</v>
      </c>
      <c r="BV435" s="3">
        <v>0</v>
      </c>
      <c r="BW435" s="3">
        <v>0</v>
      </c>
      <c r="BY435" s="17" t="s">
        <v>2866</v>
      </c>
      <c r="BZ435" s="3">
        <v>0</v>
      </c>
      <c r="CA435" s="3">
        <v>0</v>
      </c>
      <c r="CB435" s="3">
        <v>0</v>
      </c>
      <c r="CC435" s="3">
        <v>0</v>
      </c>
      <c r="CD435" s="3">
        <v>0</v>
      </c>
      <c r="CE435" s="3">
        <v>0</v>
      </c>
      <c r="CF435" s="3">
        <v>0</v>
      </c>
      <c r="CG435" s="3">
        <v>0</v>
      </c>
      <c r="CH435" s="3">
        <v>0</v>
      </c>
      <c r="CI435" s="3">
        <v>0</v>
      </c>
      <c r="CJ435" s="3">
        <v>0</v>
      </c>
      <c r="CK435" s="3">
        <v>0</v>
      </c>
      <c r="CL435" s="3">
        <v>0</v>
      </c>
      <c r="CM435" s="3">
        <v>0</v>
      </c>
      <c r="CN435" s="3">
        <v>0</v>
      </c>
      <c r="CO435" s="3">
        <v>0</v>
      </c>
      <c r="CP435" s="3">
        <v>0</v>
      </c>
      <c r="CQ435" s="3">
        <v>0</v>
      </c>
      <c r="CR435" s="3">
        <v>0</v>
      </c>
      <c r="CS435" s="3">
        <v>0</v>
      </c>
      <c r="CU435" s="17" t="s">
        <v>2867</v>
      </c>
      <c r="CV435" s="3">
        <v>0</v>
      </c>
      <c r="CW435" s="3">
        <v>0</v>
      </c>
      <c r="CX435" s="3">
        <v>0</v>
      </c>
      <c r="CY435" s="3">
        <v>0</v>
      </c>
      <c r="CZ435" s="3">
        <v>0</v>
      </c>
      <c r="DA435" s="3">
        <v>0</v>
      </c>
      <c r="DB435" s="3">
        <v>0</v>
      </c>
      <c r="DC435" s="3">
        <v>0</v>
      </c>
      <c r="DD435" s="3">
        <v>0</v>
      </c>
      <c r="DE435" s="3">
        <v>0</v>
      </c>
      <c r="DF435" s="3">
        <v>0</v>
      </c>
      <c r="DG435" s="3">
        <v>0</v>
      </c>
      <c r="DH435" s="3">
        <v>0</v>
      </c>
      <c r="DI435" s="3">
        <v>0</v>
      </c>
      <c r="DJ435" s="3">
        <v>0</v>
      </c>
      <c r="DK435" s="3">
        <v>0</v>
      </c>
      <c r="DL435" s="3">
        <v>0</v>
      </c>
      <c r="DM435" s="3">
        <v>0</v>
      </c>
      <c r="DN435" s="3">
        <v>0</v>
      </c>
      <c r="DO435" s="3">
        <v>0</v>
      </c>
    </row>
    <row r="436" spans="1:119" x14ac:dyDescent="0.45">
      <c r="A436" s="16" t="s">
        <v>2868</v>
      </c>
      <c r="B436" s="3" t="s">
        <v>89</v>
      </c>
      <c r="C436" s="16" t="s">
        <v>2869</v>
      </c>
      <c r="H436" s="3" t="s">
        <v>2870</v>
      </c>
      <c r="I436" s="3" t="s">
        <v>2363</v>
      </c>
      <c r="K436" s="17" t="s">
        <v>2871</v>
      </c>
      <c r="L436" s="3">
        <v>0</v>
      </c>
      <c r="M436" s="3">
        <v>0</v>
      </c>
      <c r="N436" s="3">
        <v>0</v>
      </c>
      <c r="O436" s="3">
        <v>0</v>
      </c>
      <c r="P436" s="3">
        <v>0</v>
      </c>
      <c r="Q436" s="3">
        <v>0</v>
      </c>
      <c r="R436" s="3">
        <v>0</v>
      </c>
      <c r="S436" s="3">
        <v>0</v>
      </c>
      <c r="T436" s="3">
        <v>0</v>
      </c>
      <c r="U436" s="3">
        <v>0</v>
      </c>
      <c r="V436" s="3">
        <v>0</v>
      </c>
      <c r="W436" s="3">
        <v>0</v>
      </c>
      <c r="X436" s="3">
        <v>0</v>
      </c>
      <c r="Y436" s="3">
        <v>0</v>
      </c>
      <c r="Z436" s="3">
        <v>0</v>
      </c>
      <c r="AA436" s="3">
        <v>0</v>
      </c>
      <c r="AB436" s="3">
        <v>0</v>
      </c>
      <c r="AC436" s="3">
        <v>0</v>
      </c>
      <c r="AD436" s="3">
        <v>0</v>
      </c>
      <c r="AE436" s="3">
        <v>0</v>
      </c>
      <c r="AG436" s="17" t="s">
        <v>2872</v>
      </c>
      <c r="AH436" s="3">
        <v>0</v>
      </c>
      <c r="AI436" s="3">
        <v>0</v>
      </c>
      <c r="AJ436" s="3">
        <v>0</v>
      </c>
      <c r="AK436" s="3">
        <v>0</v>
      </c>
      <c r="AL436" s="3">
        <v>0</v>
      </c>
      <c r="AM436" s="3">
        <v>0</v>
      </c>
      <c r="AN436" s="3">
        <v>0</v>
      </c>
      <c r="AO436" s="3">
        <v>0</v>
      </c>
      <c r="AP436" s="3">
        <v>0</v>
      </c>
      <c r="AQ436" s="3">
        <v>0</v>
      </c>
      <c r="AR436" s="3">
        <v>0</v>
      </c>
      <c r="AS436" s="3">
        <v>0</v>
      </c>
      <c r="AT436" s="3">
        <v>0</v>
      </c>
      <c r="AU436" s="3">
        <v>0</v>
      </c>
      <c r="AV436" s="3">
        <v>0</v>
      </c>
      <c r="AW436" s="3">
        <v>0</v>
      </c>
      <c r="AX436" s="3">
        <v>0</v>
      </c>
      <c r="AY436" s="3">
        <v>0</v>
      </c>
      <c r="AZ436" s="3">
        <v>0</v>
      </c>
      <c r="BA436" s="3">
        <v>0</v>
      </c>
      <c r="BC436" s="17" t="s">
        <v>2873</v>
      </c>
      <c r="BD436" s="3">
        <v>0</v>
      </c>
      <c r="BE436" s="3">
        <v>0</v>
      </c>
      <c r="BF436" s="3">
        <v>0</v>
      </c>
      <c r="BG436" s="3">
        <v>0</v>
      </c>
      <c r="BH436" s="3">
        <v>0</v>
      </c>
      <c r="BI436" s="3">
        <v>0</v>
      </c>
      <c r="BJ436" s="3">
        <v>0</v>
      </c>
      <c r="BK436" s="3">
        <v>0</v>
      </c>
      <c r="BL436" s="3">
        <v>0</v>
      </c>
      <c r="BM436" s="3">
        <v>0</v>
      </c>
      <c r="BN436" s="3">
        <v>0</v>
      </c>
      <c r="BO436" s="3">
        <v>0</v>
      </c>
      <c r="BP436" s="3">
        <v>0</v>
      </c>
      <c r="BQ436" s="3">
        <v>0</v>
      </c>
      <c r="BR436" s="3">
        <v>0</v>
      </c>
      <c r="BS436" s="3">
        <v>0</v>
      </c>
      <c r="BT436" s="3">
        <v>0</v>
      </c>
      <c r="BU436" s="3">
        <v>0</v>
      </c>
      <c r="BV436" s="3">
        <v>0</v>
      </c>
      <c r="BW436" s="3">
        <v>0</v>
      </c>
      <c r="BY436" s="17" t="s">
        <v>2874</v>
      </c>
      <c r="BZ436" s="3">
        <v>0</v>
      </c>
      <c r="CA436" s="3">
        <v>0</v>
      </c>
      <c r="CB436" s="3">
        <v>0</v>
      </c>
      <c r="CC436" s="3">
        <v>0</v>
      </c>
      <c r="CD436" s="3">
        <v>0</v>
      </c>
      <c r="CE436" s="3">
        <v>0</v>
      </c>
      <c r="CF436" s="3">
        <v>0</v>
      </c>
      <c r="CG436" s="3">
        <v>0</v>
      </c>
      <c r="CH436" s="3">
        <v>0</v>
      </c>
      <c r="CI436" s="3">
        <v>0</v>
      </c>
      <c r="CJ436" s="3">
        <v>0</v>
      </c>
      <c r="CK436" s="3">
        <v>0</v>
      </c>
      <c r="CL436" s="3">
        <v>0</v>
      </c>
      <c r="CM436" s="3">
        <v>0</v>
      </c>
      <c r="CN436" s="3">
        <v>0</v>
      </c>
      <c r="CO436" s="3">
        <v>0</v>
      </c>
      <c r="CP436" s="3">
        <v>0</v>
      </c>
      <c r="CQ436" s="3">
        <v>0</v>
      </c>
      <c r="CR436" s="3">
        <v>0</v>
      </c>
      <c r="CS436" s="3">
        <v>0</v>
      </c>
      <c r="CU436" s="17" t="s">
        <v>2875</v>
      </c>
      <c r="CV436" s="3">
        <v>0</v>
      </c>
      <c r="CW436" s="3">
        <v>0</v>
      </c>
      <c r="CX436" s="3">
        <v>0</v>
      </c>
      <c r="CY436" s="3">
        <v>0</v>
      </c>
      <c r="CZ436" s="3">
        <v>0</v>
      </c>
      <c r="DA436" s="3">
        <v>0</v>
      </c>
      <c r="DB436" s="3">
        <v>0</v>
      </c>
      <c r="DC436" s="3">
        <v>0</v>
      </c>
      <c r="DD436" s="3">
        <v>0</v>
      </c>
      <c r="DE436" s="3">
        <v>0</v>
      </c>
      <c r="DF436" s="3">
        <v>0</v>
      </c>
      <c r="DG436" s="3">
        <v>0</v>
      </c>
      <c r="DH436" s="3">
        <v>0</v>
      </c>
      <c r="DI436" s="3">
        <v>0</v>
      </c>
      <c r="DJ436" s="3">
        <v>0</v>
      </c>
      <c r="DK436" s="3">
        <v>0</v>
      </c>
      <c r="DL436" s="3">
        <v>0</v>
      </c>
      <c r="DM436" s="3">
        <v>0</v>
      </c>
      <c r="DN436" s="3">
        <v>0</v>
      </c>
      <c r="DO436" s="3">
        <v>0</v>
      </c>
    </row>
    <row r="437" spans="1:119" x14ac:dyDescent="0.45">
      <c r="A437" s="11"/>
      <c r="B437" s="3" t="s">
        <v>89</v>
      </c>
      <c r="C437" s="16"/>
      <c r="H437" s="11" t="s">
        <v>2876</v>
      </c>
      <c r="I437" s="11" t="s">
        <v>2363</v>
      </c>
    </row>
    <row r="438" spans="1:119" x14ac:dyDescent="0.45">
      <c r="A438" s="16" t="s">
        <v>2877</v>
      </c>
      <c r="B438" s="3" t="s">
        <v>89</v>
      </c>
      <c r="C438" s="16"/>
      <c r="H438" s="3" t="s">
        <v>2878</v>
      </c>
      <c r="I438" s="3" t="s">
        <v>2363</v>
      </c>
      <c r="K438" s="17" t="s">
        <v>2879</v>
      </c>
      <c r="L438" s="3">
        <v>0</v>
      </c>
      <c r="M438" s="3">
        <v>0</v>
      </c>
      <c r="N438" s="3">
        <v>0</v>
      </c>
      <c r="O438" s="3">
        <v>0</v>
      </c>
      <c r="P438" s="3">
        <v>0</v>
      </c>
      <c r="Q438" s="3">
        <v>0</v>
      </c>
      <c r="R438" s="3">
        <v>0</v>
      </c>
      <c r="S438" s="3">
        <v>0</v>
      </c>
      <c r="T438" s="3">
        <v>0</v>
      </c>
      <c r="U438" s="3">
        <v>0</v>
      </c>
      <c r="V438" s="3">
        <v>0</v>
      </c>
      <c r="W438" s="3">
        <v>0</v>
      </c>
      <c r="X438" s="3">
        <v>0</v>
      </c>
      <c r="Y438" s="3">
        <v>0</v>
      </c>
      <c r="Z438" s="3">
        <v>0</v>
      </c>
      <c r="AA438" s="3">
        <v>0</v>
      </c>
      <c r="AB438" s="3">
        <v>0</v>
      </c>
      <c r="AC438" s="3">
        <v>0</v>
      </c>
      <c r="AD438" s="3">
        <v>0</v>
      </c>
      <c r="AE438" s="3">
        <v>0</v>
      </c>
      <c r="AG438" s="17" t="s">
        <v>2880</v>
      </c>
      <c r="AH438" s="3">
        <v>0</v>
      </c>
      <c r="AI438" s="3">
        <v>0</v>
      </c>
      <c r="AJ438" s="3">
        <v>0</v>
      </c>
      <c r="AK438" s="3">
        <v>0</v>
      </c>
      <c r="AL438" s="3">
        <v>0</v>
      </c>
      <c r="AM438" s="3">
        <v>0</v>
      </c>
      <c r="AN438" s="3">
        <v>0</v>
      </c>
      <c r="AO438" s="3">
        <v>0</v>
      </c>
      <c r="AP438" s="3">
        <v>0</v>
      </c>
      <c r="AQ438" s="3">
        <v>0</v>
      </c>
      <c r="AR438" s="3">
        <v>0</v>
      </c>
      <c r="AS438" s="3">
        <v>0</v>
      </c>
      <c r="AT438" s="3">
        <v>0</v>
      </c>
      <c r="AU438" s="3">
        <v>0</v>
      </c>
      <c r="AV438" s="3">
        <v>0</v>
      </c>
      <c r="AW438" s="3">
        <v>0</v>
      </c>
      <c r="AX438" s="3">
        <v>0</v>
      </c>
      <c r="AY438" s="3">
        <v>0</v>
      </c>
      <c r="AZ438" s="3">
        <v>0</v>
      </c>
      <c r="BA438" s="3">
        <v>0</v>
      </c>
      <c r="BC438" s="17" t="s">
        <v>2881</v>
      </c>
      <c r="BD438" s="3">
        <v>0</v>
      </c>
      <c r="BE438" s="3">
        <v>0</v>
      </c>
      <c r="BF438" s="3">
        <v>0</v>
      </c>
      <c r="BG438" s="3">
        <v>0</v>
      </c>
      <c r="BH438" s="3">
        <v>0</v>
      </c>
      <c r="BI438" s="3">
        <v>0</v>
      </c>
      <c r="BJ438" s="3">
        <v>0</v>
      </c>
      <c r="BK438" s="3">
        <v>0</v>
      </c>
      <c r="BL438" s="3">
        <v>0</v>
      </c>
      <c r="BM438" s="3">
        <v>0</v>
      </c>
      <c r="BN438" s="3">
        <v>0</v>
      </c>
      <c r="BO438" s="3">
        <v>0</v>
      </c>
      <c r="BP438" s="3">
        <v>0</v>
      </c>
      <c r="BQ438" s="3">
        <v>0</v>
      </c>
      <c r="BR438" s="3">
        <v>0</v>
      </c>
      <c r="BS438" s="3">
        <v>0</v>
      </c>
      <c r="BT438" s="3">
        <v>0</v>
      </c>
      <c r="BU438" s="3">
        <v>0</v>
      </c>
      <c r="BV438" s="3">
        <v>0</v>
      </c>
      <c r="BW438" s="3">
        <v>0</v>
      </c>
      <c r="BY438" s="17" t="s">
        <v>2882</v>
      </c>
      <c r="BZ438" s="3">
        <v>0</v>
      </c>
      <c r="CA438" s="3">
        <v>0</v>
      </c>
      <c r="CB438" s="3">
        <v>0</v>
      </c>
      <c r="CC438" s="3">
        <v>0</v>
      </c>
      <c r="CD438" s="3">
        <v>0</v>
      </c>
      <c r="CE438" s="3">
        <v>0</v>
      </c>
      <c r="CF438" s="3">
        <v>0</v>
      </c>
      <c r="CG438" s="3">
        <v>0</v>
      </c>
      <c r="CH438" s="3">
        <v>0</v>
      </c>
      <c r="CI438" s="3">
        <v>0</v>
      </c>
      <c r="CJ438" s="3">
        <v>0</v>
      </c>
      <c r="CK438" s="3">
        <v>0</v>
      </c>
      <c r="CL438" s="3">
        <v>0</v>
      </c>
      <c r="CM438" s="3">
        <v>0</v>
      </c>
      <c r="CN438" s="3">
        <v>0</v>
      </c>
      <c r="CO438" s="3">
        <v>0</v>
      </c>
      <c r="CP438" s="3">
        <v>0</v>
      </c>
      <c r="CQ438" s="3">
        <v>0</v>
      </c>
      <c r="CR438" s="3">
        <v>0</v>
      </c>
      <c r="CS438" s="3">
        <v>0</v>
      </c>
      <c r="CU438" s="17" t="s">
        <v>2883</v>
      </c>
      <c r="CV438" s="3">
        <v>0</v>
      </c>
      <c r="CW438" s="3">
        <v>0</v>
      </c>
      <c r="CX438" s="3">
        <v>0</v>
      </c>
      <c r="CY438" s="3">
        <v>0</v>
      </c>
      <c r="CZ438" s="3">
        <v>0</v>
      </c>
      <c r="DA438" s="3">
        <v>0</v>
      </c>
      <c r="DB438" s="3">
        <v>0</v>
      </c>
      <c r="DC438" s="3">
        <v>0</v>
      </c>
      <c r="DD438" s="3">
        <v>0</v>
      </c>
      <c r="DE438" s="3">
        <v>0</v>
      </c>
      <c r="DF438" s="3">
        <v>0</v>
      </c>
      <c r="DG438" s="3">
        <v>0</v>
      </c>
      <c r="DH438" s="3">
        <v>0</v>
      </c>
      <c r="DI438" s="3">
        <v>0</v>
      </c>
      <c r="DJ438" s="3">
        <v>0</v>
      </c>
      <c r="DK438" s="3">
        <v>0</v>
      </c>
      <c r="DL438" s="3">
        <v>0</v>
      </c>
      <c r="DM438" s="3">
        <v>0</v>
      </c>
      <c r="DN438" s="3">
        <v>0</v>
      </c>
      <c r="DO438" s="3">
        <v>0</v>
      </c>
    </row>
    <row r="439" spans="1:119" x14ac:dyDescent="0.45">
      <c r="A439" s="16" t="s">
        <v>2884</v>
      </c>
      <c r="B439" s="3" t="s">
        <v>89</v>
      </c>
      <c r="C439" s="16"/>
      <c r="H439" s="3" t="s">
        <v>2885</v>
      </c>
      <c r="I439" s="3" t="s">
        <v>2363</v>
      </c>
      <c r="K439" s="17" t="s">
        <v>2886</v>
      </c>
      <c r="L439" s="3">
        <v>0</v>
      </c>
      <c r="M439" s="3">
        <v>0</v>
      </c>
      <c r="N439" s="3">
        <v>0</v>
      </c>
      <c r="O439" s="3">
        <v>0</v>
      </c>
      <c r="P439" s="3">
        <v>0</v>
      </c>
      <c r="Q439" s="3">
        <v>0</v>
      </c>
      <c r="R439" s="3">
        <v>0</v>
      </c>
      <c r="S439" s="3">
        <v>0</v>
      </c>
      <c r="T439" s="3">
        <v>0</v>
      </c>
      <c r="U439" s="3">
        <v>0</v>
      </c>
      <c r="V439" s="3">
        <v>0</v>
      </c>
      <c r="W439" s="3">
        <v>0</v>
      </c>
      <c r="X439" s="3">
        <v>0</v>
      </c>
      <c r="Y439" s="3">
        <v>0</v>
      </c>
      <c r="Z439" s="3">
        <v>0</v>
      </c>
      <c r="AA439" s="3">
        <v>0</v>
      </c>
      <c r="AB439" s="3">
        <v>0</v>
      </c>
      <c r="AC439" s="3">
        <v>0</v>
      </c>
      <c r="AD439" s="3">
        <v>0</v>
      </c>
      <c r="AE439" s="3">
        <v>0</v>
      </c>
      <c r="AG439" s="17" t="s">
        <v>2887</v>
      </c>
      <c r="AH439" s="3">
        <v>0</v>
      </c>
      <c r="AI439" s="3">
        <v>0</v>
      </c>
      <c r="AJ439" s="3">
        <v>0</v>
      </c>
      <c r="AK439" s="3">
        <v>0</v>
      </c>
      <c r="AL439" s="3">
        <v>0</v>
      </c>
      <c r="AM439" s="3">
        <v>0</v>
      </c>
      <c r="AN439" s="3">
        <v>0</v>
      </c>
      <c r="AO439" s="3">
        <v>0</v>
      </c>
      <c r="AP439" s="3">
        <v>0</v>
      </c>
      <c r="AQ439" s="3">
        <v>0</v>
      </c>
      <c r="AR439" s="3">
        <v>0</v>
      </c>
      <c r="AS439" s="3">
        <v>0</v>
      </c>
      <c r="AT439" s="3">
        <v>0</v>
      </c>
      <c r="AU439" s="3">
        <v>0</v>
      </c>
      <c r="AV439" s="3">
        <v>0</v>
      </c>
      <c r="AW439" s="3">
        <v>0</v>
      </c>
      <c r="AX439" s="3">
        <v>0</v>
      </c>
      <c r="AY439" s="3">
        <v>0</v>
      </c>
      <c r="AZ439" s="3">
        <v>0</v>
      </c>
      <c r="BA439" s="3">
        <v>0</v>
      </c>
      <c r="BC439" s="17" t="s">
        <v>2888</v>
      </c>
      <c r="BD439" s="3">
        <v>0</v>
      </c>
      <c r="BE439" s="3">
        <v>0</v>
      </c>
      <c r="BF439" s="3">
        <v>0</v>
      </c>
      <c r="BG439" s="3">
        <v>0</v>
      </c>
      <c r="BH439" s="3">
        <v>0</v>
      </c>
      <c r="BI439" s="3">
        <v>0</v>
      </c>
      <c r="BJ439" s="3">
        <v>0</v>
      </c>
      <c r="BK439" s="3">
        <v>0</v>
      </c>
      <c r="BL439" s="3">
        <v>0</v>
      </c>
      <c r="BM439" s="3">
        <v>0</v>
      </c>
      <c r="BN439" s="3">
        <v>0</v>
      </c>
      <c r="BO439" s="3">
        <v>0</v>
      </c>
      <c r="BP439" s="3">
        <v>0</v>
      </c>
      <c r="BQ439" s="3">
        <v>0</v>
      </c>
      <c r="BR439" s="3">
        <v>0</v>
      </c>
      <c r="BS439" s="3">
        <v>0</v>
      </c>
      <c r="BT439" s="3">
        <v>0</v>
      </c>
      <c r="BU439" s="3">
        <v>0</v>
      </c>
      <c r="BV439" s="3">
        <v>0</v>
      </c>
      <c r="BW439" s="3">
        <v>0</v>
      </c>
      <c r="BY439" s="17" t="s">
        <v>2889</v>
      </c>
      <c r="BZ439" s="3">
        <v>0</v>
      </c>
      <c r="CA439" s="3">
        <v>0</v>
      </c>
      <c r="CB439" s="3">
        <v>0</v>
      </c>
      <c r="CC439" s="3">
        <v>0</v>
      </c>
      <c r="CD439" s="3">
        <v>0</v>
      </c>
      <c r="CE439" s="3">
        <v>0</v>
      </c>
      <c r="CF439" s="3">
        <v>0</v>
      </c>
      <c r="CG439" s="3">
        <v>0</v>
      </c>
      <c r="CH439" s="3">
        <v>0</v>
      </c>
      <c r="CI439" s="3">
        <v>0</v>
      </c>
      <c r="CJ439" s="3">
        <v>0</v>
      </c>
      <c r="CK439" s="3">
        <v>0</v>
      </c>
      <c r="CL439" s="3">
        <v>0</v>
      </c>
      <c r="CM439" s="3">
        <v>0</v>
      </c>
      <c r="CN439" s="3">
        <v>0</v>
      </c>
      <c r="CO439" s="3">
        <v>0</v>
      </c>
      <c r="CP439" s="3">
        <v>0</v>
      </c>
      <c r="CQ439" s="3">
        <v>0</v>
      </c>
      <c r="CR439" s="3">
        <v>0</v>
      </c>
      <c r="CS439" s="3">
        <v>0</v>
      </c>
      <c r="CU439" s="17" t="s">
        <v>2890</v>
      </c>
      <c r="CV439" s="3">
        <v>0</v>
      </c>
      <c r="CW439" s="3">
        <v>0</v>
      </c>
      <c r="CX439" s="3">
        <v>0</v>
      </c>
      <c r="CY439" s="3">
        <v>0</v>
      </c>
      <c r="CZ439" s="3">
        <v>0</v>
      </c>
      <c r="DA439" s="3">
        <v>0</v>
      </c>
      <c r="DB439" s="3">
        <v>0</v>
      </c>
      <c r="DC439" s="3">
        <v>0</v>
      </c>
      <c r="DD439" s="3">
        <v>0</v>
      </c>
      <c r="DE439" s="3">
        <v>0</v>
      </c>
      <c r="DF439" s="3">
        <v>0</v>
      </c>
      <c r="DG439" s="3">
        <v>0</v>
      </c>
      <c r="DH439" s="3">
        <v>0</v>
      </c>
      <c r="DI439" s="3">
        <v>0</v>
      </c>
      <c r="DJ439" s="3">
        <v>0</v>
      </c>
      <c r="DK439" s="3">
        <v>0</v>
      </c>
      <c r="DL439" s="3">
        <v>0</v>
      </c>
      <c r="DM439" s="3">
        <v>0</v>
      </c>
      <c r="DN439" s="3">
        <v>0</v>
      </c>
      <c r="DO439" s="3">
        <v>0</v>
      </c>
    </row>
    <row r="440" spans="1:119" x14ac:dyDescent="0.45">
      <c r="A440" s="16" t="s">
        <v>2891</v>
      </c>
      <c r="B440" s="3" t="s">
        <v>89</v>
      </c>
      <c r="C440" s="16" t="s">
        <v>2892</v>
      </c>
      <c r="H440" s="3" t="s">
        <v>2893</v>
      </c>
      <c r="I440" s="3" t="s">
        <v>2363</v>
      </c>
      <c r="K440" s="17" t="s">
        <v>2894</v>
      </c>
      <c r="L440" s="3">
        <v>0</v>
      </c>
      <c r="M440" s="3">
        <v>0</v>
      </c>
      <c r="N440" s="3">
        <v>0</v>
      </c>
      <c r="O440" s="3">
        <v>0</v>
      </c>
      <c r="P440" s="3">
        <v>0</v>
      </c>
      <c r="Q440" s="3">
        <v>0</v>
      </c>
      <c r="R440" s="3">
        <v>0</v>
      </c>
      <c r="S440" s="3">
        <v>0</v>
      </c>
      <c r="T440" s="3">
        <v>0</v>
      </c>
      <c r="U440" s="3">
        <v>0</v>
      </c>
      <c r="V440" s="3">
        <v>0</v>
      </c>
      <c r="W440" s="3">
        <v>0</v>
      </c>
      <c r="X440" s="3">
        <v>0</v>
      </c>
      <c r="Y440" s="3">
        <v>0</v>
      </c>
      <c r="Z440" s="3">
        <v>0</v>
      </c>
      <c r="AA440" s="3">
        <v>0</v>
      </c>
      <c r="AB440" s="3">
        <v>0</v>
      </c>
      <c r="AC440" s="3">
        <v>0</v>
      </c>
      <c r="AD440" s="3">
        <v>0</v>
      </c>
      <c r="AE440" s="3">
        <v>0</v>
      </c>
      <c r="AG440" s="17" t="s">
        <v>2895</v>
      </c>
      <c r="AH440" s="3">
        <v>0</v>
      </c>
      <c r="AI440" s="3">
        <v>0</v>
      </c>
      <c r="AJ440" s="3">
        <v>0</v>
      </c>
      <c r="AK440" s="3">
        <v>0</v>
      </c>
      <c r="AL440" s="3">
        <v>0</v>
      </c>
      <c r="AM440" s="3">
        <v>0</v>
      </c>
      <c r="AN440" s="3">
        <v>0</v>
      </c>
      <c r="AO440" s="3">
        <v>0</v>
      </c>
      <c r="AP440" s="3">
        <v>0</v>
      </c>
      <c r="AQ440" s="3">
        <v>0</v>
      </c>
      <c r="AR440" s="3">
        <v>0</v>
      </c>
      <c r="AS440" s="3">
        <v>0</v>
      </c>
      <c r="AT440" s="3">
        <v>0</v>
      </c>
      <c r="AU440" s="3">
        <v>0</v>
      </c>
      <c r="AV440" s="3">
        <v>0</v>
      </c>
      <c r="AW440" s="3">
        <v>0</v>
      </c>
      <c r="AX440" s="3">
        <v>0</v>
      </c>
      <c r="AY440" s="3">
        <v>0</v>
      </c>
      <c r="AZ440" s="3">
        <v>0</v>
      </c>
      <c r="BA440" s="3">
        <v>0</v>
      </c>
      <c r="BC440" s="17" t="s">
        <v>2896</v>
      </c>
      <c r="BD440" s="3">
        <v>0</v>
      </c>
      <c r="BE440" s="3">
        <v>0</v>
      </c>
      <c r="BF440" s="3">
        <v>0</v>
      </c>
      <c r="BG440" s="3">
        <v>0</v>
      </c>
      <c r="BH440" s="3">
        <v>0</v>
      </c>
      <c r="BI440" s="3">
        <v>0</v>
      </c>
      <c r="BJ440" s="3">
        <v>0</v>
      </c>
      <c r="BK440" s="3">
        <v>0</v>
      </c>
      <c r="BL440" s="3">
        <v>0</v>
      </c>
      <c r="BM440" s="3">
        <v>0</v>
      </c>
      <c r="BN440" s="3">
        <v>0</v>
      </c>
      <c r="BO440" s="3">
        <v>0</v>
      </c>
      <c r="BP440" s="3">
        <v>0</v>
      </c>
      <c r="BQ440" s="3">
        <v>0</v>
      </c>
      <c r="BR440" s="3">
        <v>0</v>
      </c>
      <c r="BS440" s="3">
        <v>0</v>
      </c>
      <c r="BT440" s="3">
        <v>0</v>
      </c>
      <c r="BU440" s="3">
        <v>0</v>
      </c>
      <c r="BV440" s="3">
        <v>0</v>
      </c>
      <c r="BW440" s="3">
        <v>0</v>
      </c>
      <c r="BY440" s="17" t="s">
        <v>2897</v>
      </c>
      <c r="BZ440" s="3">
        <v>0</v>
      </c>
      <c r="CA440" s="3">
        <v>0</v>
      </c>
      <c r="CB440" s="3">
        <v>0</v>
      </c>
      <c r="CC440" s="3">
        <v>0</v>
      </c>
      <c r="CD440" s="3">
        <v>0</v>
      </c>
      <c r="CE440" s="3">
        <v>0</v>
      </c>
      <c r="CF440" s="3">
        <v>0</v>
      </c>
      <c r="CG440" s="3">
        <v>0</v>
      </c>
      <c r="CH440" s="3">
        <v>0</v>
      </c>
      <c r="CI440" s="3">
        <v>0</v>
      </c>
      <c r="CJ440" s="3">
        <v>0</v>
      </c>
      <c r="CK440" s="3">
        <v>0</v>
      </c>
      <c r="CL440" s="3">
        <v>0</v>
      </c>
      <c r="CM440" s="3">
        <v>0</v>
      </c>
      <c r="CN440" s="3">
        <v>0</v>
      </c>
      <c r="CO440" s="3">
        <v>0</v>
      </c>
      <c r="CP440" s="3">
        <v>0</v>
      </c>
      <c r="CQ440" s="3">
        <v>0</v>
      </c>
      <c r="CR440" s="3">
        <v>0</v>
      </c>
      <c r="CS440" s="3">
        <v>0</v>
      </c>
      <c r="CU440" s="17" t="s">
        <v>2898</v>
      </c>
      <c r="CV440" s="3">
        <v>0</v>
      </c>
      <c r="CW440" s="3">
        <v>0</v>
      </c>
      <c r="CX440" s="3">
        <v>0</v>
      </c>
      <c r="CY440" s="3">
        <v>0</v>
      </c>
      <c r="CZ440" s="3">
        <v>0</v>
      </c>
      <c r="DA440" s="3">
        <v>0</v>
      </c>
      <c r="DB440" s="3">
        <v>0</v>
      </c>
      <c r="DC440" s="3">
        <v>0</v>
      </c>
      <c r="DD440" s="3">
        <v>0</v>
      </c>
      <c r="DE440" s="3">
        <v>0</v>
      </c>
      <c r="DF440" s="3">
        <v>0</v>
      </c>
      <c r="DG440" s="3">
        <v>0</v>
      </c>
      <c r="DH440" s="3">
        <v>0</v>
      </c>
      <c r="DI440" s="3">
        <v>0</v>
      </c>
      <c r="DJ440" s="3">
        <v>0</v>
      </c>
      <c r="DK440" s="3">
        <v>0</v>
      </c>
      <c r="DL440" s="3">
        <v>0</v>
      </c>
      <c r="DM440" s="3">
        <v>0</v>
      </c>
      <c r="DN440" s="3">
        <v>0</v>
      </c>
      <c r="DO440" s="3">
        <v>0</v>
      </c>
    </row>
    <row r="441" spans="1:119" x14ac:dyDescent="0.45">
      <c r="A441" s="16" t="s">
        <v>2899</v>
      </c>
      <c r="B441" s="3" t="s">
        <v>89</v>
      </c>
      <c r="C441" s="16"/>
      <c r="H441" s="3" t="s">
        <v>2900</v>
      </c>
      <c r="I441" s="3" t="s">
        <v>2363</v>
      </c>
      <c r="K441" s="17" t="s">
        <v>2901</v>
      </c>
      <c r="L441" s="3">
        <v>0</v>
      </c>
      <c r="M441" s="3">
        <v>0</v>
      </c>
      <c r="N441" s="3">
        <v>0</v>
      </c>
      <c r="O441" s="3">
        <v>0</v>
      </c>
      <c r="P441" s="3">
        <v>0</v>
      </c>
      <c r="Q441" s="3">
        <v>0</v>
      </c>
      <c r="R441" s="3">
        <v>0</v>
      </c>
      <c r="S441" s="3">
        <v>0</v>
      </c>
      <c r="T441" s="3">
        <v>0</v>
      </c>
      <c r="U441" s="3">
        <v>0</v>
      </c>
      <c r="V441" s="3">
        <v>0</v>
      </c>
      <c r="W441" s="3">
        <v>0</v>
      </c>
      <c r="X441" s="3">
        <v>0</v>
      </c>
      <c r="Y441" s="3">
        <v>0</v>
      </c>
      <c r="Z441" s="3">
        <v>0</v>
      </c>
      <c r="AA441" s="3">
        <v>0</v>
      </c>
      <c r="AB441" s="3">
        <v>0</v>
      </c>
      <c r="AC441" s="3">
        <v>0</v>
      </c>
      <c r="AD441" s="3">
        <v>0</v>
      </c>
      <c r="AE441" s="3">
        <v>0</v>
      </c>
      <c r="AG441" s="17" t="s">
        <v>2902</v>
      </c>
      <c r="AH441" s="3">
        <v>0</v>
      </c>
      <c r="AI441" s="3">
        <v>0</v>
      </c>
      <c r="AJ441" s="3">
        <v>0</v>
      </c>
      <c r="AK441" s="3">
        <v>0</v>
      </c>
      <c r="AL441" s="3">
        <v>0</v>
      </c>
      <c r="AM441" s="3">
        <v>0</v>
      </c>
      <c r="AN441" s="3">
        <v>0</v>
      </c>
      <c r="AO441" s="3">
        <v>0</v>
      </c>
      <c r="AP441" s="3">
        <v>0</v>
      </c>
      <c r="AQ441" s="3">
        <v>0</v>
      </c>
      <c r="AR441" s="3">
        <v>0</v>
      </c>
      <c r="AS441" s="3">
        <v>0</v>
      </c>
      <c r="AT441" s="3">
        <v>0</v>
      </c>
      <c r="AU441" s="3">
        <v>0</v>
      </c>
      <c r="AV441" s="3">
        <v>0</v>
      </c>
      <c r="AW441" s="3">
        <v>0</v>
      </c>
      <c r="AX441" s="3">
        <v>0</v>
      </c>
      <c r="AY441" s="3">
        <v>0</v>
      </c>
      <c r="AZ441" s="3">
        <v>0</v>
      </c>
      <c r="BA441" s="3">
        <v>0</v>
      </c>
      <c r="BC441" s="17" t="s">
        <v>2903</v>
      </c>
      <c r="BD441" s="3">
        <v>0</v>
      </c>
      <c r="BE441" s="3">
        <v>0</v>
      </c>
      <c r="BF441" s="3">
        <v>0</v>
      </c>
      <c r="BG441" s="3">
        <v>0</v>
      </c>
      <c r="BH441" s="3">
        <v>0</v>
      </c>
      <c r="BI441" s="3">
        <v>0</v>
      </c>
      <c r="BJ441" s="3">
        <v>0</v>
      </c>
      <c r="BK441" s="3">
        <v>0</v>
      </c>
      <c r="BL441" s="3">
        <v>0</v>
      </c>
      <c r="BM441" s="3">
        <v>0</v>
      </c>
      <c r="BN441" s="3">
        <v>0</v>
      </c>
      <c r="BO441" s="3">
        <v>0</v>
      </c>
      <c r="BP441" s="3">
        <v>0</v>
      </c>
      <c r="BQ441" s="3">
        <v>0</v>
      </c>
      <c r="BR441" s="3">
        <v>0</v>
      </c>
      <c r="BS441" s="3">
        <v>0</v>
      </c>
      <c r="BT441" s="3">
        <v>0</v>
      </c>
      <c r="BU441" s="3">
        <v>0</v>
      </c>
      <c r="BV441" s="3">
        <v>0</v>
      </c>
      <c r="BW441" s="3">
        <v>0</v>
      </c>
      <c r="BY441" s="17" t="s">
        <v>2904</v>
      </c>
      <c r="BZ441" s="3">
        <v>0</v>
      </c>
      <c r="CA441" s="3">
        <v>0</v>
      </c>
      <c r="CB441" s="3">
        <v>0</v>
      </c>
      <c r="CC441" s="3">
        <v>0</v>
      </c>
      <c r="CD441" s="3">
        <v>0</v>
      </c>
      <c r="CE441" s="3">
        <v>0</v>
      </c>
      <c r="CF441" s="3">
        <v>0</v>
      </c>
      <c r="CG441" s="3">
        <v>0</v>
      </c>
      <c r="CH441" s="3">
        <v>0</v>
      </c>
      <c r="CI441" s="3">
        <v>0</v>
      </c>
      <c r="CJ441" s="3">
        <v>0</v>
      </c>
      <c r="CK441" s="3">
        <v>0</v>
      </c>
      <c r="CL441" s="3">
        <v>0</v>
      </c>
      <c r="CM441" s="3">
        <v>0</v>
      </c>
      <c r="CN441" s="3">
        <v>0</v>
      </c>
      <c r="CO441" s="3">
        <v>0</v>
      </c>
      <c r="CP441" s="3">
        <v>0</v>
      </c>
      <c r="CQ441" s="3">
        <v>0</v>
      </c>
      <c r="CR441" s="3">
        <v>0</v>
      </c>
      <c r="CS441" s="3">
        <v>0</v>
      </c>
      <c r="CU441" s="17" t="s">
        <v>2905</v>
      </c>
      <c r="CV441" s="3">
        <v>0</v>
      </c>
      <c r="CW441" s="3">
        <v>0</v>
      </c>
      <c r="CX441" s="3">
        <v>0</v>
      </c>
      <c r="CY441" s="3">
        <v>0</v>
      </c>
      <c r="CZ441" s="3">
        <v>0</v>
      </c>
      <c r="DA441" s="3">
        <v>0</v>
      </c>
      <c r="DB441" s="3">
        <v>0</v>
      </c>
      <c r="DC441" s="3">
        <v>0</v>
      </c>
      <c r="DD441" s="3">
        <v>0</v>
      </c>
      <c r="DE441" s="3">
        <v>0</v>
      </c>
      <c r="DF441" s="3">
        <v>0</v>
      </c>
      <c r="DG441" s="3">
        <v>0</v>
      </c>
      <c r="DH441" s="3">
        <v>0</v>
      </c>
      <c r="DI441" s="3">
        <v>0</v>
      </c>
      <c r="DJ441" s="3">
        <v>0</v>
      </c>
      <c r="DK441" s="3">
        <v>0</v>
      </c>
      <c r="DL441" s="3">
        <v>0</v>
      </c>
      <c r="DM441" s="3">
        <v>0</v>
      </c>
      <c r="DN441" s="3">
        <v>0</v>
      </c>
      <c r="DO441" s="3">
        <v>0</v>
      </c>
    </row>
    <row r="442" spans="1:119" x14ac:dyDescent="0.45">
      <c r="A442" s="16" t="s">
        <v>2906</v>
      </c>
      <c r="B442" s="3" t="s">
        <v>89</v>
      </c>
      <c r="C442" s="16"/>
      <c r="H442" s="3" t="s">
        <v>2907</v>
      </c>
      <c r="I442" s="3" t="s">
        <v>2363</v>
      </c>
      <c r="K442" s="17" t="s">
        <v>2908</v>
      </c>
      <c r="L442" s="3">
        <v>0</v>
      </c>
      <c r="M442" s="3">
        <v>0</v>
      </c>
      <c r="N442" s="3">
        <v>0</v>
      </c>
      <c r="O442" s="3">
        <v>0</v>
      </c>
      <c r="P442" s="3">
        <v>0</v>
      </c>
      <c r="Q442" s="3">
        <v>0</v>
      </c>
      <c r="R442" s="3">
        <v>0</v>
      </c>
      <c r="S442" s="3">
        <v>0</v>
      </c>
      <c r="T442" s="3">
        <v>0</v>
      </c>
      <c r="U442" s="3">
        <v>0</v>
      </c>
      <c r="V442" s="3">
        <v>0</v>
      </c>
      <c r="W442" s="3">
        <v>0</v>
      </c>
      <c r="X442" s="3">
        <v>0</v>
      </c>
      <c r="Y442" s="3">
        <v>0</v>
      </c>
      <c r="Z442" s="3">
        <v>0</v>
      </c>
      <c r="AA442" s="3">
        <v>0</v>
      </c>
      <c r="AB442" s="3">
        <v>0</v>
      </c>
      <c r="AC442" s="3">
        <v>0</v>
      </c>
      <c r="AD442" s="3">
        <v>0</v>
      </c>
      <c r="AE442" s="3">
        <v>0</v>
      </c>
      <c r="AG442" s="17" t="s">
        <v>2909</v>
      </c>
      <c r="AH442" s="3">
        <v>0</v>
      </c>
      <c r="AI442" s="3">
        <v>0</v>
      </c>
      <c r="AJ442" s="3">
        <v>0</v>
      </c>
      <c r="AK442" s="3">
        <v>0</v>
      </c>
      <c r="AL442" s="3">
        <v>0</v>
      </c>
      <c r="AM442" s="3">
        <v>0</v>
      </c>
      <c r="AN442" s="3">
        <v>0</v>
      </c>
      <c r="AO442" s="3">
        <v>0</v>
      </c>
      <c r="AP442" s="3">
        <v>0</v>
      </c>
      <c r="AQ442" s="3">
        <v>0</v>
      </c>
      <c r="AR442" s="3">
        <v>0</v>
      </c>
      <c r="AS442" s="3">
        <v>0</v>
      </c>
      <c r="AT442" s="3">
        <v>0</v>
      </c>
      <c r="AU442" s="3">
        <v>0</v>
      </c>
      <c r="AV442" s="3">
        <v>0</v>
      </c>
      <c r="AW442" s="3">
        <v>0</v>
      </c>
      <c r="AX442" s="3">
        <v>0</v>
      </c>
      <c r="AY442" s="3">
        <v>0</v>
      </c>
      <c r="AZ442" s="3">
        <v>0</v>
      </c>
      <c r="BA442" s="3">
        <v>0</v>
      </c>
      <c r="BC442" s="17" t="s">
        <v>2910</v>
      </c>
      <c r="BD442" s="3">
        <v>0</v>
      </c>
      <c r="BE442" s="3">
        <v>0</v>
      </c>
      <c r="BF442" s="3">
        <v>0</v>
      </c>
      <c r="BG442" s="3">
        <v>0</v>
      </c>
      <c r="BH442" s="3">
        <v>0</v>
      </c>
      <c r="BI442" s="3">
        <v>0</v>
      </c>
      <c r="BJ442" s="3">
        <v>0</v>
      </c>
      <c r="BK442" s="3">
        <v>0</v>
      </c>
      <c r="BL442" s="3">
        <v>0</v>
      </c>
      <c r="BM442" s="3">
        <v>0</v>
      </c>
      <c r="BN442" s="3">
        <v>0</v>
      </c>
      <c r="BO442" s="3">
        <v>0</v>
      </c>
      <c r="BP442" s="3">
        <v>0</v>
      </c>
      <c r="BQ442" s="3">
        <v>0</v>
      </c>
      <c r="BR442" s="3">
        <v>0</v>
      </c>
      <c r="BS442" s="3">
        <v>0</v>
      </c>
      <c r="BT442" s="3">
        <v>0</v>
      </c>
      <c r="BU442" s="3">
        <v>0</v>
      </c>
      <c r="BV442" s="3">
        <v>0</v>
      </c>
      <c r="BW442" s="3">
        <v>0</v>
      </c>
      <c r="BY442" s="17" t="s">
        <v>2911</v>
      </c>
      <c r="BZ442" s="3">
        <v>0</v>
      </c>
      <c r="CA442" s="3">
        <v>0</v>
      </c>
      <c r="CB442" s="3">
        <v>0</v>
      </c>
      <c r="CC442" s="3">
        <v>0</v>
      </c>
      <c r="CD442" s="3">
        <v>0</v>
      </c>
      <c r="CE442" s="3">
        <v>0</v>
      </c>
      <c r="CF442" s="3">
        <v>0</v>
      </c>
      <c r="CG442" s="3">
        <v>0</v>
      </c>
      <c r="CH442" s="3">
        <v>0</v>
      </c>
      <c r="CI442" s="3">
        <v>0</v>
      </c>
      <c r="CJ442" s="3">
        <v>0</v>
      </c>
      <c r="CK442" s="3">
        <v>0</v>
      </c>
      <c r="CL442" s="3">
        <v>0</v>
      </c>
      <c r="CM442" s="3">
        <v>0</v>
      </c>
      <c r="CN442" s="3">
        <v>0</v>
      </c>
      <c r="CO442" s="3">
        <v>0</v>
      </c>
      <c r="CP442" s="3">
        <v>0</v>
      </c>
      <c r="CQ442" s="3">
        <v>0</v>
      </c>
      <c r="CR442" s="3">
        <v>0</v>
      </c>
      <c r="CS442" s="3">
        <v>0</v>
      </c>
      <c r="CU442" s="17" t="s">
        <v>2912</v>
      </c>
      <c r="CV442" s="3">
        <v>0</v>
      </c>
      <c r="CW442" s="3">
        <v>0</v>
      </c>
      <c r="CX442" s="3">
        <v>0</v>
      </c>
      <c r="CY442" s="3">
        <v>0</v>
      </c>
      <c r="CZ442" s="3">
        <v>0</v>
      </c>
      <c r="DA442" s="3">
        <v>0</v>
      </c>
      <c r="DB442" s="3">
        <v>0</v>
      </c>
      <c r="DC442" s="3">
        <v>0</v>
      </c>
      <c r="DD442" s="3">
        <v>0</v>
      </c>
      <c r="DE442" s="3">
        <v>0</v>
      </c>
      <c r="DF442" s="3">
        <v>0</v>
      </c>
      <c r="DG442" s="3">
        <v>0</v>
      </c>
      <c r="DH442" s="3">
        <v>0</v>
      </c>
      <c r="DI442" s="3">
        <v>0</v>
      </c>
      <c r="DJ442" s="3">
        <v>0</v>
      </c>
      <c r="DK442" s="3">
        <v>0</v>
      </c>
      <c r="DL442" s="3">
        <v>0</v>
      </c>
      <c r="DM442" s="3">
        <v>0</v>
      </c>
      <c r="DN442" s="3">
        <v>0</v>
      </c>
      <c r="DO442" s="3">
        <v>0</v>
      </c>
    </row>
    <row r="443" spans="1:119" x14ac:dyDescent="0.45">
      <c r="A443" s="16" t="s">
        <v>2913</v>
      </c>
      <c r="B443" s="3" t="s">
        <v>89</v>
      </c>
      <c r="C443" s="16"/>
      <c r="H443" s="3" t="s">
        <v>2914</v>
      </c>
      <c r="I443" s="3" t="s">
        <v>2363</v>
      </c>
      <c r="K443" s="17" t="s">
        <v>2915</v>
      </c>
      <c r="L443" s="3">
        <v>0</v>
      </c>
      <c r="M443" s="3">
        <v>0</v>
      </c>
      <c r="N443" s="3">
        <v>0</v>
      </c>
      <c r="O443" s="3">
        <v>0</v>
      </c>
      <c r="P443" s="3">
        <v>0</v>
      </c>
      <c r="Q443" s="3">
        <v>0</v>
      </c>
      <c r="R443" s="3">
        <v>0</v>
      </c>
      <c r="S443" s="3">
        <v>0</v>
      </c>
      <c r="T443" s="3">
        <v>0</v>
      </c>
      <c r="U443" s="3">
        <v>0</v>
      </c>
      <c r="V443" s="3">
        <v>0</v>
      </c>
      <c r="W443" s="3">
        <v>0</v>
      </c>
      <c r="X443" s="3">
        <v>0</v>
      </c>
      <c r="Y443" s="3">
        <v>0</v>
      </c>
      <c r="Z443" s="3">
        <v>0</v>
      </c>
      <c r="AA443" s="3">
        <v>0</v>
      </c>
      <c r="AB443" s="3">
        <v>0</v>
      </c>
      <c r="AC443" s="3">
        <v>0</v>
      </c>
      <c r="AD443" s="3">
        <v>0</v>
      </c>
      <c r="AE443" s="3">
        <v>0</v>
      </c>
      <c r="AG443" s="17" t="s">
        <v>2916</v>
      </c>
      <c r="AH443" s="3">
        <v>0</v>
      </c>
      <c r="AI443" s="3">
        <v>0</v>
      </c>
      <c r="AJ443" s="3">
        <v>0</v>
      </c>
      <c r="AK443" s="3">
        <v>0</v>
      </c>
      <c r="AL443" s="3">
        <v>0</v>
      </c>
      <c r="AM443" s="3">
        <v>0</v>
      </c>
      <c r="AN443" s="3">
        <v>0</v>
      </c>
      <c r="AO443" s="3">
        <v>0</v>
      </c>
      <c r="AP443" s="3">
        <v>0</v>
      </c>
      <c r="AQ443" s="3">
        <v>0</v>
      </c>
      <c r="AR443" s="3">
        <v>0</v>
      </c>
      <c r="AS443" s="3">
        <v>0</v>
      </c>
      <c r="AT443" s="3">
        <v>0</v>
      </c>
      <c r="AU443" s="3">
        <v>0</v>
      </c>
      <c r="AV443" s="3">
        <v>0</v>
      </c>
      <c r="AW443" s="3">
        <v>0</v>
      </c>
      <c r="AX443" s="3">
        <v>0</v>
      </c>
      <c r="AY443" s="3">
        <v>0</v>
      </c>
      <c r="AZ443" s="3">
        <v>0</v>
      </c>
      <c r="BA443" s="3">
        <v>0</v>
      </c>
      <c r="BC443" s="17" t="s">
        <v>2917</v>
      </c>
      <c r="BD443" s="3">
        <v>0</v>
      </c>
      <c r="BE443" s="3">
        <v>0</v>
      </c>
      <c r="BF443" s="3">
        <v>0</v>
      </c>
      <c r="BG443" s="3">
        <v>0</v>
      </c>
      <c r="BH443" s="3">
        <v>0</v>
      </c>
      <c r="BI443" s="3">
        <v>0</v>
      </c>
      <c r="BJ443" s="3">
        <v>0</v>
      </c>
      <c r="BK443" s="3">
        <v>0</v>
      </c>
      <c r="BL443" s="3">
        <v>0</v>
      </c>
      <c r="BM443" s="3">
        <v>0</v>
      </c>
      <c r="BN443" s="3">
        <v>0</v>
      </c>
      <c r="BO443" s="3">
        <v>0</v>
      </c>
      <c r="BP443" s="3">
        <v>0</v>
      </c>
      <c r="BQ443" s="3">
        <v>0</v>
      </c>
      <c r="BR443" s="3">
        <v>0</v>
      </c>
      <c r="BS443" s="3">
        <v>0</v>
      </c>
      <c r="BT443" s="3">
        <v>0</v>
      </c>
      <c r="BU443" s="3">
        <v>0</v>
      </c>
      <c r="BV443" s="3">
        <v>0</v>
      </c>
      <c r="BW443" s="3">
        <v>0</v>
      </c>
      <c r="BY443" s="17" t="s">
        <v>2918</v>
      </c>
      <c r="BZ443" s="3">
        <v>0</v>
      </c>
      <c r="CA443" s="3">
        <v>0</v>
      </c>
      <c r="CB443" s="3">
        <v>0</v>
      </c>
      <c r="CC443" s="3">
        <v>0</v>
      </c>
      <c r="CD443" s="3">
        <v>0</v>
      </c>
      <c r="CE443" s="3">
        <v>0</v>
      </c>
      <c r="CF443" s="3">
        <v>0</v>
      </c>
      <c r="CG443" s="3">
        <v>0</v>
      </c>
      <c r="CH443" s="3">
        <v>0</v>
      </c>
      <c r="CI443" s="3">
        <v>0</v>
      </c>
      <c r="CJ443" s="3">
        <v>0</v>
      </c>
      <c r="CK443" s="3">
        <v>0</v>
      </c>
      <c r="CL443" s="3">
        <v>0</v>
      </c>
      <c r="CM443" s="3">
        <v>0</v>
      </c>
      <c r="CN443" s="3">
        <v>0</v>
      </c>
      <c r="CO443" s="3">
        <v>0</v>
      </c>
      <c r="CP443" s="3">
        <v>0</v>
      </c>
      <c r="CQ443" s="3">
        <v>0</v>
      </c>
      <c r="CR443" s="3">
        <v>0</v>
      </c>
      <c r="CS443" s="3">
        <v>0</v>
      </c>
      <c r="CU443" s="17" t="s">
        <v>2919</v>
      </c>
      <c r="CV443" s="3">
        <v>0</v>
      </c>
      <c r="CW443" s="3">
        <v>0</v>
      </c>
      <c r="CX443" s="3">
        <v>0</v>
      </c>
      <c r="CY443" s="3">
        <v>0</v>
      </c>
      <c r="CZ443" s="3">
        <v>0</v>
      </c>
      <c r="DA443" s="3">
        <v>0</v>
      </c>
      <c r="DB443" s="3">
        <v>0</v>
      </c>
      <c r="DC443" s="3">
        <v>0</v>
      </c>
      <c r="DD443" s="3">
        <v>0</v>
      </c>
      <c r="DE443" s="3">
        <v>0</v>
      </c>
      <c r="DF443" s="3">
        <v>0</v>
      </c>
      <c r="DG443" s="3">
        <v>0</v>
      </c>
      <c r="DH443" s="3">
        <v>0</v>
      </c>
      <c r="DI443" s="3">
        <v>0</v>
      </c>
      <c r="DJ443" s="3">
        <v>0</v>
      </c>
      <c r="DK443" s="3">
        <v>0</v>
      </c>
      <c r="DL443" s="3">
        <v>0</v>
      </c>
      <c r="DM443" s="3">
        <v>0</v>
      </c>
      <c r="DN443" s="3">
        <v>0</v>
      </c>
      <c r="DO443" s="3">
        <v>0</v>
      </c>
    </row>
    <row r="444" spans="1:119" x14ac:dyDescent="0.45">
      <c r="A444" s="16" t="s">
        <v>2920</v>
      </c>
      <c r="B444" s="3" t="s">
        <v>89</v>
      </c>
      <c r="C444" s="16" t="s">
        <v>2921</v>
      </c>
      <c r="H444" s="3" t="s">
        <v>2922</v>
      </c>
      <c r="I444" s="3" t="s">
        <v>2363</v>
      </c>
      <c r="K444" s="17" t="s">
        <v>2923</v>
      </c>
      <c r="L444" s="3">
        <v>0</v>
      </c>
      <c r="M444" s="3">
        <v>0</v>
      </c>
      <c r="N444" s="3">
        <v>0</v>
      </c>
      <c r="O444" s="3">
        <v>0</v>
      </c>
      <c r="P444" s="3">
        <v>0</v>
      </c>
      <c r="Q444" s="3">
        <v>0</v>
      </c>
      <c r="R444" s="3">
        <v>0</v>
      </c>
      <c r="S444" s="3">
        <v>0</v>
      </c>
      <c r="T444" s="3">
        <v>0</v>
      </c>
      <c r="U444" s="3">
        <v>0</v>
      </c>
      <c r="V444" s="3">
        <v>0</v>
      </c>
      <c r="W444" s="3">
        <v>0</v>
      </c>
      <c r="X444" s="3">
        <v>0</v>
      </c>
      <c r="Y444" s="3">
        <v>0</v>
      </c>
      <c r="Z444" s="3">
        <v>0</v>
      </c>
      <c r="AA444" s="3">
        <v>0</v>
      </c>
      <c r="AB444" s="3">
        <v>0</v>
      </c>
      <c r="AC444" s="3">
        <v>0</v>
      </c>
      <c r="AD444" s="3">
        <v>0</v>
      </c>
      <c r="AE444" s="3">
        <v>0</v>
      </c>
      <c r="AG444" s="17" t="s">
        <v>2924</v>
      </c>
      <c r="AH444" s="3">
        <v>0</v>
      </c>
      <c r="AI444" s="3">
        <v>0</v>
      </c>
      <c r="AJ444" s="3">
        <v>0</v>
      </c>
      <c r="AK444" s="3">
        <v>0</v>
      </c>
      <c r="AL444" s="3">
        <v>0</v>
      </c>
      <c r="AM444" s="3">
        <v>0</v>
      </c>
      <c r="AN444" s="3">
        <v>0</v>
      </c>
      <c r="AO444" s="3">
        <v>0</v>
      </c>
      <c r="AP444" s="3">
        <v>0</v>
      </c>
      <c r="AQ444" s="3">
        <v>0</v>
      </c>
      <c r="AR444" s="3">
        <v>0</v>
      </c>
      <c r="AS444" s="3">
        <v>0</v>
      </c>
      <c r="AT444" s="3">
        <v>0</v>
      </c>
      <c r="AU444" s="3">
        <v>0</v>
      </c>
      <c r="AV444" s="3">
        <v>0</v>
      </c>
      <c r="AW444" s="3">
        <v>0</v>
      </c>
      <c r="AX444" s="3">
        <v>0</v>
      </c>
      <c r="AY444" s="3">
        <v>0</v>
      </c>
      <c r="AZ444" s="3">
        <v>0</v>
      </c>
      <c r="BA444" s="3">
        <v>0</v>
      </c>
      <c r="BC444" s="17" t="s">
        <v>2925</v>
      </c>
      <c r="BD444" s="3">
        <v>0</v>
      </c>
      <c r="BE444" s="3">
        <v>0</v>
      </c>
      <c r="BF444" s="3">
        <v>0</v>
      </c>
      <c r="BG444" s="3">
        <v>0</v>
      </c>
      <c r="BH444" s="3">
        <v>0</v>
      </c>
      <c r="BI444" s="3">
        <v>0</v>
      </c>
      <c r="BJ444" s="3">
        <v>0</v>
      </c>
      <c r="BK444" s="3">
        <v>0</v>
      </c>
      <c r="BL444" s="3">
        <v>0</v>
      </c>
      <c r="BM444" s="3">
        <v>0</v>
      </c>
      <c r="BN444" s="3">
        <v>0</v>
      </c>
      <c r="BO444" s="3">
        <v>0</v>
      </c>
      <c r="BP444" s="3">
        <v>0</v>
      </c>
      <c r="BQ444" s="3">
        <v>0</v>
      </c>
      <c r="BR444" s="3">
        <v>0</v>
      </c>
      <c r="BS444" s="3">
        <v>0</v>
      </c>
      <c r="BT444" s="3">
        <v>0</v>
      </c>
      <c r="BU444" s="3">
        <v>0</v>
      </c>
      <c r="BV444" s="3">
        <v>0</v>
      </c>
      <c r="BW444" s="3">
        <v>0</v>
      </c>
      <c r="BY444" s="17" t="s">
        <v>2926</v>
      </c>
      <c r="BZ444" s="3">
        <v>0</v>
      </c>
      <c r="CA444" s="3">
        <v>0</v>
      </c>
      <c r="CB444" s="3">
        <v>0</v>
      </c>
      <c r="CC444" s="3">
        <v>0</v>
      </c>
      <c r="CD444" s="3">
        <v>0</v>
      </c>
      <c r="CE444" s="3">
        <v>0</v>
      </c>
      <c r="CF444" s="3">
        <v>0</v>
      </c>
      <c r="CG444" s="3">
        <v>0</v>
      </c>
      <c r="CH444" s="3">
        <v>0</v>
      </c>
      <c r="CI444" s="3">
        <v>0</v>
      </c>
      <c r="CJ444" s="3">
        <v>0</v>
      </c>
      <c r="CK444" s="3">
        <v>0</v>
      </c>
      <c r="CL444" s="3">
        <v>0</v>
      </c>
      <c r="CM444" s="3">
        <v>0</v>
      </c>
      <c r="CN444" s="3">
        <v>0</v>
      </c>
      <c r="CO444" s="3">
        <v>0</v>
      </c>
      <c r="CP444" s="3">
        <v>0</v>
      </c>
      <c r="CQ444" s="3">
        <v>0</v>
      </c>
      <c r="CR444" s="3">
        <v>0</v>
      </c>
      <c r="CS444" s="3">
        <v>0</v>
      </c>
      <c r="CU444" s="17" t="s">
        <v>2927</v>
      </c>
      <c r="CV444" s="3">
        <v>0</v>
      </c>
      <c r="CW444" s="3">
        <v>0</v>
      </c>
      <c r="CX444" s="3">
        <v>0</v>
      </c>
      <c r="CY444" s="3">
        <v>0</v>
      </c>
      <c r="CZ444" s="3">
        <v>0</v>
      </c>
      <c r="DA444" s="3">
        <v>0</v>
      </c>
      <c r="DB444" s="3">
        <v>0</v>
      </c>
      <c r="DC444" s="3">
        <v>0</v>
      </c>
      <c r="DD444" s="3">
        <v>0</v>
      </c>
      <c r="DE444" s="3">
        <v>0</v>
      </c>
      <c r="DF444" s="3">
        <v>0</v>
      </c>
      <c r="DG444" s="3">
        <v>0</v>
      </c>
      <c r="DH444" s="3">
        <v>0</v>
      </c>
      <c r="DI444" s="3">
        <v>0</v>
      </c>
      <c r="DJ444" s="3">
        <v>0</v>
      </c>
      <c r="DK444" s="3">
        <v>0</v>
      </c>
      <c r="DL444" s="3">
        <v>0</v>
      </c>
      <c r="DM444" s="3">
        <v>0</v>
      </c>
      <c r="DN444" s="3">
        <v>0</v>
      </c>
      <c r="DO444" s="3">
        <v>0</v>
      </c>
    </row>
    <row r="445" spans="1:119" x14ac:dyDescent="0.45">
      <c r="A445" s="16" t="s">
        <v>2928</v>
      </c>
      <c r="B445" s="3" t="s">
        <v>89</v>
      </c>
      <c r="C445" s="16"/>
      <c r="H445" s="3" t="s">
        <v>2929</v>
      </c>
      <c r="I445" s="3" t="s">
        <v>2363</v>
      </c>
      <c r="K445" s="17" t="s">
        <v>2930</v>
      </c>
      <c r="L445" s="3">
        <v>0</v>
      </c>
      <c r="M445" s="3">
        <v>0</v>
      </c>
      <c r="N445" s="3">
        <v>0</v>
      </c>
      <c r="O445" s="3">
        <v>0</v>
      </c>
      <c r="P445" s="3">
        <v>0</v>
      </c>
      <c r="Q445" s="3">
        <v>0</v>
      </c>
      <c r="R445" s="3">
        <v>0</v>
      </c>
      <c r="S445" s="3">
        <v>0</v>
      </c>
      <c r="T445" s="3">
        <v>0</v>
      </c>
      <c r="U445" s="3">
        <v>0</v>
      </c>
      <c r="V445" s="3">
        <v>0</v>
      </c>
      <c r="W445" s="3">
        <v>0</v>
      </c>
      <c r="X445" s="3">
        <v>0</v>
      </c>
      <c r="Y445" s="3">
        <v>0</v>
      </c>
      <c r="Z445" s="3">
        <v>0</v>
      </c>
      <c r="AA445" s="3">
        <v>0</v>
      </c>
      <c r="AB445" s="3">
        <v>0</v>
      </c>
      <c r="AC445" s="3">
        <v>0</v>
      </c>
      <c r="AD445" s="3">
        <v>0</v>
      </c>
      <c r="AE445" s="3">
        <v>0</v>
      </c>
      <c r="AG445" s="17" t="s">
        <v>2931</v>
      </c>
      <c r="AH445" s="3">
        <v>0</v>
      </c>
      <c r="AI445" s="3">
        <v>0</v>
      </c>
      <c r="AJ445" s="3">
        <v>0</v>
      </c>
      <c r="AK445" s="3">
        <v>0</v>
      </c>
      <c r="AL445" s="3">
        <v>0</v>
      </c>
      <c r="AM445" s="3">
        <v>0</v>
      </c>
      <c r="AN445" s="3">
        <v>0</v>
      </c>
      <c r="AO445" s="3">
        <v>0</v>
      </c>
      <c r="AP445" s="3">
        <v>0</v>
      </c>
      <c r="AQ445" s="3">
        <v>0</v>
      </c>
      <c r="AR445" s="3">
        <v>0</v>
      </c>
      <c r="AS445" s="3">
        <v>0</v>
      </c>
      <c r="AT445" s="3">
        <v>0</v>
      </c>
      <c r="AU445" s="3">
        <v>0</v>
      </c>
      <c r="AV445" s="3">
        <v>0</v>
      </c>
      <c r="AW445" s="3">
        <v>0</v>
      </c>
      <c r="AX445" s="3">
        <v>0</v>
      </c>
      <c r="AY445" s="3">
        <v>0</v>
      </c>
      <c r="AZ445" s="3">
        <v>0</v>
      </c>
      <c r="BA445" s="3">
        <v>0</v>
      </c>
      <c r="BC445" s="17" t="s">
        <v>2932</v>
      </c>
      <c r="BD445" s="3">
        <v>0</v>
      </c>
      <c r="BE445" s="3">
        <v>0</v>
      </c>
      <c r="BF445" s="3">
        <v>0</v>
      </c>
      <c r="BG445" s="3">
        <v>0</v>
      </c>
      <c r="BH445" s="3">
        <v>0</v>
      </c>
      <c r="BI445" s="3">
        <v>0</v>
      </c>
      <c r="BJ445" s="3">
        <v>0</v>
      </c>
      <c r="BK445" s="3">
        <v>0</v>
      </c>
      <c r="BL445" s="3">
        <v>0</v>
      </c>
      <c r="BM445" s="3">
        <v>0</v>
      </c>
      <c r="BN445" s="3">
        <v>0</v>
      </c>
      <c r="BO445" s="3">
        <v>0</v>
      </c>
      <c r="BP445" s="3">
        <v>0</v>
      </c>
      <c r="BQ445" s="3">
        <v>0</v>
      </c>
      <c r="BR445" s="3">
        <v>0</v>
      </c>
      <c r="BS445" s="3">
        <v>0</v>
      </c>
      <c r="BT445" s="3">
        <v>0</v>
      </c>
      <c r="BU445" s="3">
        <v>0</v>
      </c>
      <c r="BV445" s="3">
        <v>0</v>
      </c>
      <c r="BW445" s="3">
        <v>0</v>
      </c>
      <c r="BY445" s="17" t="s">
        <v>2933</v>
      </c>
      <c r="BZ445" s="3">
        <v>0</v>
      </c>
      <c r="CA445" s="3">
        <v>0</v>
      </c>
      <c r="CB445" s="3">
        <v>0</v>
      </c>
      <c r="CC445" s="3">
        <v>0</v>
      </c>
      <c r="CD445" s="3">
        <v>0</v>
      </c>
      <c r="CE445" s="3">
        <v>0</v>
      </c>
      <c r="CF445" s="3">
        <v>0</v>
      </c>
      <c r="CG445" s="3">
        <v>0</v>
      </c>
      <c r="CH445" s="3">
        <v>0</v>
      </c>
      <c r="CI445" s="3">
        <v>0</v>
      </c>
      <c r="CJ445" s="3">
        <v>0</v>
      </c>
      <c r="CK445" s="3">
        <v>0</v>
      </c>
      <c r="CL445" s="3">
        <v>0</v>
      </c>
      <c r="CM445" s="3">
        <v>0</v>
      </c>
      <c r="CN445" s="3">
        <v>0</v>
      </c>
      <c r="CO445" s="3">
        <v>0</v>
      </c>
      <c r="CP445" s="3">
        <v>0</v>
      </c>
      <c r="CQ445" s="3">
        <v>0</v>
      </c>
      <c r="CR445" s="3">
        <v>0</v>
      </c>
      <c r="CS445" s="3">
        <v>0</v>
      </c>
      <c r="CU445" s="17" t="s">
        <v>2934</v>
      </c>
      <c r="CV445" s="3">
        <v>0</v>
      </c>
      <c r="CW445" s="3">
        <v>0</v>
      </c>
      <c r="CX445" s="3">
        <v>0</v>
      </c>
      <c r="CY445" s="3">
        <v>0</v>
      </c>
      <c r="CZ445" s="3">
        <v>0</v>
      </c>
      <c r="DA445" s="3">
        <v>0</v>
      </c>
      <c r="DB445" s="3">
        <v>0</v>
      </c>
      <c r="DC445" s="3">
        <v>0</v>
      </c>
      <c r="DD445" s="3">
        <v>0</v>
      </c>
      <c r="DE445" s="3">
        <v>0</v>
      </c>
      <c r="DF445" s="3">
        <v>0</v>
      </c>
      <c r="DG445" s="3">
        <v>0</v>
      </c>
      <c r="DH445" s="3">
        <v>0</v>
      </c>
      <c r="DI445" s="3">
        <v>0</v>
      </c>
      <c r="DJ445" s="3">
        <v>0</v>
      </c>
      <c r="DK445" s="3">
        <v>0</v>
      </c>
      <c r="DL445" s="3">
        <v>0</v>
      </c>
      <c r="DM445" s="3">
        <v>0</v>
      </c>
      <c r="DN445" s="3">
        <v>0</v>
      </c>
      <c r="DO445" s="3">
        <v>0</v>
      </c>
    </row>
    <row r="446" spans="1:119" x14ac:dyDescent="0.45">
      <c r="A446" s="11"/>
      <c r="B446" s="3" t="s">
        <v>89</v>
      </c>
      <c r="C446" s="16"/>
      <c r="H446" s="11" t="s">
        <v>2935</v>
      </c>
      <c r="I446" s="11" t="s">
        <v>2363</v>
      </c>
    </row>
    <row r="447" spans="1:119" x14ac:dyDescent="0.45">
      <c r="A447" s="16" t="s">
        <v>2936</v>
      </c>
      <c r="B447" s="3" t="s">
        <v>89</v>
      </c>
      <c r="C447" s="16"/>
      <c r="H447" s="3" t="s">
        <v>2937</v>
      </c>
      <c r="I447" s="3" t="s">
        <v>2363</v>
      </c>
      <c r="K447" s="17" t="s">
        <v>2938</v>
      </c>
      <c r="L447" s="3">
        <v>0</v>
      </c>
      <c r="M447" s="3">
        <v>0</v>
      </c>
      <c r="N447" s="3">
        <v>0</v>
      </c>
      <c r="O447" s="3">
        <v>0</v>
      </c>
      <c r="P447" s="3">
        <v>0</v>
      </c>
      <c r="Q447" s="3">
        <v>0</v>
      </c>
      <c r="R447" s="3">
        <v>0</v>
      </c>
      <c r="S447" s="3">
        <v>0</v>
      </c>
      <c r="T447" s="3">
        <v>0</v>
      </c>
      <c r="U447" s="3">
        <v>0</v>
      </c>
      <c r="V447" s="3">
        <v>0</v>
      </c>
      <c r="W447" s="3">
        <v>0</v>
      </c>
      <c r="X447" s="3">
        <v>0</v>
      </c>
      <c r="Y447" s="3">
        <v>0</v>
      </c>
      <c r="Z447" s="3">
        <v>0</v>
      </c>
      <c r="AA447" s="3">
        <v>0</v>
      </c>
      <c r="AB447" s="3">
        <v>0</v>
      </c>
      <c r="AC447" s="3">
        <v>0</v>
      </c>
      <c r="AD447" s="3">
        <v>0</v>
      </c>
      <c r="AE447" s="3">
        <v>0</v>
      </c>
      <c r="AG447" s="17" t="s">
        <v>2939</v>
      </c>
      <c r="AH447" s="3">
        <v>0</v>
      </c>
      <c r="AI447" s="3">
        <v>0</v>
      </c>
      <c r="AJ447" s="3">
        <v>0</v>
      </c>
      <c r="AK447" s="3">
        <v>0</v>
      </c>
      <c r="AL447" s="3">
        <v>0</v>
      </c>
      <c r="AM447" s="3">
        <v>0</v>
      </c>
      <c r="AN447" s="3">
        <v>0</v>
      </c>
      <c r="AO447" s="3">
        <v>0</v>
      </c>
      <c r="AP447" s="3">
        <v>0</v>
      </c>
      <c r="AQ447" s="3">
        <v>0</v>
      </c>
      <c r="AR447" s="3">
        <v>0</v>
      </c>
      <c r="AS447" s="3">
        <v>0</v>
      </c>
      <c r="AT447" s="3">
        <v>0</v>
      </c>
      <c r="AU447" s="3">
        <v>0</v>
      </c>
      <c r="AV447" s="3">
        <v>0</v>
      </c>
      <c r="AW447" s="3">
        <v>0</v>
      </c>
      <c r="AX447" s="3">
        <v>0</v>
      </c>
      <c r="AY447" s="3">
        <v>0</v>
      </c>
      <c r="AZ447" s="3">
        <v>0</v>
      </c>
      <c r="BA447" s="3">
        <v>0</v>
      </c>
      <c r="BC447" s="17" t="s">
        <v>2940</v>
      </c>
      <c r="BD447" s="3">
        <v>0</v>
      </c>
      <c r="BE447" s="3">
        <v>0</v>
      </c>
      <c r="BF447" s="3">
        <v>0</v>
      </c>
      <c r="BG447" s="3">
        <v>0</v>
      </c>
      <c r="BH447" s="3">
        <v>0</v>
      </c>
      <c r="BI447" s="3">
        <v>0</v>
      </c>
      <c r="BJ447" s="3">
        <v>0</v>
      </c>
      <c r="BK447" s="3">
        <v>0</v>
      </c>
      <c r="BL447" s="3">
        <v>0</v>
      </c>
      <c r="BM447" s="3">
        <v>0</v>
      </c>
      <c r="BN447" s="3">
        <v>0</v>
      </c>
      <c r="BO447" s="3">
        <v>0</v>
      </c>
      <c r="BP447" s="3">
        <v>0</v>
      </c>
      <c r="BQ447" s="3">
        <v>0</v>
      </c>
      <c r="BR447" s="3">
        <v>0</v>
      </c>
      <c r="BS447" s="3">
        <v>0</v>
      </c>
      <c r="BT447" s="3">
        <v>0</v>
      </c>
      <c r="BU447" s="3">
        <v>0</v>
      </c>
      <c r="BV447" s="3">
        <v>0</v>
      </c>
      <c r="BW447" s="3">
        <v>0</v>
      </c>
      <c r="BY447" s="17" t="s">
        <v>2941</v>
      </c>
      <c r="BZ447" s="3">
        <v>0</v>
      </c>
      <c r="CA447" s="3">
        <v>0</v>
      </c>
      <c r="CB447" s="3">
        <v>0</v>
      </c>
      <c r="CC447" s="3">
        <v>0</v>
      </c>
      <c r="CD447" s="3">
        <v>0</v>
      </c>
      <c r="CE447" s="3">
        <v>0</v>
      </c>
      <c r="CF447" s="3">
        <v>0</v>
      </c>
      <c r="CG447" s="3">
        <v>0</v>
      </c>
      <c r="CH447" s="3">
        <v>0</v>
      </c>
      <c r="CI447" s="3">
        <v>0</v>
      </c>
      <c r="CJ447" s="3">
        <v>0</v>
      </c>
      <c r="CK447" s="3">
        <v>0</v>
      </c>
      <c r="CL447" s="3">
        <v>0</v>
      </c>
      <c r="CM447" s="3">
        <v>0</v>
      </c>
      <c r="CN447" s="3">
        <v>0</v>
      </c>
      <c r="CO447" s="3">
        <v>0</v>
      </c>
      <c r="CP447" s="3">
        <v>0</v>
      </c>
      <c r="CQ447" s="3">
        <v>0</v>
      </c>
      <c r="CR447" s="3">
        <v>0</v>
      </c>
      <c r="CS447" s="3">
        <v>0</v>
      </c>
      <c r="CU447" s="17" t="s">
        <v>2942</v>
      </c>
      <c r="CV447" s="3">
        <v>0</v>
      </c>
      <c r="CW447" s="3">
        <v>0</v>
      </c>
      <c r="CX447" s="3">
        <v>0</v>
      </c>
      <c r="CY447" s="3">
        <v>0</v>
      </c>
      <c r="CZ447" s="3">
        <v>0</v>
      </c>
      <c r="DA447" s="3">
        <v>0</v>
      </c>
      <c r="DB447" s="3">
        <v>0</v>
      </c>
      <c r="DC447" s="3">
        <v>0</v>
      </c>
      <c r="DD447" s="3">
        <v>0</v>
      </c>
      <c r="DE447" s="3">
        <v>0</v>
      </c>
      <c r="DF447" s="3">
        <v>0</v>
      </c>
      <c r="DG447" s="3">
        <v>0</v>
      </c>
      <c r="DH447" s="3">
        <v>0</v>
      </c>
      <c r="DI447" s="3">
        <v>0</v>
      </c>
      <c r="DJ447" s="3">
        <v>0</v>
      </c>
      <c r="DK447" s="3">
        <v>0</v>
      </c>
      <c r="DL447" s="3">
        <v>0</v>
      </c>
      <c r="DM447" s="3">
        <v>0</v>
      </c>
      <c r="DN447" s="3">
        <v>0</v>
      </c>
      <c r="DO447" s="3">
        <v>0</v>
      </c>
    </row>
    <row r="448" spans="1:119" x14ac:dyDescent="0.45">
      <c r="A448" s="16" t="s">
        <v>2943</v>
      </c>
      <c r="B448" s="3" t="s">
        <v>89</v>
      </c>
      <c r="C448" s="16"/>
      <c r="H448" s="3" t="s">
        <v>2944</v>
      </c>
      <c r="I448" s="3" t="s">
        <v>2363</v>
      </c>
      <c r="K448" s="17" t="s">
        <v>2945</v>
      </c>
      <c r="L448" s="3">
        <v>0</v>
      </c>
      <c r="M448" s="3">
        <v>0</v>
      </c>
      <c r="N448" s="3">
        <v>0</v>
      </c>
      <c r="O448" s="3">
        <v>0</v>
      </c>
      <c r="P448" s="3">
        <v>0</v>
      </c>
      <c r="Q448" s="3">
        <v>0</v>
      </c>
      <c r="R448" s="3">
        <v>0</v>
      </c>
      <c r="S448" s="3">
        <v>0</v>
      </c>
      <c r="T448" s="3">
        <v>0</v>
      </c>
      <c r="U448" s="3">
        <v>0</v>
      </c>
      <c r="V448" s="3">
        <v>0</v>
      </c>
      <c r="W448" s="3">
        <v>0</v>
      </c>
      <c r="X448" s="3">
        <v>0</v>
      </c>
      <c r="Y448" s="3">
        <v>0</v>
      </c>
      <c r="Z448" s="3">
        <v>0</v>
      </c>
      <c r="AA448" s="3">
        <v>0</v>
      </c>
      <c r="AB448" s="3">
        <v>0</v>
      </c>
      <c r="AC448" s="3">
        <v>0</v>
      </c>
      <c r="AD448" s="3">
        <v>0</v>
      </c>
      <c r="AE448" s="3">
        <v>0</v>
      </c>
      <c r="AG448" s="17" t="s">
        <v>2946</v>
      </c>
      <c r="AH448" s="3">
        <v>0</v>
      </c>
      <c r="AI448" s="3">
        <v>0</v>
      </c>
      <c r="AJ448" s="3">
        <v>0</v>
      </c>
      <c r="AK448" s="3">
        <v>0</v>
      </c>
      <c r="AL448" s="3">
        <v>0</v>
      </c>
      <c r="AM448" s="3">
        <v>0</v>
      </c>
      <c r="AN448" s="3">
        <v>0</v>
      </c>
      <c r="AO448" s="3">
        <v>0</v>
      </c>
      <c r="AP448" s="3">
        <v>0</v>
      </c>
      <c r="AQ448" s="3">
        <v>0</v>
      </c>
      <c r="AR448" s="3">
        <v>0</v>
      </c>
      <c r="AS448" s="3">
        <v>0</v>
      </c>
      <c r="AT448" s="3">
        <v>0</v>
      </c>
      <c r="AU448" s="3">
        <v>0</v>
      </c>
      <c r="AV448" s="3">
        <v>0</v>
      </c>
      <c r="AW448" s="3">
        <v>0</v>
      </c>
      <c r="AX448" s="3">
        <v>0</v>
      </c>
      <c r="AY448" s="3">
        <v>0</v>
      </c>
      <c r="AZ448" s="3">
        <v>0</v>
      </c>
      <c r="BA448" s="3">
        <v>0</v>
      </c>
      <c r="BC448" s="17" t="s">
        <v>2947</v>
      </c>
      <c r="BD448" s="3">
        <v>0</v>
      </c>
      <c r="BE448" s="3">
        <v>0</v>
      </c>
      <c r="BF448" s="3">
        <v>0</v>
      </c>
      <c r="BG448" s="3">
        <v>0</v>
      </c>
      <c r="BH448" s="3">
        <v>0</v>
      </c>
      <c r="BI448" s="3">
        <v>0</v>
      </c>
      <c r="BJ448" s="3">
        <v>0</v>
      </c>
      <c r="BK448" s="3">
        <v>0</v>
      </c>
      <c r="BL448" s="3">
        <v>0</v>
      </c>
      <c r="BM448" s="3">
        <v>0</v>
      </c>
      <c r="BN448" s="3">
        <v>0</v>
      </c>
      <c r="BO448" s="3">
        <v>0</v>
      </c>
      <c r="BP448" s="3">
        <v>0</v>
      </c>
      <c r="BQ448" s="3">
        <v>0</v>
      </c>
      <c r="BR448" s="3">
        <v>0</v>
      </c>
      <c r="BS448" s="3">
        <v>0</v>
      </c>
      <c r="BT448" s="3">
        <v>0</v>
      </c>
      <c r="BU448" s="3">
        <v>0</v>
      </c>
      <c r="BV448" s="3">
        <v>0</v>
      </c>
      <c r="BW448" s="3">
        <v>0</v>
      </c>
      <c r="BY448" s="17" t="s">
        <v>2948</v>
      </c>
      <c r="BZ448" s="3">
        <v>0</v>
      </c>
      <c r="CA448" s="3">
        <v>0</v>
      </c>
      <c r="CB448" s="3">
        <v>0</v>
      </c>
      <c r="CC448" s="3">
        <v>0</v>
      </c>
      <c r="CD448" s="3">
        <v>0</v>
      </c>
      <c r="CE448" s="3">
        <v>0</v>
      </c>
      <c r="CF448" s="3">
        <v>0</v>
      </c>
      <c r="CG448" s="3">
        <v>0</v>
      </c>
      <c r="CH448" s="3">
        <v>0</v>
      </c>
      <c r="CI448" s="3">
        <v>0</v>
      </c>
      <c r="CJ448" s="3">
        <v>0</v>
      </c>
      <c r="CK448" s="3">
        <v>0</v>
      </c>
      <c r="CL448" s="3">
        <v>0</v>
      </c>
      <c r="CM448" s="3">
        <v>0</v>
      </c>
      <c r="CN448" s="3">
        <v>0</v>
      </c>
      <c r="CO448" s="3">
        <v>0</v>
      </c>
      <c r="CP448" s="3">
        <v>0</v>
      </c>
      <c r="CQ448" s="3">
        <v>0</v>
      </c>
      <c r="CR448" s="3">
        <v>0</v>
      </c>
      <c r="CS448" s="3">
        <v>0</v>
      </c>
      <c r="CU448" s="17" t="s">
        <v>2949</v>
      </c>
      <c r="CV448" s="3">
        <v>0</v>
      </c>
      <c r="CW448" s="3">
        <v>0</v>
      </c>
      <c r="CX448" s="3">
        <v>0</v>
      </c>
      <c r="CY448" s="3">
        <v>0</v>
      </c>
      <c r="CZ448" s="3">
        <v>0</v>
      </c>
      <c r="DA448" s="3">
        <v>0</v>
      </c>
      <c r="DB448" s="3">
        <v>0</v>
      </c>
      <c r="DC448" s="3">
        <v>0</v>
      </c>
      <c r="DD448" s="3">
        <v>0</v>
      </c>
      <c r="DE448" s="3">
        <v>0</v>
      </c>
      <c r="DF448" s="3">
        <v>0</v>
      </c>
      <c r="DG448" s="3">
        <v>0</v>
      </c>
      <c r="DH448" s="3">
        <v>0</v>
      </c>
      <c r="DI448" s="3">
        <v>0</v>
      </c>
      <c r="DJ448" s="3">
        <v>0</v>
      </c>
      <c r="DK448" s="3">
        <v>0</v>
      </c>
      <c r="DL448" s="3">
        <v>0</v>
      </c>
      <c r="DM448" s="3">
        <v>0</v>
      </c>
      <c r="DN448" s="3">
        <v>0</v>
      </c>
      <c r="DO448" s="3">
        <v>0</v>
      </c>
    </row>
    <row r="449" spans="1:119" x14ac:dyDescent="0.45">
      <c r="A449" s="16" t="s">
        <v>2950</v>
      </c>
      <c r="B449" s="3" t="s">
        <v>89</v>
      </c>
      <c r="C449" s="16"/>
      <c r="H449" s="3" t="s">
        <v>2951</v>
      </c>
      <c r="I449" s="3" t="s">
        <v>2363</v>
      </c>
      <c r="K449" s="17" t="s">
        <v>2952</v>
      </c>
      <c r="L449" s="3">
        <v>0</v>
      </c>
      <c r="M449" s="3">
        <v>0</v>
      </c>
      <c r="N449" s="3">
        <v>0</v>
      </c>
      <c r="O449" s="3">
        <v>0</v>
      </c>
      <c r="P449" s="3">
        <v>0</v>
      </c>
      <c r="Q449" s="3">
        <v>0</v>
      </c>
      <c r="R449" s="3">
        <v>0</v>
      </c>
      <c r="S449" s="3">
        <v>0</v>
      </c>
      <c r="T449" s="3">
        <v>0</v>
      </c>
      <c r="U449" s="3">
        <v>0</v>
      </c>
      <c r="V449" s="3">
        <v>0</v>
      </c>
      <c r="W449" s="3">
        <v>0</v>
      </c>
      <c r="X449" s="3">
        <v>0</v>
      </c>
      <c r="Y449" s="3">
        <v>0</v>
      </c>
      <c r="Z449" s="3">
        <v>0</v>
      </c>
      <c r="AA449" s="3">
        <v>0</v>
      </c>
      <c r="AB449" s="3">
        <v>0</v>
      </c>
      <c r="AC449" s="3">
        <v>0</v>
      </c>
      <c r="AD449" s="3">
        <v>0</v>
      </c>
      <c r="AE449" s="3">
        <v>0</v>
      </c>
      <c r="AG449" s="17" t="s">
        <v>2953</v>
      </c>
      <c r="AH449" s="3">
        <v>0</v>
      </c>
      <c r="AI449" s="3">
        <v>0</v>
      </c>
      <c r="AJ449" s="3">
        <v>0</v>
      </c>
      <c r="AK449" s="3">
        <v>0</v>
      </c>
      <c r="AL449" s="3">
        <v>0</v>
      </c>
      <c r="AM449" s="3">
        <v>0</v>
      </c>
      <c r="AN449" s="3">
        <v>0</v>
      </c>
      <c r="AO449" s="3">
        <v>0</v>
      </c>
      <c r="AP449" s="3">
        <v>0</v>
      </c>
      <c r="AQ449" s="3">
        <v>0</v>
      </c>
      <c r="AR449" s="3">
        <v>0</v>
      </c>
      <c r="AS449" s="3">
        <v>0</v>
      </c>
      <c r="AT449" s="3">
        <v>0</v>
      </c>
      <c r="AU449" s="3">
        <v>0</v>
      </c>
      <c r="AV449" s="3">
        <v>0</v>
      </c>
      <c r="AW449" s="3">
        <v>0</v>
      </c>
      <c r="AX449" s="3">
        <v>0</v>
      </c>
      <c r="AY449" s="3">
        <v>0</v>
      </c>
      <c r="AZ449" s="3">
        <v>0</v>
      </c>
      <c r="BA449" s="3">
        <v>0</v>
      </c>
      <c r="BC449" s="17" t="s">
        <v>2954</v>
      </c>
      <c r="BD449" s="3">
        <v>0</v>
      </c>
      <c r="BE449" s="3">
        <v>0</v>
      </c>
      <c r="BF449" s="3">
        <v>0</v>
      </c>
      <c r="BG449" s="3">
        <v>0</v>
      </c>
      <c r="BH449" s="3">
        <v>0</v>
      </c>
      <c r="BI449" s="3">
        <v>0</v>
      </c>
      <c r="BJ449" s="3">
        <v>0</v>
      </c>
      <c r="BK449" s="3">
        <v>0</v>
      </c>
      <c r="BL449" s="3">
        <v>0</v>
      </c>
      <c r="BM449" s="3">
        <v>0</v>
      </c>
      <c r="BN449" s="3">
        <v>0</v>
      </c>
      <c r="BO449" s="3">
        <v>0</v>
      </c>
      <c r="BP449" s="3">
        <v>0</v>
      </c>
      <c r="BQ449" s="3">
        <v>0</v>
      </c>
      <c r="BR449" s="3">
        <v>0</v>
      </c>
      <c r="BS449" s="3">
        <v>0</v>
      </c>
      <c r="BT449" s="3">
        <v>0</v>
      </c>
      <c r="BU449" s="3">
        <v>0</v>
      </c>
      <c r="BV449" s="3">
        <v>0</v>
      </c>
      <c r="BW449" s="3">
        <v>0</v>
      </c>
      <c r="BY449" s="17" t="s">
        <v>2955</v>
      </c>
      <c r="BZ449" s="3">
        <v>0</v>
      </c>
      <c r="CA449" s="3">
        <v>0</v>
      </c>
      <c r="CB449" s="3">
        <v>0</v>
      </c>
      <c r="CC449" s="3">
        <v>0</v>
      </c>
      <c r="CD449" s="3">
        <v>0</v>
      </c>
      <c r="CE449" s="3">
        <v>0</v>
      </c>
      <c r="CF449" s="3">
        <v>0</v>
      </c>
      <c r="CG449" s="3">
        <v>0</v>
      </c>
      <c r="CH449" s="3">
        <v>0</v>
      </c>
      <c r="CI449" s="3">
        <v>0</v>
      </c>
      <c r="CJ449" s="3">
        <v>0</v>
      </c>
      <c r="CK449" s="3">
        <v>0</v>
      </c>
      <c r="CL449" s="3">
        <v>0</v>
      </c>
      <c r="CM449" s="3">
        <v>0</v>
      </c>
      <c r="CN449" s="3">
        <v>0</v>
      </c>
      <c r="CO449" s="3">
        <v>0</v>
      </c>
      <c r="CP449" s="3">
        <v>0</v>
      </c>
      <c r="CQ449" s="3">
        <v>0</v>
      </c>
      <c r="CR449" s="3">
        <v>0</v>
      </c>
      <c r="CS449" s="3">
        <v>0</v>
      </c>
      <c r="CU449" s="17" t="s">
        <v>2956</v>
      </c>
      <c r="CV449" s="3">
        <v>0</v>
      </c>
      <c r="CW449" s="3">
        <v>0</v>
      </c>
      <c r="CX449" s="3">
        <v>0</v>
      </c>
      <c r="CY449" s="3">
        <v>0</v>
      </c>
      <c r="CZ449" s="3">
        <v>0</v>
      </c>
      <c r="DA449" s="3">
        <v>0</v>
      </c>
      <c r="DB449" s="3">
        <v>0</v>
      </c>
      <c r="DC449" s="3">
        <v>0</v>
      </c>
      <c r="DD449" s="3">
        <v>0</v>
      </c>
      <c r="DE449" s="3">
        <v>0</v>
      </c>
      <c r="DF449" s="3">
        <v>0</v>
      </c>
      <c r="DG449" s="3">
        <v>0</v>
      </c>
      <c r="DH449" s="3">
        <v>0</v>
      </c>
      <c r="DI449" s="3">
        <v>0</v>
      </c>
      <c r="DJ449" s="3">
        <v>0</v>
      </c>
      <c r="DK449" s="3">
        <v>0</v>
      </c>
      <c r="DL449" s="3">
        <v>0</v>
      </c>
      <c r="DM449" s="3">
        <v>0</v>
      </c>
      <c r="DN449" s="3">
        <v>0</v>
      </c>
      <c r="DO449" s="3">
        <v>0</v>
      </c>
    </row>
    <row r="450" spans="1:119" x14ac:dyDescent="0.45">
      <c r="A450" s="16" t="s">
        <v>2957</v>
      </c>
      <c r="B450" s="3" t="s">
        <v>89</v>
      </c>
      <c r="C450" s="16"/>
      <c r="H450" s="3" t="s">
        <v>2958</v>
      </c>
      <c r="I450" s="3" t="s">
        <v>2363</v>
      </c>
      <c r="K450" s="17" t="s">
        <v>2959</v>
      </c>
      <c r="L450" s="3">
        <v>0</v>
      </c>
      <c r="M450" s="3">
        <v>0</v>
      </c>
      <c r="N450" s="3">
        <v>0</v>
      </c>
      <c r="O450" s="3">
        <v>0</v>
      </c>
      <c r="P450" s="3">
        <v>0</v>
      </c>
      <c r="Q450" s="3">
        <v>0</v>
      </c>
      <c r="R450" s="3">
        <v>0</v>
      </c>
      <c r="S450" s="3">
        <v>0</v>
      </c>
      <c r="T450" s="3">
        <v>0</v>
      </c>
      <c r="U450" s="3">
        <v>0</v>
      </c>
      <c r="V450" s="3">
        <v>0</v>
      </c>
      <c r="W450" s="3">
        <v>0</v>
      </c>
      <c r="X450" s="3">
        <v>0</v>
      </c>
      <c r="Y450" s="3">
        <v>0</v>
      </c>
      <c r="Z450" s="3">
        <v>0</v>
      </c>
      <c r="AA450" s="3">
        <v>0</v>
      </c>
      <c r="AB450" s="3">
        <v>0</v>
      </c>
      <c r="AC450" s="3">
        <v>0</v>
      </c>
      <c r="AD450" s="3">
        <v>0</v>
      </c>
      <c r="AE450" s="3">
        <v>0</v>
      </c>
      <c r="AG450" s="17" t="s">
        <v>2960</v>
      </c>
      <c r="AH450" s="3">
        <v>0</v>
      </c>
      <c r="AI450" s="3">
        <v>0</v>
      </c>
      <c r="AJ450" s="3">
        <v>0</v>
      </c>
      <c r="AK450" s="3">
        <v>0</v>
      </c>
      <c r="AL450" s="3">
        <v>0</v>
      </c>
      <c r="AM450" s="3">
        <v>0</v>
      </c>
      <c r="AN450" s="3">
        <v>0</v>
      </c>
      <c r="AO450" s="3">
        <v>0</v>
      </c>
      <c r="AP450" s="3">
        <v>0</v>
      </c>
      <c r="AQ450" s="3">
        <v>0</v>
      </c>
      <c r="AR450" s="3">
        <v>0</v>
      </c>
      <c r="AS450" s="3">
        <v>0</v>
      </c>
      <c r="AT450" s="3">
        <v>0</v>
      </c>
      <c r="AU450" s="3">
        <v>0</v>
      </c>
      <c r="AV450" s="3">
        <v>0</v>
      </c>
      <c r="AW450" s="3">
        <v>0</v>
      </c>
      <c r="AX450" s="3">
        <v>0</v>
      </c>
      <c r="AY450" s="3">
        <v>0</v>
      </c>
      <c r="AZ450" s="3">
        <v>0</v>
      </c>
      <c r="BA450" s="3">
        <v>0</v>
      </c>
      <c r="BC450" s="17" t="s">
        <v>2961</v>
      </c>
      <c r="BD450" s="3">
        <v>0</v>
      </c>
      <c r="BE450" s="3">
        <v>0</v>
      </c>
      <c r="BF450" s="3">
        <v>0</v>
      </c>
      <c r="BG450" s="3">
        <v>0</v>
      </c>
      <c r="BH450" s="3">
        <v>0</v>
      </c>
      <c r="BI450" s="3">
        <v>0</v>
      </c>
      <c r="BJ450" s="3">
        <v>0</v>
      </c>
      <c r="BK450" s="3">
        <v>0</v>
      </c>
      <c r="BL450" s="3">
        <v>0</v>
      </c>
      <c r="BM450" s="3">
        <v>0</v>
      </c>
      <c r="BN450" s="3">
        <v>0</v>
      </c>
      <c r="BO450" s="3">
        <v>0</v>
      </c>
      <c r="BP450" s="3">
        <v>0</v>
      </c>
      <c r="BQ450" s="3">
        <v>0</v>
      </c>
      <c r="BR450" s="3">
        <v>0</v>
      </c>
      <c r="BS450" s="3">
        <v>0</v>
      </c>
      <c r="BT450" s="3">
        <v>0</v>
      </c>
      <c r="BU450" s="3">
        <v>0</v>
      </c>
      <c r="BV450" s="3">
        <v>0</v>
      </c>
      <c r="BW450" s="3">
        <v>0</v>
      </c>
      <c r="BY450" s="17" t="s">
        <v>2962</v>
      </c>
      <c r="BZ450" s="3">
        <v>0</v>
      </c>
      <c r="CA450" s="3">
        <v>0</v>
      </c>
      <c r="CB450" s="3">
        <v>0</v>
      </c>
      <c r="CC450" s="3">
        <v>0</v>
      </c>
      <c r="CD450" s="3">
        <v>0</v>
      </c>
      <c r="CE450" s="3">
        <v>0</v>
      </c>
      <c r="CF450" s="3">
        <v>0</v>
      </c>
      <c r="CG450" s="3">
        <v>0</v>
      </c>
      <c r="CH450" s="3">
        <v>0</v>
      </c>
      <c r="CI450" s="3">
        <v>0</v>
      </c>
      <c r="CJ450" s="3">
        <v>0</v>
      </c>
      <c r="CK450" s="3">
        <v>0</v>
      </c>
      <c r="CL450" s="3">
        <v>0</v>
      </c>
      <c r="CM450" s="3">
        <v>0</v>
      </c>
      <c r="CN450" s="3">
        <v>0</v>
      </c>
      <c r="CO450" s="3">
        <v>0</v>
      </c>
      <c r="CP450" s="3">
        <v>0</v>
      </c>
      <c r="CQ450" s="3">
        <v>0</v>
      </c>
      <c r="CR450" s="3">
        <v>0</v>
      </c>
      <c r="CS450" s="3">
        <v>0</v>
      </c>
      <c r="CU450" s="17" t="s">
        <v>2963</v>
      </c>
      <c r="CV450" s="3">
        <v>0</v>
      </c>
      <c r="CW450" s="3">
        <v>0</v>
      </c>
      <c r="CX450" s="3">
        <v>0</v>
      </c>
      <c r="CY450" s="3">
        <v>0</v>
      </c>
      <c r="CZ450" s="3">
        <v>0</v>
      </c>
      <c r="DA450" s="3">
        <v>0</v>
      </c>
      <c r="DB450" s="3">
        <v>0</v>
      </c>
      <c r="DC450" s="3">
        <v>0</v>
      </c>
      <c r="DD450" s="3">
        <v>0</v>
      </c>
      <c r="DE450" s="3">
        <v>0</v>
      </c>
      <c r="DF450" s="3">
        <v>0</v>
      </c>
      <c r="DG450" s="3">
        <v>0</v>
      </c>
      <c r="DH450" s="3">
        <v>0</v>
      </c>
      <c r="DI450" s="3">
        <v>0</v>
      </c>
      <c r="DJ450" s="3">
        <v>0</v>
      </c>
      <c r="DK450" s="3">
        <v>0</v>
      </c>
      <c r="DL450" s="3">
        <v>0</v>
      </c>
      <c r="DM450" s="3">
        <v>0</v>
      </c>
      <c r="DN450" s="3">
        <v>0</v>
      </c>
      <c r="DO450" s="3">
        <v>0</v>
      </c>
    </row>
    <row r="451" spans="1:119" x14ac:dyDescent="0.45">
      <c r="A451" s="16" t="s">
        <v>2964</v>
      </c>
      <c r="B451" s="3" t="s">
        <v>89</v>
      </c>
      <c r="C451" s="16"/>
      <c r="H451" s="3" t="s">
        <v>2965</v>
      </c>
      <c r="I451" s="3" t="s">
        <v>2363</v>
      </c>
      <c r="K451" s="17" t="s">
        <v>2966</v>
      </c>
      <c r="L451" s="3">
        <v>0</v>
      </c>
      <c r="M451" s="3">
        <v>0</v>
      </c>
      <c r="N451" s="3">
        <v>0</v>
      </c>
      <c r="O451" s="3">
        <v>0</v>
      </c>
      <c r="P451" s="3">
        <v>0</v>
      </c>
      <c r="Q451" s="3">
        <v>0</v>
      </c>
      <c r="R451" s="3">
        <v>0</v>
      </c>
      <c r="S451" s="3">
        <v>0</v>
      </c>
      <c r="T451" s="3">
        <v>0</v>
      </c>
      <c r="U451" s="3">
        <v>0</v>
      </c>
      <c r="V451" s="3">
        <v>0</v>
      </c>
      <c r="W451" s="3">
        <v>0</v>
      </c>
      <c r="X451" s="3">
        <v>0</v>
      </c>
      <c r="Y451" s="3">
        <v>0</v>
      </c>
      <c r="Z451" s="3">
        <v>0</v>
      </c>
      <c r="AA451" s="3">
        <v>0</v>
      </c>
      <c r="AB451" s="3">
        <v>0</v>
      </c>
      <c r="AC451" s="3">
        <v>0</v>
      </c>
      <c r="AD451" s="3">
        <v>0</v>
      </c>
      <c r="AE451" s="3">
        <v>0</v>
      </c>
      <c r="AG451" s="17" t="s">
        <v>2967</v>
      </c>
      <c r="AH451" s="3">
        <v>0</v>
      </c>
      <c r="AI451" s="3">
        <v>0</v>
      </c>
      <c r="AJ451" s="3">
        <v>0</v>
      </c>
      <c r="AK451" s="3">
        <v>0</v>
      </c>
      <c r="AL451" s="3">
        <v>0</v>
      </c>
      <c r="AM451" s="3">
        <v>0</v>
      </c>
      <c r="AN451" s="3">
        <v>0</v>
      </c>
      <c r="AO451" s="3">
        <v>0</v>
      </c>
      <c r="AP451" s="3">
        <v>0</v>
      </c>
      <c r="AQ451" s="3">
        <v>0</v>
      </c>
      <c r="AR451" s="3">
        <v>0</v>
      </c>
      <c r="AS451" s="3">
        <v>0</v>
      </c>
      <c r="AT451" s="3">
        <v>0</v>
      </c>
      <c r="AU451" s="3">
        <v>0</v>
      </c>
      <c r="AV451" s="3">
        <v>0</v>
      </c>
      <c r="AW451" s="3">
        <v>0</v>
      </c>
      <c r="AX451" s="3">
        <v>0</v>
      </c>
      <c r="AY451" s="3">
        <v>0</v>
      </c>
      <c r="AZ451" s="3">
        <v>0</v>
      </c>
      <c r="BA451" s="3">
        <v>0</v>
      </c>
      <c r="BC451" s="17" t="s">
        <v>2968</v>
      </c>
      <c r="BD451" s="3">
        <v>0</v>
      </c>
      <c r="BE451" s="3">
        <v>0</v>
      </c>
      <c r="BF451" s="3">
        <v>0</v>
      </c>
      <c r="BG451" s="3">
        <v>0</v>
      </c>
      <c r="BH451" s="3">
        <v>0</v>
      </c>
      <c r="BI451" s="3">
        <v>0</v>
      </c>
      <c r="BJ451" s="3">
        <v>0</v>
      </c>
      <c r="BK451" s="3">
        <v>0</v>
      </c>
      <c r="BL451" s="3">
        <v>0</v>
      </c>
      <c r="BM451" s="3">
        <v>0</v>
      </c>
      <c r="BN451" s="3">
        <v>0</v>
      </c>
      <c r="BO451" s="3">
        <v>0</v>
      </c>
      <c r="BP451" s="3">
        <v>0</v>
      </c>
      <c r="BQ451" s="3">
        <v>0</v>
      </c>
      <c r="BR451" s="3">
        <v>0</v>
      </c>
      <c r="BS451" s="3">
        <v>0</v>
      </c>
      <c r="BT451" s="3">
        <v>0</v>
      </c>
      <c r="BU451" s="3">
        <v>0</v>
      </c>
      <c r="BV451" s="3">
        <v>0</v>
      </c>
      <c r="BW451" s="3">
        <v>0</v>
      </c>
      <c r="BY451" s="17" t="s">
        <v>2969</v>
      </c>
      <c r="BZ451" s="3">
        <v>0</v>
      </c>
      <c r="CA451" s="3">
        <v>0</v>
      </c>
      <c r="CB451" s="3">
        <v>0</v>
      </c>
      <c r="CC451" s="3">
        <v>0</v>
      </c>
      <c r="CD451" s="3">
        <v>0</v>
      </c>
      <c r="CE451" s="3">
        <v>0</v>
      </c>
      <c r="CF451" s="3">
        <v>0</v>
      </c>
      <c r="CG451" s="3">
        <v>0</v>
      </c>
      <c r="CH451" s="3">
        <v>0</v>
      </c>
      <c r="CI451" s="3">
        <v>0</v>
      </c>
      <c r="CJ451" s="3">
        <v>0</v>
      </c>
      <c r="CK451" s="3">
        <v>0</v>
      </c>
      <c r="CL451" s="3">
        <v>0</v>
      </c>
      <c r="CM451" s="3">
        <v>0</v>
      </c>
      <c r="CN451" s="3">
        <v>0</v>
      </c>
      <c r="CO451" s="3">
        <v>0</v>
      </c>
      <c r="CP451" s="3">
        <v>0</v>
      </c>
      <c r="CQ451" s="3">
        <v>0</v>
      </c>
      <c r="CR451" s="3">
        <v>0</v>
      </c>
      <c r="CS451" s="3">
        <v>0</v>
      </c>
      <c r="CU451" s="17" t="s">
        <v>2970</v>
      </c>
      <c r="CV451" s="3">
        <v>0</v>
      </c>
      <c r="CW451" s="3">
        <v>0</v>
      </c>
      <c r="CX451" s="3">
        <v>0</v>
      </c>
      <c r="CY451" s="3">
        <v>0</v>
      </c>
      <c r="CZ451" s="3">
        <v>0</v>
      </c>
      <c r="DA451" s="3">
        <v>0</v>
      </c>
      <c r="DB451" s="3">
        <v>0</v>
      </c>
      <c r="DC451" s="3">
        <v>0</v>
      </c>
      <c r="DD451" s="3">
        <v>0</v>
      </c>
      <c r="DE451" s="3">
        <v>0</v>
      </c>
      <c r="DF451" s="3">
        <v>0</v>
      </c>
      <c r="DG451" s="3">
        <v>0</v>
      </c>
      <c r="DH451" s="3">
        <v>0</v>
      </c>
      <c r="DI451" s="3">
        <v>0</v>
      </c>
      <c r="DJ451" s="3">
        <v>0</v>
      </c>
      <c r="DK451" s="3">
        <v>0</v>
      </c>
      <c r="DL451" s="3">
        <v>0</v>
      </c>
      <c r="DM451" s="3">
        <v>0</v>
      </c>
      <c r="DN451" s="3">
        <v>0</v>
      </c>
      <c r="DO451" s="3">
        <v>0</v>
      </c>
    </row>
    <row r="452" spans="1:119" x14ac:dyDescent="0.45">
      <c r="A452" s="16" t="s">
        <v>2971</v>
      </c>
      <c r="B452" s="3" t="s">
        <v>89</v>
      </c>
      <c r="C452" s="16"/>
      <c r="H452" s="3" t="s">
        <v>2972</v>
      </c>
      <c r="I452" s="3" t="s">
        <v>2363</v>
      </c>
      <c r="K452" s="17" t="s">
        <v>2973</v>
      </c>
      <c r="L452" s="3">
        <v>0</v>
      </c>
      <c r="M452" s="3">
        <v>0</v>
      </c>
      <c r="N452" s="3">
        <v>0</v>
      </c>
      <c r="O452" s="3">
        <v>0</v>
      </c>
      <c r="P452" s="3">
        <v>0</v>
      </c>
      <c r="Q452" s="3">
        <v>0</v>
      </c>
      <c r="R452" s="3">
        <v>0</v>
      </c>
      <c r="S452" s="3">
        <v>0</v>
      </c>
      <c r="T452" s="3">
        <v>0</v>
      </c>
      <c r="U452" s="3">
        <v>0</v>
      </c>
      <c r="V452" s="3">
        <v>0</v>
      </c>
      <c r="W452" s="3">
        <v>0</v>
      </c>
      <c r="X452" s="3">
        <v>0</v>
      </c>
      <c r="Y452" s="3">
        <v>0</v>
      </c>
      <c r="Z452" s="3">
        <v>0</v>
      </c>
      <c r="AA452" s="3">
        <v>0</v>
      </c>
      <c r="AB452" s="3">
        <v>0</v>
      </c>
      <c r="AC452" s="3">
        <v>0</v>
      </c>
      <c r="AD452" s="3">
        <v>0</v>
      </c>
      <c r="AE452" s="3">
        <v>0</v>
      </c>
      <c r="AG452" s="17" t="s">
        <v>2974</v>
      </c>
      <c r="AH452" s="3">
        <v>0</v>
      </c>
      <c r="AI452" s="3">
        <v>0</v>
      </c>
      <c r="AJ452" s="3">
        <v>0</v>
      </c>
      <c r="AK452" s="3">
        <v>0</v>
      </c>
      <c r="AL452" s="3">
        <v>0</v>
      </c>
      <c r="AM452" s="3">
        <v>0</v>
      </c>
      <c r="AN452" s="3">
        <v>0</v>
      </c>
      <c r="AO452" s="3">
        <v>0</v>
      </c>
      <c r="AP452" s="3">
        <v>0</v>
      </c>
      <c r="AQ452" s="3">
        <v>0</v>
      </c>
      <c r="AR452" s="3">
        <v>0</v>
      </c>
      <c r="AS452" s="3">
        <v>0</v>
      </c>
      <c r="AT452" s="3">
        <v>0</v>
      </c>
      <c r="AU452" s="3">
        <v>0</v>
      </c>
      <c r="AV452" s="3">
        <v>0</v>
      </c>
      <c r="AW452" s="3">
        <v>0</v>
      </c>
      <c r="AX452" s="3">
        <v>0</v>
      </c>
      <c r="AY452" s="3">
        <v>0</v>
      </c>
      <c r="AZ452" s="3">
        <v>0</v>
      </c>
      <c r="BA452" s="3">
        <v>0</v>
      </c>
      <c r="BC452" s="17" t="s">
        <v>2975</v>
      </c>
      <c r="BD452" s="3">
        <v>0</v>
      </c>
      <c r="BE452" s="3">
        <v>0</v>
      </c>
      <c r="BF452" s="3">
        <v>0</v>
      </c>
      <c r="BG452" s="3">
        <v>0</v>
      </c>
      <c r="BH452" s="3">
        <v>0</v>
      </c>
      <c r="BI452" s="3">
        <v>0</v>
      </c>
      <c r="BJ452" s="3">
        <v>0</v>
      </c>
      <c r="BK452" s="3">
        <v>0</v>
      </c>
      <c r="BL452" s="3">
        <v>0</v>
      </c>
      <c r="BM452" s="3">
        <v>0</v>
      </c>
      <c r="BN452" s="3">
        <v>0</v>
      </c>
      <c r="BO452" s="3">
        <v>0</v>
      </c>
      <c r="BP452" s="3">
        <v>0</v>
      </c>
      <c r="BQ452" s="3">
        <v>0</v>
      </c>
      <c r="BR452" s="3">
        <v>0</v>
      </c>
      <c r="BS452" s="3">
        <v>0</v>
      </c>
      <c r="BT452" s="3">
        <v>0</v>
      </c>
      <c r="BU452" s="3">
        <v>0</v>
      </c>
      <c r="BV452" s="3">
        <v>0</v>
      </c>
      <c r="BW452" s="3">
        <v>0</v>
      </c>
      <c r="BY452" s="17" t="s">
        <v>2976</v>
      </c>
      <c r="BZ452" s="3">
        <v>0</v>
      </c>
      <c r="CA452" s="3">
        <v>0</v>
      </c>
      <c r="CB452" s="3">
        <v>0</v>
      </c>
      <c r="CC452" s="3">
        <v>0</v>
      </c>
      <c r="CD452" s="3">
        <v>0</v>
      </c>
      <c r="CE452" s="3">
        <v>0</v>
      </c>
      <c r="CF452" s="3">
        <v>0</v>
      </c>
      <c r="CG452" s="3">
        <v>0</v>
      </c>
      <c r="CH452" s="3">
        <v>0</v>
      </c>
      <c r="CI452" s="3">
        <v>0</v>
      </c>
      <c r="CJ452" s="3">
        <v>0</v>
      </c>
      <c r="CK452" s="3">
        <v>0</v>
      </c>
      <c r="CL452" s="3">
        <v>0</v>
      </c>
      <c r="CM452" s="3">
        <v>0</v>
      </c>
      <c r="CN452" s="3">
        <v>0</v>
      </c>
      <c r="CO452" s="3">
        <v>0</v>
      </c>
      <c r="CP452" s="3">
        <v>0</v>
      </c>
      <c r="CQ452" s="3">
        <v>0</v>
      </c>
      <c r="CR452" s="3">
        <v>0</v>
      </c>
      <c r="CS452" s="3">
        <v>0</v>
      </c>
      <c r="CU452" s="17" t="s">
        <v>2977</v>
      </c>
      <c r="CV452" s="3">
        <v>0</v>
      </c>
      <c r="CW452" s="3">
        <v>0</v>
      </c>
      <c r="CX452" s="3">
        <v>0</v>
      </c>
      <c r="CY452" s="3">
        <v>0</v>
      </c>
      <c r="CZ452" s="3">
        <v>0</v>
      </c>
      <c r="DA452" s="3">
        <v>0</v>
      </c>
      <c r="DB452" s="3">
        <v>0</v>
      </c>
      <c r="DC452" s="3">
        <v>0</v>
      </c>
      <c r="DD452" s="3">
        <v>0</v>
      </c>
      <c r="DE452" s="3">
        <v>0</v>
      </c>
      <c r="DF452" s="3">
        <v>0</v>
      </c>
      <c r="DG452" s="3">
        <v>0</v>
      </c>
      <c r="DH452" s="3">
        <v>0</v>
      </c>
      <c r="DI452" s="3">
        <v>0</v>
      </c>
      <c r="DJ452" s="3">
        <v>0</v>
      </c>
      <c r="DK452" s="3">
        <v>0</v>
      </c>
      <c r="DL452" s="3">
        <v>0</v>
      </c>
      <c r="DM452" s="3">
        <v>0</v>
      </c>
      <c r="DN452" s="3">
        <v>0</v>
      </c>
      <c r="DO452" s="3">
        <v>0</v>
      </c>
    </row>
    <row r="453" spans="1:119" x14ac:dyDescent="0.45">
      <c r="A453" s="16" t="s">
        <v>2978</v>
      </c>
      <c r="B453" s="3" t="s">
        <v>89</v>
      </c>
      <c r="C453" s="16" t="s">
        <v>2979</v>
      </c>
      <c r="H453" s="3" t="s">
        <v>2980</v>
      </c>
      <c r="I453" s="3" t="s">
        <v>2363</v>
      </c>
      <c r="K453" s="17" t="s">
        <v>2981</v>
      </c>
      <c r="L453" s="3">
        <v>263.8514166917642</v>
      </c>
      <c r="M453" s="3">
        <v>226.7115632524926</v>
      </c>
      <c r="N453" s="3">
        <v>258.05796029823239</v>
      </c>
      <c r="O453" s="3">
        <v>265.39103728490159</v>
      </c>
      <c r="P453" s="3">
        <v>272.5200500450365</v>
      </c>
      <c r="Q453" s="3">
        <v>281.04222237556269</v>
      </c>
      <c r="R453" s="3">
        <v>291.28155911542899</v>
      </c>
      <c r="S453" s="3">
        <v>301.05515706885973</v>
      </c>
      <c r="T453" s="3">
        <v>310.14125834711888</v>
      </c>
      <c r="U453" s="3">
        <v>319.303982220036</v>
      </c>
      <c r="V453" s="3">
        <v>328.57742859239931</v>
      </c>
      <c r="W453" s="3">
        <v>337.95834311850251</v>
      </c>
      <c r="X453" s="3">
        <v>347.4434006849994</v>
      </c>
      <c r="Y453" s="3">
        <v>357.0292063546953</v>
      </c>
      <c r="Z453" s="3">
        <v>366.7122959028793</v>
      </c>
      <c r="AA453" s="3">
        <v>376.48913594508258</v>
      </c>
      <c r="AB453" s="3">
        <v>386.35612365624911</v>
      </c>
      <c r="AC453" s="3">
        <v>396.30958608229332</v>
      </c>
      <c r="AD453" s="3">
        <v>406.34577904585529</v>
      </c>
      <c r="AE453" s="3">
        <v>416.46088564883212</v>
      </c>
      <c r="AG453" s="17" t="s">
        <v>2982</v>
      </c>
      <c r="AH453" s="3">
        <v>263.8514166917642</v>
      </c>
      <c r="AI453" s="3">
        <v>226.7115632524926</v>
      </c>
      <c r="AJ453" s="3">
        <v>258.05796029823239</v>
      </c>
      <c r="AK453" s="3">
        <v>265.39103728490159</v>
      </c>
      <c r="AL453" s="3">
        <v>272.5200500450365</v>
      </c>
      <c r="AM453" s="3">
        <v>237.49057689988919</v>
      </c>
      <c r="AN453" s="3">
        <v>246.14313975038081</v>
      </c>
      <c r="AO453" s="3">
        <v>254.5203812562431</v>
      </c>
      <c r="AP453" s="3">
        <v>261.9285448065819</v>
      </c>
      <c r="AQ453" s="3">
        <v>269.71525377164932</v>
      </c>
      <c r="AR453" s="3">
        <v>277.43362741268788</v>
      </c>
      <c r="AS453" s="3">
        <v>285.50915127941192</v>
      </c>
      <c r="AT453" s="3">
        <v>293.80799248820489</v>
      </c>
      <c r="AU453" s="3">
        <v>302.13751942812348</v>
      </c>
      <c r="AV453" s="3">
        <v>310.61348140877118</v>
      </c>
      <c r="AW453" s="3">
        <v>319.31311379955542</v>
      </c>
      <c r="AX453" s="3">
        <v>327.97226123820042</v>
      </c>
      <c r="AY453" s="3">
        <v>336.64265568309588</v>
      </c>
      <c r="AZ453" s="3">
        <v>345.22386417921638</v>
      </c>
      <c r="BA453" s="3">
        <v>353.82601163821153</v>
      </c>
      <c r="BC453" s="17" t="s">
        <v>2983</v>
      </c>
      <c r="BD453" s="3">
        <v>263.8514166917642</v>
      </c>
      <c r="BE453" s="3">
        <v>226.7115632524926</v>
      </c>
      <c r="BF453" s="3">
        <v>258.05796029823239</v>
      </c>
      <c r="BG453" s="3">
        <v>265.39103728490159</v>
      </c>
      <c r="BH453" s="3">
        <v>272.5200500450365</v>
      </c>
      <c r="BI453" s="3">
        <v>256.78208414343169</v>
      </c>
      <c r="BJ453" s="3">
        <v>240.3398463383497</v>
      </c>
      <c r="BK453" s="3">
        <v>227.8378426577672</v>
      </c>
      <c r="BL453" s="3">
        <v>217.59792258079111</v>
      </c>
      <c r="BM453" s="3">
        <v>209.5095298097994</v>
      </c>
      <c r="BN453" s="3">
        <v>202.97519480586831</v>
      </c>
      <c r="BO453" s="3">
        <v>197.7311050420243</v>
      </c>
      <c r="BP453" s="3">
        <v>193.5556474736764</v>
      </c>
      <c r="BQ453" s="3">
        <v>190.20415892702371</v>
      </c>
      <c r="BR453" s="3">
        <v>187.5242463746192</v>
      </c>
      <c r="BS453" s="3">
        <v>185.4345276896909</v>
      </c>
      <c r="BT453" s="3">
        <v>183.8011931099856</v>
      </c>
      <c r="BU453" s="3">
        <v>182.52855876668869</v>
      </c>
      <c r="BV453" s="3">
        <v>181.5009178489513</v>
      </c>
      <c r="BW453" s="3">
        <v>180.66459428251429</v>
      </c>
      <c r="BY453" s="17" t="s">
        <v>2984</v>
      </c>
      <c r="BZ453" s="3">
        <v>263.8514166917642</v>
      </c>
      <c r="CA453" s="3">
        <v>226.7115632524926</v>
      </c>
      <c r="CB453" s="3">
        <v>258.05796029823239</v>
      </c>
      <c r="CC453" s="3">
        <v>265.39103728490159</v>
      </c>
      <c r="CD453" s="3">
        <v>272.5200500450365</v>
      </c>
      <c r="CE453" s="3">
        <v>229.22356600663221</v>
      </c>
      <c r="CF453" s="3">
        <v>237.57476760834589</v>
      </c>
      <c r="CG453" s="3">
        <v>245.6434693695106</v>
      </c>
      <c r="CH453" s="3">
        <v>252.80950572595361</v>
      </c>
      <c r="CI453" s="3">
        <v>260.37834481763269</v>
      </c>
      <c r="CJ453" s="3">
        <v>267.81572149615408</v>
      </c>
      <c r="CK453" s="3">
        <v>275.6297323671792</v>
      </c>
      <c r="CL453" s="3">
        <v>283.54809809311138</v>
      </c>
      <c r="CM453" s="3">
        <v>291.51369795068388</v>
      </c>
      <c r="CN453" s="3">
        <v>299.61626193625619</v>
      </c>
      <c r="CO453" s="3">
        <v>307.89947884787802</v>
      </c>
      <c r="CP453" s="3">
        <v>316.15031120464778</v>
      </c>
      <c r="CQ453" s="3">
        <v>324.4519727130733</v>
      </c>
      <c r="CR453" s="3">
        <v>332.6997844609275</v>
      </c>
      <c r="CS453" s="3">
        <v>341.02837632895518</v>
      </c>
      <c r="CU453" s="17" t="s">
        <v>2985</v>
      </c>
      <c r="CV453" s="3">
        <v>263.8514166917642</v>
      </c>
      <c r="CW453" s="3">
        <v>226.7115632524926</v>
      </c>
      <c r="CX453" s="3">
        <v>258.05796029823239</v>
      </c>
      <c r="CY453" s="3">
        <v>265.39103728490159</v>
      </c>
      <c r="CZ453" s="3">
        <v>272.5200500450365</v>
      </c>
      <c r="DA453" s="3">
        <v>197.1930130226518</v>
      </c>
      <c r="DB453" s="3">
        <v>204.37736345534759</v>
      </c>
      <c r="DC453" s="3">
        <v>211.44513291812819</v>
      </c>
      <c r="DD453" s="3">
        <v>217.33282577070361</v>
      </c>
      <c r="DE453" s="3">
        <v>223.86258486091029</v>
      </c>
      <c r="DF453" s="3">
        <v>230.14286296039381</v>
      </c>
      <c r="DG453" s="3">
        <v>237.00502781481589</v>
      </c>
      <c r="DH453" s="3">
        <v>244.14404734073571</v>
      </c>
      <c r="DI453" s="3">
        <v>251.270190147927</v>
      </c>
      <c r="DJ453" s="3">
        <v>258.57402188643431</v>
      </c>
      <c r="DK453" s="3">
        <v>266.20035489354632</v>
      </c>
      <c r="DL453" s="3">
        <v>273.67625101728851</v>
      </c>
      <c r="DM453" s="3">
        <v>281.11775290563719</v>
      </c>
      <c r="DN453" s="3">
        <v>288.33710141850958</v>
      </c>
      <c r="DO453" s="3">
        <v>295.54140235981617</v>
      </c>
    </row>
    <row r="454" spans="1:119" x14ac:dyDescent="0.45">
      <c r="A454" s="16" t="s">
        <v>2986</v>
      </c>
      <c r="B454" s="3" t="s">
        <v>89</v>
      </c>
      <c r="C454" s="16" t="s">
        <v>2987</v>
      </c>
      <c r="H454" s="3" t="s">
        <v>2988</v>
      </c>
      <c r="I454" s="3" t="s">
        <v>2363</v>
      </c>
      <c r="K454" s="17" t="s">
        <v>2989</v>
      </c>
      <c r="L454" s="3">
        <v>0</v>
      </c>
      <c r="M454" s="3">
        <v>0</v>
      </c>
      <c r="N454" s="3">
        <v>0</v>
      </c>
      <c r="O454" s="3">
        <v>0</v>
      </c>
      <c r="P454" s="3">
        <v>0</v>
      </c>
      <c r="Q454" s="3">
        <v>0</v>
      </c>
      <c r="R454" s="3">
        <v>0</v>
      </c>
      <c r="S454" s="3">
        <v>0</v>
      </c>
      <c r="T454" s="3">
        <v>0</v>
      </c>
      <c r="U454" s="3">
        <v>0</v>
      </c>
      <c r="V454" s="3">
        <v>0</v>
      </c>
      <c r="W454" s="3">
        <v>0</v>
      </c>
      <c r="X454" s="3">
        <v>0</v>
      </c>
      <c r="Y454" s="3">
        <v>0</v>
      </c>
      <c r="Z454" s="3">
        <v>0</v>
      </c>
      <c r="AA454" s="3">
        <v>0</v>
      </c>
      <c r="AB454" s="3">
        <v>0</v>
      </c>
      <c r="AC454" s="3">
        <v>0</v>
      </c>
      <c r="AD454" s="3">
        <v>0</v>
      </c>
      <c r="AE454" s="3">
        <v>0</v>
      </c>
      <c r="AG454" s="17" t="s">
        <v>2990</v>
      </c>
      <c r="AH454" s="3">
        <v>0</v>
      </c>
      <c r="AI454" s="3">
        <v>0</v>
      </c>
      <c r="AJ454" s="3">
        <v>0</v>
      </c>
      <c r="AK454" s="3">
        <v>0</v>
      </c>
      <c r="AL454" s="3">
        <v>0</v>
      </c>
      <c r="AM454" s="3">
        <v>0</v>
      </c>
      <c r="AN454" s="3">
        <v>0</v>
      </c>
      <c r="AO454" s="3">
        <v>0</v>
      </c>
      <c r="AP454" s="3">
        <v>0</v>
      </c>
      <c r="AQ454" s="3">
        <v>0</v>
      </c>
      <c r="AR454" s="3">
        <v>0</v>
      </c>
      <c r="AS454" s="3">
        <v>0</v>
      </c>
      <c r="AT454" s="3">
        <v>0</v>
      </c>
      <c r="AU454" s="3">
        <v>0</v>
      </c>
      <c r="AV454" s="3">
        <v>0</v>
      </c>
      <c r="AW454" s="3">
        <v>0</v>
      </c>
      <c r="AX454" s="3">
        <v>0</v>
      </c>
      <c r="AY454" s="3">
        <v>0</v>
      </c>
      <c r="AZ454" s="3">
        <v>0</v>
      </c>
      <c r="BA454" s="3">
        <v>0</v>
      </c>
      <c r="BC454" s="17" t="s">
        <v>2991</v>
      </c>
      <c r="BD454" s="3">
        <v>0</v>
      </c>
      <c r="BE454" s="3">
        <v>0</v>
      </c>
      <c r="BF454" s="3">
        <v>0</v>
      </c>
      <c r="BG454" s="3">
        <v>0</v>
      </c>
      <c r="BH454" s="3">
        <v>0</v>
      </c>
      <c r="BI454" s="3">
        <v>0</v>
      </c>
      <c r="BJ454" s="3">
        <v>0</v>
      </c>
      <c r="BK454" s="3">
        <v>0</v>
      </c>
      <c r="BL454" s="3">
        <v>0</v>
      </c>
      <c r="BM454" s="3">
        <v>0</v>
      </c>
      <c r="BN454" s="3">
        <v>0</v>
      </c>
      <c r="BO454" s="3">
        <v>0</v>
      </c>
      <c r="BP454" s="3">
        <v>0</v>
      </c>
      <c r="BQ454" s="3">
        <v>0</v>
      </c>
      <c r="BR454" s="3">
        <v>0</v>
      </c>
      <c r="BS454" s="3">
        <v>0</v>
      </c>
      <c r="BT454" s="3">
        <v>0</v>
      </c>
      <c r="BU454" s="3">
        <v>0</v>
      </c>
      <c r="BV454" s="3">
        <v>0</v>
      </c>
      <c r="BW454" s="3">
        <v>0</v>
      </c>
      <c r="BY454" s="17" t="s">
        <v>2992</v>
      </c>
      <c r="BZ454" s="3">
        <v>0</v>
      </c>
      <c r="CA454" s="3">
        <v>0</v>
      </c>
      <c r="CB454" s="3">
        <v>0</v>
      </c>
      <c r="CC454" s="3">
        <v>0</v>
      </c>
      <c r="CD454" s="3">
        <v>0</v>
      </c>
      <c r="CE454" s="3">
        <v>0</v>
      </c>
      <c r="CF454" s="3">
        <v>0</v>
      </c>
      <c r="CG454" s="3">
        <v>0</v>
      </c>
      <c r="CH454" s="3">
        <v>0</v>
      </c>
      <c r="CI454" s="3">
        <v>0</v>
      </c>
      <c r="CJ454" s="3">
        <v>0</v>
      </c>
      <c r="CK454" s="3">
        <v>0</v>
      </c>
      <c r="CL454" s="3">
        <v>0</v>
      </c>
      <c r="CM454" s="3">
        <v>0</v>
      </c>
      <c r="CN454" s="3">
        <v>0</v>
      </c>
      <c r="CO454" s="3">
        <v>0</v>
      </c>
      <c r="CP454" s="3">
        <v>0</v>
      </c>
      <c r="CQ454" s="3">
        <v>0</v>
      </c>
      <c r="CR454" s="3">
        <v>0</v>
      </c>
      <c r="CS454" s="3">
        <v>0</v>
      </c>
      <c r="CU454" s="17" t="s">
        <v>2993</v>
      </c>
      <c r="CV454" s="3">
        <v>0</v>
      </c>
      <c r="CW454" s="3">
        <v>0</v>
      </c>
      <c r="CX454" s="3">
        <v>0</v>
      </c>
      <c r="CY454" s="3">
        <v>0</v>
      </c>
      <c r="CZ454" s="3">
        <v>0</v>
      </c>
      <c r="DA454" s="3">
        <v>0</v>
      </c>
      <c r="DB454" s="3">
        <v>0</v>
      </c>
      <c r="DC454" s="3">
        <v>0</v>
      </c>
      <c r="DD454" s="3">
        <v>0</v>
      </c>
      <c r="DE454" s="3">
        <v>0</v>
      </c>
      <c r="DF454" s="3">
        <v>0</v>
      </c>
      <c r="DG454" s="3">
        <v>0</v>
      </c>
      <c r="DH454" s="3">
        <v>0</v>
      </c>
      <c r="DI454" s="3">
        <v>0</v>
      </c>
      <c r="DJ454" s="3">
        <v>0</v>
      </c>
      <c r="DK454" s="3">
        <v>0</v>
      </c>
      <c r="DL454" s="3">
        <v>0</v>
      </c>
      <c r="DM454" s="3">
        <v>0</v>
      </c>
      <c r="DN454" s="3">
        <v>0</v>
      </c>
      <c r="DO454" s="3">
        <v>0</v>
      </c>
    </row>
    <row r="455" spans="1:119" x14ac:dyDescent="0.45">
      <c r="A455" s="16" t="s">
        <v>2994</v>
      </c>
      <c r="B455" s="3" t="s">
        <v>89</v>
      </c>
      <c r="C455" s="16" t="s">
        <v>2995</v>
      </c>
      <c r="H455" s="3" t="s">
        <v>2996</v>
      </c>
      <c r="I455" s="3" t="s">
        <v>2363</v>
      </c>
      <c r="K455" s="17" t="s">
        <v>2997</v>
      </c>
      <c r="L455" s="3">
        <v>0</v>
      </c>
      <c r="M455" s="3">
        <v>0</v>
      </c>
      <c r="N455" s="3">
        <v>0</v>
      </c>
      <c r="O455" s="3">
        <v>0</v>
      </c>
      <c r="P455" s="3">
        <v>0</v>
      </c>
      <c r="Q455" s="3">
        <v>0</v>
      </c>
      <c r="R455" s="3">
        <v>0</v>
      </c>
      <c r="S455" s="3">
        <v>0</v>
      </c>
      <c r="T455" s="3">
        <v>0</v>
      </c>
      <c r="U455" s="3">
        <v>0</v>
      </c>
      <c r="V455" s="3">
        <v>0</v>
      </c>
      <c r="W455" s="3">
        <v>0</v>
      </c>
      <c r="X455" s="3">
        <v>0</v>
      </c>
      <c r="Y455" s="3">
        <v>0</v>
      </c>
      <c r="Z455" s="3">
        <v>0</v>
      </c>
      <c r="AA455" s="3">
        <v>0</v>
      </c>
      <c r="AB455" s="3">
        <v>0</v>
      </c>
      <c r="AC455" s="3">
        <v>0</v>
      </c>
      <c r="AD455" s="3">
        <v>0</v>
      </c>
      <c r="AE455" s="3">
        <v>0</v>
      </c>
      <c r="AG455" s="17" t="s">
        <v>2998</v>
      </c>
      <c r="AH455" s="3">
        <v>0</v>
      </c>
      <c r="AI455" s="3">
        <v>0</v>
      </c>
      <c r="AJ455" s="3">
        <v>0</v>
      </c>
      <c r="AK455" s="3">
        <v>0</v>
      </c>
      <c r="AL455" s="3">
        <v>0</v>
      </c>
      <c r="AM455" s="3">
        <v>0</v>
      </c>
      <c r="AN455" s="3">
        <v>0</v>
      </c>
      <c r="AO455" s="3">
        <v>0</v>
      </c>
      <c r="AP455" s="3">
        <v>0</v>
      </c>
      <c r="AQ455" s="3">
        <v>0</v>
      </c>
      <c r="AR455" s="3">
        <v>0</v>
      </c>
      <c r="AS455" s="3">
        <v>0</v>
      </c>
      <c r="AT455" s="3">
        <v>0</v>
      </c>
      <c r="AU455" s="3">
        <v>0</v>
      </c>
      <c r="AV455" s="3">
        <v>0</v>
      </c>
      <c r="AW455" s="3">
        <v>0</v>
      </c>
      <c r="AX455" s="3">
        <v>0</v>
      </c>
      <c r="AY455" s="3">
        <v>0</v>
      </c>
      <c r="AZ455" s="3">
        <v>0</v>
      </c>
      <c r="BA455" s="3">
        <v>0</v>
      </c>
      <c r="BC455" s="17" t="s">
        <v>2999</v>
      </c>
      <c r="BD455" s="3">
        <v>0</v>
      </c>
      <c r="BE455" s="3">
        <v>0</v>
      </c>
      <c r="BF455" s="3">
        <v>0</v>
      </c>
      <c r="BG455" s="3">
        <v>0</v>
      </c>
      <c r="BH455" s="3">
        <v>0</v>
      </c>
      <c r="BI455" s="3">
        <v>0</v>
      </c>
      <c r="BJ455" s="3">
        <v>0</v>
      </c>
      <c r="BK455" s="3">
        <v>0</v>
      </c>
      <c r="BL455" s="3">
        <v>0</v>
      </c>
      <c r="BM455" s="3">
        <v>0</v>
      </c>
      <c r="BN455" s="3">
        <v>0</v>
      </c>
      <c r="BO455" s="3">
        <v>0</v>
      </c>
      <c r="BP455" s="3">
        <v>0</v>
      </c>
      <c r="BQ455" s="3">
        <v>0</v>
      </c>
      <c r="BR455" s="3">
        <v>0</v>
      </c>
      <c r="BS455" s="3">
        <v>0</v>
      </c>
      <c r="BT455" s="3">
        <v>0</v>
      </c>
      <c r="BU455" s="3">
        <v>0</v>
      </c>
      <c r="BV455" s="3">
        <v>0</v>
      </c>
      <c r="BW455" s="3">
        <v>0</v>
      </c>
      <c r="BY455" s="17" t="s">
        <v>3000</v>
      </c>
      <c r="BZ455" s="3">
        <v>0</v>
      </c>
      <c r="CA455" s="3">
        <v>0</v>
      </c>
      <c r="CB455" s="3">
        <v>0</v>
      </c>
      <c r="CC455" s="3">
        <v>0</v>
      </c>
      <c r="CD455" s="3">
        <v>0</v>
      </c>
      <c r="CE455" s="3">
        <v>0</v>
      </c>
      <c r="CF455" s="3">
        <v>0</v>
      </c>
      <c r="CG455" s="3">
        <v>0</v>
      </c>
      <c r="CH455" s="3">
        <v>0</v>
      </c>
      <c r="CI455" s="3">
        <v>0</v>
      </c>
      <c r="CJ455" s="3">
        <v>0</v>
      </c>
      <c r="CK455" s="3">
        <v>0</v>
      </c>
      <c r="CL455" s="3">
        <v>0</v>
      </c>
      <c r="CM455" s="3">
        <v>0</v>
      </c>
      <c r="CN455" s="3">
        <v>0</v>
      </c>
      <c r="CO455" s="3">
        <v>0</v>
      </c>
      <c r="CP455" s="3">
        <v>0</v>
      </c>
      <c r="CQ455" s="3">
        <v>0</v>
      </c>
      <c r="CR455" s="3">
        <v>0</v>
      </c>
      <c r="CS455" s="3">
        <v>0</v>
      </c>
      <c r="CU455" s="17" t="s">
        <v>3001</v>
      </c>
      <c r="CV455" s="3">
        <v>0</v>
      </c>
      <c r="CW455" s="3">
        <v>0</v>
      </c>
      <c r="CX455" s="3">
        <v>0</v>
      </c>
      <c r="CY455" s="3">
        <v>0</v>
      </c>
      <c r="CZ455" s="3">
        <v>0</v>
      </c>
      <c r="DA455" s="3">
        <v>0</v>
      </c>
      <c r="DB455" s="3">
        <v>0</v>
      </c>
      <c r="DC455" s="3">
        <v>0</v>
      </c>
      <c r="DD455" s="3">
        <v>0</v>
      </c>
      <c r="DE455" s="3">
        <v>0</v>
      </c>
      <c r="DF455" s="3">
        <v>0</v>
      </c>
      <c r="DG455" s="3">
        <v>0</v>
      </c>
      <c r="DH455" s="3">
        <v>0</v>
      </c>
      <c r="DI455" s="3">
        <v>0</v>
      </c>
      <c r="DJ455" s="3">
        <v>0</v>
      </c>
      <c r="DK455" s="3">
        <v>0</v>
      </c>
      <c r="DL455" s="3">
        <v>0</v>
      </c>
      <c r="DM455" s="3">
        <v>0</v>
      </c>
      <c r="DN455" s="3">
        <v>0</v>
      </c>
      <c r="DO455" s="3">
        <v>0</v>
      </c>
    </row>
    <row r="456" spans="1:119" x14ac:dyDescent="0.45">
      <c r="A456" s="16" t="s">
        <v>3002</v>
      </c>
      <c r="B456" s="3" t="s">
        <v>89</v>
      </c>
      <c r="C456" s="16"/>
      <c r="H456" s="3" t="s">
        <v>3003</v>
      </c>
      <c r="I456" s="3" t="s">
        <v>2363</v>
      </c>
      <c r="K456" s="17" t="s">
        <v>3004</v>
      </c>
      <c r="L456" s="3">
        <v>0</v>
      </c>
      <c r="M456" s="3">
        <v>0</v>
      </c>
      <c r="N456" s="3">
        <v>0</v>
      </c>
      <c r="O456" s="3">
        <v>0</v>
      </c>
      <c r="P456" s="3">
        <v>0</v>
      </c>
      <c r="Q456" s="3">
        <v>0</v>
      </c>
      <c r="R456" s="3">
        <v>0</v>
      </c>
      <c r="S456" s="3">
        <v>0</v>
      </c>
      <c r="T456" s="3">
        <v>0</v>
      </c>
      <c r="U456" s="3">
        <v>0</v>
      </c>
      <c r="V456" s="3">
        <v>0</v>
      </c>
      <c r="W456" s="3">
        <v>0</v>
      </c>
      <c r="X456" s="3">
        <v>0</v>
      </c>
      <c r="Y456" s="3">
        <v>0</v>
      </c>
      <c r="Z456" s="3">
        <v>0</v>
      </c>
      <c r="AA456" s="3">
        <v>0</v>
      </c>
      <c r="AB456" s="3">
        <v>0</v>
      </c>
      <c r="AC456" s="3">
        <v>0</v>
      </c>
      <c r="AD456" s="3">
        <v>0</v>
      </c>
      <c r="AE456" s="3">
        <v>0</v>
      </c>
      <c r="AG456" s="17" t="s">
        <v>3005</v>
      </c>
      <c r="AH456" s="3">
        <v>0</v>
      </c>
      <c r="AI456" s="3">
        <v>0</v>
      </c>
      <c r="AJ456" s="3">
        <v>0</v>
      </c>
      <c r="AK456" s="3">
        <v>0</v>
      </c>
      <c r="AL456" s="3">
        <v>0</v>
      </c>
      <c r="AM456" s="3">
        <v>0</v>
      </c>
      <c r="AN456" s="3">
        <v>0</v>
      </c>
      <c r="AO456" s="3">
        <v>0</v>
      </c>
      <c r="AP456" s="3">
        <v>0</v>
      </c>
      <c r="AQ456" s="3">
        <v>0</v>
      </c>
      <c r="AR456" s="3">
        <v>0</v>
      </c>
      <c r="AS456" s="3">
        <v>0</v>
      </c>
      <c r="AT456" s="3">
        <v>0</v>
      </c>
      <c r="AU456" s="3">
        <v>0</v>
      </c>
      <c r="AV456" s="3">
        <v>0</v>
      </c>
      <c r="AW456" s="3">
        <v>0</v>
      </c>
      <c r="AX456" s="3">
        <v>0</v>
      </c>
      <c r="AY456" s="3">
        <v>0</v>
      </c>
      <c r="AZ456" s="3">
        <v>0</v>
      </c>
      <c r="BA456" s="3">
        <v>0</v>
      </c>
      <c r="BC456" s="17" t="s">
        <v>3006</v>
      </c>
      <c r="BD456" s="3">
        <v>0</v>
      </c>
      <c r="BE456" s="3">
        <v>0</v>
      </c>
      <c r="BF456" s="3">
        <v>0</v>
      </c>
      <c r="BG456" s="3">
        <v>0</v>
      </c>
      <c r="BH456" s="3">
        <v>0</v>
      </c>
      <c r="BI456" s="3">
        <v>0</v>
      </c>
      <c r="BJ456" s="3">
        <v>0</v>
      </c>
      <c r="BK456" s="3">
        <v>0</v>
      </c>
      <c r="BL456" s="3">
        <v>0</v>
      </c>
      <c r="BM456" s="3">
        <v>0</v>
      </c>
      <c r="BN456" s="3">
        <v>0</v>
      </c>
      <c r="BO456" s="3">
        <v>0</v>
      </c>
      <c r="BP456" s="3">
        <v>0</v>
      </c>
      <c r="BQ456" s="3">
        <v>0</v>
      </c>
      <c r="BR456" s="3">
        <v>0</v>
      </c>
      <c r="BS456" s="3">
        <v>0</v>
      </c>
      <c r="BT456" s="3">
        <v>0</v>
      </c>
      <c r="BU456" s="3">
        <v>0</v>
      </c>
      <c r="BV456" s="3">
        <v>0</v>
      </c>
      <c r="BW456" s="3">
        <v>0</v>
      </c>
      <c r="BY456" s="17" t="s">
        <v>3007</v>
      </c>
      <c r="BZ456" s="3">
        <v>0</v>
      </c>
      <c r="CA456" s="3">
        <v>0</v>
      </c>
      <c r="CB456" s="3">
        <v>0</v>
      </c>
      <c r="CC456" s="3">
        <v>0</v>
      </c>
      <c r="CD456" s="3">
        <v>0</v>
      </c>
      <c r="CE456" s="3">
        <v>0</v>
      </c>
      <c r="CF456" s="3">
        <v>0</v>
      </c>
      <c r="CG456" s="3">
        <v>0</v>
      </c>
      <c r="CH456" s="3">
        <v>0</v>
      </c>
      <c r="CI456" s="3">
        <v>0</v>
      </c>
      <c r="CJ456" s="3">
        <v>0</v>
      </c>
      <c r="CK456" s="3">
        <v>0</v>
      </c>
      <c r="CL456" s="3">
        <v>0</v>
      </c>
      <c r="CM456" s="3">
        <v>0</v>
      </c>
      <c r="CN456" s="3">
        <v>0</v>
      </c>
      <c r="CO456" s="3">
        <v>0</v>
      </c>
      <c r="CP456" s="3">
        <v>0</v>
      </c>
      <c r="CQ456" s="3">
        <v>0</v>
      </c>
      <c r="CR456" s="3">
        <v>0</v>
      </c>
      <c r="CS456" s="3">
        <v>0</v>
      </c>
      <c r="CU456" s="17" t="s">
        <v>3008</v>
      </c>
      <c r="CV456" s="3">
        <v>0</v>
      </c>
      <c r="CW456" s="3">
        <v>0</v>
      </c>
      <c r="CX456" s="3">
        <v>0</v>
      </c>
      <c r="CY456" s="3">
        <v>0</v>
      </c>
      <c r="CZ456" s="3">
        <v>0</v>
      </c>
      <c r="DA456" s="3">
        <v>0</v>
      </c>
      <c r="DB456" s="3">
        <v>0</v>
      </c>
      <c r="DC456" s="3">
        <v>0</v>
      </c>
      <c r="DD456" s="3">
        <v>0</v>
      </c>
      <c r="DE456" s="3">
        <v>0</v>
      </c>
      <c r="DF456" s="3">
        <v>0</v>
      </c>
      <c r="DG456" s="3">
        <v>0</v>
      </c>
      <c r="DH456" s="3">
        <v>0</v>
      </c>
      <c r="DI456" s="3">
        <v>0</v>
      </c>
      <c r="DJ456" s="3">
        <v>0</v>
      </c>
      <c r="DK456" s="3">
        <v>0</v>
      </c>
      <c r="DL456" s="3">
        <v>0</v>
      </c>
      <c r="DM456" s="3">
        <v>0</v>
      </c>
      <c r="DN456" s="3">
        <v>0</v>
      </c>
      <c r="DO456" s="3">
        <v>0</v>
      </c>
    </row>
    <row r="457" spans="1:119" x14ac:dyDescent="0.45">
      <c r="A457" s="16" t="s">
        <v>3009</v>
      </c>
      <c r="B457" s="3" t="s">
        <v>89</v>
      </c>
      <c r="C457" s="16"/>
      <c r="H457" s="3" t="s">
        <v>3010</v>
      </c>
      <c r="I457" s="3" t="s">
        <v>2363</v>
      </c>
      <c r="K457" s="17" t="s">
        <v>3011</v>
      </c>
      <c r="L457" s="3">
        <v>0</v>
      </c>
      <c r="M457" s="3">
        <v>0</v>
      </c>
      <c r="N457" s="3">
        <v>0</v>
      </c>
      <c r="O457" s="3">
        <v>0</v>
      </c>
      <c r="P457" s="3">
        <v>0</v>
      </c>
      <c r="Q457" s="3">
        <v>0</v>
      </c>
      <c r="R457" s="3">
        <v>0</v>
      </c>
      <c r="S457" s="3">
        <v>0</v>
      </c>
      <c r="T457" s="3">
        <v>0</v>
      </c>
      <c r="U457" s="3">
        <v>0</v>
      </c>
      <c r="V457" s="3">
        <v>0</v>
      </c>
      <c r="W457" s="3">
        <v>0</v>
      </c>
      <c r="X457" s="3">
        <v>0</v>
      </c>
      <c r="Y457" s="3">
        <v>0</v>
      </c>
      <c r="Z457" s="3">
        <v>0</v>
      </c>
      <c r="AA457" s="3">
        <v>0</v>
      </c>
      <c r="AB457" s="3">
        <v>0</v>
      </c>
      <c r="AC457" s="3">
        <v>0</v>
      </c>
      <c r="AD457" s="3">
        <v>0</v>
      </c>
      <c r="AE457" s="3">
        <v>0</v>
      </c>
      <c r="AG457" s="17" t="s">
        <v>3012</v>
      </c>
      <c r="AH457" s="3">
        <v>0</v>
      </c>
      <c r="AI457" s="3">
        <v>0</v>
      </c>
      <c r="AJ457" s="3">
        <v>0</v>
      </c>
      <c r="AK457" s="3">
        <v>0</v>
      </c>
      <c r="AL457" s="3">
        <v>0</v>
      </c>
      <c r="AM457" s="3">
        <v>0</v>
      </c>
      <c r="AN457" s="3">
        <v>0</v>
      </c>
      <c r="AO457" s="3">
        <v>0</v>
      </c>
      <c r="AP457" s="3">
        <v>0</v>
      </c>
      <c r="AQ457" s="3">
        <v>0</v>
      </c>
      <c r="AR457" s="3">
        <v>0</v>
      </c>
      <c r="AS457" s="3">
        <v>0</v>
      </c>
      <c r="AT457" s="3">
        <v>0</v>
      </c>
      <c r="AU457" s="3">
        <v>0</v>
      </c>
      <c r="AV457" s="3">
        <v>0</v>
      </c>
      <c r="AW457" s="3">
        <v>0</v>
      </c>
      <c r="AX457" s="3">
        <v>0</v>
      </c>
      <c r="AY457" s="3">
        <v>0</v>
      </c>
      <c r="AZ457" s="3">
        <v>0</v>
      </c>
      <c r="BA457" s="3">
        <v>0</v>
      </c>
      <c r="BC457" s="17" t="s">
        <v>3013</v>
      </c>
      <c r="BD457" s="3">
        <v>0</v>
      </c>
      <c r="BE457" s="3">
        <v>0</v>
      </c>
      <c r="BF457" s="3">
        <v>0</v>
      </c>
      <c r="BG457" s="3">
        <v>0</v>
      </c>
      <c r="BH457" s="3">
        <v>0</v>
      </c>
      <c r="BI457" s="3">
        <v>0</v>
      </c>
      <c r="BJ457" s="3">
        <v>0</v>
      </c>
      <c r="BK457" s="3">
        <v>0</v>
      </c>
      <c r="BL457" s="3">
        <v>0</v>
      </c>
      <c r="BM457" s="3">
        <v>0</v>
      </c>
      <c r="BN457" s="3">
        <v>0</v>
      </c>
      <c r="BO457" s="3">
        <v>0</v>
      </c>
      <c r="BP457" s="3">
        <v>0</v>
      </c>
      <c r="BQ457" s="3">
        <v>0</v>
      </c>
      <c r="BR457" s="3">
        <v>0</v>
      </c>
      <c r="BS457" s="3">
        <v>0</v>
      </c>
      <c r="BT457" s="3">
        <v>0</v>
      </c>
      <c r="BU457" s="3">
        <v>0</v>
      </c>
      <c r="BV457" s="3">
        <v>0</v>
      </c>
      <c r="BW457" s="3">
        <v>0</v>
      </c>
      <c r="BY457" s="17" t="s">
        <v>3014</v>
      </c>
      <c r="BZ457" s="3">
        <v>0</v>
      </c>
      <c r="CA457" s="3">
        <v>0</v>
      </c>
      <c r="CB457" s="3">
        <v>0</v>
      </c>
      <c r="CC457" s="3">
        <v>0</v>
      </c>
      <c r="CD457" s="3">
        <v>0</v>
      </c>
      <c r="CE457" s="3">
        <v>0</v>
      </c>
      <c r="CF457" s="3">
        <v>0</v>
      </c>
      <c r="CG457" s="3">
        <v>0</v>
      </c>
      <c r="CH457" s="3">
        <v>0</v>
      </c>
      <c r="CI457" s="3">
        <v>0</v>
      </c>
      <c r="CJ457" s="3">
        <v>0</v>
      </c>
      <c r="CK457" s="3">
        <v>0</v>
      </c>
      <c r="CL457" s="3">
        <v>0</v>
      </c>
      <c r="CM457" s="3">
        <v>0</v>
      </c>
      <c r="CN457" s="3">
        <v>0</v>
      </c>
      <c r="CO457" s="3">
        <v>0</v>
      </c>
      <c r="CP457" s="3">
        <v>0</v>
      </c>
      <c r="CQ457" s="3">
        <v>0</v>
      </c>
      <c r="CR457" s="3">
        <v>0</v>
      </c>
      <c r="CS457" s="3">
        <v>0</v>
      </c>
      <c r="CU457" s="17" t="s">
        <v>3015</v>
      </c>
      <c r="CV457" s="3">
        <v>0</v>
      </c>
      <c r="CW457" s="3">
        <v>0</v>
      </c>
      <c r="CX457" s="3">
        <v>0</v>
      </c>
      <c r="CY457" s="3">
        <v>0</v>
      </c>
      <c r="CZ457" s="3">
        <v>0</v>
      </c>
      <c r="DA457" s="3">
        <v>0</v>
      </c>
      <c r="DB457" s="3">
        <v>0</v>
      </c>
      <c r="DC457" s="3">
        <v>0</v>
      </c>
      <c r="DD457" s="3">
        <v>0</v>
      </c>
      <c r="DE457" s="3">
        <v>0</v>
      </c>
      <c r="DF457" s="3">
        <v>0</v>
      </c>
      <c r="DG457" s="3">
        <v>0</v>
      </c>
      <c r="DH457" s="3">
        <v>0</v>
      </c>
      <c r="DI457" s="3">
        <v>0</v>
      </c>
      <c r="DJ457" s="3">
        <v>0</v>
      </c>
      <c r="DK457" s="3">
        <v>0</v>
      </c>
      <c r="DL457" s="3">
        <v>0</v>
      </c>
      <c r="DM457" s="3">
        <v>0</v>
      </c>
      <c r="DN457" s="3">
        <v>0</v>
      </c>
      <c r="DO457" s="3">
        <v>0</v>
      </c>
    </row>
    <row r="458" spans="1:119" x14ac:dyDescent="0.45">
      <c r="A458" s="16" t="s">
        <v>3016</v>
      </c>
      <c r="B458" s="3" t="s">
        <v>89</v>
      </c>
      <c r="C458" s="16"/>
      <c r="H458" s="3" t="s">
        <v>3017</v>
      </c>
      <c r="I458" s="3" t="s">
        <v>2363</v>
      </c>
      <c r="K458" s="17" t="s">
        <v>3018</v>
      </c>
      <c r="L458" s="3">
        <v>0</v>
      </c>
      <c r="M458" s="3">
        <v>0</v>
      </c>
      <c r="N458" s="3">
        <v>0</v>
      </c>
      <c r="O458" s="3">
        <v>0</v>
      </c>
      <c r="P458" s="3">
        <v>0</v>
      </c>
      <c r="Q458" s="3">
        <v>0</v>
      </c>
      <c r="R458" s="3">
        <v>0</v>
      </c>
      <c r="S458" s="3">
        <v>0</v>
      </c>
      <c r="T458" s="3">
        <v>0</v>
      </c>
      <c r="U458" s="3">
        <v>0</v>
      </c>
      <c r="V458" s="3">
        <v>0</v>
      </c>
      <c r="W458" s="3">
        <v>0</v>
      </c>
      <c r="X458" s="3">
        <v>0</v>
      </c>
      <c r="Y458" s="3">
        <v>0</v>
      </c>
      <c r="Z458" s="3">
        <v>0</v>
      </c>
      <c r="AA458" s="3">
        <v>0</v>
      </c>
      <c r="AB458" s="3">
        <v>0</v>
      </c>
      <c r="AC458" s="3">
        <v>0</v>
      </c>
      <c r="AD458" s="3">
        <v>0</v>
      </c>
      <c r="AE458" s="3">
        <v>0</v>
      </c>
      <c r="AG458" s="17" t="s">
        <v>3019</v>
      </c>
      <c r="AH458" s="3">
        <v>0</v>
      </c>
      <c r="AI458" s="3">
        <v>0</v>
      </c>
      <c r="AJ458" s="3">
        <v>0</v>
      </c>
      <c r="AK458" s="3">
        <v>0</v>
      </c>
      <c r="AL458" s="3">
        <v>0</v>
      </c>
      <c r="AM458" s="3">
        <v>0</v>
      </c>
      <c r="AN458" s="3">
        <v>0</v>
      </c>
      <c r="AO458" s="3">
        <v>0</v>
      </c>
      <c r="AP458" s="3">
        <v>0</v>
      </c>
      <c r="AQ458" s="3">
        <v>0</v>
      </c>
      <c r="AR458" s="3">
        <v>0</v>
      </c>
      <c r="AS458" s="3">
        <v>0</v>
      </c>
      <c r="AT458" s="3">
        <v>0</v>
      </c>
      <c r="AU458" s="3">
        <v>0</v>
      </c>
      <c r="AV458" s="3">
        <v>0</v>
      </c>
      <c r="AW458" s="3">
        <v>0</v>
      </c>
      <c r="AX458" s="3">
        <v>0</v>
      </c>
      <c r="AY458" s="3">
        <v>0</v>
      </c>
      <c r="AZ458" s="3">
        <v>0</v>
      </c>
      <c r="BA458" s="3">
        <v>0</v>
      </c>
      <c r="BC458" s="17" t="s">
        <v>3020</v>
      </c>
      <c r="BD458" s="3">
        <v>0</v>
      </c>
      <c r="BE458" s="3">
        <v>0</v>
      </c>
      <c r="BF458" s="3">
        <v>0</v>
      </c>
      <c r="BG458" s="3">
        <v>0</v>
      </c>
      <c r="BH458" s="3">
        <v>0</v>
      </c>
      <c r="BI458" s="3">
        <v>0</v>
      </c>
      <c r="BJ458" s="3">
        <v>0</v>
      </c>
      <c r="BK458" s="3">
        <v>0</v>
      </c>
      <c r="BL458" s="3">
        <v>0</v>
      </c>
      <c r="BM458" s="3">
        <v>0</v>
      </c>
      <c r="BN458" s="3">
        <v>0</v>
      </c>
      <c r="BO458" s="3">
        <v>0</v>
      </c>
      <c r="BP458" s="3">
        <v>0</v>
      </c>
      <c r="BQ458" s="3">
        <v>0</v>
      </c>
      <c r="BR458" s="3">
        <v>0</v>
      </c>
      <c r="BS458" s="3">
        <v>0</v>
      </c>
      <c r="BT458" s="3">
        <v>0</v>
      </c>
      <c r="BU458" s="3">
        <v>0</v>
      </c>
      <c r="BV458" s="3">
        <v>0</v>
      </c>
      <c r="BW458" s="3">
        <v>0</v>
      </c>
      <c r="BY458" s="17" t="s">
        <v>3021</v>
      </c>
      <c r="BZ458" s="3">
        <v>0</v>
      </c>
      <c r="CA458" s="3">
        <v>0</v>
      </c>
      <c r="CB458" s="3">
        <v>0</v>
      </c>
      <c r="CC458" s="3">
        <v>0</v>
      </c>
      <c r="CD458" s="3">
        <v>0</v>
      </c>
      <c r="CE458" s="3">
        <v>0</v>
      </c>
      <c r="CF458" s="3">
        <v>0</v>
      </c>
      <c r="CG458" s="3">
        <v>0</v>
      </c>
      <c r="CH458" s="3">
        <v>0</v>
      </c>
      <c r="CI458" s="3">
        <v>0</v>
      </c>
      <c r="CJ458" s="3">
        <v>0</v>
      </c>
      <c r="CK458" s="3">
        <v>0</v>
      </c>
      <c r="CL458" s="3">
        <v>0</v>
      </c>
      <c r="CM458" s="3">
        <v>0</v>
      </c>
      <c r="CN458" s="3">
        <v>0</v>
      </c>
      <c r="CO458" s="3">
        <v>0</v>
      </c>
      <c r="CP458" s="3">
        <v>0</v>
      </c>
      <c r="CQ458" s="3">
        <v>0</v>
      </c>
      <c r="CR458" s="3">
        <v>0</v>
      </c>
      <c r="CS458" s="3">
        <v>0</v>
      </c>
      <c r="CU458" s="17" t="s">
        <v>3022</v>
      </c>
      <c r="CV458" s="3">
        <v>0</v>
      </c>
      <c r="CW458" s="3">
        <v>0</v>
      </c>
      <c r="CX458" s="3">
        <v>0</v>
      </c>
      <c r="CY458" s="3">
        <v>0</v>
      </c>
      <c r="CZ458" s="3">
        <v>0</v>
      </c>
      <c r="DA458" s="3">
        <v>0</v>
      </c>
      <c r="DB458" s="3">
        <v>0</v>
      </c>
      <c r="DC458" s="3">
        <v>0</v>
      </c>
      <c r="DD458" s="3">
        <v>0</v>
      </c>
      <c r="DE458" s="3">
        <v>0</v>
      </c>
      <c r="DF458" s="3">
        <v>0</v>
      </c>
      <c r="DG458" s="3">
        <v>0</v>
      </c>
      <c r="DH458" s="3">
        <v>0</v>
      </c>
      <c r="DI458" s="3">
        <v>0</v>
      </c>
      <c r="DJ458" s="3">
        <v>0</v>
      </c>
      <c r="DK458" s="3">
        <v>0</v>
      </c>
      <c r="DL458" s="3">
        <v>0</v>
      </c>
      <c r="DM458" s="3">
        <v>0</v>
      </c>
      <c r="DN458" s="3">
        <v>0</v>
      </c>
      <c r="DO458" s="3">
        <v>0</v>
      </c>
    </row>
    <row r="459" spans="1:119" x14ac:dyDescent="0.45">
      <c r="A459" s="16" t="s">
        <v>3023</v>
      </c>
      <c r="B459" s="3" t="s">
        <v>89</v>
      </c>
      <c r="C459" s="16"/>
      <c r="H459" s="3" t="s">
        <v>3024</v>
      </c>
      <c r="I459" s="3" t="s">
        <v>2363</v>
      </c>
      <c r="K459" s="17" t="s">
        <v>3025</v>
      </c>
      <c r="L459" s="3">
        <v>0</v>
      </c>
      <c r="M459" s="3">
        <v>0</v>
      </c>
      <c r="N459" s="3">
        <v>0</v>
      </c>
      <c r="O459" s="3">
        <v>0</v>
      </c>
      <c r="P459" s="3">
        <v>0</v>
      </c>
      <c r="Q459" s="3">
        <v>0</v>
      </c>
      <c r="R459" s="3">
        <v>0</v>
      </c>
      <c r="S459" s="3">
        <v>0</v>
      </c>
      <c r="T459" s="3">
        <v>0</v>
      </c>
      <c r="U459" s="3">
        <v>0</v>
      </c>
      <c r="V459" s="3">
        <v>0</v>
      </c>
      <c r="W459" s="3">
        <v>0</v>
      </c>
      <c r="X459" s="3">
        <v>0</v>
      </c>
      <c r="Y459" s="3">
        <v>0</v>
      </c>
      <c r="Z459" s="3">
        <v>0</v>
      </c>
      <c r="AA459" s="3">
        <v>0</v>
      </c>
      <c r="AB459" s="3">
        <v>0</v>
      </c>
      <c r="AC459" s="3">
        <v>0</v>
      </c>
      <c r="AD459" s="3">
        <v>0</v>
      </c>
      <c r="AE459" s="3">
        <v>0</v>
      </c>
      <c r="AG459" s="17" t="s">
        <v>3026</v>
      </c>
      <c r="AH459" s="3">
        <v>0</v>
      </c>
      <c r="AI459" s="3">
        <v>0</v>
      </c>
      <c r="AJ459" s="3">
        <v>0</v>
      </c>
      <c r="AK459" s="3">
        <v>0</v>
      </c>
      <c r="AL459" s="3">
        <v>0</v>
      </c>
      <c r="AM459" s="3">
        <v>0</v>
      </c>
      <c r="AN459" s="3">
        <v>0</v>
      </c>
      <c r="AO459" s="3">
        <v>0</v>
      </c>
      <c r="AP459" s="3">
        <v>0</v>
      </c>
      <c r="AQ459" s="3">
        <v>0</v>
      </c>
      <c r="AR459" s="3">
        <v>0</v>
      </c>
      <c r="AS459" s="3">
        <v>0</v>
      </c>
      <c r="AT459" s="3">
        <v>0</v>
      </c>
      <c r="AU459" s="3">
        <v>0</v>
      </c>
      <c r="AV459" s="3">
        <v>0</v>
      </c>
      <c r="AW459" s="3">
        <v>0</v>
      </c>
      <c r="AX459" s="3">
        <v>0</v>
      </c>
      <c r="AY459" s="3">
        <v>0</v>
      </c>
      <c r="AZ459" s="3">
        <v>0</v>
      </c>
      <c r="BA459" s="3">
        <v>0</v>
      </c>
      <c r="BC459" s="17" t="s">
        <v>3027</v>
      </c>
      <c r="BD459" s="3">
        <v>0</v>
      </c>
      <c r="BE459" s="3">
        <v>0</v>
      </c>
      <c r="BF459" s="3">
        <v>0</v>
      </c>
      <c r="BG459" s="3">
        <v>0</v>
      </c>
      <c r="BH459" s="3">
        <v>0</v>
      </c>
      <c r="BI459" s="3">
        <v>0</v>
      </c>
      <c r="BJ459" s="3">
        <v>0</v>
      </c>
      <c r="BK459" s="3">
        <v>0</v>
      </c>
      <c r="BL459" s="3">
        <v>0</v>
      </c>
      <c r="BM459" s="3">
        <v>0</v>
      </c>
      <c r="BN459" s="3">
        <v>0</v>
      </c>
      <c r="BO459" s="3">
        <v>0</v>
      </c>
      <c r="BP459" s="3">
        <v>0</v>
      </c>
      <c r="BQ459" s="3">
        <v>0</v>
      </c>
      <c r="BR459" s="3">
        <v>0</v>
      </c>
      <c r="BS459" s="3">
        <v>0</v>
      </c>
      <c r="BT459" s="3">
        <v>0</v>
      </c>
      <c r="BU459" s="3">
        <v>0</v>
      </c>
      <c r="BV459" s="3">
        <v>0</v>
      </c>
      <c r="BW459" s="3">
        <v>0</v>
      </c>
      <c r="BY459" s="17" t="s">
        <v>3028</v>
      </c>
      <c r="BZ459" s="3">
        <v>0</v>
      </c>
      <c r="CA459" s="3">
        <v>0</v>
      </c>
      <c r="CB459" s="3">
        <v>0</v>
      </c>
      <c r="CC459" s="3">
        <v>0</v>
      </c>
      <c r="CD459" s="3">
        <v>0</v>
      </c>
      <c r="CE459" s="3">
        <v>0</v>
      </c>
      <c r="CF459" s="3">
        <v>0</v>
      </c>
      <c r="CG459" s="3">
        <v>0</v>
      </c>
      <c r="CH459" s="3">
        <v>0</v>
      </c>
      <c r="CI459" s="3">
        <v>0</v>
      </c>
      <c r="CJ459" s="3">
        <v>0</v>
      </c>
      <c r="CK459" s="3">
        <v>0</v>
      </c>
      <c r="CL459" s="3">
        <v>0</v>
      </c>
      <c r="CM459" s="3">
        <v>0</v>
      </c>
      <c r="CN459" s="3">
        <v>0</v>
      </c>
      <c r="CO459" s="3">
        <v>0</v>
      </c>
      <c r="CP459" s="3">
        <v>0</v>
      </c>
      <c r="CQ459" s="3">
        <v>0</v>
      </c>
      <c r="CR459" s="3">
        <v>0</v>
      </c>
      <c r="CS459" s="3">
        <v>0</v>
      </c>
      <c r="CU459" s="17" t="s">
        <v>3029</v>
      </c>
      <c r="CV459" s="3">
        <v>0</v>
      </c>
      <c r="CW459" s="3">
        <v>0</v>
      </c>
      <c r="CX459" s="3">
        <v>0</v>
      </c>
      <c r="CY459" s="3">
        <v>0</v>
      </c>
      <c r="CZ459" s="3">
        <v>0</v>
      </c>
      <c r="DA459" s="3">
        <v>0</v>
      </c>
      <c r="DB459" s="3">
        <v>0</v>
      </c>
      <c r="DC459" s="3">
        <v>0</v>
      </c>
      <c r="DD459" s="3">
        <v>0</v>
      </c>
      <c r="DE459" s="3">
        <v>0</v>
      </c>
      <c r="DF459" s="3">
        <v>0</v>
      </c>
      <c r="DG459" s="3">
        <v>0</v>
      </c>
      <c r="DH459" s="3">
        <v>0</v>
      </c>
      <c r="DI459" s="3">
        <v>0</v>
      </c>
      <c r="DJ459" s="3">
        <v>0</v>
      </c>
      <c r="DK459" s="3">
        <v>0</v>
      </c>
      <c r="DL459" s="3">
        <v>0</v>
      </c>
      <c r="DM459" s="3">
        <v>0</v>
      </c>
      <c r="DN459" s="3">
        <v>0</v>
      </c>
      <c r="DO459" s="3">
        <v>0</v>
      </c>
    </row>
    <row r="460" spans="1:119" x14ac:dyDescent="0.45">
      <c r="A460" s="16" t="s">
        <v>3030</v>
      </c>
      <c r="B460" s="3" t="s">
        <v>89</v>
      </c>
      <c r="C460" s="16"/>
      <c r="H460" s="3" t="s">
        <v>3031</v>
      </c>
      <c r="I460" s="3" t="s">
        <v>2363</v>
      </c>
      <c r="K460" s="17" t="s">
        <v>3032</v>
      </c>
      <c r="L460" s="3">
        <v>0</v>
      </c>
      <c r="M460" s="3">
        <v>0</v>
      </c>
      <c r="N460" s="3">
        <v>0</v>
      </c>
      <c r="O460" s="3">
        <v>0</v>
      </c>
      <c r="P460" s="3">
        <v>0</v>
      </c>
      <c r="Q460" s="3">
        <v>0</v>
      </c>
      <c r="R460" s="3">
        <v>0</v>
      </c>
      <c r="S460" s="3">
        <v>0</v>
      </c>
      <c r="T460" s="3">
        <v>0</v>
      </c>
      <c r="U460" s="3">
        <v>0</v>
      </c>
      <c r="V460" s="3">
        <v>0</v>
      </c>
      <c r="W460" s="3">
        <v>0</v>
      </c>
      <c r="X460" s="3">
        <v>0</v>
      </c>
      <c r="Y460" s="3">
        <v>0</v>
      </c>
      <c r="Z460" s="3">
        <v>0</v>
      </c>
      <c r="AA460" s="3">
        <v>0</v>
      </c>
      <c r="AB460" s="3">
        <v>0</v>
      </c>
      <c r="AC460" s="3">
        <v>0</v>
      </c>
      <c r="AD460" s="3">
        <v>0</v>
      </c>
      <c r="AE460" s="3">
        <v>0</v>
      </c>
      <c r="AG460" s="17" t="s">
        <v>3033</v>
      </c>
      <c r="AH460" s="3">
        <v>0</v>
      </c>
      <c r="AI460" s="3">
        <v>0</v>
      </c>
      <c r="AJ460" s="3">
        <v>0</v>
      </c>
      <c r="AK460" s="3">
        <v>0</v>
      </c>
      <c r="AL460" s="3">
        <v>0</v>
      </c>
      <c r="AM460" s="3">
        <v>0</v>
      </c>
      <c r="AN460" s="3">
        <v>0</v>
      </c>
      <c r="AO460" s="3">
        <v>0</v>
      </c>
      <c r="AP460" s="3">
        <v>0</v>
      </c>
      <c r="AQ460" s="3">
        <v>0</v>
      </c>
      <c r="AR460" s="3">
        <v>0</v>
      </c>
      <c r="AS460" s="3">
        <v>0</v>
      </c>
      <c r="AT460" s="3">
        <v>0</v>
      </c>
      <c r="AU460" s="3">
        <v>0</v>
      </c>
      <c r="AV460" s="3">
        <v>0</v>
      </c>
      <c r="AW460" s="3">
        <v>0</v>
      </c>
      <c r="AX460" s="3">
        <v>0</v>
      </c>
      <c r="AY460" s="3">
        <v>0</v>
      </c>
      <c r="AZ460" s="3">
        <v>0</v>
      </c>
      <c r="BA460" s="3">
        <v>0</v>
      </c>
      <c r="BC460" s="17" t="s">
        <v>3034</v>
      </c>
      <c r="BD460" s="3">
        <v>0</v>
      </c>
      <c r="BE460" s="3">
        <v>0</v>
      </c>
      <c r="BF460" s="3">
        <v>0</v>
      </c>
      <c r="BG460" s="3">
        <v>0</v>
      </c>
      <c r="BH460" s="3">
        <v>0</v>
      </c>
      <c r="BI460" s="3">
        <v>0</v>
      </c>
      <c r="BJ460" s="3">
        <v>0</v>
      </c>
      <c r="BK460" s="3">
        <v>0</v>
      </c>
      <c r="BL460" s="3">
        <v>0</v>
      </c>
      <c r="BM460" s="3">
        <v>0</v>
      </c>
      <c r="BN460" s="3">
        <v>0</v>
      </c>
      <c r="BO460" s="3">
        <v>0</v>
      </c>
      <c r="BP460" s="3">
        <v>0</v>
      </c>
      <c r="BQ460" s="3">
        <v>0</v>
      </c>
      <c r="BR460" s="3">
        <v>0</v>
      </c>
      <c r="BS460" s="3">
        <v>0</v>
      </c>
      <c r="BT460" s="3">
        <v>0</v>
      </c>
      <c r="BU460" s="3">
        <v>0</v>
      </c>
      <c r="BV460" s="3">
        <v>0</v>
      </c>
      <c r="BW460" s="3">
        <v>0</v>
      </c>
      <c r="BY460" s="17" t="s">
        <v>3035</v>
      </c>
      <c r="BZ460" s="3">
        <v>0</v>
      </c>
      <c r="CA460" s="3">
        <v>0</v>
      </c>
      <c r="CB460" s="3">
        <v>0</v>
      </c>
      <c r="CC460" s="3">
        <v>0</v>
      </c>
      <c r="CD460" s="3">
        <v>0</v>
      </c>
      <c r="CE460" s="3">
        <v>0</v>
      </c>
      <c r="CF460" s="3">
        <v>0</v>
      </c>
      <c r="CG460" s="3">
        <v>0</v>
      </c>
      <c r="CH460" s="3">
        <v>0</v>
      </c>
      <c r="CI460" s="3">
        <v>0</v>
      </c>
      <c r="CJ460" s="3">
        <v>0</v>
      </c>
      <c r="CK460" s="3">
        <v>0</v>
      </c>
      <c r="CL460" s="3">
        <v>0</v>
      </c>
      <c r="CM460" s="3">
        <v>0</v>
      </c>
      <c r="CN460" s="3">
        <v>0</v>
      </c>
      <c r="CO460" s="3">
        <v>0</v>
      </c>
      <c r="CP460" s="3">
        <v>0</v>
      </c>
      <c r="CQ460" s="3">
        <v>0</v>
      </c>
      <c r="CR460" s="3">
        <v>0</v>
      </c>
      <c r="CS460" s="3">
        <v>0</v>
      </c>
      <c r="CU460" s="17" t="s">
        <v>3036</v>
      </c>
      <c r="CV460" s="3">
        <v>0</v>
      </c>
      <c r="CW460" s="3">
        <v>0</v>
      </c>
      <c r="CX460" s="3">
        <v>0</v>
      </c>
      <c r="CY460" s="3">
        <v>0</v>
      </c>
      <c r="CZ460" s="3">
        <v>0</v>
      </c>
      <c r="DA460" s="3">
        <v>0</v>
      </c>
      <c r="DB460" s="3">
        <v>0</v>
      </c>
      <c r="DC460" s="3">
        <v>0</v>
      </c>
      <c r="DD460" s="3">
        <v>0</v>
      </c>
      <c r="DE460" s="3">
        <v>0</v>
      </c>
      <c r="DF460" s="3">
        <v>0</v>
      </c>
      <c r="DG460" s="3">
        <v>0</v>
      </c>
      <c r="DH460" s="3">
        <v>0</v>
      </c>
      <c r="DI460" s="3">
        <v>0</v>
      </c>
      <c r="DJ460" s="3">
        <v>0</v>
      </c>
      <c r="DK460" s="3">
        <v>0</v>
      </c>
      <c r="DL460" s="3">
        <v>0</v>
      </c>
      <c r="DM460" s="3">
        <v>0</v>
      </c>
      <c r="DN460" s="3">
        <v>0</v>
      </c>
      <c r="DO460" s="3">
        <v>0</v>
      </c>
    </row>
    <row r="461" spans="1:119" x14ac:dyDescent="0.45">
      <c r="A461" s="16" t="s">
        <v>3037</v>
      </c>
      <c r="B461" s="3" t="s">
        <v>89</v>
      </c>
      <c r="C461" s="16"/>
      <c r="H461" s="3" t="s">
        <v>3038</v>
      </c>
      <c r="I461" s="3" t="s">
        <v>2363</v>
      </c>
      <c r="K461" s="17" t="s">
        <v>3039</v>
      </c>
      <c r="L461" s="3">
        <v>0</v>
      </c>
      <c r="M461" s="3">
        <v>0</v>
      </c>
      <c r="N461" s="3">
        <v>0</v>
      </c>
      <c r="O461" s="3">
        <v>0</v>
      </c>
      <c r="P461" s="3">
        <v>0</v>
      </c>
      <c r="Q461" s="3">
        <v>0</v>
      </c>
      <c r="R461" s="3">
        <v>0</v>
      </c>
      <c r="S461" s="3">
        <v>0</v>
      </c>
      <c r="T461" s="3">
        <v>0</v>
      </c>
      <c r="U461" s="3">
        <v>0</v>
      </c>
      <c r="V461" s="3">
        <v>0</v>
      </c>
      <c r="W461" s="3">
        <v>0</v>
      </c>
      <c r="X461" s="3">
        <v>0</v>
      </c>
      <c r="Y461" s="3">
        <v>0</v>
      </c>
      <c r="Z461" s="3">
        <v>0</v>
      </c>
      <c r="AA461" s="3">
        <v>0</v>
      </c>
      <c r="AB461" s="3">
        <v>0</v>
      </c>
      <c r="AC461" s="3">
        <v>0</v>
      </c>
      <c r="AD461" s="3">
        <v>0</v>
      </c>
      <c r="AE461" s="3">
        <v>0</v>
      </c>
      <c r="AG461" s="17" t="s">
        <v>3040</v>
      </c>
      <c r="AH461" s="3">
        <v>0</v>
      </c>
      <c r="AI461" s="3">
        <v>0</v>
      </c>
      <c r="AJ461" s="3">
        <v>0</v>
      </c>
      <c r="AK461" s="3">
        <v>0</v>
      </c>
      <c r="AL461" s="3">
        <v>0</v>
      </c>
      <c r="AM461" s="3">
        <v>0</v>
      </c>
      <c r="AN461" s="3">
        <v>0</v>
      </c>
      <c r="AO461" s="3">
        <v>0</v>
      </c>
      <c r="AP461" s="3">
        <v>0</v>
      </c>
      <c r="AQ461" s="3">
        <v>0</v>
      </c>
      <c r="AR461" s="3">
        <v>0</v>
      </c>
      <c r="AS461" s="3">
        <v>0</v>
      </c>
      <c r="AT461" s="3">
        <v>0</v>
      </c>
      <c r="AU461" s="3">
        <v>0</v>
      </c>
      <c r="AV461" s="3">
        <v>0</v>
      </c>
      <c r="AW461" s="3">
        <v>0</v>
      </c>
      <c r="AX461" s="3">
        <v>0</v>
      </c>
      <c r="AY461" s="3">
        <v>0</v>
      </c>
      <c r="AZ461" s="3">
        <v>0</v>
      </c>
      <c r="BA461" s="3">
        <v>0</v>
      </c>
      <c r="BC461" s="17" t="s">
        <v>3041</v>
      </c>
      <c r="BD461" s="3">
        <v>0</v>
      </c>
      <c r="BE461" s="3">
        <v>0</v>
      </c>
      <c r="BF461" s="3">
        <v>0</v>
      </c>
      <c r="BG461" s="3">
        <v>0</v>
      </c>
      <c r="BH461" s="3">
        <v>0</v>
      </c>
      <c r="BI461" s="3">
        <v>0</v>
      </c>
      <c r="BJ461" s="3">
        <v>0</v>
      </c>
      <c r="BK461" s="3">
        <v>0</v>
      </c>
      <c r="BL461" s="3">
        <v>0</v>
      </c>
      <c r="BM461" s="3">
        <v>0</v>
      </c>
      <c r="BN461" s="3">
        <v>0</v>
      </c>
      <c r="BO461" s="3">
        <v>0</v>
      </c>
      <c r="BP461" s="3">
        <v>0</v>
      </c>
      <c r="BQ461" s="3">
        <v>0</v>
      </c>
      <c r="BR461" s="3">
        <v>0</v>
      </c>
      <c r="BS461" s="3">
        <v>0</v>
      </c>
      <c r="BT461" s="3">
        <v>0</v>
      </c>
      <c r="BU461" s="3">
        <v>0</v>
      </c>
      <c r="BV461" s="3">
        <v>0</v>
      </c>
      <c r="BW461" s="3">
        <v>0</v>
      </c>
      <c r="BY461" s="17" t="s">
        <v>3042</v>
      </c>
      <c r="BZ461" s="3">
        <v>0</v>
      </c>
      <c r="CA461" s="3">
        <v>0</v>
      </c>
      <c r="CB461" s="3">
        <v>0</v>
      </c>
      <c r="CC461" s="3">
        <v>0</v>
      </c>
      <c r="CD461" s="3">
        <v>0</v>
      </c>
      <c r="CE461" s="3">
        <v>0</v>
      </c>
      <c r="CF461" s="3">
        <v>0</v>
      </c>
      <c r="CG461" s="3">
        <v>0</v>
      </c>
      <c r="CH461" s="3">
        <v>0</v>
      </c>
      <c r="CI461" s="3">
        <v>0</v>
      </c>
      <c r="CJ461" s="3">
        <v>0</v>
      </c>
      <c r="CK461" s="3">
        <v>0</v>
      </c>
      <c r="CL461" s="3">
        <v>0</v>
      </c>
      <c r="CM461" s="3">
        <v>0</v>
      </c>
      <c r="CN461" s="3">
        <v>0</v>
      </c>
      <c r="CO461" s="3">
        <v>0</v>
      </c>
      <c r="CP461" s="3">
        <v>0</v>
      </c>
      <c r="CQ461" s="3">
        <v>0</v>
      </c>
      <c r="CR461" s="3">
        <v>0</v>
      </c>
      <c r="CS461" s="3">
        <v>0</v>
      </c>
      <c r="CU461" s="17" t="s">
        <v>3043</v>
      </c>
      <c r="CV461" s="3">
        <v>0</v>
      </c>
      <c r="CW461" s="3">
        <v>0</v>
      </c>
      <c r="CX461" s="3">
        <v>0</v>
      </c>
      <c r="CY461" s="3">
        <v>0</v>
      </c>
      <c r="CZ461" s="3">
        <v>0</v>
      </c>
      <c r="DA461" s="3">
        <v>0</v>
      </c>
      <c r="DB461" s="3">
        <v>0</v>
      </c>
      <c r="DC461" s="3">
        <v>0</v>
      </c>
      <c r="DD461" s="3">
        <v>0</v>
      </c>
      <c r="DE461" s="3">
        <v>0</v>
      </c>
      <c r="DF461" s="3">
        <v>0</v>
      </c>
      <c r="DG461" s="3">
        <v>0</v>
      </c>
      <c r="DH461" s="3">
        <v>0</v>
      </c>
      <c r="DI461" s="3">
        <v>0</v>
      </c>
      <c r="DJ461" s="3">
        <v>0</v>
      </c>
      <c r="DK461" s="3">
        <v>0</v>
      </c>
      <c r="DL461" s="3">
        <v>0</v>
      </c>
      <c r="DM461" s="3">
        <v>0</v>
      </c>
      <c r="DN461" s="3">
        <v>0</v>
      </c>
      <c r="DO461" s="3">
        <v>0</v>
      </c>
    </row>
    <row r="462" spans="1:119" x14ac:dyDescent="0.45">
      <c r="A462" s="16" t="s">
        <v>3044</v>
      </c>
      <c r="B462" s="3" t="s">
        <v>89</v>
      </c>
      <c r="C462" s="16"/>
      <c r="H462" s="3" t="s">
        <v>3045</v>
      </c>
      <c r="I462" s="3" t="s">
        <v>2363</v>
      </c>
      <c r="K462" s="17" t="s">
        <v>3046</v>
      </c>
      <c r="L462" s="3">
        <v>0</v>
      </c>
      <c r="M462" s="3">
        <v>0</v>
      </c>
      <c r="N462" s="3">
        <v>0</v>
      </c>
      <c r="O462" s="3">
        <v>0</v>
      </c>
      <c r="P462" s="3">
        <v>0</v>
      </c>
      <c r="Q462" s="3">
        <v>0</v>
      </c>
      <c r="R462" s="3">
        <v>0</v>
      </c>
      <c r="S462" s="3">
        <v>0</v>
      </c>
      <c r="T462" s="3">
        <v>0</v>
      </c>
      <c r="U462" s="3">
        <v>0</v>
      </c>
      <c r="V462" s="3">
        <v>0</v>
      </c>
      <c r="W462" s="3">
        <v>0</v>
      </c>
      <c r="X462" s="3">
        <v>0</v>
      </c>
      <c r="Y462" s="3">
        <v>0</v>
      </c>
      <c r="Z462" s="3">
        <v>0</v>
      </c>
      <c r="AA462" s="3">
        <v>0</v>
      </c>
      <c r="AB462" s="3">
        <v>0</v>
      </c>
      <c r="AC462" s="3">
        <v>0</v>
      </c>
      <c r="AD462" s="3">
        <v>0</v>
      </c>
      <c r="AE462" s="3">
        <v>0</v>
      </c>
      <c r="AG462" s="17" t="s">
        <v>3047</v>
      </c>
      <c r="AH462" s="3">
        <v>0</v>
      </c>
      <c r="AI462" s="3">
        <v>0</v>
      </c>
      <c r="AJ462" s="3">
        <v>0</v>
      </c>
      <c r="AK462" s="3">
        <v>0</v>
      </c>
      <c r="AL462" s="3">
        <v>0</v>
      </c>
      <c r="AM462" s="3">
        <v>0</v>
      </c>
      <c r="AN462" s="3">
        <v>0</v>
      </c>
      <c r="AO462" s="3">
        <v>0</v>
      </c>
      <c r="AP462" s="3">
        <v>0</v>
      </c>
      <c r="AQ462" s="3">
        <v>0</v>
      </c>
      <c r="AR462" s="3">
        <v>0</v>
      </c>
      <c r="AS462" s="3">
        <v>0</v>
      </c>
      <c r="AT462" s="3">
        <v>0</v>
      </c>
      <c r="AU462" s="3">
        <v>0</v>
      </c>
      <c r="AV462" s="3">
        <v>0</v>
      </c>
      <c r="AW462" s="3">
        <v>0</v>
      </c>
      <c r="AX462" s="3">
        <v>0</v>
      </c>
      <c r="AY462" s="3">
        <v>0</v>
      </c>
      <c r="AZ462" s="3">
        <v>0</v>
      </c>
      <c r="BA462" s="3">
        <v>0</v>
      </c>
      <c r="BC462" s="17" t="s">
        <v>3048</v>
      </c>
      <c r="BD462" s="3">
        <v>0</v>
      </c>
      <c r="BE462" s="3">
        <v>0</v>
      </c>
      <c r="BF462" s="3">
        <v>0</v>
      </c>
      <c r="BG462" s="3">
        <v>0</v>
      </c>
      <c r="BH462" s="3">
        <v>0</v>
      </c>
      <c r="BI462" s="3">
        <v>0</v>
      </c>
      <c r="BJ462" s="3">
        <v>0</v>
      </c>
      <c r="BK462" s="3">
        <v>0</v>
      </c>
      <c r="BL462" s="3">
        <v>0</v>
      </c>
      <c r="BM462" s="3">
        <v>0</v>
      </c>
      <c r="BN462" s="3">
        <v>0</v>
      </c>
      <c r="BO462" s="3">
        <v>0</v>
      </c>
      <c r="BP462" s="3">
        <v>0</v>
      </c>
      <c r="BQ462" s="3">
        <v>0</v>
      </c>
      <c r="BR462" s="3">
        <v>0</v>
      </c>
      <c r="BS462" s="3">
        <v>0</v>
      </c>
      <c r="BT462" s="3">
        <v>0</v>
      </c>
      <c r="BU462" s="3">
        <v>0</v>
      </c>
      <c r="BV462" s="3">
        <v>0</v>
      </c>
      <c r="BW462" s="3">
        <v>0</v>
      </c>
      <c r="BY462" s="17" t="s">
        <v>3049</v>
      </c>
      <c r="BZ462" s="3">
        <v>0</v>
      </c>
      <c r="CA462" s="3">
        <v>0</v>
      </c>
      <c r="CB462" s="3">
        <v>0</v>
      </c>
      <c r="CC462" s="3">
        <v>0</v>
      </c>
      <c r="CD462" s="3">
        <v>0</v>
      </c>
      <c r="CE462" s="3">
        <v>0</v>
      </c>
      <c r="CF462" s="3">
        <v>0</v>
      </c>
      <c r="CG462" s="3">
        <v>0</v>
      </c>
      <c r="CH462" s="3">
        <v>0</v>
      </c>
      <c r="CI462" s="3">
        <v>0</v>
      </c>
      <c r="CJ462" s="3">
        <v>0</v>
      </c>
      <c r="CK462" s="3">
        <v>0</v>
      </c>
      <c r="CL462" s="3">
        <v>0</v>
      </c>
      <c r="CM462" s="3">
        <v>0</v>
      </c>
      <c r="CN462" s="3">
        <v>0</v>
      </c>
      <c r="CO462" s="3">
        <v>0</v>
      </c>
      <c r="CP462" s="3">
        <v>0</v>
      </c>
      <c r="CQ462" s="3">
        <v>0</v>
      </c>
      <c r="CR462" s="3">
        <v>0</v>
      </c>
      <c r="CS462" s="3">
        <v>0</v>
      </c>
      <c r="CU462" s="17" t="s">
        <v>3050</v>
      </c>
      <c r="CV462" s="3">
        <v>0</v>
      </c>
      <c r="CW462" s="3">
        <v>0</v>
      </c>
      <c r="CX462" s="3">
        <v>0</v>
      </c>
      <c r="CY462" s="3">
        <v>0</v>
      </c>
      <c r="CZ462" s="3">
        <v>0</v>
      </c>
      <c r="DA462" s="3">
        <v>0</v>
      </c>
      <c r="DB462" s="3">
        <v>0</v>
      </c>
      <c r="DC462" s="3">
        <v>0</v>
      </c>
      <c r="DD462" s="3">
        <v>0</v>
      </c>
      <c r="DE462" s="3">
        <v>0</v>
      </c>
      <c r="DF462" s="3">
        <v>0</v>
      </c>
      <c r="DG462" s="3">
        <v>0</v>
      </c>
      <c r="DH462" s="3">
        <v>0</v>
      </c>
      <c r="DI462" s="3">
        <v>0</v>
      </c>
      <c r="DJ462" s="3">
        <v>0</v>
      </c>
      <c r="DK462" s="3">
        <v>0</v>
      </c>
      <c r="DL462" s="3">
        <v>0</v>
      </c>
      <c r="DM462" s="3">
        <v>0</v>
      </c>
      <c r="DN462" s="3">
        <v>0</v>
      </c>
      <c r="DO462" s="3">
        <v>0</v>
      </c>
    </row>
    <row r="463" spans="1:119" x14ac:dyDescent="0.45">
      <c r="A463" s="16" t="s">
        <v>3051</v>
      </c>
      <c r="B463" s="3" t="s">
        <v>89</v>
      </c>
      <c r="C463" s="16"/>
      <c r="H463" s="3" t="s">
        <v>3052</v>
      </c>
      <c r="I463" s="3" t="s">
        <v>2363</v>
      </c>
      <c r="K463" s="17" t="s">
        <v>3053</v>
      </c>
      <c r="L463" s="3">
        <v>0</v>
      </c>
      <c r="M463" s="3">
        <v>0</v>
      </c>
      <c r="N463" s="3">
        <v>0</v>
      </c>
      <c r="O463" s="3">
        <v>0</v>
      </c>
      <c r="P463" s="3">
        <v>0</v>
      </c>
      <c r="Q463" s="3">
        <v>0</v>
      </c>
      <c r="R463" s="3">
        <v>0</v>
      </c>
      <c r="S463" s="3">
        <v>0</v>
      </c>
      <c r="T463" s="3">
        <v>0</v>
      </c>
      <c r="U463" s="3">
        <v>0</v>
      </c>
      <c r="V463" s="3">
        <v>0</v>
      </c>
      <c r="W463" s="3">
        <v>0</v>
      </c>
      <c r="X463" s="3">
        <v>0</v>
      </c>
      <c r="Y463" s="3">
        <v>0</v>
      </c>
      <c r="Z463" s="3">
        <v>0</v>
      </c>
      <c r="AA463" s="3">
        <v>0</v>
      </c>
      <c r="AB463" s="3">
        <v>0</v>
      </c>
      <c r="AC463" s="3">
        <v>0</v>
      </c>
      <c r="AD463" s="3">
        <v>0</v>
      </c>
      <c r="AE463" s="3">
        <v>0</v>
      </c>
      <c r="AG463" s="17" t="s">
        <v>3054</v>
      </c>
      <c r="AH463" s="3">
        <v>0</v>
      </c>
      <c r="AI463" s="3">
        <v>0</v>
      </c>
      <c r="AJ463" s="3">
        <v>0</v>
      </c>
      <c r="AK463" s="3">
        <v>0</v>
      </c>
      <c r="AL463" s="3">
        <v>0</v>
      </c>
      <c r="AM463" s="3">
        <v>0</v>
      </c>
      <c r="AN463" s="3">
        <v>0</v>
      </c>
      <c r="AO463" s="3">
        <v>0</v>
      </c>
      <c r="AP463" s="3">
        <v>0</v>
      </c>
      <c r="AQ463" s="3">
        <v>0</v>
      </c>
      <c r="AR463" s="3">
        <v>0</v>
      </c>
      <c r="AS463" s="3">
        <v>0</v>
      </c>
      <c r="AT463" s="3">
        <v>0</v>
      </c>
      <c r="AU463" s="3">
        <v>0</v>
      </c>
      <c r="AV463" s="3">
        <v>0</v>
      </c>
      <c r="AW463" s="3">
        <v>0</v>
      </c>
      <c r="AX463" s="3">
        <v>0</v>
      </c>
      <c r="AY463" s="3">
        <v>0</v>
      </c>
      <c r="AZ463" s="3">
        <v>0</v>
      </c>
      <c r="BA463" s="3">
        <v>0</v>
      </c>
      <c r="BC463" s="17" t="s">
        <v>3055</v>
      </c>
      <c r="BD463" s="3">
        <v>0</v>
      </c>
      <c r="BE463" s="3">
        <v>0</v>
      </c>
      <c r="BF463" s="3">
        <v>0</v>
      </c>
      <c r="BG463" s="3">
        <v>0</v>
      </c>
      <c r="BH463" s="3">
        <v>0</v>
      </c>
      <c r="BI463" s="3">
        <v>0</v>
      </c>
      <c r="BJ463" s="3">
        <v>0</v>
      </c>
      <c r="BK463" s="3">
        <v>0</v>
      </c>
      <c r="BL463" s="3">
        <v>0</v>
      </c>
      <c r="BM463" s="3">
        <v>0</v>
      </c>
      <c r="BN463" s="3">
        <v>0</v>
      </c>
      <c r="BO463" s="3">
        <v>0</v>
      </c>
      <c r="BP463" s="3">
        <v>0</v>
      </c>
      <c r="BQ463" s="3">
        <v>0</v>
      </c>
      <c r="BR463" s="3">
        <v>0</v>
      </c>
      <c r="BS463" s="3">
        <v>0</v>
      </c>
      <c r="BT463" s="3">
        <v>0</v>
      </c>
      <c r="BU463" s="3">
        <v>0</v>
      </c>
      <c r="BV463" s="3">
        <v>0</v>
      </c>
      <c r="BW463" s="3">
        <v>0</v>
      </c>
      <c r="BY463" s="17" t="s">
        <v>3056</v>
      </c>
      <c r="BZ463" s="3">
        <v>0</v>
      </c>
      <c r="CA463" s="3">
        <v>0</v>
      </c>
      <c r="CB463" s="3">
        <v>0</v>
      </c>
      <c r="CC463" s="3">
        <v>0</v>
      </c>
      <c r="CD463" s="3">
        <v>0</v>
      </c>
      <c r="CE463" s="3">
        <v>0</v>
      </c>
      <c r="CF463" s="3">
        <v>0</v>
      </c>
      <c r="CG463" s="3">
        <v>0</v>
      </c>
      <c r="CH463" s="3">
        <v>0</v>
      </c>
      <c r="CI463" s="3">
        <v>0</v>
      </c>
      <c r="CJ463" s="3">
        <v>0</v>
      </c>
      <c r="CK463" s="3">
        <v>0</v>
      </c>
      <c r="CL463" s="3">
        <v>0</v>
      </c>
      <c r="CM463" s="3">
        <v>0</v>
      </c>
      <c r="CN463" s="3">
        <v>0</v>
      </c>
      <c r="CO463" s="3">
        <v>0</v>
      </c>
      <c r="CP463" s="3">
        <v>0</v>
      </c>
      <c r="CQ463" s="3">
        <v>0</v>
      </c>
      <c r="CR463" s="3">
        <v>0</v>
      </c>
      <c r="CS463" s="3">
        <v>0</v>
      </c>
      <c r="CU463" s="17" t="s">
        <v>3057</v>
      </c>
      <c r="CV463" s="3">
        <v>0</v>
      </c>
      <c r="CW463" s="3">
        <v>0</v>
      </c>
      <c r="CX463" s="3">
        <v>0</v>
      </c>
      <c r="CY463" s="3">
        <v>0</v>
      </c>
      <c r="CZ463" s="3">
        <v>0</v>
      </c>
      <c r="DA463" s="3">
        <v>0</v>
      </c>
      <c r="DB463" s="3">
        <v>0</v>
      </c>
      <c r="DC463" s="3">
        <v>0</v>
      </c>
      <c r="DD463" s="3">
        <v>0</v>
      </c>
      <c r="DE463" s="3">
        <v>0</v>
      </c>
      <c r="DF463" s="3">
        <v>0</v>
      </c>
      <c r="DG463" s="3">
        <v>0</v>
      </c>
      <c r="DH463" s="3">
        <v>0</v>
      </c>
      <c r="DI463" s="3">
        <v>0</v>
      </c>
      <c r="DJ463" s="3">
        <v>0</v>
      </c>
      <c r="DK463" s="3">
        <v>0</v>
      </c>
      <c r="DL463" s="3">
        <v>0</v>
      </c>
      <c r="DM463" s="3">
        <v>0</v>
      </c>
      <c r="DN463" s="3">
        <v>0</v>
      </c>
      <c r="DO463" s="3">
        <v>0</v>
      </c>
    </row>
    <row r="464" spans="1:119" x14ac:dyDescent="0.45">
      <c r="A464" s="16" t="s">
        <v>3058</v>
      </c>
      <c r="B464" s="3" t="s">
        <v>89</v>
      </c>
      <c r="C464" s="16"/>
      <c r="H464" s="3" t="s">
        <v>3059</v>
      </c>
      <c r="I464" s="3" t="s">
        <v>2363</v>
      </c>
      <c r="K464" s="17" t="s">
        <v>3060</v>
      </c>
      <c r="L464" s="3">
        <v>0</v>
      </c>
      <c r="M464" s="3">
        <v>0</v>
      </c>
      <c r="N464" s="3">
        <v>0</v>
      </c>
      <c r="O464" s="3">
        <v>0</v>
      </c>
      <c r="P464" s="3">
        <v>0</v>
      </c>
      <c r="Q464" s="3">
        <v>0</v>
      </c>
      <c r="R464" s="3">
        <v>0</v>
      </c>
      <c r="S464" s="3">
        <v>0</v>
      </c>
      <c r="T464" s="3">
        <v>0</v>
      </c>
      <c r="U464" s="3">
        <v>0</v>
      </c>
      <c r="V464" s="3">
        <v>0</v>
      </c>
      <c r="W464" s="3">
        <v>0</v>
      </c>
      <c r="X464" s="3">
        <v>0</v>
      </c>
      <c r="Y464" s="3">
        <v>0</v>
      </c>
      <c r="Z464" s="3">
        <v>0</v>
      </c>
      <c r="AA464" s="3">
        <v>0</v>
      </c>
      <c r="AB464" s="3">
        <v>0</v>
      </c>
      <c r="AC464" s="3">
        <v>0</v>
      </c>
      <c r="AD464" s="3">
        <v>0</v>
      </c>
      <c r="AE464" s="3">
        <v>0</v>
      </c>
      <c r="AG464" s="17" t="s">
        <v>3061</v>
      </c>
      <c r="AH464" s="3">
        <v>0</v>
      </c>
      <c r="AI464" s="3">
        <v>0</v>
      </c>
      <c r="AJ464" s="3">
        <v>0</v>
      </c>
      <c r="AK464" s="3">
        <v>0</v>
      </c>
      <c r="AL464" s="3">
        <v>0</v>
      </c>
      <c r="AM464" s="3">
        <v>0</v>
      </c>
      <c r="AN464" s="3">
        <v>0</v>
      </c>
      <c r="AO464" s="3">
        <v>0</v>
      </c>
      <c r="AP464" s="3">
        <v>0</v>
      </c>
      <c r="AQ464" s="3">
        <v>0</v>
      </c>
      <c r="AR464" s="3">
        <v>0</v>
      </c>
      <c r="AS464" s="3">
        <v>0</v>
      </c>
      <c r="AT464" s="3">
        <v>0</v>
      </c>
      <c r="AU464" s="3">
        <v>0</v>
      </c>
      <c r="AV464" s="3">
        <v>0</v>
      </c>
      <c r="AW464" s="3">
        <v>0</v>
      </c>
      <c r="AX464" s="3">
        <v>0</v>
      </c>
      <c r="AY464" s="3">
        <v>0</v>
      </c>
      <c r="AZ464" s="3">
        <v>0</v>
      </c>
      <c r="BA464" s="3">
        <v>0</v>
      </c>
      <c r="BC464" s="17" t="s">
        <v>3062</v>
      </c>
      <c r="BD464" s="3">
        <v>0</v>
      </c>
      <c r="BE464" s="3">
        <v>0</v>
      </c>
      <c r="BF464" s="3">
        <v>0</v>
      </c>
      <c r="BG464" s="3">
        <v>0</v>
      </c>
      <c r="BH464" s="3">
        <v>0</v>
      </c>
      <c r="BI464" s="3">
        <v>0</v>
      </c>
      <c r="BJ464" s="3">
        <v>0</v>
      </c>
      <c r="BK464" s="3">
        <v>0</v>
      </c>
      <c r="BL464" s="3">
        <v>0</v>
      </c>
      <c r="BM464" s="3">
        <v>0</v>
      </c>
      <c r="BN464" s="3">
        <v>0</v>
      </c>
      <c r="BO464" s="3">
        <v>0</v>
      </c>
      <c r="BP464" s="3">
        <v>0</v>
      </c>
      <c r="BQ464" s="3">
        <v>0</v>
      </c>
      <c r="BR464" s="3">
        <v>0</v>
      </c>
      <c r="BS464" s="3">
        <v>0</v>
      </c>
      <c r="BT464" s="3">
        <v>0</v>
      </c>
      <c r="BU464" s="3">
        <v>0</v>
      </c>
      <c r="BV464" s="3">
        <v>0</v>
      </c>
      <c r="BW464" s="3">
        <v>0</v>
      </c>
      <c r="BY464" s="17" t="s">
        <v>3063</v>
      </c>
      <c r="BZ464" s="3">
        <v>0</v>
      </c>
      <c r="CA464" s="3">
        <v>0</v>
      </c>
      <c r="CB464" s="3">
        <v>0</v>
      </c>
      <c r="CC464" s="3">
        <v>0</v>
      </c>
      <c r="CD464" s="3">
        <v>0</v>
      </c>
      <c r="CE464" s="3">
        <v>0</v>
      </c>
      <c r="CF464" s="3">
        <v>0</v>
      </c>
      <c r="CG464" s="3">
        <v>0</v>
      </c>
      <c r="CH464" s="3">
        <v>0</v>
      </c>
      <c r="CI464" s="3">
        <v>0</v>
      </c>
      <c r="CJ464" s="3">
        <v>0</v>
      </c>
      <c r="CK464" s="3">
        <v>0</v>
      </c>
      <c r="CL464" s="3">
        <v>0</v>
      </c>
      <c r="CM464" s="3">
        <v>0</v>
      </c>
      <c r="CN464" s="3">
        <v>0</v>
      </c>
      <c r="CO464" s="3">
        <v>0</v>
      </c>
      <c r="CP464" s="3">
        <v>0</v>
      </c>
      <c r="CQ464" s="3">
        <v>0</v>
      </c>
      <c r="CR464" s="3">
        <v>0</v>
      </c>
      <c r="CS464" s="3">
        <v>0</v>
      </c>
      <c r="CU464" s="17" t="s">
        <v>3064</v>
      </c>
      <c r="CV464" s="3">
        <v>0</v>
      </c>
      <c r="CW464" s="3">
        <v>0</v>
      </c>
      <c r="CX464" s="3">
        <v>0</v>
      </c>
      <c r="CY464" s="3">
        <v>0</v>
      </c>
      <c r="CZ464" s="3">
        <v>0</v>
      </c>
      <c r="DA464" s="3">
        <v>0</v>
      </c>
      <c r="DB464" s="3">
        <v>0</v>
      </c>
      <c r="DC464" s="3">
        <v>0</v>
      </c>
      <c r="DD464" s="3">
        <v>0</v>
      </c>
      <c r="DE464" s="3">
        <v>0</v>
      </c>
      <c r="DF464" s="3">
        <v>0</v>
      </c>
      <c r="DG464" s="3">
        <v>0</v>
      </c>
      <c r="DH464" s="3">
        <v>0</v>
      </c>
      <c r="DI464" s="3">
        <v>0</v>
      </c>
      <c r="DJ464" s="3">
        <v>0</v>
      </c>
      <c r="DK464" s="3">
        <v>0</v>
      </c>
      <c r="DL464" s="3">
        <v>0</v>
      </c>
      <c r="DM464" s="3">
        <v>0</v>
      </c>
      <c r="DN464" s="3">
        <v>0</v>
      </c>
      <c r="DO464" s="3">
        <v>0</v>
      </c>
    </row>
    <row r="465" spans="1:119" x14ac:dyDescent="0.45">
      <c r="A465" s="16" t="s">
        <v>3065</v>
      </c>
      <c r="B465" s="3" t="s">
        <v>89</v>
      </c>
      <c r="C465" s="16"/>
      <c r="H465" s="3" t="s">
        <v>3066</v>
      </c>
      <c r="I465" s="3" t="s">
        <v>2363</v>
      </c>
      <c r="K465" s="17" t="s">
        <v>3067</v>
      </c>
      <c r="L465" s="3">
        <v>634.74436597530007</v>
      </c>
      <c r="M465" s="3">
        <v>661.30065777171046</v>
      </c>
      <c r="N465" s="3">
        <v>717.52664372452512</v>
      </c>
      <c r="O465" s="3">
        <v>737.91616440560574</v>
      </c>
      <c r="P465" s="3">
        <v>757.73828728426963</v>
      </c>
      <c r="Q465" s="3">
        <v>781.43407137284294</v>
      </c>
      <c r="R465" s="3">
        <v>809.90440771290662</v>
      </c>
      <c r="S465" s="3">
        <v>837.07976370089284</v>
      </c>
      <c r="T465" s="3">
        <v>862.34354454762956</v>
      </c>
      <c r="U465" s="3">
        <v>887.82037347517257</v>
      </c>
      <c r="V465" s="3">
        <v>913.6050648043273</v>
      </c>
      <c r="W465" s="3">
        <v>939.68856987118329</v>
      </c>
      <c r="X465" s="3">
        <v>966.06164324337146</v>
      </c>
      <c r="Y465" s="3">
        <v>992.71484534426213</v>
      </c>
      <c r="Z465" s="3">
        <v>1019.638543944232</v>
      </c>
      <c r="AA465" s="3">
        <v>1046.82291451589</v>
      </c>
      <c r="AB465" s="3">
        <v>1074.2579394532429</v>
      </c>
      <c r="AC465" s="3">
        <v>1101.933406157483</v>
      </c>
      <c r="AD465" s="3">
        <v>1129.838903994457</v>
      </c>
      <c r="AE465" s="3">
        <v>1157.963820130979</v>
      </c>
      <c r="AG465" s="17" t="s">
        <v>3068</v>
      </c>
      <c r="AH465" s="3">
        <v>634.74436597530007</v>
      </c>
      <c r="AI465" s="3">
        <v>661.30065777171046</v>
      </c>
      <c r="AJ465" s="3">
        <v>717.52664372452512</v>
      </c>
      <c r="AK465" s="3">
        <v>737.91616440560574</v>
      </c>
      <c r="AL465" s="3">
        <v>757.73828728426963</v>
      </c>
      <c r="AM465" s="3">
        <v>702.61704231758767</v>
      </c>
      <c r="AN465" s="3">
        <v>728.21569215809109</v>
      </c>
      <c r="AO465" s="3">
        <v>752.99980244348683</v>
      </c>
      <c r="AP465" s="3">
        <v>774.91689082101072</v>
      </c>
      <c r="AQ465" s="3">
        <v>797.95390767380877</v>
      </c>
      <c r="AR465" s="3">
        <v>820.78875413365222</v>
      </c>
      <c r="AS465" s="3">
        <v>844.68023129653113</v>
      </c>
      <c r="AT465" s="3">
        <v>869.23239391662298</v>
      </c>
      <c r="AU465" s="3">
        <v>893.87534042349557</v>
      </c>
      <c r="AV465" s="3">
        <v>918.95151572012367</v>
      </c>
      <c r="AW465" s="3">
        <v>944.6894210275824</v>
      </c>
      <c r="AX465" s="3">
        <v>970.30755140459246</v>
      </c>
      <c r="AY465" s="3">
        <v>995.95895610502953</v>
      </c>
      <c r="AZ465" s="3">
        <v>1021.34650373643</v>
      </c>
      <c r="BA465" s="3">
        <v>1046.7959993927</v>
      </c>
      <c r="BC465" s="17" t="s">
        <v>3069</v>
      </c>
      <c r="BD465" s="3">
        <v>634.74436597530007</v>
      </c>
      <c r="BE465" s="3">
        <v>661.30065777171046</v>
      </c>
      <c r="BF465" s="3">
        <v>717.52664372452512</v>
      </c>
      <c r="BG465" s="3">
        <v>737.91616440560574</v>
      </c>
      <c r="BH465" s="3">
        <v>757.73828728426963</v>
      </c>
      <c r="BI465" s="3">
        <v>739.1780155818326</v>
      </c>
      <c r="BJ465" s="3">
        <v>716.67922233582158</v>
      </c>
      <c r="BK465" s="3">
        <v>697.90599952387345</v>
      </c>
      <c r="BL465" s="3">
        <v>680.80980832086072</v>
      </c>
      <c r="BM465" s="3">
        <v>666.83367503071952</v>
      </c>
      <c r="BN465" s="3">
        <v>655.24571447204312</v>
      </c>
      <c r="BO465" s="3">
        <v>645.9530662979804</v>
      </c>
      <c r="BP465" s="3">
        <v>638.75293686915393</v>
      </c>
      <c r="BQ465" s="3">
        <v>633.20270812024444</v>
      </c>
      <c r="BR465" s="3">
        <v>629.05368081490963</v>
      </c>
      <c r="BS465" s="3">
        <v>626.22292319255189</v>
      </c>
      <c r="BT465" s="3">
        <v>624.40119104013138</v>
      </c>
      <c r="BU465" s="3">
        <v>623.36988028325788</v>
      </c>
      <c r="BV465" s="3">
        <v>622.81428042769539</v>
      </c>
      <c r="BW465" s="3">
        <v>622.61126497995122</v>
      </c>
      <c r="BY465" s="17" t="s">
        <v>3070</v>
      </c>
      <c r="BZ465" s="3">
        <v>634.74436597530007</v>
      </c>
      <c r="CA465" s="3">
        <v>661.30065777171046</v>
      </c>
      <c r="CB465" s="3">
        <v>717.52664372452512</v>
      </c>
      <c r="CC465" s="3">
        <v>737.91616440560574</v>
      </c>
      <c r="CD465" s="3">
        <v>757.73828728426963</v>
      </c>
      <c r="CE465" s="3">
        <v>686.09839008198276</v>
      </c>
      <c r="CF465" s="3">
        <v>711.09471168191817</v>
      </c>
      <c r="CG465" s="3">
        <v>735.24547150487035</v>
      </c>
      <c r="CH465" s="3">
        <v>756.69442674572133</v>
      </c>
      <c r="CI465" s="3">
        <v>779.34902725673646</v>
      </c>
      <c r="CJ465" s="3">
        <v>801.61014226538771</v>
      </c>
      <c r="CK465" s="3">
        <v>824.9985764132897</v>
      </c>
      <c r="CL465" s="3">
        <v>848.69935932705562</v>
      </c>
      <c r="CM465" s="3">
        <v>872.54152064374864</v>
      </c>
      <c r="CN465" s="3">
        <v>896.79363486954571</v>
      </c>
      <c r="CO465" s="3">
        <v>921.58646872502834</v>
      </c>
      <c r="CP465" s="3">
        <v>946.28237105058713</v>
      </c>
      <c r="CQ465" s="3">
        <v>971.13041217988143</v>
      </c>
      <c r="CR465" s="3">
        <v>995.81727339788677</v>
      </c>
      <c r="CS465" s="3">
        <v>1020.745920883191</v>
      </c>
      <c r="CU465" s="17" t="s">
        <v>3071</v>
      </c>
      <c r="CV465" s="3">
        <v>634.74436597530007</v>
      </c>
      <c r="CW465" s="3">
        <v>661.30065777171046</v>
      </c>
      <c r="CX465" s="3">
        <v>717.52664372452512</v>
      </c>
      <c r="CY465" s="3">
        <v>737.91616440560574</v>
      </c>
      <c r="CZ465" s="3">
        <v>757.73828728426963</v>
      </c>
      <c r="DA465" s="3">
        <v>616.96791865427406</v>
      </c>
      <c r="DB465" s="3">
        <v>639.44596524121937</v>
      </c>
      <c r="DC465" s="3">
        <v>661.55925895350242</v>
      </c>
      <c r="DD465" s="3">
        <v>679.9803863010103</v>
      </c>
      <c r="DE465" s="3">
        <v>700.4103792984597</v>
      </c>
      <c r="DF465" s="3">
        <v>720.05980829300131</v>
      </c>
      <c r="DG465" s="3">
        <v>741.52981629581529</v>
      </c>
      <c r="DH465" s="3">
        <v>763.8660337440117</v>
      </c>
      <c r="DI465" s="3">
        <v>786.16196314025706</v>
      </c>
      <c r="DJ465" s="3">
        <v>809.01383703190561</v>
      </c>
      <c r="DK465" s="3">
        <v>832.87473722425557</v>
      </c>
      <c r="DL465" s="3">
        <v>856.26495780479411</v>
      </c>
      <c r="DM465" s="3">
        <v>879.54756737265427</v>
      </c>
      <c r="DN465" s="3">
        <v>902.1351142524976</v>
      </c>
      <c r="DO465" s="3">
        <v>924.67558102150201</v>
      </c>
    </row>
    <row r="466" spans="1:119" x14ac:dyDescent="0.45">
      <c r="A466" s="16" t="s">
        <v>3072</v>
      </c>
      <c r="B466" s="3" t="s">
        <v>89</v>
      </c>
      <c r="C466" s="16"/>
      <c r="H466" s="3" t="s">
        <v>3073</v>
      </c>
      <c r="I466" s="3" t="s">
        <v>2363</v>
      </c>
      <c r="K466" s="17" t="s">
        <v>3074</v>
      </c>
      <c r="L466" s="20">
        <v>7282.6956740388114</v>
      </c>
      <c r="M466" s="20">
        <v>7815.1759691524539</v>
      </c>
      <c r="N466" s="20">
        <v>9270.2798743164494</v>
      </c>
      <c r="O466" s="20">
        <v>9378.9933376253503</v>
      </c>
      <c r="P466" s="20">
        <v>9482.9610349390896</v>
      </c>
      <c r="Q466" s="20">
        <v>9607.380577692089</v>
      </c>
      <c r="R466" s="20">
        <v>9756.3692610211419</v>
      </c>
      <c r="S466" s="20">
        <v>9895.9726539232815</v>
      </c>
      <c r="T466" s="20">
        <v>10023.32026612124</v>
      </c>
      <c r="U466" s="20">
        <v>10150.11785921788</v>
      </c>
      <c r="V466" s="20">
        <v>10276.88857852169</v>
      </c>
      <c r="W466" s="20">
        <v>10403.60836202021</v>
      </c>
      <c r="X466" s="20">
        <v>10530.246832721679</v>
      </c>
      <c r="Y466" s="20">
        <v>10656.774062811221</v>
      </c>
      <c r="Z466" s="20">
        <v>10783.160527265671</v>
      </c>
      <c r="AA466" s="20">
        <v>10909.377055136631</v>
      </c>
      <c r="AB466" s="20">
        <v>11035.39477865247</v>
      </c>
      <c r="AC466" s="20">
        <v>11161.185080276189</v>
      </c>
      <c r="AD466" s="20">
        <v>11286.71953784224</v>
      </c>
      <c r="AE466" s="20">
        <v>11411.969867882281</v>
      </c>
      <c r="AG466" s="17" t="s">
        <v>3075</v>
      </c>
      <c r="AH466" s="20">
        <v>7282.6956740388114</v>
      </c>
      <c r="AI466" s="20">
        <v>7815.1759691524539</v>
      </c>
      <c r="AJ466" s="20">
        <v>9270.2798743164494</v>
      </c>
      <c r="AK466" s="20">
        <v>9378.9933376253503</v>
      </c>
      <c r="AL466" s="20">
        <v>9482.9610349390896</v>
      </c>
      <c r="AM466" s="20">
        <v>7830.118582646769</v>
      </c>
      <c r="AN466" s="20">
        <v>7949.777259821798</v>
      </c>
      <c r="AO466" s="20">
        <v>8063.6716197965306</v>
      </c>
      <c r="AP466" s="20">
        <v>8162.2857885315843</v>
      </c>
      <c r="AQ466" s="20">
        <v>8264.978641752592</v>
      </c>
      <c r="AR466" s="20">
        <v>8365.4603524582017</v>
      </c>
      <c r="AS466" s="20">
        <v>8469.6125780025977</v>
      </c>
      <c r="AT466" s="20">
        <v>8575.5193488370132</v>
      </c>
      <c r="AU466" s="20">
        <v>8680.5758728797391</v>
      </c>
      <c r="AV466" s="20">
        <v>8786.3431433624082</v>
      </c>
      <c r="AW466" s="20">
        <v>8893.8107760555777</v>
      </c>
      <c r="AX466" s="20">
        <v>8999.5495009224469</v>
      </c>
      <c r="AY466" s="20">
        <v>9104.2855897113841</v>
      </c>
      <c r="AZ466" s="20">
        <v>9206.8047943036108</v>
      </c>
      <c r="BA466" s="20">
        <v>9308.5550493734718</v>
      </c>
      <c r="BC466" s="17" t="s">
        <v>3076</v>
      </c>
      <c r="BD466" s="20">
        <v>7282.6956740388114</v>
      </c>
      <c r="BE466" s="20">
        <v>7815.1759691524539</v>
      </c>
      <c r="BF466" s="20">
        <v>9270.2798743164494</v>
      </c>
      <c r="BG466" s="20">
        <v>9378.9933376253503</v>
      </c>
      <c r="BH466" s="20">
        <v>9482.9610349390896</v>
      </c>
      <c r="BI466" s="20">
        <v>8577.0331264566503</v>
      </c>
      <c r="BJ466" s="20">
        <v>7738.9309447744718</v>
      </c>
      <c r="BK466" s="20">
        <v>7139.8015595298684</v>
      </c>
      <c r="BL466" s="20">
        <v>6678.2729666069981</v>
      </c>
      <c r="BM466" s="20">
        <v>6314.4698286315506</v>
      </c>
      <c r="BN466" s="20">
        <v>6018.6071035173381</v>
      </c>
      <c r="BO466" s="20">
        <v>5773.8341499202561</v>
      </c>
      <c r="BP466" s="20">
        <v>5568.4790234311604</v>
      </c>
      <c r="BQ466" s="20">
        <v>5393.4033335433969</v>
      </c>
      <c r="BR466" s="20">
        <v>5242.4079961402322</v>
      </c>
      <c r="BS466" s="20">
        <v>5111.309830083148</v>
      </c>
      <c r="BT466" s="20">
        <v>4996.117936641519</v>
      </c>
      <c r="BU466" s="20">
        <v>4893.8815154463646</v>
      </c>
      <c r="BV466" s="20">
        <v>4801.8661341509924</v>
      </c>
      <c r="BW466" s="20">
        <v>4718.3578472178579</v>
      </c>
      <c r="BY466" s="17" t="s">
        <v>3077</v>
      </c>
      <c r="BZ466" s="20">
        <v>7282.6956740388114</v>
      </c>
      <c r="CA466" s="20">
        <v>7815.1759691524539</v>
      </c>
      <c r="CB466" s="20">
        <v>9270.2798743164494</v>
      </c>
      <c r="CC466" s="20">
        <v>9378.9933376253503</v>
      </c>
      <c r="CD466" s="20">
        <v>9482.9610349390896</v>
      </c>
      <c r="CE466" s="20">
        <v>7525.4263326126866</v>
      </c>
      <c r="CF466" s="20">
        <v>7639.8204711342178</v>
      </c>
      <c r="CG466" s="20">
        <v>7748.4751925995142</v>
      </c>
      <c r="CH466" s="20">
        <v>7842.9881640286376</v>
      </c>
      <c r="CI466" s="20">
        <v>7941.920810215961</v>
      </c>
      <c r="CJ466" s="20">
        <v>8037.8357162833663</v>
      </c>
      <c r="CK466" s="20">
        <v>8137.7030414581204</v>
      </c>
      <c r="CL466" s="20">
        <v>8237.7707620776964</v>
      </c>
      <c r="CM466" s="20">
        <v>8337.2935637899118</v>
      </c>
      <c r="CN466" s="20">
        <v>8437.469512100899</v>
      </c>
      <c r="CO466" s="20">
        <v>8538.8503375323653</v>
      </c>
      <c r="CP466" s="20">
        <v>8638.7008575300533</v>
      </c>
      <c r="CQ466" s="20">
        <v>8738.1296629478475</v>
      </c>
      <c r="CR466" s="20">
        <v>8835.8601098574836</v>
      </c>
      <c r="CS466" s="20">
        <v>8933.613924185629</v>
      </c>
      <c r="CU466" s="17" t="s">
        <v>3078</v>
      </c>
      <c r="CV466" s="20">
        <v>7282.6956740388114</v>
      </c>
      <c r="CW466" s="20">
        <v>7815.1759691524539</v>
      </c>
      <c r="CX466" s="20">
        <v>9270.2798743164494</v>
      </c>
      <c r="CY466" s="20">
        <v>9378.9933376253503</v>
      </c>
      <c r="CZ466" s="20">
        <v>9482.9610349390896</v>
      </c>
      <c r="DA466" s="20">
        <v>6413.941516290447</v>
      </c>
      <c r="DB466" s="20">
        <v>6508.6027786093109</v>
      </c>
      <c r="DC466" s="20">
        <v>6600.25270071659</v>
      </c>
      <c r="DD466" s="20">
        <v>6674.696012036381</v>
      </c>
      <c r="DE466" s="20">
        <v>6756.8625928583388</v>
      </c>
      <c r="DF466" s="20">
        <v>6834.7399690335014</v>
      </c>
      <c r="DG466" s="20">
        <v>6919.3161759673621</v>
      </c>
      <c r="DH466" s="20">
        <v>7006.440371881592</v>
      </c>
      <c r="DI466" s="20">
        <v>7092.353456226665</v>
      </c>
      <c r="DJ466" s="20">
        <v>7179.5015894995931</v>
      </c>
      <c r="DK466" s="20">
        <v>7269.6484094165926</v>
      </c>
      <c r="DL466" s="20">
        <v>7356.9063853403804</v>
      </c>
      <c r="DM466" s="20">
        <v>7442.7915589182394</v>
      </c>
      <c r="DN466" s="20">
        <v>7525.1086571475444</v>
      </c>
      <c r="DO466" s="20">
        <v>7606.4368713552103</v>
      </c>
    </row>
    <row r="467" spans="1:119" x14ac:dyDescent="0.45">
      <c r="A467" s="16" t="s">
        <v>3079</v>
      </c>
      <c r="B467" s="3" t="s">
        <v>89</v>
      </c>
      <c r="C467" s="16" t="s">
        <v>3080</v>
      </c>
      <c r="H467" s="3" t="s">
        <v>3081</v>
      </c>
      <c r="I467" s="3" t="s">
        <v>2363</v>
      </c>
      <c r="K467" s="17" t="s">
        <v>3082</v>
      </c>
      <c r="L467" s="3">
        <v>1.644886914655364</v>
      </c>
      <c r="M467" s="3">
        <v>1.6773504215827331</v>
      </c>
      <c r="N467" s="3">
        <v>1.909655286875112</v>
      </c>
      <c r="O467" s="3">
        <v>2.0264341432854569</v>
      </c>
      <c r="P467" s="3">
        <v>1.988566367725465</v>
      </c>
      <c r="Q467" s="3">
        <v>1.9976358166174311</v>
      </c>
      <c r="R467" s="3">
        <v>2.0287042146379921</v>
      </c>
      <c r="S467" s="3">
        <v>2.0585714589377622</v>
      </c>
      <c r="T467" s="3">
        <v>2.0868155635115402</v>
      </c>
      <c r="U467" s="3">
        <v>2.1147475012572539</v>
      </c>
      <c r="V467" s="3">
        <v>2.1356946500102811</v>
      </c>
      <c r="W467" s="3">
        <v>2.156462047750408</v>
      </c>
      <c r="X467" s="3">
        <v>2.1770468353672281</v>
      </c>
      <c r="Y467" s="3">
        <v>2.1974462889357138</v>
      </c>
      <c r="Z467" s="3">
        <v>2.2176578079528029</v>
      </c>
      <c r="AA467" s="3">
        <v>2.2376789036218452</v>
      </c>
      <c r="AB467" s="3">
        <v>2.2575071872037751</v>
      </c>
      <c r="AC467" s="3">
        <v>2.2771403584505152</v>
      </c>
      <c r="AD467" s="3">
        <v>2.2965761941330101</v>
      </c>
      <c r="AE467" s="3">
        <v>2.3158125366734779</v>
      </c>
      <c r="AG467" s="17" t="s">
        <v>3083</v>
      </c>
      <c r="AH467" s="3">
        <v>1.644886914655364</v>
      </c>
      <c r="AI467" s="3">
        <v>1.6773504215827331</v>
      </c>
      <c r="AJ467" s="3">
        <v>1.909655286875112</v>
      </c>
      <c r="AK467" s="3">
        <v>2.0264341432854569</v>
      </c>
      <c r="AL467" s="3">
        <v>1.988566367725465</v>
      </c>
      <c r="AM467" s="3">
        <v>1.840386416799157</v>
      </c>
      <c r="AN467" s="3">
        <v>1.8682949751700599</v>
      </c>
      <c r="AO467" s="3">
        <v>1.8953464661385679</v>
      </c>
      <c r="AP467" s="3">
        <v>1.9197400635962401</v>
      </c>
      <c r="AQ467" s="3">
        <v>1.9447175342335401</v>
      </c>
      <c r="AR467" s="3">
        <v>1.9636756019499191</v>
      </c>
      <c r="AS467" s="3">
        <v>1.9831735035845239</v>
      </c>
      <c r="AT467" s="3">
        <v>2.0028349831085448</v>
      </c>
      <c r="AU467" s="3">
        <v>2.02216309895093</v>
      </c>
      <c r="AV467" s="3">
        <v>2.0414566590885102</v>
      </c>
      <c r="AW467" s="3">
        <v>2.060900153536243</v>
      </c>
      <c r="AX467" s="3">
        <v>2.0798533005874829</v>
      </c>
      <c r="AY467" s="3">
        <v>2.0984582464746162</v>
      </c>
      <c r="AZ467" s="3">
        <v>2.1164978138479169</v>
      </c>
      <c r="BA467" s="3">
        <v>2.1342451195300929</v>
      </c>
      <c r="BC467" s="17" t="s">
        <v>3084</v>
      </c>
      <c r="BD467" s="3">
        <v>1.644886914655364</v>
      </c>
      <c r="BE467" s="3">
        <v>1.6773504215827331</v>
      </c>
      <c r="BF467" s="3">
        <v>1.909655286875112</v>
      </c>
      <c r="BG467" s="3">
        <v>2.0264341432854569</v>
      </c>
      <c r="BH467" s="3">
        <v>1.988566367725465</v>
      </c>
      <c r="BI467" s="3">
        <v>1.914626343267692</v>
      </c>
      <c r="BJ467" s="3">
        <v>1.8447930582731129</v>
      </c>
      <c r="BK467" s="3">
        <v>1.7831048103260621</v>
      </c>
      <c r="BL467" s="3">
        <v>1.7270002573182459</v>
      </c>
      <c r="BM467" s="3">
        <v>1.6769430165354651</v>
      </c>
      <c r="BN467" s="3">
        <v>1.6286439266574659</v>
      </c>
      <c r="BO467" s="3">
        <v>1.5855564036981049</v>
      </c>
      <c r="BP467" s="3">
        <v>1.5470527949974411</v>
      </c>
      <c r="BQ467" s="3">
        <v>1.5123600032424569</v>
      </c>
      <c r="BR467" s="3">
        <v>1.480946379996688</v>
      </c>
      <c r="BS467" s="3">
        <v>1.452476257000759</v>
      </c>
      <c r="BT467" s="3">
        <v>1.4264561983841999</v>
      </c>
      <c r="BU467" s="3">
        <v>1.4025115819489671</v>
      </c>
      <c r="BV467" s="3">
        <v>1.3802209443864819</v>
      </c>
      <c r="BW467" s="3">
        <v>1.359353514195736</v>
      </c>
      <c r="BY467" s="17" t="s">
        <v>3085</v>
      </c>
      <c r="BZ467" s="3">
        <v>1.644886914655364</v>
      </c>
      <c r="CA467" s="3">
        <v>1.6773504215827331</v>
      </c>
      <c r="CB467" s="3">
        <v>1.909655286875112</v>
      </c>
      <c r="CC467" s="3">
        <v>2.0264341432854569</v>
      </c>
      <c r="CD467" s="3">
        <v>1.988566367725465</v>
      </c>
      <c r="CE467" s="3">
        <v>1.8060993411310631</v>
      </c>
      <c r="CF467" s="3">
        <v>1.8333403119921841</v>
      </c>
      <c r="CG467" s="3">
        <v>1.8596761379034561</v>
      </c>
      <c r="CH467" s="3">
        <v>1.883479312854422</v>
      </c>
      <c r="CI467" s="3">
        <v>1.907956816829304</v>
      </c>
      <c r="CJ467" s="3">
        <v>1.926519283945906</v>
      </c>
      <c r="CK467" s="3">
        <v>1.945697076418657</v>
      </c>
      <c r="CL467" s="3">
        <v>1.964744568806184</v>
      </c>
      <c r="CM467" s="3">
        <v>1.983518702770152</v>
      </c>
      <c r="CN467" s="3">
        <v>2.0022547044295909</v>
      </c>
      <c r="CO467" s="3">
        <v>2.021058012949164</v>
      </c>
      <c r="CP467" s="3">
        <v>2.0394057743134191</v>
      </c>
      <c r="CQ467" s="3">
        <v>2.0575152557622141</v>
      </c>
      <c r="CR467" s="3">
        <v>2.075149877662295</v>
      </c>
      <c r="CS467" s="3">
        <v>2.0926391000346638</v>
      </c>
      <c r="CU467" s="17" t="s">
        <v>3086</v>
      </c>
      <c r="CV467" s="3">
        <v>1.644886914655364</v>
      </c>
      <c r="CW467" s="3">
        <v>1.6773504215827331</v>
      </c>
      <c r="CX467" s="3">
        <v>1.909655286875112</v>
      </c>
      <c r="CY467" s="3">
        <v>2.0264341432854569</v>
      </c>
      <c r="CZ467" s="3">
        <v>1.988566367725465</v>
      </c>
      <c r="DA467" s="3">
        <v>1.657523867494638</v>
      </c>
      <c r="DB467" s="3">
        <v>1.681960767119653</v>
      </c>
      <c r="DC467" s="3">
        <v>1.7058872563950469</v>
      </c>
      <c r="DD467" s="3">
        <v>1.726210963235207</v>
      </c>
      <c r="DE467" s="3">
        <v>1.7480466329539111</v>
      </c>
      <c r="DF467" s="3">
        <v>1.764725375473386</v>
      </c>
      <c r="DG467" s="3">
        <v>1.7827082154701199</v>
      </c>
      <c r="DH467" s="3">
        <v>1.801074183197146</v>
      </c>
      <c r="DI467" s="3">
        <v>1.8190108063705359</v>
      </c>
      <c r="DJ467" s="3">
        <v>1.8370453065073109</v>
      </c>
      <c r="DK467" s="3">
        <v>1.8555466914399921</v>
      </c>
      <c r="DL467" s="3">
        <v>1.873271324574237</v>
      </c>
      <c r="DM467" s="3">
        <v>1.8905492164102471</v>
      </c>
      <c r="DN467" s="3">
        <v>1.9069341707123151</v>
      </c>
      <c r="DO467" s="3">
        <v>1.9229721476403649</v>
      </c>
    </row>
    <row r="468" spans="1:119" x14ac:dyDescent="0.45">
      <c r="A468" s="16" t="s">
        <v>3087</v>
      </c>
      <c r="B468" s="3" t="s">
        <v>89</v>
      </c>
      <c r="C468" s="16" t="s">
        <v>3088</v>
      </c>
      <c r="H468" s="3" t="s">
        <v>3089</v>
      </c>
      <c r="I468" s="3" t="s">
        <v>2363</v>
      </c>
      <c r="K468" s="17" t="s">
        <v>3090</v>
      </c>
      <c r="L468" s="3">
        <v>1870.2698725680741</v>
      </c>
      <c r="M468" s="3">
        <v>2257.731705536974</v>
      </c>
      <c r="N468" s="3">
        <v>3313.1737030987679</v>
      </c>
      <c r="O468" s="3">
        <v>3336.94550153105</v>
      </c>
      <c r="P468" s="3">
        <v>3358.9823999598252</v>
      </c>
      <c r="Q468" s="3">
        <v>3386.602161711121</v>
      </c>
      <c r="R468" s="3">
        <v>3420.8477833658071</v>
      </c>
      <c r="S468" s="3">
        <v>3451.8362994266558</v>
      </c>
      <c r="T468" s="3">
        <v>3478.8386015116771</v>
      </c>
      <c r="U468" s="3">
        <v>3505.2388224699698</v>
      </c>
      <c r="V468" s="3">
        <v>3531.194759645613</v>
      </c>
      <c r="W468" s="3">
        <v>3556.7042166876499</v>
      </c>
      <c r="X468" s="3">
        <v>3581.765275411225</v>
      </c>
      <c r="Y468" s="3">
        <v>3606.376273203502</v>
      </c>
      <c r="Z468" s="3">
        <v>3630.5357807820878</v>
      </c>
      <c r="AA468" s="3">
        <v>3654.2425803393312</v>
      </c>
      <c r="AB468" s="3">
        <v>3677.4956440992728</v>
      </c>
      <c r="AC468" s="3">
        <v>3700.2941133079971</v>
      </c>
      <c r="AD468" s="3">
        <v>3722.6372776725971</v>
      </c>
      <c r="AE468" s="3">
        <v>3744.5245552591132</v>
      </c>
      <c r="AG468" s="17" t="s">
        <v>3091</v>
      </c>
      <c r="AH468" s="3">
        <v>1870.2698725680741</v>
      </c>
      <c r="AI468" s="3">
        <v>2257.731705536974</v>
      </c>
      <c r="AJ468" s="3">
        <v>3313.1737030987679</v>
      </c>
      <c r="AK468" s="3">
        <v>3336.94550153105</v>
      </c>
      <c r="AL468" s="3">
        <v>3358.9823999598252</v>
      </c>
      <c r="AM468" s="3">
        <v>2417.9075590582511</v>
      </c>
      <c r="AN468" s="3">
        <v>2442.357515935571</v>
      </c>
      <c r="AO468" s="3">
        <v>2464.9115179372052</v>
      </c>
      <c r="AP468" s="3">
        <v>2483.2215580255529</v>
      </c>
      <c r="AQ468" s="3">
        <v>2502.234517369835</v>
      </c>
      <c r="AR468" s="3">
        <v>2520.371986747261</v>
      </c>
      <c r="AS468" s="3">
        <v>2539.0954663894149</v>
      </c>
      <c r="AT468" s="3">
        <v>2557.9196969635732</v>
      </c>
      <c r="AU468" s="3">
        <v>2576.2104502367001</v>
      </c>
      <c r="AV468" s="3">
        <v>2594.3510390524871</v>
      </c>
      <c r="AW468" s="3">
        <v>2612.5760791575599</v>
      </c>
      <c r="AX468" s="3">
        <v>2630.0749034640771</v>
      </c>
      <c r="AY468" s="3">
        <v>2647.0318371896478</v>
      </c>
      <c r="AZ468" s="3">
        <v>2663.1772707732848</v>
      </c>
      <c r="BA468" s="3">
        <v>2678.8596904317101</v>
      </c>
      <c r="BC468" s="17" t="s">
        <v>3092</v>
      </c>
      <c r="BD468" s="3">
        <v>1870.2698725680741</v>
      </c>
      <c r="BE468" s="3">
        <v>2257.731705536974</v>
      </c>
      <c r="BF468" s="3">
        <v>3313.1737030987679</v>
      </c>
      <c r="BG468" s="3">
        <v>3336.94550153105</v>
      </c>
      <c r="BH468" s="3">
        <v>3358.9823999598252</v>
      </c>
      <c r="BI468" s="3">
        <v>2804.6716169422598</v>
      </c>
      <c r="BJ468" s="3">
        <v>2339.072721746983</v>
      </c>
      <c r="BK468" s="3">
        <v>2031.16177594441</v>
      </c>
      <c r="BL468" s="3">
        <v>1808.7591161771361</v>
      </c>
      <c r="BM468" s="3">
        <v>1640.583479222591</v>
      </c>
      <c r="BN468" s="3">
        <v>1508.2174303902359</v>
      </c>
      <c r="BO468" s="3">
        <v>1401.189631022238</v>
      </c>
      <c r="BP468" s="3">
        <v>1312.783849272829</v>
      </c>
      <c r="BQ468" s="3">
        <v>1238.3237601319411</v>
      </c>
      <c r="BR468" s="3">
        <v>1174.6515843175109</v>
      </c>
      <c r="BS468" s="3">
        <v>1119.586932979764</v>
      </c>
      <c r="BT468" s="3">
        <v>1071.364636236902</v>
      </c>
      <c r="BU468" s="3">
        <v>1028.684248197236</v>
      </c>
      <c r="BV468" s="3">
        <v>990.47157426427316</v>
      </c>
      <c r="BW468" s="3">
        <v>955.97773032052135</v>
      </c>
      <c r="BY468" s="17" t="s">
        <v>3093</v>
      </c>
      <c r="BZ468" s="3">
        <v>1870.2698725680741</v>
      </c>
      <c r="CA468" s="3">
        <v>2257.731705536974</v>
      </c>
      <c r="CB468" s="3">
        <v>3313.1737030987679</v>
      </c>
      <c r="CC468" s="3">
        <v>3336.94550153105</v>
      </c>
      <c r="CD468" s="3">
        <v>3358.9823999598252</v>
      </c>
      <c r="CE468" s="3">
        <v>2268.3430852211632</v>
      </c>
      <c r="CF468" s="3">
        <v>2291.2800380157578</v>
      </c>
      <c r="CG468" s="3">
        <v>2312.3791715429352</v>
      </c>
      <c r="CH468" s="3">
        <v>2329.6123050421961</v>
      </c>
      <c r="CI468" s="3">
        <v>2347.6291117199648</v>
      </c>
      <c r="CJ468" s="3">
        <v>2364.6002155142342</v>
      </c>
      <c r="CK468" s="3">
        <v>2382.2262703551828</v>
      </c>
      <c r="CL468" s="3">
        <v>2399.5914129451071</v>
      </c>
      <c r="CM468" s="3">
        <v>2416.5229330768761</v>
      </c>
      <c r="CN468" s="3">
        <v>2433.309562722146</v>
      </c>
      <c r="CO468" s="3">
        <v>2450.0798516370651</v>
      </c>
      <c r="CP468" s="3">
        <v>2466.201301817719</v>
      </c>
      <c r="CQ468" s="3">
        <v>2481.940472447408</v>
      </c>
      <c r="CR468" s="3">
        <v>2497.0151944468612</v>
      </c>
      <c r="CS468" s="3">
        <v>2511.8255318921551</v>
      </c>
      <c r="CU468" s="17" t="s">
        <v>3094</v>
      </c>
      <c r="CV468" s="3">
        <v>1870.2698725680741</v>
      </c>
      <c r="CW468" s="3">
        <v>2257.731705536974</v>
      </c>
      <c r="CX468" s="3">
        <v>3313.1737030987679</v>
      </c>
      <c r="CY468" s="3">
        <v>3336.94550153105</v>
      </c>
      <c r="CZ468" s="3">
        <v>3358.9823999598252</v>
      </c>
      <c r="DA468" s="3">
        <v>1760.8400828589911</v>
      </c>
      <c r="DB468" s="3">
        <v>1778.645623552806</v>
      </c>
      <c r="DC468" s="3">
        <v>1795.42720783758</v>
      </c>
      <c r="DD468" s="3">
        <v>1807.9324556934489</v>
      </c>
      <c r="DE468" s="3">
        <v>1821.985044522836</v>
      </c>
      <c r="DF468" s="3">
        <v>1834.8152586487311</v>
      </c>
      <c r="DG468" s="3">
        <v>1848.9233084991411</v>
      </c>
      <c r="DH468" s="3">
        <v>1863.346626863512</v>
      </c>
      <c r="DI468" s="3">
        <v>1877.2441022425701</v>
      </c>
      <c r="DJ468" s="3">
        <v>1891.162099790587</v>
      </c>
      <c r="DK468" s="3">
        <v>1905.4791209987891</v>
      </c>
      <c r="DL468" s="3">
        <v>1918.9179769458869</v>
      </c>
      <c r="DM468" s="3">
        <v>1931.82211327759</v>
      </c>
      <c r="DN468" s="3">
        <v>1943.740417208817</v>
      </c>
      <c r="DO468" s="3">
        <v>1955.2350647124231</v>
      </c>
    </row>
    <row r="469" spans="1:119" x14ac:dyDescent="0.45">
      <c r="A469" s="16" t="s">
        <v>3095</v>
      </c>
      <c r="B469" s="3" t="s">
        <v>89</v>
      </c>
      <c r="C469" s="16" t="s">
        <v>3096</v>
      </c>
      <c r="H469" s="3" t="s">
        <v>3097</v>
      </c>
      <c r="I469" s="3" t="s">
        <v>2363</v>
      </c>
      <c r="K469" s="17" t="s">
        <v>3098</v>
      </c>
      <c r="L469" s="3">
        <v>0</v>
      </c>
      <c r="M469" s="3">
        <v>0</v>
      </c>
      <c r="N469" s="3">
        <v>0</v>
      </c>
      <c r="O469" s="3">
        <v>0</v>
      </c>
      <c r="P469" s="3">
        <v>0</v>
      </c>
      <c r="Q469" s="3">
        <v>0</v>
      </c>
      <c r="R469" s="3">
        <v>0</v>
      </c>
      <c r="S469" s="3">
        <v>0</v>
      </c>
      <c r="T469" s="3">
        <v>0</v>
      </c>
      <c r="U469" s="3">
        <v>0</v>
      </c>
      <c r="V469" s="3">
        <v>0</v>
      </c>
      <c r="W469" s="3">
        <v>0</v>
      </c>
      <c r="X469" s="3">
        <v>0</v>
      </c>
      <c r="Y469" s="3">
        <v>0</v>
      </c>
      <c r="Z469" s="3">
        <v>0</v>
      </c>
      <c r="AA469" s="3">
        <v>0</v>
      </c>
      <c r="AB469" s="3">
        <v>0</v>
      </c>
      <c r="AC469" s="3">
        <v>0</v>
      </c>
      <c r="AD469" s="3">
        <v>0</v>
      </c>
      <c r="AE469" s="3">
        <v>0</v>
      </c>
      <c r="AG469" s="17" t="s">
        <v>3099</v>
      </c>
      <c r="AH469" s="3">
        <v>0</v>
      </c>
      <c r="AI469" s="3">
        <v>0</v>
      </c>
      <c r="AJ469" s="3">
        <v>0</v>
      </c>
      <c r="AK469" s="3">
        <v>0</v>
      </c>
      <c r="AL469" s="3">
        <v>0</v>
      </c>
      <c r="AM469" s="3">
        <v>0</v>
      </c>
      <c r="AN469" s="3">
        <v>0</v>
      </c>
      <c r="AO469" s="3">
        <v>0</v>
      </c>
      <c r="AP469" s="3">
        <v>0</v>
      </c>
      <c r="AQ469" s="3">
        <v>0</v>
      </c>
      <c r="AR469" s="3">
        <v>0</v>
      </c>
      <c r="AS469" s="3">
        <v>0</v>
      </c>
      <c r="AT469" s="3">
        <v>0</v>
      </c>
      <c r="AU469" s="3">
        <v>0</v>
      </c>
      <c r="AV469" s="3">
        <v>0</v>
      </c>
      <c r="AW469" s="3">
        <v>0</v>
      </c>
      <c r="AX469" s="3">
        <v>0</v>
      </c>
      <c r="AY469" s="3">
        <v>0</v>
      </c>
      <c r="AZ469" s="3">
        <v>0</v>
      </c>
      <c r="BA469" s="3">
        <v>0</v>
      </c>
      <c r="BC469" s="17" t="s">
        <v>3100</v>
      </c>
      <c r="BD469" s="3">
        <v>0</v>
      </c>
      <c r="BE469" s="3">
        <v>0</v>
      </c>
      <c r="BF469" s="3">
        <v>0</v>
      </c>
      <c r="BG469" s="3">
        <v>0</v>
      </c>
      <c r="BH469" s="3">
        <v>0</v>
      </c>
      <c r="BI469" s="3">
        <v>0</v>
      </c>
      <c r="BJ469" s="3">
        <v>0</v>
      </c>
      <c r="BK469" s="3">
        <v>0</v>
      </c>
      <c r="BL469" s="3">
        <v>0</v>
      </c>
      <c r="BM469" s="3">
        <v>0</v>
      </c>
      <c r="BN469" s="3">
        <v>0</v>
      </c>
      <c r="BO469" s="3">
        <v>0</v>
      </c>
      <c r="BP469" s="3">
        <v>0</v>
      </c>
      <c r="BQ469" s="3">
        <v>0</v>
      </c>
      <c r="BR469" s="3">
        <v>0</v>
      </c>
      <c r="BS469" s="3">
        <v>0</v>
      </c>
      <c r="BT469" s="3">
        <v>0</v>
      </c>
      <c r="BU469" s="3">
        <v>0</v>
      </c>
      <c r="BV469" s="3">
        <v>0</v>
      </c>
      <c r="BW469" s="3">
        <v>0</v>
      </c>
      <c r="BY469" s="17" t="s">
        <v>3101</v>
      </c>
      <c r="BZ469" s="3">
        <v>0</v>
      </c>
      <c r="CA469" s="3">
        <v>0</v>
      </c>
      <c r="CB469" s="3">
        <v>0</v>
      </c>
      <c r="CC469" s="3">
        <v>0</v>
      </c>
      <c r="CD469" s="3">
        <v>0</v>
      </c>
      <c r="CE469" s="3">
        <v>0</v>
      </c>
      <c r="CF469" s="3">
        <v>0</v>
      </c>
      <c r="CG469" s="3">
        <v>0</v>
      </c>
      <c r="CH469" s="3">
        <v>0</v>
      </c>
      <c r="CI469" s="3">
        <v>0</v>
      </c>
      <c r="CJ469" s="3">
        <v>0</v>
      </c>
      <c r="CK469" s="3">
        <v>0</v>
      </c>
      <c r="CL469" s="3">
        <v>0</v>
      </c>
      <c r="CM469" s="3">
        <v>0</v>
      </c>
      <c r="CN469" s="3">
        <v>0</v>
      </c>
      <c r="CO469" s="3">
        <v>0</v>
      </c>
      <c r="CP469" s="3">
        <v>0</v>
      </c>
      <c r="CQ469" s="3">
        <v>0</v>
      </c>
      <c r="CR469" s="3">
        <v>0</v>
      </c>
      <c r="CS469" s="3">
        <v>0</v>
      </c>
      <c r="CU469" s="17" t="s">
        <v>3102</v>
      </c>
      <c r="CV469" s="3">
        <v>0</v>
      </c>
      <c r="CW469" s="3">
        <v>0</v>
      </c>
      <c r="CX469" s="3">
        <v>0</v>
      </c>
      <c r="CY469" s="3">
        <v>0</v>
      </c>
      <c r="CZ469" s="3">
        <v>0</v>
      </c>
      <c r="DA469" s="3">
        <v>0</v>
      </c>
      <c r="DB469" s="3">
        <v>0</v>
      </c>
      <c r="DC469" s="3">
        <v>0</v>
      </c>
      <c r="DD469" s="3">
        <v>0</v>
      </c>
      <c r="DE469" s="3">
        <v>0</v>
      </c>
      <c r="DF469" s="3">
        <v>0</v>
      </c>
      <c r="DG469" s="3">
        <v>0</v>
      </c>
      <c r="DH469" s="3">
        <v>0</v>
      </c>
      <c r="DI469" s="3">
        <v>0</v>
      </c>
      <c r="DJ469" s="3">
        <v>0</v>
      </c>
      <c r="DK469" s="3">
        <v>0</v>
      </c>
      <c r="DL469" s="3">
        <v>0</v>
      </c>
      <c r="DM469" s="3">
        <v>0</v>
      </c>
      <c r="DN469" s="3">
        <v>0</v>
      </c>
      <c r="DO469" s="3">
        <v>0</v>
      </c>
    </row>
    <row r="470" spans="1:119" x14ac:dyDescent="0.45">
      <c r="A470" s="16" t="s">
        <v>3103</v>
      </c>
      <c r="B470" s="3" t="s">
        <v>89</v>
      </c>
      <c r="C470" s="16"/>
      <c r="H470" s="3" t="s">
        <v>3104</v>
      </c>
      <c r="I470" s="3" t="s">
        <v>2363</v>
      </c>
      <c r="K470" s="17" t="s">
        <v>3105</v>
      </c>
      <c r="L470" s="3">
        <v>0</v>
      </c>
      <c r="M470" s="3">
        <v>0</v>
      </c>
      <c r="N470" s="3">
        <v>0</v>
      </c>
      <c r="O470" s="3">
        <v>0</v>
      </c>
      <c r="P470" s="3">
        <v>0</v>
      </c>
      <c r="Q470" s="3">
        <v>0</v>
      </c>
      <c r="R470" s="3">
        <v>0</v>
      </c>
      <c r="S470" s="3">
        <v>0</v>
      </c>
      <c r="T470" s="3">
        <v>0</v>
      </c>
      <c r="U470" s="3">
        <v>0</v>
      </c>
      <c r="V470" s="3">
        <v>0</v>
      </c>
      <c r="W470" s="3">
        <v>0</v>
      </c>
      <c r="X470" s="3">
        <v>0</v>
      </c>
      <c r="Y470" s="3">
        <v>0</v>
      </c>
      <c r="Z470" s="3">
        <v>0</v>
      </c>
      <c r="AA470" s="3">
        <v>0</v>
      </c>
      <c r="AB470" s="3">
        <v>0</v>
      </c>
      <c r="AC470" s="3">
        <v>0</v>
      </c>
      <c r="AD470" s="3">
        <v>0</v>
      </c>
      <c r="AE470" s="3">
        <v>0</v>
      </c>
      <c r="AG470" s="17" t="s">
        <v>3106</v>
      </c>
      <c r="AH470" s="3">
        <v>0</v>
      </c>
      <c r="AI470" s="3">
        <v>0</v>
      </c>
      <c r="AJ470" s="3">
        <v>0</v>
      </c>
      <c r="AK470" s="3">
        <v>0</v>
      </c>
      <c r="AL470" s="3">
        <v>0</v>
      </c>
      <c r="AM470" s="3">
        <v>0</v>
      </c>
      <c r="AN470" s="3">
        <v>0</v>
      </c>
      <c r="AO470" s="3">
        <v>0</v>
      </c>
      <c r="AP470" s="3">
        <v>0</v>
      </c>
      <c r="AQ470" s="3">
        <v>0</v>
      </c>
      <c r="AR470" s="3">
        <v>0</v>
      </c>
      <c r="AS470" s="3">
        <v>0</v>
      </c>
      <c r="AT470" s="3">
        <v>0</v>
      </c>
      <c r="AU470" s="3">
        <v>0</v>
      </c>
      <c r="AV470" s="3">
        <v>0</v>
      </c>
      <c r="AW470" s="3">
        <v>0</v>
      </c>
      <c r="AX470" s="3">
        <v>0</v>
      </c>
      <c r="AY470" s="3">
        <v>0</v>
      </c>
      <c r="AZ470" s="3">
        <v>0</v>
      </c>
      <c r="BA470" s="3">
        <v>0</v>
      </c>
      <c r="BC470" s="17" t="s">
        <v>3107</v>
      </c>
      <c r="BD470" s="3">
        <v>0</v>
      </c>
      <c r="BE470" s="3">
        <v>0</v>
      </c>
      <c r="BF470" s="3">
        <v>0</v>
      </c>
      <c r="BG470" s="3">
        <v>0</v>
      </c>
      <c r="BH470" s="3">
        <v>0</v>
      </c>
      <c r="BI470" s="3">
        <v>0</v>
      </c>
      <c r="BJ470" s="3">
        <v>0</v>
      </c>
      <c r="BK470" s="3">
        <v>0</v>
      </c>
      <c r="BL470" s="3">
        <v>0</v>
      </c>
      <c r="BM470" s="3">
        <v>0</v>
      </c>
      <c r="BN470" s="3">
        <v>0</v>
      </c>
      <c r="BO470" s="3">
        <v>0</v>
      </c>
      <c r="BP470" s="3">
        <v>0</v>
      </c>
      <c r="BQ470" s="3">
        <v>0</v>
      </c>
      <c r="BR470" s="3">
        <v>0</v>
      </c>
      <c r="BS470" s="3">
        <v>0</v>
      </c>
      <c r="BT470" s="3">
        <v>0</v>
      </c>
      <c r="BU470" s="3">
        <v>0</v>
      </c>
      <c r="BV470" s="3">
        <v>0</v>
      </c>
      <c r="BW470" s="3">
        <v>0</v>
      </c>
      <c r="BY470" s="17" t="s">
        <v>3108</v>
      </c>
      <c r="BZ470" s="3">
        <v>0</v>
      </c>
      <c r="CA470" s="3">
        <v>0</v>
      </c>
      <c r="CB470" s="3">
        <v>0</v>
      </c>
      <c r="CC470" s="3">
        <v>0</v>
      </c>
      <c r="CD470" s="3">
        <v>0</v>
      </c>
      <c r="CE470" s="3">
        <v>0</v>
      </c>
      <c r="CF470" s="3">
        <v>0</v>
      </c>
      <c r="CG470" s="3">
        <v>0</v>
      </c>
      <c r="CH470" s="3">
        <v>0</v>
      </c>
      <c r="CI470" s="3">
        <v>0</v>
      </c>
      <c r="CJ470" s="3">
        <v>0</v>
      </c>
      <c r="CK470" s="3">
        <v>0</v>
      </c>
      <c r="CL470" s="3">
        <v>0</v>
      </c>
      <c r="CM470" s="3">
        <v>0</v>
      </c>
      <c r="CN470" s="3">
        <v>0</v>
      </c>
      <c r="CO470" s="3">
        <v>0</v>
      </c>
      <c r="CP470" s="3">
        <v>0</v>
      </c>
      <c r="CQ470" s="3">
        <v>0</v>
      </c>
      <c r="CR470" s="3">
        <v>0</v>
      </c>
      <c r="CS470" s="3">
        <v>0</v>
      </c>
      <c r="CU470" s="17" t="s">
        <v>3109</v>
      </c>
      <c r="CV470" s="3">
        <v>0</v>
      </c>
      <c r="CW470" s="3">
        <v>0</v>
      </c>
      <c r="CX470" s="3">
        <v>0</v>
      </c>
      <c r="CY470" s="3">
        <v>0</v>
      </c>
      <c r="CZ470" s="3">
        <v>0</v>
      </c>
      <c r="DA470" s="3">
        <v>0</v>
      </c>
      <c r="DB470" s="3">
        <v>0</v>
      </c>
      <c r="DC470" s="3">
        <v>0</v>
      </c>
      <c r="DD470" s="3">
        <v>0</v>
      </c>
      <c r="DE470" s="3">
        <v>0</v>
      </c>
      <c r="DF470" s="3">
        <v>0</v>
      </c>
      <c r="DG470" s="3">
        <v>0</v>
      </c>
      <c r="DH470" s="3">
        <v>0</v>
      </c>
      <c r="DI470" s="3">
        <v>0</v>
      </c>
      <c r="DJ470" s="3">
        <v>0</v>
      </c>
      <c r="DK470" s="3">
        <v>0</v>
      </c>
      <c r="DL470" s="3">
        <v>0</v>
      </c>
      <c r="DM470" s="3">
        <v>0</v>
      </c>
      <c r="DN470" s="3">
        <v>0</v>
      </c>
      <c r="DO470" s="3">
        <v>0</v>
      </c>
    </row>
    <row r="471" spans="1:119" x14ac:dyDescent="0.45">
      <c r="A471" s="16" t="s">
        <v>3110</v>
      </c>
      <c r="B471" s="3" t="s">
        <v>89</v>
      </c>
      <c r="C471" s="16"/>
      <c r="H471" s="3" t="s">
        <v>3111</v>
      </c>
      <c r="I471" s="3" t="s">
        <v>2363</v>
      </c>
      <c r="K471" s="17" t="s">
        <v>3112</v>
      </c>
      <c r="L471" s="3">
        <v>3039.0437423559101</v>
      </c>
      <c r="M471" s="3">
        <v>3332.0182706620299</v>
      </c>
      <c r="N471" s="3">
        <v>3349.5790223789791</v>
      </c>
      <c r="O471" s="3">
        <v>3411.695051606468</v>
      </c>
      <c r="P471" s="3">
        <v>3471.680047446227</v>
      </c>
      <c r="Q471" s="3">
        <v>3542.193205218965</v>
      </c>
      <c r="R471" s="3">
        <v>3625.4338939977051</v>
      </c>
      <c r="S471" s="3">
        <v>3704.1837633871151</v>
      </c>
      <c r="T471" s="3">
        <v>3776.9201437257698</v>
      </c>
      <c r="U471" s="3">
        <v>3849.5959987659762</v>
      </c>
      <c r="V471" s="3">
        <v>3922.4767843207419</v>
      </c>
      <c r="W471" s="3">
        <v>3995.541475614431</v>
      </c>
      <c r="X471" s="3">
        <v>4068.7692469064291</v>
      </c>
      <c r="Y471" s="3">
        <v>4142.1394559885794</v>
      </c>
      <c r="Z471" s="3">
        <v>4215.6316267038283</v>
      </c>
      <c r="AA471" s="3">
        <v>4289.2254295883286</v>
      </c>
      <c r="AB471" s="3">
        <v>4362.9006607332531</v>
      </c>
      <c r="AC471" s="3">
        <v>4436.6372189564954</v>
      </c>
      <c r="AD471" s="3">
        <v>4510.4150813682336</v>
      </c>
      <c r="AE471" s="3">
        <v>4584.2142774081576</v>
      </c>
      <c r="AG471" s="17" t="s">
        <v>3113</v>
      </c>
      <c r="AH471" s="3">
        <v>3039.0437423559101</v>
      </c>
      <c r="AI471" s="3">
        <v>3332.0182706620299</v>
      </c>
      <c r="AJ471" s="3">
        <v>3349.5790223789791</v>
      </c>
      <c r="AK471" s="3">
        <v>3411.695051606468</v>
      </c>
      <c r="AL471" s="3">
        <v>3471.680047446227</v>
      </c>
      <c r="AM471" s="3">
        <v>2994.7011569423048</v>
      </c>
      <c r="AN471" s="3">
        <v>3065.0756235246959</v>
      </c>
      <c r="AO471" s="3">
        <v>3132.5630443003288</v>
      </c>
      <c r="AP471" s="3">
        <v>3191.9923627743301</v>
      </c>
      <c r="AQ471" s="3">
        <v>3253.7776784597058</v>
      </c>
      <c r="AR471" s="3">
        <v>3314.520641752702</v>
      </c>
      <c r="AS471" s="3">
        <v>3377.40520838562</v>
      </c>
      <c r="AT471" s="3">
        <v>3441.396871391707</v>
      </c>
      <c r="AU471" s="3">
        <v>3505.07468172982</v>
      </c>
      <c r="AV471" s="3">
        <v>3569.2865038960858</v>
      </c>
      <c r="AW471" s="3">
        <v>3634.574297896771</v>
      </c>
      <c r="AX471" s="3">
        <v>3699.053677561169</v>
      </c>
      <c r="AY471" s="3">
        <v>3763.1151697197761</v>
      </c>
      <c r="AZ471" s="3">
        <v>3826.0809877880101</v>
      </c>
      <c r="BA471" s="3">
        <v>3888.7418032155419</v>
      </c>
      <c r="BC471" s="17" t="s">
        <v>3114</v>
      </c>
      <c r="BD471" s="3">
        <v>3039.0437423559101</v>
      </c>
      <c r="BE471" s="3">
        <v>3332.0182706620299</v>
      </c>
      <c r="BF471" s="3">
        <v>3349.5790223789791</v>
      </c>
      <c r="BG471" s="3">
        <v>3411.695051606468</v>
      </c>
      <c r="BH471" s="3">
        <v>3471.680047446227</v>
      </c>
      <c r="BI471" s="3">
        <v>3237.303730382519</v>
      </c>
      <c r="BJ471" s="3">
        <v>2992.9811811144432</v>
      </c>
      <c r="BK471" s="3">
        <v>2805.0607757209991</v>
      </c>
      <c r="BL471" s="3">
        <v>2652.2651367985031</v>
      </c>
      <c r="BM471" s="3">
        <v>2528.6720644670618</v>
      </c>
      <c r="BN471" s="3">
        <v>2426.396748700708</v>
      </c>
      <c r="BO471" s="3">
        <v>2341.1618032689348</v>
      </c>
      <c r="BP471" s="3">
        <v>2269.672415807262</v>
      </c>
      <c r="BQ471" s="3">
        <v>2208.916958206069</v>
      </c>
      <c r="BR471" s="3">
        <v>2156.87690353786</v>
      </c>
      <c r="BS471" s="3">
        <v>2112.2631381068641</v>
      </c>
      <c r="BT471" s="3">
        <v>2073.5690027358569</v>
      </c>
      <c r="BU471" s="3">
        <v>2039.6854328754409</v>
      </c>
      <c r="BV471" s="3">
        <v>2009.4611179590111</v>
      </c>
      <c r="BW471" s="3">
        <v>1982.2534976751649</v>
      </c>
      <c r="BY471" s="17" t="s">
        <v>3115</v>
      </c>
      <c r="BZ471" s="3">
        <v>3039.0437423559101</v>
      </c>
      <c r="CA471" s="3">
        <v>3332.0182706620299</v>
      </c>
      <c r="CB471" s="3">
        <v>3349.5790223789791</v>
      </c>
      <c r="CC471" s="3">
        <v>3411.695051606468</v>
      </c>
      <c r="CD471" s="3">
        <v>3471.680047446227</v>
      </c>
      <c r="CE471" s="3">
        <v>2890.6976897303762</v>
      </c>
      <c r="CF471" s="3">
        <v>2958.6268112629691</v>
      </c>
      <c r="CG471" s="3">
        <v>3023.6402277153538</v>
      </c>
      <c r="CH471" s="3">
        <v>3081.126882371148</v>
      </c>
      <c r="CI471" s="3">
        <v>3141.167569146904</v>
      </c>
      <c r="CJ471" s="3">
        <v>3199.705194355714</v>
      </c>
      <c r="CK471" s="3">
        <v>3260.5478005357272</v>
      </c>
      <c r="CL471" s="3">
        <v>3321.6422143125378</v>
      </c>
      <c r="CM471" s="3">
        <v>3382.5743523702799</v>
      </c>
      <c r="CN471" s="3">
        <v>3444.0006012874269</v>
      </c>
      <c r="CO471" s="3">
        <v>3506.225219276329</v>
      </c>
      <c r="CP471" s="3">
        <v>3567.7308143122182</v>
      </c>
      <c r="CQ471" s="3">
        <v>3629.1251124355922</v>
      </c>
      <c r="CR471" s="3">
        <v>3689.6919706521599</v>
      </c>
      <c r="CS471" s="3">
        <v>3750.3838304249462</v>
      </c>
      <c r="CU471" s="17" t="s">
        <v>3116</v>
      </c>
      <c r="CV471" s="3">
        <v>3039.0437423559101</v>
      </c>
      <c r="CW471" s="3">
        <v>3332.0182706620299</v>
      </c>
      <c r="CX471" s="3">
        <v>3349.5790223789791</v>
      </c>
      <c r="CY471" s="3">
        <v>3411.695051606468</v>
      </c>
      <c r="CZ471" s="3">
        <v>3471.680047446227</v>
      </c>
      <c r="DA471" s="3">
        <v>2487.521536937053</v>
      </c>
      <c r="DB471" s="3">
        <v>2545.9771451135898</v>
      </c>
      <c r="DC471" s="3">
        <v>2602.896631876682</v>
      </c>
      <c r="DD471" s="3">
        <v>2650.2451619561571</v>
      </c>
      <c r="DE471" s="3">
        <v>2702.0633400662491</v>
      </c>
      <c r="DF471" s="3">
        <v>2751.5656639545768</v>
      </c>
      <c r="DG471" s="3">
        <v>2804.976771001117</v>
      </c>
      <c r="DH471" s="3">
        <v>2859.9536171848131</v>
      </c>
      <c r="DI471" s="3">
        <v>2914.3560937029429</v>
      </c>
      <c r="DJ471" s="3">
        <v>2969.575862857856</v>
      </c>
      <c r="DK471" s="3">
        <v>3026.6250317185259</v>
      </c>
      <c r="DL471" s="3">
        <v>3082.1287639871789</v>
      </c>
      <c r="DM471" s="3">
        <v>3136.946498670045</v>
      </c>
      <c r="DN471" s="3">
        <v>3189.804962332998</v>
      </c>
      <c r="DO471" s="3">
        <v>3242.1799299360032</v>
      </c>
    </row>
    <row r="472" spans="1:119" x14ac:dyDescent="0.45">
      <c r="A472" s="16" t="s">
        <v>3117</v>
      </c>
      <c r="B472" s="3" t="s">
        <v>89</v>
      </c>
      <c r="C472" s="16" t="s">
        <v>3118</v>
      </c>
      <c r="H472" s="3" t="s">
        <v>3119</v>
      </c>
      <c r="I472" s="3" t="s">
        <v>2363</v>
      </c>
      <c r="K472" s="17" t="s">
        <v>3120</v>
      </c>
      <c r="L472" s="3">
        <v>2.6493081020354752</v>
      </c>
      <c r="M472" s="3">
        <v>2.7384282241972691</v>
      </c>
      <c r="N472" s="3">
        <v>2.9600371908095591</v>
      </c>
      <c r="O472" s="3">
        <v>3.0149293893307312</v>
      </c>
      <c r="P472" s="3">
        <v>3.0679383846074391</v>
      </c>
      <c r="Q472" s="3">
        <v>3.130251161244213</v>
      </c>
      <c r="R472" s="3">
        <v>3.2038113110204889</v>
      </c>
      <c r="S472" s="3">
        <v>3.273402904652603</v>
      </c>
      <c r="T472" s="3">
        <v>3.3376803525016681</v>
      </c>
      <c r="U472" s="3">
        <v>3.4019043138877478</v>
      </c>
      <c r="V472" s="3">
        <v>3.4663093732388499</v>
      </c>
      <c r="W472" s="3">
        <v>3.5308769508715572</v>
      </c>
      <c r="X472" s="3">
        <v>3.5955886429905459</v>
      </c>
      <c r="Y472" s="3">
        <v>3.6604262079889049</v>
      </c>
      <c r="Z472" s="3">
        <v>3.725371550999788</v>
      </c>
      <c r="AA472" s="3">
        <v>3.7904067067897569</v>
      </c>
      <c r="AB472" s="3">
        <v>3.8555138210788749</v>
      </c>
      <c r="AC472" s="3">
        <v>3.92067513036725</v>
      </c>
      <c r="AD472" s="3">
        <v>3.9858729403422108</v>
      </c>
      <c r="AE472" s="3">
        <v>4.0510896029348942</v>
      </c>
      <c r="AG472" s="17" t="s">
        <v>3121</v>
      </c>
      <c r="AH472" s="3">
        <v>2.6493081020354752</v>
      </c>
      <c r="AI472" s="3">
        <v>2.7384282241972691</v>
      </c>
      <c r="AJ472" s="3">
        <v>2.9600371908095591</v>
      </c>
      <c r="AK472" s="3">
        <v>3.0149293893307312</v>
      </c>
      <c r="AL472" s="3">
        <v>3.0679383846074391</v>
      </c>
      <c r="AM472" s="3">
        <v>2.8258509012274109</v>
      </c>
      <c r="AN472" s="3">
        <v>2.8922574437814932</v>
      </c>
      <c r="AO472" s="3">
        <v>2.9559397208521911</v>
      </c>
      <c r="AP472" s="3">
        <v>3.0120182356581751</v>
      </c>
      <c r="AQ472" s="3">
        <v>3.0703199094687279</v>
      </c>
      <c r="AR472" s="3">
        <v>3.1276380018489371</v>
      </c>
      <c r="AS472" s="3">
        <v>3.1869769475333758</v>
      </c>
      <c r="AT472" s="3">
        <v>3.247360568168641</v>
      </c>
      <c r="AU472" s="3">
        <v>3.3074480320930459</v>
      </c>
      <c r="AV472" s="3">
        <v>3.368039398653063</v>
      </c>
      <c r="AW472" s="3">
        <v>3.4296460705202341</v>
      </c>
      <c r="AX472" s="3">
        <v>3.4904899088821431</v>
      </c>
      <c r="AY472" s="3">
        <v>3.550939421492346</v>
      </c>
      <c r="AZ472" s="3">
        <v>3.6103550374118698</v>
      </c>
      <c r="BA472" s="3">
        <v>3.669482847656659</v>
      </c>
      <c r="BC472" s="17" t="s">
        <v>3122</v>
      </c>
      <c r="BD472" s="3">
        <v>2.6493081020354752</v>
      </c>
      <c r="BE472" s="3">
        <v>2.7384282241972691</v>
      </c>
      <c r="BF472" s="3">
        <v>2.9600371908095591</v>
      </c>
      <c r="BG472" s="3">
        <v>3.0149293893307312</v>
      </c>
      <c r="BH472" s="3">
        <v>3.0679383846074391</v>
      </c>
      <c r="BI472" s="3">
        <v>2.9674671138779058</v>
      </c>
      <c r="BJ472" s="3">
        <v>2.847987429239017</v>
      </c>
      <c r="BK472" s="3">
        <v>2.7466156206559349</v>
      </c>
      <c r="BL472" s="3">
        <v>2.656413237860455</v>
      </c>
      <c r="BM472" s="3">
        <v>2.5795242878664268</v>
      </c>
      <c r="BN472" s="3">
        <v>2.5130764108924968</v>
      </c>
      <c r="BO472" s="3">
        <v>2.4559997035527972</v>
      </c>
      <c r="BP472" s="3">
        <v>2.4071321850480372</v>
      </c>
      <c r="BQ472" s="3">
        <v>2.3648848781631742</v>
      </c>
      <c r="BR472" s="3">
        <v>2.3282408220082078</v>
      </c>
      <c r="BS472" s="3">
        <v>2.2966493108899821</v>
      </c>
      <c r="BT472" s="3">
        <v>2.269102958892145</v>
      </c>
      <c r="BU472" s="3">
        <v>2.2448635606878211</v>
      </c>
      <c r="BV472" s="3">
        <v>2.223027592378104</v>
      </c>
      <c r="BW472" s="3">
        <v>2.203164900672975</v>
      </c>
      <c r="BY472" s="17" t="s">
        <v>3123</v>
      </c>
      <c r="BZ472" s="3">
        <v>2.6493081020354752</v>
      </c>
      <c r="CA472" s="3">
        <v>2.7384282241972691</v>
      </c>
      <c r="CB472" s="3">
        <v>2.9600371908095591</v>
      </c>
      <c r="CC472" s="3">
        <v>3.0149293893307312</v>
      </c>
      <c r="CD472" s="3">
        <v>3.0679383846074391</v>
      </c>
      <c r="CE472" s="3">
        <v>2.7616377818931341</v>
      </c>
      <c r="CF472" s="3">
        <v>2.826534097125847</v>
      </c>
      <c r="CG472" s="3">
        <v>2.888644883681879</v>
      </c>
      <c r="CH472" s="3">
        <v>2.9435649529842109</v>
      </c>
      <c r="CI472" s="3">
        <v>3.000925025481521</v>
      </c>
      <c r="CJ472" s="3">
        <v>3.056849143044305</v>
      </c>
      <c r="CK472" s="3">
        <v>3.1149753319475941</v>
      </c>
      <c r="CL472" s="3">
        <v>3.1733420860872812</v>
      </c>
      <c r="CM472" s="3">
        <v>3.231553809571754</v>
      </c>
      <c r="CN472" s="3">
        <v>3.2902375835313151</v>
      </c>
      <c r="CO472" s="3">
        <v>3.3496840820747318</v>
      </c>
      <c r="CP472" s="3">
        <v>3.4084436596162941</v>
      </c>
      <c r="CQ472" s="3">
        <v>3.4670969092773252</v>
      </c>
      <c r="CR472" s="3">
        <v>3.5249596614342402</v>
      </c>
      <c r="CS472" s="3">
        <v>3.5829418342492469</v>
      </c>
      <c r="CU472" s="17" t="s">
        <v>3124</v>
      </c>
      <c r="CV472" s="3">
        <v>2.6493081020354752</v>
      </c>
      <c r="CW472" s="3">
        <v>2.7384282241972691</v>
      </c>
      <c r="CX472" s="3">
        <v>2.9600371908095591</v>
      </c>
      <c r="CY472" s="3">
        <v>3.0149293893307312</v>
      </c>
      <c r="CZ472" s="3">
        <v>3.0679383846074391</v>
      </c>
      <c r="DA472" s="3">
        <v>2.4914119815935218</v>
      </c>
      <c r="DB472" s="3">
        <v>2.5499590134241239</v>
      </c>
      <c r="DC472" s="3">
        <v>2.60696752137149</v>
      </c>
      <c r="DD472" s="3">
        <v>2.6543901038091469</v>
      </c>
      <c r="DE472" s="3">
        <v>2.706289324736816</v>
      </c>
      <c r="DF472" s="3">
        <v>2.7558690694830519</v>
      </c>
      <c r="DG472" s="3">
        <v>2.809363710663034</v>
      </c>
      <c r="DH472" s="3">
        <v>2.8644265397716162</v>
      </c>
      <c r="DI472" s="3">
        <v>2.918914100909487</v>
      </c>
      <c r="DJ472" s="3">
        <v>2.9742202329170029</v>
      </c>
      <c r="DK472" s="3">
        <v>3.0313586257827119</v>
      </c>
      <c r="DL472" s="3">
        <v>3.0869491650178218</v>
      </c>
      <c r="DM472" s="3">
        <v>3.1418526337776851</v>
      </c>
      <c r="DN472" s="3">
        <v>3.194793767248497</v>
      </c>
      <c r="DO472" s="3">
        <v>3.247250648479111</v>
      </c>
    </row>
    <row r="473" spans="1:119" x14ac:dyDescent="0.45">
      <c r="A473" s="16" t="s">
        <v>3125</v>
      </c>
      <c r="B473" s="3" t="s">
        <v>89</v>
      </c>
      <c r="C473" s="16" t="s">
        <v>3126</v>
      </c>
      <c r="H473" s="3" t="s">
        <v>3127</v>
      </c>
      <c r="I473" s="3" t="s">
        <v>2363</v>
      </c>
      <c r="K473" s="17" t="s">
        <v>3128</v>
      </c>
      <c r="L473" s="3">
        <v>0</v>
      </c>
      <c r="M473" s="3">
        <v>0</v>
      </c>
      <c r="N473" s="3">
        <v>0</v>
      </c>
      <c r="O473" s="3">
        <v>0</v>
      </c>
      <c r="P473" s="3">
        <v>0</v>
      </c>
      <c r="Q473" s="3">
        <v>0</v>
      </c>
      <c r="R473" s="3">
        <v>0</v>
      </c>
      <c r="S473" s="3">
        <v>0</v>
      </c>
      <c r="T473" s="3">
        <v>0</v>
      </c>
      <c r="U473" s="3">
        <v>0</v>
      </c>
      <c r="V473" s="3">
        <v>0</v>
      </c>
      <c r="W473" s="3">
        <v>0</v>
      </c>
      <c r="X473" s="3">
        <v>0</v>
      </c>
      <c r="Y473" s="3">
        <v>0</v>
      </c>
      <c r="Z473" s="3">
        <v>0</v>
      </c>
      <c r="AA473" s="3">
        <v>0</v>
      </c>
      <c r="AB473" s="3">
        <v>0</v>
      </c>
      <c r="AC473" s="3">
        <v>0</v>
      </c>
      <c r="AD473" s="3">
        <v>0</v>
      </c>
      <c r="AE473" s="3">
        <v>0</v>
      </c>
      <c r="AG473" s="17" t="s">
        <v>3129</v>
      </c>
      <c r="AH473" s="3">
        <v>0</v>
      </c>
      <c r="AI473" s="3">
        <v>0</v>
      </c>
      <c r="AJ473" s="3">
        <v>0</v>
      </c>
      <c r="AK473" s="3">
        <v>0</v>
      </c>
      <c r="AL473" s="3">
        <v>0</v>
      </c>
      <c r="AM473" s="3">
        <v>0</v>
      </c>
      <c r="AN473" s="3">
        <v>0</v>
      </c>
      <c r="AO473" s="3">
        <v>0</v>
      </c>
      <c r="AP473" s="3">
        <v>0</v>
      </c>
      <c r="AQ473" s="3">
        <v>0</v>
      </c>
      <c r="AR473" s="3">
        <v>0</v>
      </c>
      <c r="AS473" s="3">
        <v>0</v>
      </c>
      <c r="AT473" s="3">
        <v>0</v>
      </c>
      <c r="AU473" s="3">
        <v>0</v>
      </c>
      <c r="AV473" s="3">
        <v>0</v>
      </c>
      <c r="AW473" s="3">
        <v>0</v>
      </c>
      <c r="AX473" s="3">
        <v>0</v>
      </c>
      <c r="AY473" s="3">
        <v>0</v>
      </c>
      <c r="AZ473" s="3">
        <v>0</v>
      </c>
      <c r="BA473" s="3">
        <v>0</v>
      </c>
      <c r="BC473" s="17" t="s">
        <v>3130</v>
      </c>
      <c r="BD473" s="3">
        <v>0</v>
      </c>
      <c r="BE473" s="3">
        <v>0</v>
      </c>
      <c r="BF473" s="3">
        <v>0</v>
      </c>
      <c r="BG473" s="3">
        <v>0</v>
      </c>
      <c r="BH473" s="3">
        <v>0</v>
      </c>
      <c r="BI473" s="3">
        <v>0</v>
      </c>
      <c r="BJ473" s="3">
        <v>0</v>
      </c>
      <c r="BK473" s="3">
        <v>0</v>
      </c>
      <c r="BL473" s="3">
        <v>0</v>
      </c>
      <c r="BM473" s="3">
        <v>0</v>
      </c>
      <c r="BN473" s="3">
        <v>0</v>
      </c>
      <c r="BO473" s="3">
        <v>0</v>
      </c>
      <c r="BP473" s="3">
        <v>0</v>
      </c>
      <c r="BQ473" s="3">
        <v>0</v>
      </c>
      <c r="BR473" s="3">
        <v>0</v>
      </c>
      <c r="BS473" s="3">
        <v>0</v>
      </c>
      <c r="BT473" s="3">
        <v>0</v>
      </c>
      <c r="BU473" s="3">
        <v>0</v>
      </c>
      <c r="BV473" s="3">
        <v>0</v>
      </c>
      <c r="BW473" s="3">
        <v>0</v>
      </c>
      <c r="BY473" s="17" t="s">
        <v>3131</v>
      </c>
      <c r="BZ473" s="3">
        <v>0</v>
      </c>
      <c r="CA473" s="3">
        <v>0</v>
      </c>
      <c r="CB473" s="3">
        <v>0</v>
      </c>
      <c r="CC473" s="3">
        <v>0</v>
      </c>
      <c r="CD473" s="3">
        <v>0</v>
      </c>
      <c r="CE473" s="3">
        <v>0</v>
      </c>
      <c r="CF473" s="3">
        <v>0</v>
      </c>
      <c r="CG473" s="3">
        <v>0</v>
      </c>
      <c r="CH473" s="3">
        <v>0</v>
      </c>
      <c r="CI473" s="3">
        <v>0</v>
      </c>
      <c r="CJ473" s="3">
        <v>0</v>
      </c>
      <c r="CK473" s="3">
        <v>0</v>
      </c>
      <c r="CL473" s="3">
        <v>0</v>
      </c>
      <c r="CM473" s="3">
        <v>0</v>
      </c>
      <c r="CN473" s="3">
        <v>0</v>
      </c>
      <c r="CO473" s="3">
        <v>0</v>
      </c>
      <c r="CP473" s="3">
        <v>0</v>
      </c>
      <c r="CQ473" s="3">
        <v>0</v>
      </c>
      <c r="CR473" s="3">
        <v>0</v>
      </c>
      <c r="CS473" s="3">
        <v>0</v>
      </c>
      <c r="CU473" s="17" t="s">
        <v>3132</v>
      </c>
      <c r="CV473" s="3">
        <v>0</v>
      </c>
      <c r="CW473" s="3">
        <v>0</v>
      </c>
      <c r="CX473" s="3">
        <v>0</v>
      </c>
      <c r="CY473" s="3">
        <v>0</v>
      </c>
      <c r="CZ473" s="3">
        <v>0</v>
      </c>
      <c r="DA473" s="3">
        <v>0</v>
      </c>
      <c r="DB473" s="3">
        <v>0</v>
      </c>
      <c r="DC473" s="3">
        <v>0</v>
      </c>
      <c r="DD473" s="3">
        <v>0</v>
      </c>
      <c r="DE473" s="3">
        <v>0</v>
      </c>
      <c r="DF473" s="3">
        <v>0</v>
      </c>
      <c r="DG473" s="3">
        <v>0</v>
      </c>
      <c r="DH473" s="3">
        <v>0</v>
      </c>
      <c r="DI473" s="3">
        <v>0</v>
      </c>
      <c r="DJ473" s="3">
        <v>0</v>
      </c>
      <c r="DK473" s="3">
        <v>0</v>
      </c>
      <c r="DL473" s="3">
        <v>0</v>
      </c>
      <c r="DM473" s="3">
        <v>0</v>
      </c>
      <c r="DN473" s="3">
        <v>0</v>
      </c>
      <c r="DO473" s="3">
        <v>0</v>
      </c>
    </row>
    <row r="474" spans="1:119" x14ac:dyDescent="0.45">
      <c r="A474" s="16" t="s">
        <v>3133</v>
      </c>
      <c r="B474" s="3" t="s">
        <v>89</v>
      </c>
      <c r="C474" s="16" t="s">
        <v>3134</v>
      </c>
      <c r="H474" s="3" t="s">
        <v>3135</v>
      </c>
      <c r="I474" s="3" t="s">
        <v>2363</v>
      </c>
      <c r="K474" s="17" t="s">
        <v>3136</v>
      </c>
      <c r="L474" s="3">
        <v>1494.6442716687261</v>
      </c>
      <c r="M474" s="3">
        <v>1177.0750241412291</v>
      </c>
      <c r="N474" s="3">
        <v>1284.475530209442</v>
      </c>
      <c r="O474" s="3">
        <v>1279.9988868434359</v>
      </c>
      <c r="P474" s="3">
        <v>1275.5378454374161</v>
      </c>
      <c r="Q474" s="3">
        <v>1271.0923516155631</v>
      </c>
      <c r="R474" s="3">
        <v>1266.662351191567</v>
      </c>
      <c r="S474" s="3">
        <v>1262.2477901679661</v>
      </c>
      <c r="T474" s="3">
        <v>1257.8486147354911</v>
      </c>
      <c r="U474" s="3">
        <v>1253.46477127241</v>
      </c>
      <c r="V474" s="3">
        <v>1249.096206343871</v>
      </c>
      <c r="W474" s="3">
        <v>1244.7428667012539</v>
      </c>
      <c r="X474" s="3">
        <v>1240.404699281519</v>
      </c>
      <c r="Y474" s="3">
        <v>1236.081651206561</v>
      </c>
      <c r="Z474" s="3">
        <v>1231.773669782568</v>
      </c>
      <c r="AA474" s="3">
        <v>1227.4807024993729</v>
      </c>
      <c r="AB474" s="3">
        <v>1223.2026970298191</v>
      </c>
      <c r="AC474" s="3">
        <v>1218.939601229117</v>
      </c>
      <c r="AD474" s="3">
        <v>1214.6913631342161</v>
      </c>
      <c r="AE474" s="3">
        <v>1210.457930963162</v>
      </c>
      <c r="AG474" s="17" t="s">
        <v>3137</v>
      </c>
      <c r="AH474" s="3">
        <v>1494.6442716687261</v>
      </c>
      <c r="AI474" s="3">
        <v>1177.0750241412291</v>
      </c>
      <c r="AJ474" s="3">
        <v>1284.475530209442</v>
      </c>
      <c r="AK474" s="3">
        <v>1279.9988868434359</v>
      </c>
      <c r="AL474" s="3">
        <v>1275.5378454374161</v>
      </c>
      <c r="AM474" s="3">
        <v>1271.0923516155631</v>
      </c>
      <c r="AN474" s="3">
        <v>1266.662351191567</v>
      </c>
      <c r="AO474" s="3">
        <v>1262.2477901679661</v>
      </c>
      <c r="AP474" s="3">
        <v>1257.8486147354911</v>
      </c>
      <c r="AQ474" s="3">
        <v>1253.46477127241</v>
      </c>
      <c r="AR474" s="3">
        <v>1249.096206343871</v>
      </c>
      <c r="AS474" s="3">
        <v>1244.7428667012539</v>
      </c>
      <c r="AT474" s="3">
        <v>1240.404699281519</v>
      </c>
      <c r="AU474" s="3">
        <v>1236.081651206561</v>
      </c>
      <c r="AV474" s="3">
        <v>1231.773669782568</v>
      </c>
      <c r="AW474" s="3">
        <v>1227.4807024993729</v>
      </c>
      <c r="AX474" s="3">
        <v>1223.2026970298191</v>
      </c>
      <c r="AY474" s="3">
        <v>1218.939601229117</v>
      </c>
      <c r="AZ474" s="3">
        <v>1214.6913631342161</v>
      </c>
      <c r="BA474" s="3">
        <v>1210.457930963162</v>
      </c>
      <c r="BC474" s="17" t="s">
        <v>3138</v>
      </c>
      <c r="BD474" s="3">
        <v>1494.6442716687261</v>
      </c>
      <c r="BE474" s="3">
        <v>1177.0750241412291</v>
      </c>
      <c r="BF474" s="3">
        <v>1284.475530209442</v>
      </c>
      <c r="BG474" s="3">
        <v>1279.9988868434359</v>
      </c>
      <c r="BH474" s="3">
        <v>1275.5378454374161</v>
      </c>
      <c r="BI474" s="3">
        <v>1271.0923516155631</v>
      </c>
      <c r="BJ474" s="3">
        <v>1266.662351191567</v>
      </c>
      <c r="BK474" s="3">
        <v>1262.2477901679661</v>
      </c>
      <c r="BL474" s="3">
        <v>1257.8486147354911</v>
      </c>
      <c r="BM474" s="3">
        <v>1253.46477127241</v>
      </c>
      <c r="BN474" s="3">
        <v>1249.096206343871</v>
      </c>
      <c r="BO474" s="3">
        <v>1244.7428667012539</v>
      </c>
      <c r="BP474" s="3">
        <v>1240.404699281519</v>
      </c>
      <c r="BQ474" s="3">
        <v>1236.081651206561</v>
      </c>
      <c r="BR474" s="3">
        <v>1231.773669782568</v>
      </c>
      <c r="BS474" s="3">
        <v>1227.4807024993729</v>
      </c>
      <c r="BT474" s="3">
        <v>1223.2026970298191</v>
      </c>
      <c r="BU474" s="3">
        <v>1218.939601229117</v>
      </c>
      <c r="BV474" s="3">
        <v>1214.6913631342161</v>
      </c>
      <c r="BW474" s="3">
        <v>1210.457930963162</v>
      </c>
      <c r="BY474" s="17" t="s">
        <v>3139</v>
      </c>
      <c r="BZ474" s="3">
        <v>1494.6442716687261</v>
      </c>
      <c r="CA474" s="3">
        <v>1177.0750241412291</v>
      </c>
      <c r="CB474" s="3">
        <v>1284.475530209442</v>
      </c>
      <c r="CC474" s="3">
        <v>1279.9988868434359</v>
      </c>
      <c r="CD474" s="3">
        <v>1275.5378454374161</v>
      </c>
      <c r="CE474" s="3">
        <v>1271.0923516155631</v>
      </c>
      <c r="CF474" s="3">
        <v>1266.662351191567</v>
      </c>
      <c r="CG474" s="3">
        <v>1262.2477901679661</v>
      </c>
      <c r="CH474" s="3">
        <v>1257.8486147354911</v>
      </c>
      <c r="CI474" s="3">
        <v>1253.46477127241</v>
      </c>
      <c r="CJ474" s="3">
        <v>1249.096206343871</v>
      </c>
      <c r="CK474" s="3">
        <v>1244.7428667012539</v>
      </c>
      <c r="CL474" s="3">
        <v>1240.404699281519</v>
      </c>
      <c r="CM474" s="3">
        <v>1236.081651206561</v>
      </c>
      <c r="CN474" s="3">
        <v>1231.773669782568</v>
      </c>
      <c r="CO474" s="3">
        <v>1227.4807024993729</v>
      </c>
      <c r="CP474" s="3">
        <v>1223.2026970298191</v>
      </c>
      <c r="CQ474" s="3">
        <v>1218.939601229117</v>
      </c>
      <c r="CR474" s="3">
        <v>1214.6913631342161</v>
      </c>
      <c r="CS474" s="3">
        <v>1210.457930963162</v>
      </c>
      <c r="CU474" s="17" t="s">
        <v>3140</v>
      </c>
      <c r="CV474" s="3">
        <v>1494.6442716687261</v>
      </c>
      <c r="CW474" s="3">
        <v>1177.0750241412291</v>
      </c>
      <c r="CX474" s="3">
        <v>1284.475530209442</v>
      </c>
      <c r="CY474" s="3">
        <v>1279.9988868434359</v>
      </c>
      <c r="CZ474" s="3">
        <v>1275.5378454374161</v>
      </c>
      <c r="DA474" s="3">
        <v>1271.0923516155631</v>
      </c>
      <c r="DB474" s="3">
        <v>1266.662351191567</v>
      </c>
      <c r="DC474" s="3">
        <v>1262.2477901679661</v>
      </c>
      <c r="DD474" s="3">
        <v>1257.8486147354911</v>
      </c>
      <c r="DE474" s="3">
        <v>1253.46477127241</v>
      </c>
      <c r="DF474" s="3">
        <v>1249.096206343871</v>
      </c>
      <c r="DG474" s="3">
        <v>1244.7428667012539</v>
      </c>
      <c r="DH474" s="3">
        <v>1240.404699281519</v>
      </c>
      <c r="DI474" s="3">
        <v>1236.081651206561</v>
      </c>
      <c r="DJ474" s="3">
        <v>1231.773669782568</v>
      </c>
      <c r="DK474" s="3">
        <v>1227.4807024993729</v>
      </c>
      <c r="DL474" s="3">
        <v>1223.2026970298191</v>
      </c>
      <c r="DM474" s="3">
        <v>1218.939601229117</v>
      </c>
      <c r="DN474" s="3">
        <v>1214.6913631342161</v>
      </c>
      <c r="DO474" s="3">
        <v>1210.457930963162</v>
      </c>
    </row>
    <row r="475" spans="1:119" x14ac:dyDescent="0.45">
      <c r="A475" s="11"/>
      <c r="B475" s="3" t="s">
        <v>89</v>
      </c>
      <c r="C475" s="16" t="s">
        <v>3141</v>
      </c>
      <c r="H475" s="11" t="s">
        <v>3142</v>
      </c>
      <c r="I475" s="11" t="s">
        <v>2363</v>
      </c>
    </row>
    <row r="476" spans="1:119" x14ac:dyDescent="0.45">
      <c r="A476" s="16" t="s">
        <v>3143</v>
      </c>
      <c r="B476" s="3" t="s">
        <v>89</v>
      </c>
      <c r="C476" s="16" t="s">
        <v>3144</v>
      </c>
      <c r="H476" s="3" t="s">
        <v>3145</v>
      </c>
      <c r="I476" s="3" t="s">
        <v>2363</v>
      </c>
      <c r="K476" s="17" t="s">
        <v>3146</v>
      </c>
      <c r="L476" s="3">
        <v>0</v>
      </c>
      <c r="M476" s="3">
        <v>0</v>
      </c>
      <c r="N476" s="3">
        <v>0</v>
      </c>
      <c r="O476" s="3">
        <v>0</v>
      </c>
      <c r="P476" s="3">
        <v>0</v>
      </c>
      <c r="Q476" s="3">
        <v>0</v>
      </c>
      <c r="R476" s="3">
        <v>0</v>
      </c>
      <c r="S476" s="3">
        <v>0</v>
      </c>
      <c r="T476" s="3">
        <v>0</v>
      </c>
      <c r="U476" s="3">
        <v>0</v>
      </c>
      <c r="V476" s="3">
        <v>0</v>
      </c>
      <c r="W476" s="3">
        <v>0</v>
      </c>
      <c r="X476" s="3">
        <v>0</v>
      </c>
      <c r="Y476" s="3">
        <v>0</v>
      </c>
      <c r="Z476" s="3">
        <v>0</v>
      </c>
      <c r="AA476" s="3">
        <v>0</v>
      </c>
      <c r="AB476" s="3">
        <v>0</v>
      </c>
      <c r="AC476" s="3">
        <v>0</v>
      </c>
      <c r="AD476" s="3">
        <v>0</v>
      </c>
      <c r="AE476" s="3">
        <v>0</v>
      </c>
      <c r="AG476" s="17" t="s">
        <v>3147</v>
      </c>
      <c r="AH476" s="3">
        <v>0</v>
      </c>
      <c r="AI476" s="3">
        <v>0</v>
      </c>
      <c r="AJ476" s="3">
        <v>0</v>
      </c>
      <c r="AK476" s="3">
        <v>0</v>
      </c>
      <c r="AL476" s="3">
        <v>0</v>
      </c>
      <c r="AM476" s="3">
        <v>0</v>
      </c>
      <c r="AN476" s="3">
        <v>0</v>
      </c>
      <c r="AO476" s="3">
        <v>0</v>
      </c>
      <c r="AP476" s="3">
        <v>0</v>
      </c>
      <c r="AQ476" s="3">
        <v>0</v>
      </c>
      <c r="AR476" s="3">
        <v>0</v>
      </c>
      <c r="AS476" s="3">
        <v>0</v>
      </c>
      <c r="AT476" s="3">
        <v>0</v>
      </c>
      <c r="AU476" s="3">
        <v>0</v>
      </c>
      <c r="AV476" s="3">
        <v>0</v>
      </c>
      <c r="AW476" s="3">
        <v>0</v>
      </c>
      <c r="AX476" s="3">
        <v>0</v>
      </c>
      <c r="AY476" s="3">
        <v>0</v>
      </c>
      <c r="AZ476" s="3">
        <v>0</v>
      </c>
      <c r="BA476" s="3">
        <v>0</v>
      </c>
      <c r="BC476" s="17" t="s">
        <v>3148</v>
      </c>
      <c r="BD476" s="3">
        <v>0</v>
      </c>
      <c r="BE476" s="3">
        <v>0</v>
      </c>
      <c r="BF476" s="3">
        <v>0</v>
      </c>
      <c r="BG476" s="3">
        <v>0</v>
      </c>
      <c r="BH476" s="3">
        <v>0</v>
      </c>
      <c r="BI476" s="3">
        <v>0</v>
      </c>
      <c r="BJ476" s="3">
        <v>0</v>
      </c>
      <c r="BK476" s="3">
        <v>0</v>
      </c>
      <c r="BL476" s="3">
        <v>0</v>
      </c>
      <c r="BM476" s="3">
        <v>0</v>
      </c>
      <c r="BN476" s="3">
        <v>0</v>
      </c>
      <c r="BO476" s="3">
        <v>0</v>
      </c>
      <c r="BP476" s="3">
        <v>0</v>
      </c>
      <c r="BQ476" s="3">
        <v>0</v>
      </c>
      <c r="BR476" s="3">
        <v>0</v>
      </c>
      <c r="BS476" s="3">
        <v>0</v>
      </c>
      <c r="BT476" s="3">
        <v>0</v>
      </c>
      <c r="BU476" s="3">
        <v>0</v>
      </c>
      <c r="BV476" s="3">
        <v>0</v>
      </c>
      <c r="BW476" s="3">
        <v>0</v>
      </c>
      <c r="BY476" s="17" t="s">
        <v>3149</v>
      </c>
      <c r="BZ476" s="3">
        <v>0</v>
      </c>
      <c r="CA476" s="3">
        <v>0</v>
      </c>
      <c r="CB476" s="3">
        <v>0</v>
      </c>
      <c r="CC476" s="3">
        <v>0</v>
      </c>
      <c r="CD476" s="3">
        <v>0</v>
      </c>
      <c r="CE476" s="3">
        <v>0</v>
      </c>
      <c r="CF476" s="3">
        <v>0</v>
      </c>
      <c r="CG476" s="3">
        <v>0</v>
      </c>
      <c r="CH476" s="3">
        <v>0</v>
      </c>
      <c r="CI476" s="3">
        <v>0</v>
      </c>
      <c r="CJ476" s="3">
        <v>0</v>
      </c>
      <c r="CK476" s="3">
        <v>0</v>
      </c>
      <c r="CL476" s="3">
        <v>0</v>
      </c>
      <c r="CM476" s="3">
        <v>0</v>
      </c>
      <c r="CN476" s="3">
        <v>0</v>
      </c>
      <c r="CO476" s="3">
        <v>0</v>
      </c>
      <c r="CP476" s="3">
        <v>0</v>
      </c>
      <c r="CQ476" s="3">
        <v>0</v>
      </c>
      <c r="CR476" s="3">
        <v>0</v>
      </c>
      <c r="CS476" s="3">
        <v>0</v>
      </c>
      <c r="CU476" s="17" t="s">
        <v>3150</v>
      </c>
      <c r="CV476" s="3">
        <v>0</v>
      </c>
      <c r="CW476" s="3">
        <v>0</v>
      </c>
      <c r="CX476" s="3">
        <v>0</v>
      </c>
      <c r="CY476" s="3">
        <v>0</v>
      </c>
      <c r="CZ476" s="3">
        <v>0</v>
      </c>
      <c r="DA476" s="3">
        <v>0</v>
      </c>
      <c r="DB476" s="3">
        <v>0</v>
      </c>
      <c r="DC476" s="3">
        <v>0</v>
      </c>
      <c r="DD476" s="3">
        <v>0</v>
      </c>
      <c r="DE476" s="3">
        <v>0</v>
      </c>
      <c r="DF476" s="3">
        <v>0</v>
      </c>
      <c r="DG476" s="3">
        <v>0</v>
      </c>
      <c r="DH476" s="3">
        <v>0</v>
      </c>
      <c r="DI476" s="3">
        <v>0</v>
      </c>
      <c r="DJ476" s="3">
        <v>0</v>
      </c>
      <c r="DK476" s="3">
        <v>0</v>
      </c>
      <c r="DL476" s="3">
        <v>0</v>
      </c>
      <c r="DM476" s="3">
        <v>0</v>
      </c>
      <c r="DN476" s="3">
        <v>0</v>
      </c>
      <c r="DO476" s="3">
        <v>0</v>
      </c>
    </row>
    <row r="477" spans="1:119" x14ac:dyDescent="0.45">
      <c r="A477" s="16" t="s">
        <v>3151</v>
      </c>
      <c r="B477" s="3" t="s">
        <v>89</v>
      </c>
      <c r="C477" s="16" t="s">
        <v>3152</v>
      </c>
      <c r="H477" s="3" t="s">
        <v>3153</v>
      </c>
      <c r="I477" s="3" t="s">
        <v>2363</v>
      </c>
      <c r="K477" s="17" t="s">
        <v>3154</v>
      </c>
      <c r="L477" s="3">
        <v>0</v>
      </c>
      <c r="M477" s="3">
        <v>0</v>
      </c>
      <c r="N477" s="3">
        <v>0</v>
      </c>
      <c r="O477" s="3">
        <v>0</v>
      </c>
      <c r="P477" s="3">
        <v>0</v>
      </c>
      <c r="Q477" s="3">
        <v>0</v>
      </c>
      <c r="R477" s="3">
        <v>0</v>
      </c>
      <c r="S477" s="3">
        <v>0</v>
      </c>
      <c r="T477" s="3">
        <v>0</v>
      </c>
      <c r="U477" s="3">
        <v>0</v>
      </c>
      <c r="V477" s="3">
        <v>0</v>
      </c>
      <c r="W477" s="3">
        <v>0</v>
      </c>
      <c r="X477" s="3">
        <v>0</v>
      </c>
      <c r="Y477" s="3">
        <v>0</v>
      </c>
      <c r="Z477" s="3">
        <v>0</v>
      </c>
      <c r="AA477" s="3">
        <v>0</v>
      </c>
      <c r="AB477" s="3">
        <v>0</v>
      </c>
      <c r="AC477" s="3">
        <v>0</v>
      </c>
      <c r="AD477" s="3">
        <v>0</v>
      </c>
      <c r="AE477" s="3">
        <v>0</v>
      </c>
      <c r="AG477" s="17" t="s">
        <v>3155</v>
      </c>
      <c r="AH477" s="3">
        <v>0</v>
      </c>
      <c r="AI477" s="3">
        <v>0</v>
      </c>
      <c r="AJ477" s="3">
        <v>0</v>
      </c>
      <c r="AK477" s="3">
        <v>0</v>
      </c>
      <c r="AL477" s="3">
        <v>0</v>
      </c>
      <c r="AM477" s="3">
        <v>0</v>
      </c>
      <c r="AN477" s="3">
        <v>0</v>
      </c>
      <c r="AO477" s="3">
        <v>0</v>
      </c>
      <c r="AP477" s="3">
        <v>0</v>
      </c>
      <c r="AQ477" s="3">
        <v>0</v>
      </c>
      <c r="AR477" s="3">
        <v>0</v>
      </c>
      <c r="AS477" s="3">
        <v>0</v>
      </c>
      <c r="AT477" s="3">
        <v>0</v>
      </c>
      <c r="AU477" s="3">
        <v>0</v>
      </c>
      <c r="AV477" s="3">
        <v>0</v>
      </c>
      <c r="AW477" s="3">
        <v>0</v>
      </c>
      <c r="AX477" s="3">
        <v>0</v>
      </c>
      <c r="AY477" s="3">
        <v>0</v>
      </c>
      <c r="AZ477" s="3">
        <v>0</v>
      </c>
      <c r="BA477" s="3">
        <v>0</v>
      </c>
      <c r="BC477" s="17" t="s">
        <v>3156</v>
      </c>
      <c r="BD477" s="3">
        <v>0</v>
      </c>
      <c r="BE477" s="3">
        <v>0</v>
      </c>
      <c r="BF477" s="3">
        <v>0</v>
      </c>
      <c r="BG477" s="3">
        <v>0</v>
      </c>
      <c r="BH477" s="3">
        <v>0</v>
      </c>
      <c r="BI477" s="3">
        <v>0</v>
      </c>
      <c r="BJ477" s="3">
        <v>0</v>
      </c>
      <c r="BK477" s="3">
        <v>0</v>
      </c>
      <c r="BL477" s="3">
        <v>0</v>
      </c>
      <c r="BM477" s="3">
        <v>0</v>
      </c>
      <c r="BN477" s="3">
        <v>0</v>
      </c>
      <c r="BO477" s="3">
        <v>0</v>
      </c>
      <c r="BP477" s="3">
        <v>0</v>
      </c>
      <c r="BQ477" s="3">
        <v>0</v>
      </c>
      <c r="BR477" s="3">
        <v>0</v>
      </c>
      <c r="BS477" s="3">
        <v>0</v>
      </c>
      <c r="BT477" s="3">
        <v>0</v>
      </c>
      <c r="BU477" s="3">
        <v>0</v>
      </c>
      <c r="BV477" s="3">
        <v>0</v>
      </c>
      <c r="BW477" s="3">
        <v>0</v>
      </c>
      <c r="BY477" s="17" t="s">
        <v>3157</v>
      </c>
      <c r="BZ477" s="3">
        <v>0</v>
      </c>
      <c r="CA477" s="3">
        <v>0</v>
      </c>
      <c r="CB477" s="3">
        <v>0</v>
      </c>
      <c r="CC477" s="3">
        <v>0</v>
      </c>
      <c r="CD477" s="3">
        <v>0</v>
      </c>
      <c r="CE477" s="3">
        <v>0</v>
      </c>
      <c r="CF477" s="3">
        <v>0</v>
      </c>
      <c r="CG477" s="3">
        <v>0</v>
      </c>
      <c r="CH477" s="3">
        <v>0</v>
      </c>
      <c r="CI477" s="3">
        <v>0</v>
      </c>
      <c r="CJ477" s="3">
        <v>0</v>
      </c>
      <c r="CK477" s="3">
        <v>0</v>
      </c>
      <c r="CL477" s="3">
        <v>0</v>
      </c>
      <c r="CM477" s="3">
        <v>0</v>
      </c>
      <c r="CN477" s="3">
        <v>0</v>
      </c>
      <c r="CO477" s="3">
        <v>0</v>
      </c>
      <c r="CP477" s="3">
        <v>0</v>
      </c>
      <c r="CQ477" s="3">
        <v>0</v>
      </c>
      <c r="CR477" s="3">
        <v>0</v>
      </c>
      <c r="CS477" s="3">
        <v>0</v>
      </c>
      <c r="CU477" s="17" t="s">
        <v>3158</v>
      </c>
      <c r="CV477" s="3">
        <v>0</v>
      </c>
      <c r="CW477" s="3">
        <v>0</v>
      </c>
      <c r="CX477" s="3">
        <v>0</v>
      </c>
      <c r="CY477" s="3">
        <v>0</v>
      </c>
      <c r="CZ477" s="3">
        <v>0</v>
      </c>
      <c r="DA477" s="3">
        <v>0</v>
      </c>
      <c r="DB477" s="3">
        <v>0</v>
      </c>
      <c r="DC477" s="3">
        <v>0</v>
      </c>
      <c r="DD477" s="3">
        <v>0</v>
      </c>
      <c r="DE477" s="3">
        <v>0</v>
      </c>
      <c r="DF477" s="3">
        <v>0</v>
      </c>
      <c r="DG477" s="3">
        <v>0</v>
      </c>
      <c r="DH477" s="3">
        <v>0</v>
      </c>
      <c r="DI477" s="3">
        <v>0</v>
      </c>
      <c r="DJ477" s="3">
        <v>0</v>
      </c>
      <c r="DK477" s="3">
        <v>0</v>
      </c>
      <c r="DL477" s="3">
        <v>0</v>
      </c>
      <c r="DM477" s="3">
        <v>0</v>
      </c>
      <c r="DN477" s="3">
        <v>0</v>
      </c>
      <c r="DO477" s="3">
        <v>0</v>
      </c>
    </row>
    <row r="478" spans="1:119" x14ac:dyDescent="0.45">
      <c r="A478" s="16" t="s">
        <v>3159</v>
      </c>
      <c r="B478" s="3" t="s">
        <v>89</v>
      </c>
      <c r="C478" s="16" t="s">
        <v>3160</v>
      </c>
      <c r="H478" s="3" t="s">
        <v>3161</v>
      </c>
      <c r="I478" s="3" t="s">
        <v>2363</v>
      </c>
      <c r="K478" s="17" t="s">
        <v>3162</v>
      </c>
      <c r="L478" s="3">
        <v>0</v>
      </c>
      <c r="M478" s="3">
        <v>0</v>
      </c>
      <c r="N478" s="3">
        <v>0</v>
      </c>
      <c r="O478" s="3">
        <v>0</v>
      </c>
      <c r="P478" s="3">
        <v>0</v>
      </c>
      <c r="Q478" s="3">
        <v>0</v>
      </c>
      <c r="R478" s="3">
        <v>0</v>
      </c>
      <c r="S478" s="3">
        <v>0</v>
      </c>
      <c r="T478" s="3">
        <v>0</v>
      </c>
      <c r="U478" s="3">
        <v>0</v>
      </c>
      <c r="V478" s="3">
        <v>0</v>
      </c>
      <c r="W478" s="3">
        <v>0</v>
      </c>
      <c r="X478" s="3">
        <v>0</v>
      </c>
      <c r="Y478" s="3">
        <v>0</v>
      </c>
      <c r="Z478" s="3">
        <v>0</v>
      </c>
      <c r="AA478" s="3">
        <v>0</v>
      </c>
      <c r="AB478" s="3">
        <v>0</v>
      </c>
      <c r="AC478" s="3">
        <v>0</v>
      </c>
      <c r="AD478" s="3">
        <v>0</v>
      </c>
      <c r="AE478" s="3">
        <v>0</v>
      </c>
      <c r="AG478" s="17" t="s">
        <v>3163</v>
      </c>
      <c r="AH478" s="3">
        <v>0</v>
      </c>
      <c r="AI478" s="3">
        <v>0</v>
      </c>
      <c r="AJ478" s="3">
        <v>0</v>
      </c>
      <c r="AK478" s="3">
        <v>0</v>
      </c>
      <c r="AL478" s="3">
        <v>0</v>
      </c>
      <c r="AM478" s="3">
        <v>0</v>
      </c>
      <c r="AN478" s="3">
        <v>0</v>
      </c>
      <c r="AO478" s="3">
        <v>0</v>
      </c>
      <c r="AP478" s="3">
        <v>0</v>
      </c>
      <c r="AQ478" s="3">
        <v>0</v>
      </c>
      <c r="AR478" s="3">
        <v>0</v>
      </c>
      <c r="AS478" s="3">
        <v>0</v>
      </c>
      <c r="AT478" s="3">
        <v>0</v>
      </c>
      <c r="AU478" s="3">
        <v>0</v>
      </c>
      <c r="AV478" s="3">
        <v>0</v>
      </c>
      <c r="AW478" s="3">
        <v>0</v>
      </c>
      <c r="AX478" s="3">
        <v>0</v>
      </c>
      <c r="AY478" s="3">
        <v>0</v>
      </c>
      <c r="AZ478" s="3">
        <v>0</v>
      </c>
      <c r="BA478" s="3">
        <v>0</v>
      </c>
      <c r="BC478" s="17" t="s">
        <v>3164</v>
      </c>
      <c r="BD478" s="3">
        <v>0</v>
      </c>
      <c r="BE478" s="3">
        <v>0</v>
      </c>
      <c r="BF478" s="3">
        <v>0</v>
      </c>
      <c r="BG478" s="3">
        <v>0</v>
      </c>
      <c r="BH478" s="3">
        <v>0</v>
      </c>
      <c r="BI478" s="3">
        <v>0</v>
      </c>
      <c r="BJ478" s="3">
        <v>0</v>
      </c>
      <c r="BK478" s="3">
        <v>0</v>
      </c>
      <c r="BL478" s="3">
        <v>0</v>
      </c>
      <c r="BM478" s="3">
        <v>0</v>
      </c>
      <c r="BN478" s="3">
        <v>0</v>
      </c>
      <c r="BO478" s="3">
        <v>0</v>
      </c>
      <c r="BP478" s="3">
        <v>0</v>
      </c>
      <c r="BQ478" s="3">
        <v>0</v>
      </c>
      <c r="BR478" s="3">
        <v>0</v>
      </c>
      <c r="BS478" s="3">
        <v>0</v>
      </c>
      <c r="BT478" s="3">
        <v>0</v>
      </c>
      <c r="BU478" s="3">
        <v>0</v>
      </c>
      <c r="BV478" s="3">
        <v>0</v>
      </c>
      <c r="BW478" s="3">
        <v>0</v>
      </c>
      <c r="BY478" s="17" t="s">
        <v>3165</v>
      </c>
      <c r="BZ478" s="3">
        <v>0</v>
      </c>
      <c r="CA478" s="3">
        <v>0</v>
      </c>
      <c r="CB478" s="3">
        <v>0</v>
      </c>
      <c r="CC478" s="3">
        <v>0</v>
      </c>
      <c r="CD478" s="3">
        <v>0</v>
      </c>
      <c r="CE478" s="3">
        <v>0</v>
      </c>
      <c r="CF478" s="3">
        <v>0</v>
      </c>
      <c r="CG478" s="3">
        <v>0</v>
      </c>
      <c r="CH478" s="3">
        <v>0</v>
      </c>
      <c r="CI478" s="3">
        <v>0</v>
      </c>
      <c r="CJ478" s="3">
        <v>0</v>
      </c>
      <c r="CK478" s="3">
        <v>0</v>
      </c>
      <c r="CL478" s="3">
        <v>0</v>
      </c>
      <c r="CM478" s="3">
        <v>0</v>
      </c>
      <c r="CN478" s="3">
        <v>0</v>
      </c>
      <c r="CO478" s="3">
        <v>0</v>
      </c>
      <c r="CP478" s="3">
        <v>0</v>
      </c>
      <c r="CQ478" s="3">
        <v>0</v>
      </c>
      <c r="CR478" s="3">
        <v>0</v>
      </c>
      <c r="CS478" s="3">
        <v>0</v>
      </c>
      <c r="CU478" s="17" t="s">
        <v>3166</v>
      </c>
      <c r="CV478" s="3">
        <v>0</v>
      </c>
      <c r="CW478" s="3">
        <v>0</v>
      </c>
      <c r="CX478" s="3">
        <v>0</v>
      </c>
      <c r="CY478" s="3">
        <v>0</v>
      </c>
      <c r="CZ478" s="3">
        <v>0</v>
      </c>
      <c r="DA478" s="3">
        <v>0</v>
      </c>
      <c r="DB478" s="3">
        <v>0</v>
      </c>
      <c r="DC478" s="3">
        <v>0</v>
      </c>
      <c r="DD478" s="3">
        <v>0</v>
      </c>
      <c r="DE478" s="3">
        <v>0</v>
      </c>
      <c r="DF478" s="3">
        <v>0</v>
      </c>
      <c r="DG478" s="3">
        <v>0</v>
      </c>
      <c r="DH478" s="3">
        <v>0</v>
      </c>
      <c r="DI478" s="3">
        <v>0</v>
      </c>
      <c r="DJ478" s="3">
        <v>0</v>
      </c>
      <c r="DK478" s="3">
        <v>0</v>
      </c>
      <c r="DL478" s="3">
        <v>0</v>
      </c>
      <c r="DM478" s="3">
        <v>0</v>
      </c>
      <c r="DN478" s="3">
        <v>0</v>
      </c>
      <c r="DO478" s="3">
        <v>0</v>
      </c>
    </row>
    <row r="479" spans="1:119" x14ac:dyDescent="0.45">
      <c r="A479" s="16" t="s">
        <v>3167</v>
      </c>
      <c r="B479" s="3" t="s">
        <v>89</v>
      </c>
      <c r="C479" s="16" t="s">
        <v>3168</v>
      </c>
      <c r="H479" s="3" t="s">
        <v>3169</v>
      </c>
      <c r="I479" s="3" t="s">
        <v>2363</v>
      </c>
      <c r="K479" s="17" t="s">
        <v>3170</v>
      </c>
      <c r="L479" s="3">
        <v>874.12469728535962</v>
      </c>
      <c r="M479" s="3">
        <v>1043.59285685189</v>
      </c>
      <c r="N479" s="3">
        <v>1317.809745538995</v>
      </c>
      <c r="O479" s="3">
        <v>1344.9282538635321</v>
      </c>
      <c r="P479" s="3">
        <v>1371.3080636854379</v>
      </c>
      <c r="Q479" s="3">
        <v>1401.954783148595</v>
      </c>
      <c r="R479" s="3">
        <v>1437.7658910303201</v>
      </c>
      <c r="S479" s="3">
        <v>1471.929923008747</v>
      </c>
      <c r="T479" s="3">
        <v>1503.830323220541</v>
      </c>
      <c r="U479" s="3">
        <v>1535.8281169551899</v>
      </c>
      <c r="V479" s="3">
        <v>1568.029635045657</v>
      </c>
      <c r="W479" s="3">
        <v>1600.427305617465</v>
      </c>
      <c r="X479" s="3">
        <v>1633.0135723157621</v>
      </c>
      <c r="Y479" s="3">
        <v>1665.7808885415579</v>
      </c>
      <c r="Z479" s="3">
        <v>1698.721710819342</v>
      </c>
      <c r="AA479" s="3">
        <v>1731.828491325738</v>
      </c>
      <c r="AB479" s="3">
        <v>1765.09366960695</v>
      </c>
      <c r="AC479" s="3">
        <v>1798.509663510865</v>
      </c>
      <c r="AD479" s="3">
        <v>1832.0688593576219</v>
      </c>
      <c r="AE479" s="3">
        <v>1865.763601370438</v>
      </c>
      <c r="AG479" s="17" t="s">
        <v>3171</v>
      </c>
      <c r="AH479" s="3">
        <v>874.12469728535962</v>
      </c>
      <c r="AI479" s="3">
        <v>1043.59285685189</v>
      </c>
      <c r="AJ479" s="3">
        <v>1317.809745538995</v>
      </c>
      <c r="AK479" s="3">
        <v>1344.9282538635321</v>
      </c>
      <c r="AL479" s="3">
        <v>1371.3080636854379</v>
      </c>
      <c r="AM479" s="3">
        <v>1141.384875662678</v>
      </c>
      <c r="AN479" s="3">
        <v>1170.539953828127</v>
      </c>
      <c r="AO479" s="3">
        <v>1198.7021730593201</v>
      </c>
      <c r="AP479" s="3">
        <v>1223.8825445992791</v>
      </c>
      <c r="AQ479" s="3">
        <v>1250.0638534249219</v>
      </c>
      <c r="AR479" s="3">
        <v>1275.943590434473</v>
      </c>
      <c r="AS479" s="3">
        <v>1302.7477749965039</v>
      </c>
      <c r="AT479" s="3">
        <v>1330.0818143170279</v>
      </c>
      <c r="AU479" s="3">
        <v>1357.398286165698</v>
      </c>
      <c r="AV479" s="3">
        <v>1385.0257739436761</v>
      </c>
      <c r="AW479" s="3">
        <v>1413.176546841614</v>
      </c>
      <c r="AX479" s="3">
        <v>1441.119279611408</v>
      </c>
      <c r="AY479" s="3">
        <v>1469.0048498187141</v>
      </c>
      <c r="AZ479" s="3">
        <v>1496.567476449816</v>
      </c>
      <c r="BA479" s="3">
        <v>1524.1147904980301</v>
      </c>
      <c r="BC479" s="17" t="s">
        <v>3172</v>
      </c>
      <c r="BD479" s="3">
        <v>874.12469728535962</v>
      </c>
      <c r="BE479" s="3">
        <v>1043.59285685189</v>
      </c>
      <c r="BF479" s="3">
        <v>1317.809745538995</v>
      </c>
      <c r="BG479" s="3">
        <v>1344.9282538635321</v>
      </c>
      <c r="BH479" s="3">
        <v>1371.3080636854379</v>
      </c>
      <c r="BI479" s="3">
        <v>1258.6966186506229</v>
      </c>
      <c r="BJ479" s="3">
        <v>1135.147081673367</v>
      </c>
      <c r="BK479" s="3">
        <v>1036.436524730439</v>
      </c>
      <c r="BL479" s="3">
        <v>954.66061620731227</v>
      </c>
      <c r="BM479" s="3">
        <v>887.14418124159272</v>
      </c>
      <c r="BN479" s="3">
        <v>830.41202758186989</v>
      </c>
      <c r="BO479" s="3">
        <v>782.35996315720456</v>
      </c>
      <c r="BP479" s="3">
        <v>741.32904123316007</v>
      </c>
      <c r="BQ479" s="3">
        <v>705.87147475944732</v>
      </c>
      <c r="BR479" s="3">
        <v>674.96622022560018</v>
      </c>
      <c r="BS479" s="3">
        <v>647.90058332113176</v>
      </c>
      <c r="BT479" s="3">
        <v>623.95721138650993</v>
      </c>
      <c r="BU479" s="3">
        <v>602.5960956427574</v>
      </c>
      <c r="BV479" s="3">
        <v>583.30985287097781</v>
      </c>
      <c r="BW479" s="3">
        <v>565.77676090463103</v>
      </c>
      <c r="BY479" s="17" t="s">
        <v>3173</v>
      </c>
      <c r="BZ479" s="3">
        <v>874.12469728535962</v>
      </c>
      <c r="CA479" s="3">
        <v>1043.59285685189</v>
      </c>
      <c r="CB479" s="3">
        <v>1317.809745538995</v>
      </c>
      <c r="CC479" s="3">
        <v>1344.9282538635321</v>
      </c>
      <c r="CD479" s="3">
        <v>1371.3080636854379</v>
      </c>
      <c r="CE479" s="3">
        <v>1090.3682432037001</v>
      </c>
      <c r="CF479" s="3">
        <v>1118.219682106178</v>
      </c>
      <c r="CG479" s="3">
        <v>1145.073813652326</v>
      </c>
      <c r="CH479" s="3">
        <v>1169.1746115621961</v>
      </c>
      <c r="CI479" s="3">
        <v>1194.3381987526229</v>
      </c>
      <c r="CJ479" s="3">
        <v>1219.024989986674</v>
      </c>
      <c r="CK479" s="3">
        <v>1244.685523857351</v>
      </c>
      <c r="CL479" s="3">
        <v>1270.5400020925799</v>
      </c>
      <c r="CM479" s="3">
        <v>1296.4305846714201</v>
      </c>
      <c r="CN479" s="3">
        <v>1322.6092624712151</v>
      </c>
      <c r="CO479" s="3">
        <v>1349.1945403179179</v>
      </c>
      <c r="CP479" s="3">
        <v>1375.603493193888</v>
      </c>
      <c r="CQ479" s="3">
        <v>1402.069544960669</v>
      </c>
      <c r="CR479" s="3">
        <v>1428.3155065934279</v>
      </c>
      <c r="CS479" s="3">
        <v>1454.7091894521441</v>
      </c>
      <c r="CU479" s="17" t="s">
        <v>3174</v>
      </c>
      <c r="CV479" s="3">
        <v>874.12469728535962</v>
      </c>
      <c r="CW479" s="3">
        <v>1043.59285685189</v>
      </c>
      <c r="CX479" s="3">
        <v>1317.809745538995</v>
      </c>
      <c r="CY479" s="3">
        <v>1344.9282538635321</v>
      </c>
      <c r="CZ479" s="3">
        <v>1371.3080636854379</v>
      </c>
      <c r="DA479" s="3">
        <v>890.019752580881</v>
      </c>
      <c r="DB479" s="3">
        <v>912.7539501117418</v>
      </c>
      <c r="DC479" s="3">
        <v>935.02358689440348</v>
      </c>
      <c r="DD479" s="3">
        <v>953.93354318547847</v>
      </c>
      <c r="DE479" s="3">
        <v>974.52732240583566</v>
      </c>
      <c r="DF479" s="3">
        <v>994.36264423173384</v>
      </c>
      <c r="DG479" s="3">
        <v>1015.6886817635969</v>
      </c>
      <c r="DH479" s="3">
        <v>1037.664020311692</v>
      </c>
      <c r="DI479" s="3">
        <v>1059.514265991236</v>
      </c>
      <c r="DJ479" s="3">
        <v>1081.745363786948</v>
      </c>
      <c r="DK479" s="3">
        <v>1104.7287648723491</v>
      </c>
      <c r="DL479" s="3">
        <v>1127.234431708694</v>
      </c>
      <c r="DM479" s="3">
        <v>1149.5741882397799</v>
      </c>
      <c r="DN479" s="3">
        <v>1171.2792408679429</v>
      </c>
      <c r="DO479" s="3">
        <v>1192.888507575512</v>
      </c>
    </row>
    <row r="480" spans="1:119" x14ac:dyDescent="0.45">
      <c r="A480" s="16" t="s">
        <v>3175</v>
      </c>
      <c r="B480" s="3" t="s">
        <v>89</v>
      </c>
      <c r="C480" s="16" t="s">
        <v>3176</v>
      </c>
      <c r="H480" s="3" t="s">
        <v>3177</v>
      </c>
      <c r="I480" s="3" t="s">
        <v>2363</v>
      </c>
      <c r="K480" s="17" t="s">
        <v>3178</v>
      </c>
      <c r="L480" s="3">
        <v>0</v>
      </c>
      <c r="M480" s="3">
        <v>0</v>
      </c>
      <c r="N480" s="3">
        <v>0</v>
      </c>
      <c r="O480" s="3">
        <v>0</v>
      </c>
      <c r="P480" s="3">
        <v>0</v>
      </c>
      <c r="Q480" s="3">
        <v>0</v>
      </c>
      <c r="R480" s="3">
        <v>0</v>
      </c>
      <c r="S480" s="3">
        <v>0</v>
      </c>
      <c r="T480" s="3">
        <v>0</v>
      </c>
      <c r="U480" s="3">
        <v>0</v>
      </c>
      <c r="V480" s="3">
        <v>0</v>
      </c>
      <c r="W480" s="3">
        <v>0</v>
      </c>
      <c r="X480" s="3">
        <v>0</v>
      </c>
      <c r="Y480" s="3">
        <v>0</v>
      </c>
      <c r="Z480" s="3">
        <v>0</v>
      </c>
      <c r="AA480" s="3">
        <v>0</v>
      </c>
      <c r="AB480" s="3">
        <v>0</v>
      </c>
      <c r="AC480" s="3">
        <v>0</v>
      </c>
      <c r="AD480" s="3">
        <v>0</v>
      </c>
      <c r="AE480" s="3">
        <v>0</v>
      </c>
      <c r="AG480" s="17" t="s">
        <v>3179</v>
      </c>
      <c r="AH480" s="3">
        <v>0</v>
      </c>
      <c r="AI480" s="3">
        <v>0</v>
      </c>
      <c r="AJ480" s="3">
        <v>0</v>
      </c>
      <c r="AK480" s="3">
        <v>0</v>
      </c>
      <c r="AL480" s="3">
        <v>0</v>
      </c>
      <c r="AM480" s="3">
        <v>0</v>
      </c>
      <c r="AN480" s="3">
        <v>0</v>
      </c>
      <c r="AO480" s="3">
        <v>0</v>
      </c>
      <c r="AP480" s="3">
        <v>0</v>
      </c>
      <c r="AQ480" s="3">
        <v>0</v>
      </c>
      <c r="AR480" s="3">
        <v>0</v>
      </c>
      <c r="AS480" s="3">
        <v>0</v>
      </c>
      <c r="AT480" s="3">
        <v>0</v>
      </c>
      <c r="AU480" s="3">
        <v>0</v>
      </c>
      <c r="AV480" s="3">
        <v>0</v>
      </c>
      <c r="AW480" s="3">
        <v>0</v>
      </c>
      <c r="AX480" s="3">
        <v>0</v>
      </c>
      <c r="AY480" s="3">
        <v>0</v>
      </c>
      <c r="AZ480" s="3">
        <v>0</v>
      </c>
      <c r="BA480" s="3">
        <v>0</v>
      </c>
      <c r="BC480" s="17" t="s">
        <v>3180</v>
      </c>
      <c r="BD480" s="3">
        <v>0</v>
      </c>
      <c r="BE480" s="3">
        <v>0</v>
      </c>
      <c r="BF480" s="3">
        <v>0</v>
      </c>
      <c r="BG480" s="3">
        <v>0</v>
      </c>
      <c r="BH480" s="3">
        <v>0</v>
      </c>
      <c r="BI480" s="3">
        <v>0</v>
      </c>
      <c r="BJ480" s="3">
        <v>0</v>
      </c>
      <c r="BK480" s="3">
        <v>0</v>
      </c>
      <c r="BL480" s="3">
        <v>0</v>
      </c>
      <c r="BM480" s="3">
        <v>0</v>
      </c>
      <c r="BN480" s="3">
        <v>0</v>
      </c>
      <c r="BO480" s="3">
        <v>0</v>
      </c>
      <c r="BP480" s="3">
        <v>0</v>
      </c>
      <c r="BQ480" s="3">
        <v>0</v>
      </c>
      <c r="BR480" s="3">
        <v>0</v>
      </c>
      <c r="BS480" s="3">
        <v>0</v>
      </c>
      <c r="BT480" s="3">
        <v>0</v>
      </c>
      <c r="BU480" s="3">
        <v>0</v>
      </c>
      <c r="BV480" s="3">
        <v>0</v>
      </c>
      <c r="BW480" s="3">
        <v>0</v>
      </c>
      <c r="BY480" s="17" t="s">
        <v>3181</v>
      </c>
      <c r="BZ480" s="3">
        <v>0</v>
      </c>
      <c r="CA480" s="3">
        <v>0</v>
      </c>
      <c r="CB480" s="3">
        <v>0</v>
      </c>
      <c r="CC480" s="3">
        <v>0</v>
      </c>
      <c r="CD480" s="3">
        <v>0</v>
      </c>
      <c r="CE480" s="3">
        <v>0</v>
      </c>
      <c r="CF480" s="3">
        <v>0</v>
      </c>
      <c r="CG480" s="3">
        <v>0</v>
      </c>
      <c r="CH480" s="3">
        <v>0</v>
      </c>
      <c r="CI480" s="3">
        <v>0</v>
      </c>
      <c r="CJ480" s="3">
        <v>0</v>
      </c>
      <c r="CK480" s="3">
        <v>0</v>
      </c>
      <c r="CL480" s="3">
        <v>0</v>
      </c>
      <c r="CM480" s="3">
        <v>0</v>
      </c>
      <c r="CN480" s="3">
        <v>0</v>
      </c>
      <c r="CO480" s="3">
        <v>0</v>
      </c>
      <c r="CP480" s="3">
        <v>0</v>
      </c>
      <c r="CQ480" s="3">
        <v>0</v>
      </c>
      <c r="CR480" s="3">
        <v>0</v>
      </c>
      <c r="CS480" s="3">
        <v>0</v>
      </c>
      <c r="CU480" s="17" t="s">
        <v>3182</v>
      </c>
      <c r="CV480" s="3">
        <v>0</v>
      </c>
      <c r="CW480" s="3">
        <v>0</v>
      </c>
      <c r="CX480" s="3">
        <v>0</v>
      </c>
      <c r="CY480" s="3">
        <v>0</v>
      </c>
      <c r="CZ480" s="3">
        <v>0</v>
      </c>
      <c r="DA480" s="3">
        <v>0</v>
      </c>
      <c r="DB480" s="3">
        <v>0</v>
      </c>
      <c r="DC480" s="3">
        <v>0</v>
      </c>
      <c r="DD480" s="3">
        <v>0</v>
      </c>
      <c r="DE480" s="3">
        <v>0</v>
      </c>
      <c r="DF480" s="3">
        <v>0</v>
      </c>
      <c r="DG480" s="3">
        <v>0</v>
      </c>
      <c r="DH480" s="3">
        <v>0</v>
      </c>
      <c r="DI480" s="3">
        <v>0</v>
      </c>
      <c r="DJ480" s="3">
        <v>0</v>
      </c>
      <c r="DK480" s="3">
        <v>0</v>
      </c>
      <c r="DL480" s="3">
        <v>0</v>
      </c>
      <c r="DM480" s="3">
        <v>0</v>
      </c>
      <c r="DN480" s="3">
        <v>0</v>
      </c>
      <c r="DO480" s="3">
        <v>0</v>
      </c>
    </row>
    <row r="481" spans="1:119" x14ac:dyDescent="0.45">
      <c r="A481" s="16" t="s">
        <v>3183</v>
      </c>
      <c r="B481" s="3" t="s">
        <v>89</v>
      </c>
      <c r="C481" s="16" t="s">
        <v>3184</v>
      </c>
      <c r="H481" s="3" t="s">
        <v>3185</v>
      </c>
      <c r="I481" s="3" t="s">
        <v>2363</v>
      </c>
      <c r="K481" s="17" t="s">
        <v>3186</v>
      </c>
      <c r="L481" s="3">
        <v>0.31889514405041669</v>
      </c>
      <c r="M481" s="3">
        <v>0.34233331454943372</v>
      </c>
      <c r="N481" s="3">
        <v>0.37218061258063728</v>
      </c>
      <c r="O481" s="3">
        <v>0.38428024824982282</v>
      </c>
      <c r="P481" s="3">
        <v>0.39617365784990249</v>
      </c>
      <c r="Q481" s="3">
        <v>0.41018901998376778</v>
      </c>
      <c r="R481" s="3">
        <v>0.42682591008588749</v>
      </c>
      <c r="S481" s="3">
        <v>0.44290356920764667</v>
      </c>
      <c r="T481" s="3">
        <v>0.45808701174730132</v>
      </c>
      <c r="U481" s="3">
        <v>0.47349793918955968</v>
      </c>
      <c r="V481" s="3">
        <v>0.48918914255542723</v>
      </c>
      <c r="W481" s="3">
        <v>0.50515840078782248</v>
      </c>
      <c r="X481" s="3">
        <v>0.52140332839189241</v>
      </c>
      <c r="Y481" s="3">
        <v>0.53792137409399643</v>
      </c>
      <c r="Z481" s="3">
        <v>0.55470981888763315</v>
      </c>
      <c r="AA481" s="3">
        <v>0.5717657734476419</v>
      </c>
      <c r="AB481" s="3">
        <v>0.58908617489536808</v>
      </c>
      <c r="AC481" s="3">
        <v>0.60666778289871193</v>
      </c>
      <c r="AD481" s="3">
        <v>0.62450717509204967</v>
      </c>
      <c r="AE481" s="3">
        <v>0.64260074180198878</v>
      </c>
      <c r="AG481" s="17" t="s">
        <v>3187</v>
      </c>
      <c r="AH481" s="3">
        <v>0.31889514405041669</v>
      </c>
      <c r="AI481" s="3">
        <v>0.34233331454943372</v>
      </c>
      <c r="AJ481" s="3">
        <v>0.37218061258063728</v>
      </c>
      <c r="AK481" s="3">
        <v>0.38428024824982282</v>
      </c>
      <c r="AL481" s="3">
        <v>0.39617365784990249</v>
      </c>
      <c r="AM481" s="3">
        <v>0.36640204994532699</v>
      </c>
      <c r="AN481" s="3">
        <v>0.38126292288675367</v>
      </c>
      <c r="AO481" s="3">
        <v>0.39580814471967318</v>
      </c>
      <c r="AP481" s="3">
        <v>0.40895009767575541</v>
      </c>
      <c r="AQ481" s="3">
        <v>0.42278378201694877</v>
      </c>
      <c r="AR481" s="3">
        <v>0.43661357609477652</v>
      </c>
      <c r="AS481" s="3">
        <v>0.45111107868576039</v>
      </c>
      <c r="AT481" s="3">
        <v>0.4660713319105641</v>
      </c>
      <c r="AU481" s="3">
        <v>0.48119240991643192</v>
      </c>
      <c r="AV481" s="3">
        <v>0.49666062984922937</v>
      </c>
      <c r="AW481" s="3">
        <v>0.51260343620269688</v>
      </c>
      <c r="AX481" s="3">
        <v>0.52860004650372538</v>
      </c>
      <c r="AY481" s="3">
        <v>0.54473408616183949</v>
      </c>
      <c r="AZ481" s="3">
        <v>0.56084330702470808</v>
      </c>
      <c r="BA481" s="3">
        <v>0.5771062978414776</v>
      </c>
      <c r="BC481" s="17" t="s">
        <v>3188</v>
      </c>
      <c r="BD481" s="3">
        <v>0.31889514405041669</v>
      </c>
      <c r="BE481" s="3">
        <v>0.34233331454943372</v>
      </c>
      <c r="BF481" s="3">
        <v>0.37218061258063728</v>
      </c>
      <c r="BG481" s="3">
        <v>0.38428024824982282</v>
      </c>
      <c r="BH481" s="3">
        <v>0.39617365784990249</v>
      </c>
      <c r="BI481" s="3">
        <v>0.38671540854005848</v>
      </c>
      <c r="BJ481" s="3">
        <v>0.37482856059990111</v>
      </c>
      <c r="BK481" s="3">
        <v>0.36497253507261762</v>
      </c>
      <c r="BL481" s="3">
        <v>0.35606919337723453</v>
      </c>
      <c r="BM481" s="3">
        <v>0.34886512349338661</v>
      </c>
      <c r="BN481" s="3">
        <v>0.3429701631027024</v>
      </c>
      <c r="BO481" s="3">
        <v>0.33832966337405412</v>
      </c>
      <c r="BP481" s="3">
        <v>0.3348328563455808</v>
      </c>
      <c r="BQ481" s="3">
        <v>0.33224435797203511</v>
      </c>
      <c r="BR481" s="3">
        <v>0.33043107468740351</v>
      </c>
      <c r="BS481" s="3">
        <v>0.32934760812417069</v>
      </c>
      <c r="BT481" s="3">
        <v>0.32883009515450529</v>
      </c>
      <c r="BU481" s="3">
        <v>0.32876235917654928</v>
      </c>
      <c r="BV481" s="3">
        <v>0.32897738574991209</v>
      </c>
      <c r="BW481" s="3">
        <v>0.32940893950982159</v>
      </c>
      <c r="BY481" s="17" t="s">
        <v>3189</v>
      </c>
      <c r="BZ481" s="3">
        <v>0.31889514405041669</v>
      </c>
      <c r="CA481" s="3">
        <v>0.34233331454943372</v>
      </c>
      <c r="CB481" s="3">
        <v>0.37218061258063728</v>
      </c>
      <c r="CC481" s="3">
        <v>0.38428024824982282</v>
      </c>
      <c r="CD481" s="3">
        <v>0.39617365784990249</v>
      </c>
      <c r="CE481" s="3">
        <v>0.35722571886184612</v>
      </c>
      <c r="CF481" s="3">
        <v>0.37171414862914298</v>
      </c>
      <c r="CG481" s="3">
        <v>0.38586849934888018</v>
      </c>
      <c r="CH481" s="3">
        <v>0.39870605176748641</v>
      </c>
      <c r="CI481" s="3">
        <v>0.41227748174688827</v>
      </c>
      <c r="CJ481" s="3">
        <v>0.4257416558815445</v>
      </c>
      <c r="CK481" s="3">
        <v>0.43990760023946412</v>
      </c>
      <c r="CL481" s="3">
        <v>0.4543467910586852</v>
      </c>
      <c r="CM481" s="3">
        <v>0.46896995243255168</v>
      </c>
      <c r="CN481" s="3">
        <v>0.48392354958210032</v>
      </c>
      <c r="CO481" s="3">
        <v>0.49928170665551308</v>
      </c>
      <c r="CP481" s="3">
        <v>0.51470174247846667</v>
      </c>
      <c r="CQ481" s="3">
        <v>0.53031971002044009</v>
      </c>
      <c r="CR481" s="3">
        <v>0.5459654917224116</v>
      </c>
      <c r="CS481" s="3">
        <v>0.56186051894001154</v>
      </c>
      <c r="CU481" s="17" t="s">
        <v>3190</v>
      </c>
      <c r="CV481" s="3">
        <v>0.31889514405041669</v>
      </c>
      <c r="CW481" s="3">
        <v>0.34233331454943372</v>
      </c>
      <c r="CX481" s="3">
        <v>0.37218061258063728</v>
      </c>
      <c r="CY481" s="3">
        <v>0.38428024824982282</v>
      </c>
      <c r="CZ481" s="3">
        <v>0.39617365784990249</v>
      </c>
      <c r="DA481" s="3">
        <v>0.31885644887034098</v>
      </c>
      <c r="DB481" s="3">
        <v>0.33178885906198902</v>
      </c>
      <c r="DC481" s="3">
        <v>0.34462916219298989</v>
      </c>
      <c r="DD481" s="3">
        <v>0.35563539876092942</v>
      </c>
      <c r="DE481" s="3">
        <v>0.36777863331693722</v>
      </c>
      <c r="DF481" s="3">
        <v>0.37960140963096339</v>
      </c>
      <c r="DG481" s="3">
        <v>0.39247607611933077</v>
      </c>
      <c r="DH481" s="3">
        <v>0.40590751708758233</v>
      </c>
      <c r="DI481" s="3">
        <v>0.41941817607413118</v>
      </c>
      <c r="DJ481" s="3">
        <v>0.43332774220959969</v>
      </c>
      <c r="DK481" s="3">
        <v>0.44788401033472403</v>
      </c>
      <c r="DL481" s="3">
        <v>0.46229517920764152</v>
      </c>
      <c r="DM481" s="3">
        <v>0.47675565151870991</v>
      </c>
      <c r="DN481" s="3">
        <v>0.49094566561044778</v>
      </c>
      <c r="DO481" s="3">
        <v>0.50521537199103306</v>
      </c>
    </row>
    <row r="482" spans="1:119" x14ac:dyDescent="0.45">
      <c r="A482" s="16" t="s">
        <v>3191</v>
      </c>
      <c r="B482" s="3" t="s">
        <v>89</v>
      </c>
      <c r="C482" s="16" t="s">
        <v>3192</v>
      </c>
      <c r="H482" s="3" t="s">
        <v>3193</v>
      </c>
      <c r="I482" s="3" t="s">
        <v>2363</v>
      </c>
      <c r="K482" s="17" t="s">
        <v>3194</v>
      </c>
      <c r="L482" s="3">
        <v>0</v>
      </c>
      <c r="M482" s="3">
        <v>0</v>
      </c>
      <c r="N482" s="3">
        <v>0</v>
      </c>
      <c r="O482" s="3">
        <v>0</v>
      </c>
      <c r="P482" s="3">
        <v>0</v>
      </c>
      <c r="Q482" s="3">
        <v>0</v>
      </c>
      <c r="R482" s="3">
        <v>0</v>
      </c>
      <c r="S482" s="3">
        <v>0</v>
      </c>
      <c r="T482" s="3">
        <v>0</v>
      </c>
      <c r="U482" s="3">
        <v>0</v>
      </c>
      <c r="V482" s="3">
        <v>0</v>
      </c>
      <c r="W482" s="3">
        <v>0</v>
      </c>
      <c r="X482" s="3">
        <v>0</v>
      </c>
      <c r="Y482" s="3">
        <v>0</v>
      </c>
      <c r="Z482" s="3">
        <v>0</v>
      </c>
      <c r="AA482" s="3">
        <v>0</v>
      </c>
      <c r="AB482" s="3">
        <v>0</v>
      </c>
      <c r="AC482" s="3">
        <v>0</v>
      </c>
      <c r="AD482" s="3">
        <v>0</v>
      </c>
      <c r="AE482" s="3">
        <v>0</v>
      </c>
      <c r="AG482" s="17" t="s">
        <v>3195</v>
      </c>
      <c r="AH482" s="3">
        <v>0</v>
      </c>
      <c r="AI482" s="3">
        <v>0</v>
      </c>
      <c r="AJ482" s="3">
        <v>0</v>
      </c>
      <c r="AK482" s="3">
        <v>0</v>
      </c>
      <c r="AL482" s="3">
        <v>0</v>
      </c>
      <c r="AM482" s="3">
        <v>0</v>
      </c>
      <c r="AN482" s="3">
        <v>0</v>
      </c>
      <c r="AO482" s="3">
        <v>0</v>
      </c>
      <c r="AP482" s="3">
        <v>0</v>
      </c>
      <c r="AQ482" s="3">
        <v>0</v>
      </c>
      <c r="AR482" s="3">
        <v>0</v>
      </c>
      <c r="AS482" s="3">
        <v>0</v>
      </c>
      <c r="AT482" s="3">
        <v>0</v>
      </c>
      <c r="AU482" s="3">
        <v>0</v>
      </c>
      <c r="AV482" s="3">
        <v>0</v>
      </c>
      <c r="AW482" s="3">
        <v>0</v>
      </c>
      <c r="AX482" s="3">
        <v>0</v>
      </c>
      <c r="AY482" s="3">
        <v>0</v>
      </c>
      <c r="AZ482" s="3">
        <v>0</v>
      </c>
      <c r="BA482" s="3">
        <v>0</v>
      </c>
      <c r="BC482" s="17" t="s">
        <v>3196</v>
      </c>
      <c r="BD482" s="3">
        <v>0</v>
      </c>
      <c r="BE482" s="3">
        <v>0</v>
      </c>
      <c r="BF482" s="3">
        <v>0</v>
      </c>
      <c r="BG482" s="3">
        <v>0</v>
      </c>
      <c r="BH482" s="3">
        <v>0</v>
      </c>
      <c r="BI482" s="3">
        <v>0</v>
      </c>
      <c r="BJ482" s="3">
        <v>0</v>
      </c>
      <c r="BK482" s="3">
        <v>0</v>
      </c>
      <c r="BL482" s="3">
        <v>0</v>
      </c>
      <c r="BM482" s="3">
        <v>0</v>
      </c>
      <c r="BN482" s="3">
        <v>0</v>
      </c>
      <c r="BO482" s="3">
        <v>0</v>
      </c>
      <c r="BP482" s="3">
        <v>0</v>
      </c>
      <c r="BQ482" s="3">
        <v>0</v>
      </c>
      <c r="BR482" s="3">
        <v>0</v>
      </c>
      <c r="BS482" s="3">
        <v>0</v>
      </c>
      <c r="BT482" s="3">
        <v>0</v>
      </c>
      <c r="BU482" s="3">
        <v>0</v>
      </c>
      <c r="BV482" s="3">
        <v>0</v>
      </c>
      <c r="BW482" s="3">
        <v>0</v>
      </c>
      <c r="BY482" s="17" t="s">
        <v>3197</v>
      </c>
      <c r="BZ482" s="3">
        <v>0</v>
      </c>
      <c r="CA482" s="3">
        <v>0</v>
      </c>
      <c r="CB482" s="3">
        <v>0</v>
      </c>
      <c r="CC482" s="3">
        <v>0</v>
      </c>
      <c r="CD482" s="3">
        <v>0</v>
      </c>
      <c r="CE482" s="3">
        <v>0</v>
      </c>
      <c r="CF482" s="3">
        <v>0</v>
      </c>
      <c r="CG482" s="3">
        <v>0</v>
      </c>
      <c r="CH482" s="3">
        <v>0</v>
      </c>
      <c r="CI482" s="3">
        <v>0</v>
      </c>
      <c r="CJ482" s="3">
        <v>0</v>
      </c>
      <c r="CK482" s="3">
        <v>0</v>
      </c>
      <c r="CL482" s="3">
        <v>0</v>
      </c>
      <c r="CM482" s="3">
        <v>0</v>
      </c>
      <c r="CN482" s="3">
        <v>0</v>
      </c>
      <c r="CO482" s="3">
        <v>0</v>
      </c>
      <c r="CP482" s="3">
        <v>0</v>
      </c>
      <c r="CQ482" s="3">
        <v>0</v>
      </c>
      <c r="CR482" s="3">
        <v>0</v>
      </c>
      <c r="CS482" s="3">
        <v>0</v>
      </c>
      <c r="CU482" s="17" t="s">
        <v>3198</v>
      </c>
      <c r="CV482" s="3">
        <v>0</v>
      </c>
      <c r="CW482" s="3">
        <v>0</v>
      </c>
      <c r="CX482" s="3">
        <v>0</v>
      </c>
      <c r="CY482" s="3">
        <v>0</v>
      </c>
      <c r="CZ482" s="3">
        <v>0</v>
      </c>
      <c r="DA482" s="3">
        <v>0</v>
      </c>
      <c r="DB482" s="3">
        <v>0</v>
      </c>
      <c r="DC482" s="3">
        <v>0</v>
      </c>
      <c r="DD482" s="3">
        <v>0</v>
      </c>
      <c r="DE482" s="3">
        <v>0</v>
      </c>
      <c r="DF482" s="3">
        <v>0</v>
      </c>
      <c r="DG482" s="3">
        <v>0</v>
      </c>
      <c r="DH482" s="3">
        <v>0</v>
      </c>
      <c r="DI482" s="3">
        <v>0</v>
      </c>
      <c r="DJ482" s="3">
        <v>0</v>
      </c>
      <c r="DK482" s="3">
        <v>0</v>
      </c>
      <c r="DL482" s="3">
        <v>0</v>
      </c>
      <c r="DM482" s="3">
        <v>0</v>
      </c>
      <c r="DN482" s="3">
        <v>0</v>
      </c>
      <c r="DO482" s="3">
        <v>0</v>
      </c>
    </row>
    <row r="483" spans="1:119" x14ac:dyDescent="0.45">
      <c r="A483" s="16" t="s">
        <v>3199</v>
      </c>
      <c r="B483" s="3" t="s">
        <v>89</v>
      </c>
      <c r="C483" s="16" t="s">
        <v>3200</v>
      </c>
      <c r="H483" s="3" t="s">
        <v>3201</v>
      </c>
      <c r="I483" s="3" t="s">
        <v>2363</v>
      </c>
      <c r="K483" s="17" t="s">
        <v>3202</v>
      </c>
      <c r="L483" s="3">
        <v>0</v>
      </c>
      <c r="M483" s="3">
        <v>0</v>
      </c>
      <c r="N483" s="3">
        <v>0</v>
      </c>
      <c r="O483" s="3">
        <v>0</v>
      </c>
      <c r="P483" s="3">
        <v>0</v>
      </c>
      <c r="Q483" s="3">
        <v>0</v>
      </c>
      <c r="R483" s="3">
        <v>0</v>
      </c>
      <c r="S483" s="3">
        <v>0</v>
      </c>
      <c r="T483" s="3">
        <v>0</v>
      </c>
      <c r="U483" s="3">
        <v>0</v>
      </c>
      <c r="V483" s="3">
        <v>0</v>
      </c>
      <c r="W483" s="3">
        <v>0</v>
      </c>
      <c r="X483" s="3">
        <v>0</v>
      </c>
      <c r="Y483" s="3">
        <v>0</v>
      </c>
      <c r="Z483" s="3">
        <v>0</v>
      </c>
      <c r="AA483" s="3">
        <v>0</v>
      </c>
      <c r="AB483" s="3">
        <v>0</v>
      </c>
      <c r="AC483" s="3">
        <v>0</v>
      </c>
      <c r="AD483" s="3">
        <v>0</v>
      </c>
      <c r="AE483" s="3">
        <v>0</v>
      </c>
      <c r="AG483" s="17" t="s">
        <v>3203</v>
      </c>
      <c r="AH483" s="3">
        <v>0</v>
      </c>
      <c r="AI483" s="3">
        <v>0</v>
      </c>
      <c r="AJ483" s="3">
        <v>0</v>
      </c>
      <c r="AK483" s="3">
        <v>0</v>
      </c>
      <c r="AL483" s="3">
        <v>0</v>
      </c>
      <c r="AM483" s="3">
        <v>0</v>
      </c>
      <c r="AN483" s="3">
        <v>0</v>
      </c>
      <c r="AO483" s="3">
        <v>0</v>
      </c>
      <c r="AP483" s="3">
        <v>0</v>
      </c>
      <c r="AQ483" s="3">
        <v>0</v>
      </c>
      <c r="AR483" s="3">
        <v>0</v>
      </c>
      <c r="AS483" s="3">
        <v>0</v>
      </c>
      <c r="AT483" s="3">
        <v>0</v>
      </c>
      <c r="AU483" s="3">
        <v>0</v>
      </c>
      <c r="AV483" s="3">
        <v>0</v>
      </c>
      <c r="AW483" s="3">
        <v>0</v>
      </c>
      <c r="AX483" s="3">
        <v>0</v>
      </c>
      <c r="AY483" s="3">
        <v>0</v>
      </c>
      <c r="AZ483" s="3">
        <v>0</v>
      </c>
      <c r="BA483" s="3">
        <v>0</v>
      </c>
      <c r="BC483" s="17" t="s">
        <v>3204</v>
      </c>
      <c r="BD483" s="3">
        <v>0</v>
      </c>
      <c r="BE483" s="3">
        <v>0</v>
      </c>
      <c r="BF483" s="3">
        <v>0</v>
      </c>
      <c r="BG483" s="3">
        <v>0</v>
      </c>
      <c r="BH483" s="3">
        <v>0</v>
      </c>
      <c r="BI483" s="3">
        <v>0</v>
      </c>
      <c r="BJ483" s="3">
        <v>0</v>
      </c>
      <c r="BK483" s="3">
        <v>0</v>
      </c>
      <c r="BL483" s="3">
        <v>0</v>
      </c>
      <c r="BM483" s="3">
        <v>0</v>
      </c>
      <c r="BN483" s="3">
        <v>0</v>
      </c>
      <c r="BO483" s="3">
        <v>0</v>
      </c>
      <c r="BP483" s="3">
        <v>0</v>
      </c>
      <c r="BQ483" s="3">
        <v>0</v>
      </c>
      <c r="BR483" s="3">
        <v>0</v>
      </c>
      <c r="BS483" s="3">
        <v>0</v>
      </c>
      <c r="BT483" s="3">
        <v>0</v>
      </c>
      <c r="BU483" s="3">
        <v>0</v>
      </c>
      <c r="BV483" s="3">
        <v>0</v>
      </c>
      <c r="BW483" s="3">
        <v>0</v>
      </c>
      <c r="BY483" s="17" t="s">
        <v>3205</v>
      </c>
      <c r="BZ483" s="3">
        <v>0</v>
      </c>
      <c r="CA483" s="3">
        <v>0</v>
      </c>
      <c r="CB483" s="3">
        <v>0</v>
      </c>
      <c r="CC483" s="3">
        <v>0</v>
      </c>
      <c r="CD483" s="3">
        <v>0</v>
      </c>
      <c r="CE483" s="3">
        <v>0</v>
      </c>
      <c r="CF483" s="3">
        <v>0</v>
      </c>
      <c r="CG483" s="3">
        <v>0</v>
      </c>
      <c r="CH483" s="3">
        <v>0</v>
      </c>
      <c r="CI483" s="3">
        <v>0</v>
      </c>
      <c r="CJ483" s="3">
        <v>0</v>
      </c>
      <c r="CK483" s="3">
        <v>0</v>
      </c>
      <c r="CL483" s="3">
        <v>0</v>
      </c>
      <c r="CM483" s="3">
        <v>0</v>
      </c>
      <c r="CN483" s="3">
        <v>0</v>
      </c>
      <c r="CO483" s="3">
        <v>0</v>
      </c>
      <c r="CP483" s="3">
        <v>0</v>
      </c>
      <c r="CQ483" s="3">
        <v>0</v>
      </c>
      <c r="CR483" s="3">
        <v>0</v>
      </c>
      <c r="CS483" s="3">
        <v>0</v>
      </c>
      <c r="CU483" s="17" t="s">
        <v>3206</v>
      </c>
      <c r="CV483" s="3">
        <v>0</v>
      </c>
      <c r="CW483" s="3">
        <v>0</v>
      </c>
      <c r="CX483" s="3">
        <v>0</v>
      </c>
      <c r="CY483" s="3">
        <v>0</v>
      </c>
      <c r="CZ483" s="3">
        <v>0</v>
      </c>
      <c r="DA483" s="3">
        <v>0</v>
      </c>
      <c r="DB483" s="3">
        <v>0</v>
      </c>
      <c r="DC483" s="3">
        <v>0</v>
      </c>
      <c r="DD483" s="3">
        <v>0</v>
      </c>
      <c r="DE483" s="3">
        <v>0</v>
      </c>
      <c r="DF483" s="3">
        <v>0</v>
      </c>
      <c r="DG483" s="3">
        <v>0</v>
      </c>
      <c r="DH483" s="3">
        <v>0</v>
      </c>
      <c r="DI483" s="3">
        <v>0</v>
      </c>
      <c r="DJ483" s="3">
        <v>0</v>
      </c>
      <c r="DK483" s="3">
        <v>0</v>
      </c>
      <c r="DL483" s="3">
        <v>0</v>
      </c>
      <c r="DM483" s="3">
        <v>0</v>
      </c>
      <c r="DN483" s="3">
        <v>0</v>
      </c>
      <c r="DO483" s="3">
        <v>0</v>
      </c>
    </row>
    <row r="484" spans="1:119" x14ac:dyDescent="0.45">
      <c r="A484" s="11"/>
      <c r="B484" s="3" t="s">
        <v>89</v>
      </c>
      <c r="C484" s="16" t="s">
        <v>3207</v>
      </c>
      <c r="H484" s="11" t="s">
        <v>3208</v>
      </c>
      <c r="I484" s="11" t="s">
        <v>2363</v>
      </c>
    </row>
    <row r="485" spans="1:119" x14ac:dyDescent="0.45">
      <c r="A485" s="16" t="s">
        <v>3209</v>
      </c>
      <c r="B485" s="3" t="s">
        <v>89</v>
      </c>
      <c r="C485" s="16" t="s">
        <v>3210</v>
      </c>
      <c r="H485" s="3" t="s">
        <v>3211</v>
      </c>
      <c r="I485" s="3" t="s">
        <v>2363</v>
      </c>
      <c r="K485" s="17" t="s">
        <v>3212</v>
      </c>
      <c r="L485" s="3">
        <v>0</v>
      </c>
      <c r="M485" s="3">
        <v>0</v>
      </c>
      <c r="N485" s="3">
        <v>0</v>
      </c>
      <c r="O485" s="3">
        <v>0</v>
      </c>
      <c r="P485" s="3">
        <v>0</v>
      </c>
      <c r="Q485" s="3">
        <v>0</v>
      </c>
      <c r="R485" s="3">
        <v>0</v>
      </c>
      <c r="S485" s="3">
        <v>0</v>
      </c>
      <c r="T485" s="3">
        <v>0</v>
      </c>
      <c r="U485" s="3">
        <v>0</v>
      </c>
      <c r="V485" s="3">
        <v>0</v>
      </c>
      <c r="W485" s="3">
        <v>0</v>
      </c>
      <c r="X485" s="3">
        <v>0</v>
      </c>
      <c r="Y485" s="3">
        <v>0</v>
      </c>
      <c r="Z485" s="3">
        <v>0</v>
      </c>
      <c r="AA485" s="3">
        <v>0</v>
      </c>
      <c r="AB485" s="3">
        <v>0</v>
      </c>
      <c r="AC485" s="3">
        <v>0</v>
      </c>
      <c r="AD485" s="3">
        <v>0</v>
      </c>
      <c r="AE485" s="3">
        <v>0</v>
      </c>
      <c r="AG485" s="17" t="s">
        <v>3213</v>
      </c>
      <c r="AH485" s="3">
        <v>0</v>
      </c>
      <c r="AI485" s="3">
        <v>0</v>
      </c>
      <c r="AJ485" s="3">
        <v>0</v>
      </c>
      <c r="AK485" s="3">
        <v>0</v>
      </c>
      <c r="AL485" s="3">
        <v>0</v>
      </c>
      <c r="AM485" s="3">
        <v>0</v>
      </c>
      <c r="AN485" s="3">
        <v>0</v>
      </c>
      <c r="AO485" s="3">
        <v>0</v>
      </c>
      <c r="AP485" s="3">
        <v>0</v>
      </c>
      <c r="AQ485" s="3">
        <v>0</v>
      </c>
      <c r="AR485" s="3">
        <v>0</v>
      </c>
      <c r="AS485" s="3">
        <v>0</v>
      </c>
      <c r="AT485" s="3">
        <v>0</v>
      </c>
      <c r="AU485" s="3">
        <v>0</v>
      </c>
      <c r="AV485" s="3">
        <v>0</v>
      </c>
      <c r="AW485" s="3">
        <v>0</v>
      </c>
      <c r="AX485" s="3">
        <v>0</v>
      </c>
      <c r="AY485" s="3">
        <v>0</v>
      </c>
      <c r="AZ485" s="3">
        <v>0</v>
      </c>
      <c r="BA485" s="3">
        <v>0</v>
      </c>
      <c r="BC485" s="17" t="s">
        <v>3214</v>
      </c>
      <c r="BD485" s="3">
        <v>0</v>
      </c>
      <c r="BE485" s="3">
        <v>0</v>
      </c>
      <c r="BF485" s="3">
        <v>0</v>
      </c>
      <c r="BG485" s="3">
        <v>0</v>
      </c>
      <c r="BH485" s="3">
        <v>0</v>
      </c>
      <c r="BI485" s="3">
        <v>0</v>
      </c>
      <c r="BJ485" s="3">
        <v>0</v>
      </c>
      <c r="BK485" s="3">
        <v>0</v>
      </c>
      <c r="BL485" s="3">
        <v>0</v>
      </c>
      <c r="BM485" s="3">
        <v>0</v>
      </c>
      <c r="BN485" s="3">
        <v>0</v>
      </c>
      <c r="BO485" s="3">
        <v>0</v>
      </c>
      <c r="BP485" s="3">
        <v>0</v>
      </c>
      <c r="BQ485" s="3">
        <v>0</v>
      </c>
      <c r="BR485" s="3">
        <v>0</v>
      </c>
      <c r="BS485" s="3">
        <v>0</v>
      </c>
      <c r="BT485" s="3">
        <v>0</v>
      </c>
      <c r="BU485" s="3">
        <v>0</v>
      </c>
      <c r="BV485" s="3">
        <v>0</v>
      </c>
      <c r="BW485" s="3">
        <v>0</v>
      </c>
      <c r="BY485" s="17" t="s">
        <v>3215</v>
      </c>
      <c r="BZ485" s="3">
        <v>0</v>
      </c>
      <c r="CA485" s="3">
        <v>0</v>
      </c>
      <c r="CB485" s="3">
        <v>0</v>
      </c>
      <c r="CC485" s="3">
        <v>0</v>
      </c>
      <c r="CD485" s="3">
        <v>0</v>
      </c>
      <c r="CE485" s="3">
        <v>0</v>
      </c>
      <c r="CF485" s="3">
        <v>0</v>
      </c>
      <c r="CG485" s="3">
        <v>0</v>
      </c>
      <c r="CH485" s="3">
        <v>0</v>
      </c>
      <c r="CI485" s="3">
        <v>0</v>
      </c>
      <c r="CJ485" s="3">
        <v>0</v>
      </c>
      <c r="CK485" s="3">
        <v>0</v>
      </c>
      <c r="CL485" s="3">
        <v>0</v>
      </c>
      <c r="CM485" s="3">
        <v>0</v>
      </c>
      <c r="CN485" s="3">
        <v>0</v>
      </c>
      <c r="CO485" s="3">
        <v>0</v>
      </c>
      <c r="CP485" s="3">
        <v>0</v>
      </c>
      <c r="CQ485" s="3">
        <v>0</v>
      </c>
      <c r="CR485" s="3">
        <v>0</v>
      </c>
      <c r="CS485" s="3">
        <v>0</v>
      </c>
      <c r="CU485" s="17" t="s">
        <v>3216</v>
      </c>
      <c r="CV485" s="3">
        <v>0</v>
      </c>
      <c r="CW485" s="3">
        <v>0</v>
      </c>
      <c r="CX485" s="3">
        <v>0</v>
      </c>
      <c r="CY485" s="3">
        <v>0</v>
      </c>
      <c r="CZ485" s="3">
        <v>0</v>
      </c>
      <c r="DA485" s="3">
        <v>0</v>
      </c>
      <c r="DB485" s="3">
        <v>0</v>
      </c>
      <c r="DC485" s="3">
        <v>0</v>
      </c>
      <c r="DD485" s="3">
        <v>0</v>
      </c>
      <c r="DE485" s="3">
        <v>0</v>
      </c>
      <c r="DF485" s="3">
        <v>0</v>
      </c>
      <c r="DG485" s="3">
        <v>0</v>
      </c>
      <c r="DH485" s="3">
        <v>0</v>
      </c>
      <c r="DI485" s="3">
        <v>0</v>
      </c>
      <c r="DJ485" s="3">
        <v>0</v>
      </c>
      <c r="DK485" s="3">
        <v>0</v>
      </c>
      <c r="DL485" s="3">
        <v>0</v>
      </c>
      <c r="DM485" s="3">
        <v>0</v>
      </c>
      <c r="DN485" s="3">
        <v>0</v>
      </c>
      <c r="DO485" s="3">
        <v>0</v>
      </c>
    </row>
    <row r="486" spans="1:119" x14ac:dyDescent="0.45">
      <c r="A486" s="16" t="s">
        <v>3217</v>
      </c>
      <c r="B486" s="3" t="s">
        <v>89</v>
      </c>
      <c r="C486" s="16"/>
      <c r="H486" s="3" t="s">
        <v>3218</v>
      </c>
      <c r="I486" s="3" t="s">
        <v>2363</v>
      </c>
      <c r="K486" s="17" t="s">
        <v>3219</v>
      </c>
      <c r="L486" s="3">
        <v>0</v>
      </c>
      <c r="M486" s="3">
        <v>0</v>
      </c>
      <c r="N486" s="3">
        <v>0</v>
      </c>
      <c r="O486" s="3">
        <v>0</v>
      </c>
      <c r="P486" s="3">
        <v>0</v>
      </c>
      <c r="Q486" s="3">
        <v>0</v>
      </c>
      <c r="R486" s="3">
        <v>0</v>
      </c>
      <c r="S486" s="3">
        <v>0</v>
      </c>
      <c r="T486" s="3">
        <v>0</v>
      </c>
      <c r="U486" s="3">
        <v>0</v>
      </c>
      <c r="V486" s="3">
        <v>0</v>
      </c>
      <c r="W486" s="3">
        <v>0</v>
      </c>
      <c r="X486" s="3">
        <v>0</v>
      </c>
      <c r="Y486" s="3">
        <v>0</v>
      </c>
      <c r="Z486" s="3">
        <v>0</v>
      </c>
      <c r="AA486" s="3">
        <v>0</v>
      </c>
      <c r="AB486" s="3">
        <v>0</v>
      </c>
      <c r="AC486" s="3">
        <v>0</v>
      </c>
      <c r="AD486" s="3">
        <v>0</v>
      </c>
      <c r="AE486" s="3">
        <v>0</v>
      </c>
      <c r="AG486" s="17" t="s">
        <v>3220</v>
      </c>
      <c r="AH486" s="3">
        <v>0</v>
      </c>
      <c r="AI486" s="3">
        <v>0</v>
      </c>
      <c r="AJ486" s="3">
        <v>0</v>
      </c>
      <c r="AK486" s="3">
        <v>0</v>
      </c>
      <c r="AL486" s="3">
        <v>0</v>
      </c>
      <c r="AM486" s="3">
        <v>0</v>
      </c>
      <c r="AN486" s="3">
        <v>0</v>
      </c>
      <c r="AO486" s="3">
        <v>0</v>
      </c>
      <c r="AP486" s="3">
        <v>0</v>
      </c>
      <c r="AQ486" s="3">
        <v>0</v>
      </c>
      <c r="AR486" s="3">
        <v>0</v>
      </c>
      <c r="AS486" s="3">
        <v>0</v>
      </c>
      <c r="AT486" s="3">
        <v>0</v>
      </c>
      <c r="AU486" s="3">
        <v>0</v>
      </c>
      <c r="AV486" s="3">
        <v>0</v>
      </c>
      <c r="AW486" s="3">
        <v>0</v>
      </c>
      <c r="AX486" s="3">
        <v>0</v>
      </c>
      <c r="AY486" s="3">
        <v>0</v>
      </c>
      <c r="AZ486" s="3">
        <v>0</v>
      </c>
      <c r="BA486" s="3">
        <v>0</v>
      </c>
      <c r="BC486" s="17" t="s">
        <v>3221</v>
      </c>
      <c r="BD486" s="3">
        <v>0</v>
      </c>
      <c r="BE486" s="3">
        <v>0</v>
      </c>
      <c r="BF486" s="3">
        <v>0</v>
      </c>
      <c r="BG486" s="3">
        <v>0</v>
      </c>
      <c r="BH486" s="3">
        <v>0</v>
      </c>
      <c r="BI486" s="3">
        <v>0</v>
      </c>
      <c r="BJ486" s="3">
        <v>0</v>
      </c>
      <c r="BK486" s="3">
        <v>0</v>
      </c>
      <c r="BL486" s="3">
        <v>0</v>
      </c>
      <c r="BM486" s="3">
        <v>0</v>
      </c>
      <c r="BN486" s="3">
        <v>0</v>
      </c>
      <c r="BO486" s="3">
        <v>0</v>
      </c>
      <c r="BP486" s="3">
        <v>0</v>
      </c>
      <c r="BQ486" s="3">
        <v>0</v>
      </c>
      <c r="BR486" s="3">
        <v>0</v>
      </c>
      <c r="BS486" s="3">
        <v>0</v>
      </c>
      <c r="BT486" s="3">
        <v>0</v>
      </c>
      <c r="BU486" s="3">
        <v>0</v>
      </c>
      <c r="BV486" s="3">
        <v>0</v>
      </c>
      <c r="BW486" s="3">
        <v>0</v>
      </c>
      <c r="BY486" s="17" t="s">
        <v>3222</v>
      </c>
      <c r="BZ486" s="3">
        <v>0</v>
      </c>
      <c r="CA486" s="3">
        <v>0</v>
      </c>
      <c r="CB486" s="3">
        <v>0</v>
      </c>
      <c r="CC486" s="3">
        <v>0</v>
      </c>
      <c r="CD486" s="3">
        <v>0</v>
      </c>
      <c r="CE486" s="3">
        <v>0</v>
      </c>
      <c r="CF486" s="3">
        <v>0</v>
      </c>
      <c r="CG486" s="3">
        <v>0</v>
      </c>
      <c r="CH486" s="3">
        <v>0</v>
      </c>
      <c r="CI486" s="3">
        <v>0</v>
      </c>
      <c r="CJ486" s="3">
        <v>0</v>
      </c>
      <c r="CK486" s="3">
        <v>0</v>
      </c>
      <c r="CL486" s="3">
        <v>0</v>
      </c>
      <c r="CM486" s="3">
        <v>0</v>
      </c>
      <c r="CN486" s="3">
        <v>0</v>
      </c>
      <c r="CO486" s="3">
        <v>0</v>
      </c>
      <c r="CP486" s="3">
        <v>0</v>
      </c>
      <c r="CQ486" s="3">
        <v>0</v>
      </c>
      <c r="CR486" s="3">
        <v>0</v>
      </c>
      <c r="CS486" s="3">
        <v>0</v>
      </c>
      <c r="CU486" s="17" t="s">
        <v>3223</v>
      </c>
      <c r="CV486" s="3">
        <v>0</v>
      </c>
      <c r="CW486" s="3">
        <v>0</v>
      </c>
      <c r="CX486" s="3">
        <v>0</v>
      </c>
      <c r="CY486" s="3">
        <v>0</v>
      </c>
      <c r="CZ486" s="3">
        <v>0</v>
      </c>
      <c r="DA486" s="3">
        <v>0</v>
      </c>
      <c r="DB486" s="3">
        <v>0</v>
      </c>
      <c r="DC486" s="3">
        <v>0</v>
      </c>
      <c r="DD486" s="3">
        <v>0</v>
      </c>
      <c r="DE486" s="3">
        <v>0</v>
      </c>
      <c r="DF486" s="3">
        <v>0</v>
      </c>
      <c r="DG486" s="3">
        <v>0</v>
      </c>
      <c r="DH486" s="3">
        <v>0</v>
      </c>
      <c r="DI486" s="3">
        <v>0</v>
      </c>
      <c r="DJ486" s="3">
        <v>0</v>
      </c>
      <c r="DK486" s="3">
        <v>0</v>
      </c>
      <c r="DL486" s="3">
        <v>0</v>
      </c>
      <c r="DM486" s="3">
        <v>0</v>
      </c>
      <c r="DN486" s="3">
        <v>0</v>
      </c>
      <c r="DO486" s="3">
        <v>0</v>
      </c>
    </row>
    <row r="487" spans="1:119" x14ac:dyDescent="0.45">
      <c r="A487" s="16" t="s">
        <v>3224</v>
      </c>
      <c r="B487" s="3" t="s">
        <v>89</v>
      </c>
      <c r="C487" s="16"/>
      <c r="H487" s="3" t="s">
        <v>3225</v>
      </c>
      <c r="I487" s="3" t="s">
        <v>2363</v>
      </c>
      <c r="K487" s="17" t="s">
        <v>3226</v>
      </c>
      <c r="L487" s="3">
        <v>0</v>
      </c>
      <c r="M487" s="3">
        <v>0</v>
      </c>
      <c r="N487" s="3">
        <v>0</v>
      </c>
      <c r="O487" s="3">
        <v>0</v>
      </c>
      <c r="P487" s="3">
        <v>0</v>
      </c>
      <c r="Q487" s="3">
        <v>0</v>
      </c>
      <c r="R487" s="3">
        <v>0</v>
      </c>
      <c r="S487" s="3">
        <v>0</v>
      </c>
      <c r="T487" s="3">
        <v>0</v>
      </c>
      <c r="U487" s="3">
        <v>0</v>
      </c>
      <c r="V487" s="3">
        <v>0</v>
      </c>
      <c r="W487" s="3">
        <v>0</v>
      </c>
      <c r="X487" s="3">
        <v>0</v>
      </c>
      <c r="Y487" s="3">
        <v>0</v>
      </c>
      <c r="Z487" s="3">
        <v>0</v>
      </c>
      <c r="AA487" s="3">
        <v>0</v>
      </c>
      <c r="AB487" s="3">
        <v>0</v>
      </c>
      <c r="AC487" s="3">
        <v>0</v>
      </c>
      <c r="AD487" s="3">
        <v>0</v>
      </c>
      <c r="AE487" s="3">
        <v>0</v>
      </c>
      <c r="AG487" s="17" t="s">
        <v>3227</v>
      </c>
      <c r="AH487" s="3">
        <v>0</v>
      </c>
      <c r="AI487" s="3">
        <v>0</v>
      </c>
      <c r="AJ487" s="3">
        <v>0</v>
      </c>
      <c r="AK487" s="3">
        <v>0</v>
      </c>
      <c r="AL487" s="3">
        <v>0</v>
      </c>
      <c r="AM487" s="3">
        <v>0</v>
      </c>
      <c r="AN487" s="3">
        <v>0</v>
      </c>
      <c r="AO487" s="3">
        <v>0</v>
      </c>
      <c r="AP487" s="3">
        <v>0</v>
      </c>
      <c r="AQ487" s="3">
        <v>0</v>
      </c>
      <c r="AR487" s="3">
        <v>0</v>
      </c>
      <c r="AS487" s="3">
        <v>0</v>
      </c>
      <c r="AT487" s="3">
        <v>0</v>
      </c>
      <c r="AU487" s="3">
        <v>0</v>
      </c>
      <c r="AV487" s="3">
        <v>0</v>
      </c>
      <c r="AW487" s="3">
        <v>0</v>
      </c>
      <c r="AX487" s="3">
        <v>0</v>
      </c>
      <c r="AY487" s="3">
        <v>0</v>
      </c>
      <c r="AZ487" s="3">
        <v>0</v>
      </c>
      <c r="BA487" s="3">
        <v>0</v>
      </c>
      <c r="BC487" s="17" t="s">
        <v>3228</v>
      </c>
      <c r="BD487" s="3">
        <v>0</v>
      </c>
      <c r="BE487" s="3">
        <v>0</v>
      </c>
      <c r="BF487" s="3">
        <v>0</v>
      </c>
      <c r="BG487" s="3">
        <v>0</v>
      </c>
      <c r="BH487" s="3">
        <v>0</v>
      </c>
      <c r="BI487" s="3">
        <v>0</v>
      </c>
      <c r="BJ487" s="3">
        <v>0</v>
      </c>
      <c r="BK487" s="3">
        <v>0</v>
      </c>
      <c r="BL487" s="3">
        <v>0</v>
      </c>
      <c r="BM487" s="3">
        <v>0</v>
      </c>
      <c r="BN487" s="3">
        <v>0</v>
      </c>
      <c r="BO487" s="3">
        <v>0</v>
      </c>
      <c r="BP487" s="3">
        <v>0</v>
      </c>
      <c r="BQ487" s="3">
        <v>0</v>
      </c>
      <c r="BR487" s="3">
        <v>0</v>
      </c>
      <c r="BS487" s="3">
        <v>0</v>
      </c>
      <c r="BT487" s="3">
        <v>0</v>
      </c>
      <c r="BU487" s="3">
        <v>0</v>
      </c>
      <c r="BV487" s="3">
        <v>0</v>
      </c>
      <c r="BW487" s="3">
        <v>0</v>
      </c>
      <c r="BY487" s="17" t="s">
        <v>3229</v>
      </c>
      <c r="BZ487" s="3">
        <v>0</v>
      </c>
      <c r="CA487" s="3">
        <v>0</v>
      </c>
      <c r="CB487" s="3">
        <v>0</v>
      </c>
      <c r="CC487" s="3">
        <v>0</v>
      </c>
      <c r="CD487" s="3">
        <v>0</v>
      </c>
      <c r="CE487" s="3">
        <v>0</v>
      </c>
      <c r="CF487" s="3">
        <v>0</v>
      </c>
      <c r="CG487" s="3">
        <v>0</v>
      </c>
      <c r="CH487" s="3">
        <v>0</v>
      </c>
      <c r="CI487" s="3">
        <v>0</v>
      </c>
      <c r="CJ487" s="3">
        <v>0</v>
      </c>
      <c r="CK487" s="3">
        <v>0</v>
      </c>
      <c r="CL487" s="3">
        <v>0</v>
      </c>
      <c r="CM487" s="3">
        <v>0</v>
      </c>
      <c r="CN487" s="3">
        <v>0</v>
      </c>
      <c r="CO487" s="3">
        <v>0</v>
      </c>
      <c r="CP487" s="3">
        <v>0</v>
      </c>
      <c r="CQ487" s="3">
        <v>0</v>
      </c>
      <c r="CR487" s="3">
        <v>0</v>
      </c>
      <c r="CS487" s="3">
        <v>0</v>
      </c>
      <c r="CU487" s="17" t="s">
        <v>3230</v>
      </c>
      <c r="CV487" s="3">
        <v>0</v>
      </c>
      <c r="CW487" s="3">
        <v>0</v>
      </c>
      <c r="CX487" s="3">
        <v>0</v>
      </c>
      <c r="CY487" s="3">
        <v>0</v>
      </c>
      <c r="CZ487" s="3">
        <v>0</v>
      </c>
      <c r="DA487" s="3">
        <v>0</v>
      </c>
      <c r="DB487" s="3">
        <v>0</v>
      </c>
      <c r="DC487" s="3">
        <v>0</v>
      </c>
      <c r="DD487" s="3">
        <v>0</v>
      </c>
      <c r="DE487" s="3">
        <v>0</v>
      </c>
      <c r="DF487" s="3">
        <v>0</v>
      </c>
      <c r="DG487" s="3">
        <v>0</v>
      </c>
      <c r="DH487" s="3">
        <v>0</v>
      </c>
      <c r="DI487" s="3">
        <v>0</v>
      </c>
      <c r="DJ487" s="3">
        <v>0</v>
      </c>
      <c r="DK487" s="3">
        <v>0</v>
      </c>
      <c r="DL487" s="3">
        <v>0</v>
      </c>
      <c r="DM487" s="3">
        <v>0</v>
      </c>
      <c r="DN487" s="3">
        <v>0</v>
      </c>
      <c r="DO487" s="3">
        <v>0</v>
      </c>
    </row>
    <row r="488" spans="1:119" x14ac:dyDescent="0.45">
      <c r="A488" s="16" t="s">
        <v>3231</v>
      </c>
      <c r="B488" s="3" t="s">
        <v>89</v>
      </c>
      <c r="C488" s="16" t="s">
        <v>3210</v>
      </c>
      <c r="H488" s="3" t="s">
        <v>3232</v>
      </c>
      <c r="I488" s="3" t="s">
        <v>2363</v>
      </c>
      <c r="K488" s="17" t="s">
        <v>3233</v>
      </c>
      <c r="L488" s="3">
        <v>0</v>
      </c>
      <c r="M488" s="3">
        <v>0</v>
      </c>
      <c r="N488" s="3">
        <v>0</v>
      </c>
      <c r="O488" s="3">
        <v>0</v>
      </c>
      <c r="P488" s="3">
        <v>0</v>
      </c>
      <c r="Q488" s="3">
        <v>0</v>
      </c>
      <c r="R488" s="3">
        <v>0</v>
      </c>
      <c r="S488" s="3">
        <v>0</v>
      </c>
      <c r="T488" s="3">
        <v>0</v>
      </c>
      <c r="U488" s="3">
        <v>0</v>
      </c>
      <c r="V488" s="3">
        <v>0</v>
      </c>
      <c r="W488" s="3">
        <v>0</v>
      </c>
      <c r="X488" s="3">
        <v>0</v>
      </c>
      <c r="Y488" s="3">
        <v>0</v>
      </c>
      <c r="Z488" s="3">
        <v>0</v>
      </c>
      <c r="AA488" s="3">
        <v>0</v>
      </c>
      <c r="AB488" s="3">
        <v>0</v>
      </c>
      <c r="AC488" s="3">
        <v>0</v>
      </c>
      <c r="AD488" s="3">
        <v>0</v>
      </c>
      <c r="AE488" s="3">
        <v>0</v>
      </c>
      <c r="AG488" s="17" t="s">
        <v>3234</v>
      </c>
      <c r="AH488" s="3">
        <v>0</v>
      </c>
      <c r="AI488" s="3">
        <v>0</v>
      </c>
      <c r="AJ488" s="3">
        <v>0</v>
      </c>
      <c r="AK488" s="3">
        <v>0</v>
      </c>
      <c r="AL488" s="3">
        <v>0</v>
      </c>
      <c r="AM488" s="3">
        <v>0</v>
      </c>
      <c r="AN488" s="3">
        <v>0</v>
      </c>
      <c r="AO488" s="3">
        <v>0</v>
      </c>
      <c r="AP488" s="3">
        <v>0</v>
      </c>
      <c r="AQ488" s="3">
        <v>0</v>
      </c>
      <c r="AR488" s="3">
        <v>0</v>
      </c>
      <c r="AS488" s="3">
        <v>0</v>
      </c>
      <c r="AT488" s="3">
        <v>0</v>
      </c>
      <c r="AU488" s="3">
        <v>0</v>
      </c>
      <c r="AV488" s="3">
        <v>0</v>
      </c>
      <c r="AW488" s="3">
        <v>0</v>
      </c>
      <c r="AX488" s="3">
        <v>0</v>
      </c>
      <c r="AY488" s="3">
        <v>0</v>
      </c>
      <c r="AZ488" s="3">
        <v>0</v>
      </c>
      <c r="BA488" s="3">
        <v>0</v>
      </c>
      <c r="BC488" s="17" t="s">
        <v>3235</v>
      </c>
      <c r="BD488" s="3">
        <v>0</v>
      </c>
      <c r="BE488" s="3">
        <v>0</v>
      </c>
      <c r="BF488" s="3">
        <v>0</v>
      </c>
      <c r="BG488" s="3">
        <v>0</v>
      </c>
      <c r="BH488" s="3">
        <v>0</v>
      </c>
      <c r="BI488" s="3">
        <v>0</v>
      </c>
      <c r="BJ488" s="3">
        <v>0</v>
      </c>
      <c r="BK488" s="3">
        <v>0</v>
      </c>
      <c r="BL488" s="3">
        <v>0</v>
      </c>
      <c r="BM488" s="3">
        <v>0</v>
      </c>
      <c r="BN488" s="3">
        <v>0</v>
      </c>
      <c r="BO488" s="3">
        <v>0</v>
      </c>
      <c r="BP488" s="3">
        <v>0</v>
      </c>
      <c r="BQ488" s="3">
        <v>0</v>
      </c>
      <c r="BR488" s="3">
        <v>0</v>
      </c>
      <c r="BS488" s="3">
        <v>0</v>
      </c>
      <c r="BT488" s="3">
        <v>0</v>
      </c>
      <c r="BU488" s="3">
        <v>0</v>
      </c>
      <c r="BV488" s="3">
        <v>0</v>
      </c>
      <c r="BW488" s="3">
        <v>0</v>
      </c>
      <c r="BY488" s="17" t="s">
        <v>3236</v>
      </c>
      <c r="BZ488" s="3">
        <v>0</v>
      </c>
      <c r="CA488" s="3">
        <v>0</v>
      </c>
      <c r="CB488" s="3">
        <v>0</v>
      </c>
      <c r="CC488" s="3">
        <v>0</v>
      </c>
      <c r="CD488" s="3">
        <v>0</v>
      </c>
      <c r="CE488" s="3">
        <v>0</v>
      </c>
      <c r="CF488" s="3">
        <v>0</v>
      </c>
      <c r="CG488" s="3">
        <v>0</v>
      </c>
      <c r="CH488" s="3">
        <v>0</v>
      </c>
      <c r="CI488" s="3">
        <v>0</v>
      </c>
      <c r="CJ488" s="3">
        <v>0</v>
      </c>
      <c r="CK488" s="3">
        <v>0</v>
      </c>
      <c r="CL488" s="3">
        <v>0</v>
      </c>
      <c r="CM488" s="3">
        <v>0</v>
      </c>
      <c r="CN488" s="3">
        <v>0</v>
      </c>
      <c r="CO488" s="3">
        <v>0</v>
      </c>
      <c r="CP488" s="3">
        <v>0</v>
      </c>
      <c r="CQ488" s="3">
        <v>0</v>
      </c>
      <c r="CR488" s="3">
        <v>0</v>
      </c>
      <c r="CS488" s="3">
        <v>0</v>
      </c>
      <c r="CU488" s="17" t="s">
        <v>3237</v>
      </c>
      <c r="CV488" s="3">
        <v>0</v>
      </c>
      <c r="CW488" s="3">
        <v>0</v>
      </c>
      <c r="CX488" s="3">
        <v>0</v>
      </c>
      <c r="CY488" s="3">
        <v>0</v>
      </c>
      <c r="CZ488" s="3">
        <v>0</v>
      </c>
      <c r="DA488" s="3">
        <v>0</v>
      </c>
      <c r="DB488" s="3">
        <v>0</v>
      </c>
      <c r="DC488" s="3">
        <v>0</v>
      </c>
      <c r="DD488" s="3">
        <v>0</v>
      </c>
      <c r="DE488" s="3">
        <v>0</v>
      </c>
      <c r="DF488" s="3">
        <v>0</v>
      </c>
      <c r="DG488" s="3">
        <v>0</v>
      </c>
      <c r="DH488" s="3">
        <v>0</v>
      </c>
      <c r="DI488" s="3">
        <v>0</v>
      </c>
      <c r="DJ488" s="3">
        <v>0</v>
      </c>
      <c r="DK488" s="3">
        <v>0</v>
      </c>
      <c r="DL488" s="3">
        <v>0</v>
      </c>
      <c r="DM488" s="3">
        <v>0</v>
      </c>
      <c r="DN488" s="3">
        <v>0</v>
      </c>
      <c r="DO488" s="3">
        <v>0</v>
      </c>
    </row>
    <row r="489" spans="1:119" x14ac:dyDescent="0.45">
      <c r="A489" s="16" t="s">
        <v>3238</v>
      </c>
      <c r="B489" s="3" t="s">
        <v>89</v>
      </c>
      <c r="C489" s="16"/>
      <c r="H489" s="3" t="s">
        <v>3239</v>
      </c>
      <c r="I489" s="3" t="s">
        <v>2363</v>
      </c>
      <c r="K489" s="17" t="s">
        <v>3240</v>
      </c>
      <c r="L489" s="3">
        <v>0</v>
      </c>
      <c r="M489" s="3">
        <v>0</v>
      </c>
      <c r="N489" s="3">
        <v>0</v>
      </c>
      <c r="O489" s="3">
        <v>0</v>
      </c>
      <c r="P489" s="3">
        <v>0</v>
      </c>
      <c r="Q489" s="3">
        <v>0</v>
      </c>
      <c r="R489" s="3">
        <v>0</v>
      </c>
      <c r="S489" s="3">
        <v>0</v>
      </c>
      <c r="T489" s="3">
        <v>0</v>
      </c>
      <c r="U489" s="3">
        <v>0</v>
      </c>
      <c r="V489" s="3">
        <v>0</v>
      </c>
      <c r="W489" s="3">
        <v>0</v>
      </c>
      <c r="X489" s="3">
        <v>0</v>
      </c>
      <c r="Y489" s="3">
        <v>0</v>
      </c>
      <c r="Z489" s="3">
        <v>0</v>
      </c>
      <c r="AA489" s="3">
        <v>0</v>
      </c>
      <c r="AB489" s="3">
        <v>0</v>
      </c>
      <c r="AC489" s="3">
        <v>0</v>
      </c>
      <c r="AD489" s="3">
        <v>0</v>
      </c>
      <c r="AE489" s="3">
        <v>0</v>
      </c>
      <c r="AG489" s="17" t="s">
        <v>3241</v>
      </c>
      <c r="AH489" s="3">
        <v>0</v>
      </c>
      <c r="AI489" s="3">
        <v>0</v>
      </c>
      <c r="AJ489" s="3">
        <v>0</v>
      </c>
      <c r="AK489" s="3">
        <v>0</v>
      </c>
      <c r="AL489" s="3">
        <v>0</v>
      </c>
      <c r="AM489" s="3">
        <v>0</v>
      </c>
      <c r="AN489" s="3">
        <v>0</v>
      </c>
      <c r="AO489" s="3">
        <v>0</v>
      </c>
      <c r="AP489" s="3">
        <v>0</v>
      </c>
      <c r="AQ489" s="3">
        <v>0</v>
      </c>
      <c r="AR489" s="3">
        <v>0</v>
      </c>
      <c r="AS489" s="3">
        <v>0</v>
      </c>
      <c r="AT489" s="3">
        <v>0</v>
      </c>
      <c r="AU489" s="3">
        <v>0</v>
      </c>
      <c r="AV489" s="3">
        <v>0</v>
      </c>
      <c r="AW489" s="3">
        <v>0</v>
      </c>
      <c r="AX489" s="3">
        <v>0</v>
      </c>
      <c r="AY489" s="3">
        <v>0</v>
      </c>
      <c r="AZ489" s="3">
        <v>0</v>
      </c>
      <c r="BA489" s="3">
        <v>0</v>
      </c>
      <c r="BC489" s="17" t="s">
        <v>3242</v>
      </c>
      <c r="BD489" s="3">
        <v>0</v>
      </c>
      <c r="BE489" s="3">
        <v>0</v>
      </c>
      <c r="BF489" s="3">
        <v>0</v>
      </c>
      <c r="BG489" s="3">
        <v>0</v>
      </c>
      <c r="BH489" s="3">
        <v>0</v>
      </c>
      <c r="BI489" s="3">
        <v>0</v>
      </c>
      <c r="BJ489" s="3">
        <v>0</v>
      </c>
      <c r="BK489" s="3">
        <v>0</v>
      </c>
      <c r="BL489" s="3">
        <v>0</v>
      </c>
      <c r="BM489" s="3">
        <v>0</v>
      </c>
      <c r="BN489" s="3">
        <v>0</v>
      </c>
      <c r="BO489" s="3">
        <v>0</v>
      </c>
      <c r="BP489" s="3">
        <v>0</v>
      </c>
      <c r="BQ489" s="3">
        <v>0</v>
      </c>
      <c r="BR489" s="3">
        <v>0</v>
      </c>
      <c r="BS489" s="3">
        <v>0</v>
      </c>
      <c r="BT489" s="3">
        <v>0</v>
      </c>
      <c r="BU489" s="3">
        <v>0</v>
      </c>
      <c r="BV489" s="3">
        <v>0</v>
      </c>
      <c r="BW489" s="3">
        <v>0</v>
      </c>
      <c r="BY489" s="17" t="s">
        <v>3243</v>
      </c>
      <c r="BZ489" s="3">
        <v>0</v>
      </c>
      <c r="CA489" s="3">
        <v>0</v>
      </c>
      <c r="CB489" s="3">
        <v>0</v>
      </c>
      <c r="CC489" s="3">
        <v>0</v>
      </c>
      <c r="CD489" s="3">
        <v>0</v>
      </c>
      <c r="CE489" s="3">
        <v>0</v>
      </c>
      <c r="CF489" s="3">
        <v>0</v>
      </c>
      <c r="CG489" s="3">
        <v>0</v>
      </c>
      <c r="CH489" s="3">
        <v>0</v>
      </c>
      <c r="CI489" s="3">
        <v>0</v>
      </c>
      <c r="CJ489" s="3">
        <v>0</v>
      </c>
      <c r="CK489" s="3">
        <v>0</v>
      </c>
      <c r="CL489" s="3">
        <v>0</v>
      </c>
      <c r="CM489" s="3">
        <v>0</v>
      </c>
      <c r="CN489" s="3">
        <v>0</v>
      </c>
      <c r="CO489" s="3">
        <v>0</v>
      </c>
      <c r="CP489" s="3">
        <v>0</v>
      </c>
      <c r="CQ489" s="3">
        <v>0</v>
      </c>
      <c r="CR489" s="3">
        <v>0</v>
      </c>
      <c r="CS489" s="3">
        <v>0</v>
      </c>
      <c r="CU489" s="17" t="s">
        <v>3244</v>
      </c>
      <c r="CV489" s="3">
        <v>0</v>
      </c>
      <c r="CW489" s="3">
        <v>0</v>
      </c>
      <c r="CX489" s="3">
        <v>0</v>
      </c>
      <c r="CY489" s="3">
        <v>0</v>
      </c>
      <c r="CZ489" s="3">
        <v>0</v>
      </c>
      <c r="DA489" s="3">
        <v>0</v>
      </c>
      <c r="DB489" s="3">
        <v>0</v>
      </c>
      <c r="DC489" s="3">
        <v>0</v>
      </c>
      <c r="DD489" s="3">
        <v>0</v>
      </c>
      <c r="DE489" s="3">
        <v>0</v>
      </c>
      <c r="DF489" s="3">
        <v>0</v>
      </c>
      <c r="DG489" s="3">
        <v>0</v>
      </c>
      <c r="DH489" s="3">
        <v>0</v>
      </c>
      <c r="DI489" s="3">
        <v>0</v>
      </c>
      <c r="DJ489" s="3">
        <v>0</v>
      </c>
      <c r="DK489" s="3">
        <v>0</v>
      </c>
      <c r="DL489" s="3">
        <v>0</v>
      </c>
      <c r="DM489" s="3">
        <v>0</v>
      </c>
      <c r="DN489" s="3">
        <v>0</v>
      </c>
      <c r="DO489" s="3">
        <v>0</v>
      </c>
    </row>
    <row r="490" spans="1:119" x14ac:dyDescent="0.45">
      <c r="A490" s="16" t="s">
        <v>3245</v>
      </c>
      <c r="B490" s="3" t="s">
        <v>89</v>
      </c>
      <c r="C490" s="16"/>
      <c r="H490" s="3" t="s">
        <v>3246</v>
      </c>
      <c r="I490" s="3" t="s">
        <v>2363</v>
      </c>
      <c r="K490" s="17" t="s">
        <v>3247</v>
      </c>
      <c r="L490" s="3">
        <v>0</v>
      </c>
      <c r="M490" s="3">
        <v>0</v>
      </c>
      <c r="N490" s="3">
        <v>0</v>
      </c>
      <c r="O490" s="3">
        <v>0</v>
      </c>
      <c r="P490" s="3">
        <v>0</v>
      </c>
      <c r="Q490" s="3">
        <v>0</v>
      </c>
      <c r="R490" s="3">
        <v>0</v>
      </c>
      <c r="S490" s="3">
        <v>0</v>
      </c>
      <c r="T490" s="3">
        <v>0</v>
      </c>
      <c r="U490" s="3">
        <v>0</v>
      </c>
      <c r="V490" s="3">
        <v>0</v>
      </c>
      <c r="W490" s="3">
        <v>0</v>
      </c>
      <c r="X490" s="3">
        <v>0</v>
      </c>
      <c r="Y490" s="3">
        <v>0</v>
      </c>
      <c r="Z490" s="3">
        <v>0</v>
      </c>
      <c r="AA490" s="3">
        <v>0</v>
      </c>
      <c r="AB490" s="3">
        <v>0</v>
      </c>
      <c r="AC490" s="3">
        <v>0</v>
      </c>
      <c r="AD490" s="3">
        <v>0</v>
      </c>
      <c r="AE490" s="3">
        <v>0</v>
      </c>
      <c r="AG490" s="17" t="s">
        <v>3248</v>
      </c>
      <c r="AH490" s="3">
        <v>0</v>
      </c>
      <c r="AI490" s="3">
        <v>0</v>
      </c>
      <c r="AJ490" s="3">
        <v>0</v>
      </c>
      <c r="AK490" s="3">
        <v>0</v>
      </c>
      <c r="AL490" s="3">
        <v>0</v>
      </c>
      <c r="AM490" s="3">
        <v>0</v>
      </c>
      <c r="AN490" s="3">
        <v>0</v>
      </c>
      <c r="AO490" s="3">
        <v>0</v>
      </c>
      <c r="AP490" s="3">
        <v>0</v>
      </c>
      <c r="AQ490" s="3">
        <v>0</v>
      </c>
      <c r="AR490" s="3">
        <v>0</v>
      </c>
      <c r="AS490" s="3">
        <v>0</v>
      </c>
      <c r="AT490" s="3">
        <v>0</v>
      </c>
      <c r="AU490" s="3">
        <v>0</v>
      </c>
      <c r="AV490" s="3">
        <v>0</v>
      </c>
      <c r="AW490" s="3">
        <v>0</v>
      </c>
      <c r="AX490" s="3">
        <v>0</v>
      </c>
      <c r="AY490" s="3">
        <v>0</v>
      </c>
      <c r="AZ490" s="3">
        <v>0</v>
      </c>
      <c r="BA490" s="3">
        <v>0</v>
      </c>
      <c r="BC490" s="17" t="s">
        <v>3249</v>
      </c>
      <c r="BD490" s="3">
        <v>0</v>
      </c>
      <c r="BE490" s="3">
        <v>0</v>
      </c>
      <c r="BF490" s="3">
        <v>0</v>
      </c>
      <c r="BG490" s="3">
        <v>0</v>
      </c>
      <c r="BH490" s="3">
        <v>0</v>
      </c>
      <c r="BI490" s="3">
        <v>0</v>
      </c>
      <c r="BJ490" s="3">
        <v>0</v>
      </c>
      <c r="BK490" s="3">
        <v>0</v>
      </c>
      <c r="BL490" s="3">
        <v>0</v>
      </c>
      <c r="BM490" s="3">
        <v>0</v>
      </c>
      <c r="BN490" s="3">
        <v>0</v>
      </c>
      <c r="BO490" s="3">
        <v>0</v>
      </c>
      <c r="BP490" s="3">
        <v>0</v>
      </c>
      <c r="BQ490" s="3">
        <v>0</v>
      </c>
      <c r="BR490" s="3">
        <v>0</v>
      </c>
      <c r="BS490" s="3">
        <v>0</v>
      </c>
      <c r="BT490" s="3">
        <v>0</v>
      </c>
      <c r="BU490" s="3">
        <v>0</v>
      </c>
      <c r="BV490" s="3">
        <v>0</v>
      </c>
      <c r="BW490" s="3">
        <v>0</v>
      </c>
      <c r="BY490" s="17" t="s">
        <v>3250</v>
      </c>
      <c r="BZ490" s="3">
        <v>0</v>
      </c>
      <c r="CA490" s="3">
        <v>0</v>
      </c>
      <c r="CB490" s="3">
        <v>0</v>
      </c>
      <c r="CC490" s="3">
        <v>0</v>
      </c>
      <c r="CD490" s="3">
        <v>0</v>
      </c>
      <c r="CE490" s="3">
        <v>0</v>
      </c>
      <c r="CF490" s="3">
        <v>0</v>
      </c>
      <c r="CG490" s="3">
        <v>0</v>
      </c>
      <c r="CH490" s="3">
        <v>0</v>
      </c>
      <c r="CI490" s="3">
        <v>0</v>
      </c>
      <c r="CJ490" s="3">
        <v>0</v>
      </c>
      <c r="CK490" s="3">
        <v>0</v>
      </c>
      <c r="CL490" s="3">
        <v>0</v>
      </c>
      <c r="CM490" s="3">
        <v>0</v>
      </c>
      <c r="CN490" s="3">
        <v>0</v>
      </c>
      <c r="CO490" s="3">
        <v>0</v>
      </c>
      <c r="CP490" s="3">
        <v>0</v>
      </c>
      <c r="CQ490" s="3">
        <v>0</v>
      </c>
      <c r="CR490" s="3">
        <v>0</v>
      </c>
      <c r="CS490" s="3">
        <v>0</v>
      </c>
      <c r="CU490" s="17" t="s">
        <v>3251</v>
      </c>
      <c r="CV490" s="3">
        <v>0</v>
      </c>
      <c r="CW490" s="3">
        <v>0</v>
      </c>
      <c r="CX490" s="3">
        <v>0</v>
      </c>
      <c r="CY490" s="3">
        <v>0</v>
      </c>
      <c r="CZ490" s="3">
        <v>0</v>
      </c>
      <c r="DA490" s="3">
        <v>0</v>
      </c>
      <c r="DB490" s="3">
        <v>0</v>
      </c>
      <c r="DC490" s="3">
        <v>0</v>
      </c>
      <c r="DD490" s="3">
        <v>0</v>
      </c>
      <c r="DE490" s="3">
        <v>0</v>
      </c>
      <c r="DF490" s="3">
        <v>0</v>
      </c>
      <c r="DG490" s="3">
        <v>0</v>
      </c>
      <c r="DH490" s="3">
        <v>0</v>
      </c>
      <c r="DI490" s="3">
        <v>0</v>
      </c>
      <c r="DJ490" s="3">
        <v>0</v>
      </c>
      <c r="DK490" s="3">
        <v>0</v>
      </c>
      <c r="DL490" s="3">
        <v>0</v>
      </c>
      <c r="DM490" s="3">
        <v>0</v>
      </c>
      <c r="DN490" s="3">
        <v>0</v>
      </c>
      <c r="DO490" s="3">
        <v>0</v>
      </c>
    </row>
    <row r="491" spans="1:119" x14ac:dyDescent="0.45">
      <c r="A491" s="16" t="s">
        <v>3252</v>
      </c>
      <c r="B491" s="3" t="s">
        <v>89</v>
      </c>
      <c r="C491" s="16"/>
      <c r="H491" s="3" t="s">
        <v>3253</v>
      </c>
      <c r="I491" s="3" t="s">
        <v>2363</v>
      </c>
      <c r="K491" s="17" t="s">
        <v>3254</v>
      </c>
      <c r="L491" s="3">
        <v>0</v>
      </c>
      <c r="M491" s="3">
        <v>0</v>
      </c>
      <c r="N491" s="3">
        <v>0</v>
      </c>
      <c r="O491" s="3">
        <v>0</v>
      </c>
      <c r="P491" s="3">
        <v>0</v>
      </c>
      <c r="Q491" s="3">
        <v>0</v>
      </c>
      <c r="R491" s="3">
        <v>0</v>
      </c>
      <c r="S491" s="3">
        <v>0</v>
      </c>
      <c r="T491" s="3">
        <v>0</v>
      </c>
      <c r="U491" s="3">
        <v>0</v>
      </c>
      <c r="V491" s="3">
        <v>0</v>
      </c>
      <c r="W491" s="3">
        <v>0</v>
      </c>
      <c r="X491" s="3">
        <v>0</v>
      </c>
      <c r="Y491" s="3">
        <v>0</v>
      </c>
      <c r="Z491" s="3">
        <v>0</v>
      </c>
      <c r="AA491" s="3">
        <v>0</v>
      </c>
      <c r="AB491" s="3">
        <v>0</v>
      </c>
      <c r="AC491" s="3">
        <v>0</v>
      </c>
      <c r="AD491" s="3">
        <v>0</v>
      </c>
      <c r="AE491" s="3">
        <v>0</v>
      </c>
      <c r="AG491" s="17" t="s">
        <v>3255</v>
      </c>
      <c r="AH491" s="3">
        <v>0</v>
      </c>
      <c r="AI491" s="3">
        <v>0</v>
      </c>
      <c r="AJ491" s="3">
        <v>0</v>
      </c>
      <c r="AK491" s="3">
        <v>0</v>
      </c>
      <c r="AL491" s="3">
        <v>0</v>
      </c>
      <c r="AM491" s="3">
        <v>0</v>
      </c>
      <c r="AN491" s="3">
        <v>0</v>
      </c>
      <c r="AO491" s="3">
        <v>0</v>
      </c>
      <c r="AP491" s="3">
        <v>0</v>
      </c>
      <c r="AQ491" s="3">
        <v>0</v>
      </c>
      <c r="AR491" s="3">
        <v>0</v>
      </c>
      <c r="AS491" s="3">
        <v>0</v>
      </c>
      <c r="AT491" s="3">
        <v>0</v>
      </c>
      <c r="AU491" s="3">
        <v>0</v>
      </c>
      <c r="AV491" s="3">
        <v>0</v>
      </c>
      <c r="AW491" s="3">
        <v>0</v>
      </c>
      <c r="AX491" s="3">
        <v>0</v>
      </c>
      <c r="AY491" s="3">
        <v>0</v>
      </c>
      <c r="AZ491" s="3">
        <v>0</v>
      </c>
      <c r="BA491" s="3">
        <v>0</v>
      </c>
      <c r="BC491" s="17" t="s">
        <v>3256</v>
      </c>
      <c r="BD491" s="3">
        <v>0</v>
      </c>
      <c r="BE491" s="3">
        <v>0</v>
      </c>
      <c r="BF491" s="3">
        <v>0</v>
      </c>
      <c r="BG491" s="3">
        <v>0</v>
      </c>
      <c r="BH491" s="3">
        <v>0</v>
      </c>
      <c r="BI491" s="3">
        <v>0</v>
      </c>
      <c r="BJ491" s="3">
        <v>0</v>
      </c>
      <c r="BK491" s="3">
        <v>0</v>
      </c>
      <c r="BL491" s="3">
        <v>0</v>
      </c>
      <c r="BM491" s="3">
        <v>0</v>
      </c>
      <c r="BN491" s="3">
        <v>0</v>
      </c>
      <c r="BO491" s="3">
        <v>0</v>
      </c>
      <c r="BP491" s="3">
        <v>0</v>
      </c>
      <c r="BQ491" s="3">
        <v>0</v>
      </c>
      <c r="BR491" s="3">
        <v>0</v>
      </c>
      <c r="BS491" s="3">
        <v>0</v>
      </c>
      <c r="BT491" s="3">
        <v>0</v>
      </c>
      <c r="BU491" s="3">
        <v>0</v>
      </c>
      <c r="BV491" s="3">
        <v>0</v>
      </c>
      <c r="BW491" s="3">
        <v>0</v>
      </c>
      <c r="BY491" s="17" t="s">
        <v>3257</v>
      </c>
      <c r="BZ491" s="3">
        <v>0</v>
      </c>
      <c r="CA491" s="3">
        <v>0</v>
      </c>
      <c r="CB491" s="3">
        <v>0</v>
      </c>
      <c r="CC491" s="3">
        <v>0</v>
      </c>
      <c r="CD491" s="3">
        <v>0</v>
      </c>
      <c r="CE491" s="3">
        <v>0</v>
      </c>
      <c r="CF491" s="3">
        <v>0</v>
      </c>
      <c r="CG491" s="3">
        <v>0</v>
      </c>
      <c r="CH491" s="3">
        <v>0</v>
      </c>
      <c r="CI491" s="3">
        <v>0</v>
      </c>
      <c r="CJ491" s="3">
        <v>0</v>
      </c>
      <c r="CK491" s="3">
        <v>0</v>
      </c>
      <c r="CL491" s="3">
        <v>0</v>
      </c>
      <c r="CM491" s="3">
        <v>0</v>
      </c>
      <c r="CN491" s="3">
        <v>0</v>
      </c>
      <c r="CO491" s="3">
        <v>0</v>
      </c>
      <c r="CP491" s="3">
        <v>0</v>
      </c>
      <c r="CQ491" s="3">
        <v>0</v>
      </c>
      <c r="CR491" s="3">
        <v>0</v>
      </c>
      <c r="CS491" s="3">
        <v>0</v>
      </c>
      <c r="CU491" s="17" t="s">
        <v>3258</v>
      </c>
      <c r="CV491" s="3">
        <v>0</v>
      </c>
      <c r="CW491" s="3">
        <v>0</v>
      </c>
      <c r="CX491" s="3">
        <v>0</v>
      </c>
      <c r="CY491" s="3">
        <v>0</v>
      </c>
      <c r="CZ491" s="3">
        <v>0</v>
      </c>
      <c r="DA491" s="3">
        <v>0</v>
      </c>
      <c r="DB491" s="3">
        <v>0</v>
      </c>
      <c r="DC491" s="3">
        <v>0</v>
      </c>
      <c r="DD491" s="3">
        <v>0</v>
      </c>
      <c r="DE491" s="3">
        <v>0</v>
      </c>
      <c r="DF491" s="3">
        <v>0</v>
      </c>
      <c r="DG491" s="3">
        <v>0</v>
      </c>
      <c r="DH491" s="3">
        <v>0</v>
      </c>
      <c r="DI491" s="3">
        <v>0</v>
      </c>
      <c r="DJ491" s="3">
        <v>0</v>
      </c>
      <c r="DK491" s="3">
        <v>0</v>
      </c>
      <c r="DL491" s="3">
        <v>0</v>
      </c>
      <c r="DM491" s="3">
        <v>0</v>
      </c>
      <c r="DN491" s="3">
        <v>0</v>
      </c>
      <c r="DO491" s="3">
        <v>0</v>
      </c>
    </row>
    <row r="492" spans="1:119" x14ac:dyDescent="0.45">
      <c r="A492" s="16" t="s">
        <v>3259</v>
      </c>
      <c r="B492" s="3" t="s">
        <v>89</v>
      </c>
      <c r="C492" s="16"/>
      <c r="H492" s="3" t="s">
        <v>3260</v>
      </c>
      <c r="I492" s="3" t="s">
        <v>2363</v>
      </c>
      <c r="K492" s="17" t="s">
        <v>3261</v>
      </c>
      <c r="L492" s="3">
        <v>0</v>
      </c>
      <c r="M492" s="3">
        <v>0</v>
      </c>
      <c r="N492" s="3">
        <v>0</v>
      </c>
      <c r="O492" s="3">
        <v>0</v>
      </c>
      <c r="P492" s="3">
        <v>0</v>
      </c>
      <c r="Q492" s="3">
        <v>0</v>
      </c>
      <c r="R492" s="3">
        <v>0</v>
      </c>
      <c r="S492" s="3">
        <v>0</v>
      </c>
      <c r="T492" s="3">
        <v>0</v>
      </c>
      <c r="U492" s="3">
        <v>0</v>
      </c>
      <c r="V492" s="3">
        <v>0</v>
      </c>
      <c r="W492" s="3">
        <v>0</v>
      </c>
      <c r="X492" s="3">
        <v>0</v>
      </c>
      <c r="Y492" s="3">
        <v>0</v>
      </c>
      <c r="Z492" s="3">
        <v>0</v>
      </c>
      <c r="AA492" s="3">
        <v>0</v>
      </c>
      <c r="AB492" s="3">
        <v>0</v>
      </c>
      <c r="AC492" s="3">
        <v>0</v>
      </c>
      <c r="AD492" s="3">
        <v>0</v>
      </c>
      <c r="AE492" s="3">
        <v>0</v>
      </c>
      <c r="AG492" s="17" t="s">
        <v>3262</v>
      </c>
      <c r="AH492" s="3">
        <v>0</v>
      </c>
      <c r="AI492" s="3">
        <v>0</v>
      </c>
      <c r="AJ492" s="3">
        <v>0</v>
      </c>
      <c r="AK492" s="3">
        <v>0</v>
      </c>
      <c r="AL492" s="3">
        <v>0</v>
      </c>
      <c r="AM492" s="3">
        <v>0</v>
      </c>
      <c r="AN492" s="3">
        <v>0</v>
      </c>
      <c r="AO492" s="3">
        <v>0</v>
      </c>
      <c r="AP492" s="3">
        <v>0</v>
      </c>
      <c r="AQ492" s="3">
        <v>0</v>
      </c>
      <c r="AR492" s="3">
        <v>0</v>
      </c>
      <c r="AS492" s="3">
        <v>0</v>
      </c>
      <c r="AT492" s="3">
        <v>0</v>
      </c>
      <c r="AU492" s="3">
        <v>0</v>
      </c>
      <c r="AV492" s="3">
        <v>0</v>
      </c>
      <c r="AW492" s="3">
        <v>0</v>
      </c>
      <c r="AX492" s="3">
        <v>0</v>
      </c>
      <c r="AY492" s="3">
        <v>0</v>
      </c>
      <c r="AZ492" s="3">
        <v>0</v>
      </c>
      <c r="BA492" s="3">
        <v>0</v>
      </c>
      <c r="BC492" s="17" t="s">
        <v>3263</v>
      </c>
      <c r="BD492" s="3">
        <v>0</v>
      </c>
      <c r="BE492" s="3">
        <v>0</v>
      </c>
      <c r="BF492" s="3">
        <v>0</v>
      </c>
      <c r="BG492" s="3">
        <v>0</v>
      </c>
      <c r="BH492" s="3">
        <v>0</v>
      </c>
      <c r="BI492" s="3">
        <v>0</v>
      </c>
      <c r="BJ492" s="3">
        <v>0</v>
      </c>
      <c r="BK492" s="3">
        <v>0</v>
      </c>
      <c r="BL492" s="3">
        <v>0</v>
      </c>
      <c r="BM492" s="3">
        <v>0</v>
      </c>
      <c r="BN492" s="3">
        <v>0</v>
      </c>
      <c r="BO492" s="3">
        <v>0</v>
      </c>
      <c r="BP492" s="3">
        <v>0</v>
      </c>
      <c r="BQ492" s="3">
        <v>0</v>
      </c>
      <c r="BR492" s="3">
        <v>0</v>
      </c>
      <c r="BS492" s="3">
        <v>0</v>
      </c>
      <c r="BT492" s="3">
        <v>0</v>
      </c>
      <c r="BU492" s="3">
        <v>0</v>
      </c>
      <c r="BV492" s="3">
        <v>0</v>
      </c>
      <c r="BW492" s="3">
        <v>0</v>
      </c>
      <c r="BY492" s="17" t="s">
        <v>3264</v>
      </c>
      <c r="BZ492" s="3">
        <v>0</v>
      </c>
      <c r="CA492" s="3">
        <v>0</v>
      </c>
      <c r="CB492" s="3">
        <v>0</v>
      </c>
      <c r="CC492" s="3">
        <v>0</v>
      </c>
      <c r="CD492" s="3">
        <v>0</v>
      </c>
      <c r="CE492" s="3">
        <v>0</v>
      </c>
      <c r="CF492" s="3">
        <v>0</v>
      </c>
      <c r="CG492" s="3">
        <v>0</v>
      </c>
      <c r="CH492" s="3">
        <v>0</v>
      </c>
      <c r="CI492" s="3">
        <v>0</v>
      </c>
      <c r="CJ492" s="3">
        <v>0</v>
      </c>
      <c r="CK492" s="3">
        <v>0</v>
      </c>
      <c r="CL492" s="3">
        <v>0</v>
      </c>
      <c r="CM492" s="3">
        <v>0</v>
      </c>
      <c r="CN492" s="3">
        <v>0</v>
      </c>
      <c r="CO492" s="3">
        <v>0</v>
      </c>
      <c r="CP492" s="3">
        <v>0</v>
      </c>
      <c r="CQ492" s="3">
        <v>0</v>
      </c>
      <c r="CR492" s="3">
        <v>0</v>
      </c>
      <c r="CS492" s="3">
        <v>0</v>
      </c>
      <c r="CU492" s="17" t="s">
        <v>3265</v>
      </c>
      <c r="CV492" s="3">
        <v>0</v>
      </c>
      <c r="CW492" s="3">
        <v>0</v>
      </c>
      <c r="CX492" s="3">
        <v>0</v>
      </c>
      <c r="CY492" s="3">
        <v>0</v>
      </c>
      <c r="CZ492" s="3">
        <v>0</v>
      </c>
      <c r="DA492" s="3">
        <v>0</v>
      </c>
      <c r="DB492" s="3">
        <v>0</v>
      </c>
      <c r="DC492" s="3">
        <v>0</v>
      </c>
      <c r="DD492" s="3">
        <v>0</v>
      </c>
      <c r="DE492" s="3">
        <v>0</v>
      </c>
      <c r="DF492" s="3">
        <v>0</v>
      </c>
      <c r="DG492" s="3">
        <v>0</v>
      </c>
      <c r="DH492" s="3">
        <v>0</v>
      </c>
      <c r="DI492" s="3">
        <v>0</v>
      </c>
      <c r="DJ492" s="3">
        <v>0</v>
      </c>
      <c r="DK492" s="3">
        <v>0</v>
      </c>
      <c r="DL492" s="3">
        <v>0</v>
      </c>
      <c r="DM492" s="3">
        <v>0</v>
      </c>
      <c r="DN492" s="3">
        <v>0</v>
      </c>
      <c r="DO492" s="3">
        <v>0</v>
      </c>
    </row>
    <row r="493" spans="1:119" x14ac:dyDescent="0.45">
      <c r="A493" s="11"/>
      <c r="B493" s="3" t="s">
        <v>89</v>
      </c>
      <c r="C493" s="16" t="s">
        <v>3266</v>
      </c>
      <c r="H493" s="11" t="s">
        <v>3267</v>
      </c>
      <c r="I493" s="11" t="s">
        <v>2363</v>
      </c>
    </row>
    <row r="494" spans="1:119" x14ac:dyDescent="0.45">
      <c r="A494" s="16" t="s">
        <v>3268</v>
      </c>
      <c r="B494" s="3" t="s">
        <v>89</v>
      </c>
      <c r="C494" s="16"/>
      <c r="H494" s="3" t="s">
        <v>3269</v>
      </c>
      <c r="I494" s="3" t="s">
        <v>2363</v>
      </c>
      <c r="K494" s="17" t="s">
        <v>3270</v>
      </c>
      <c r="L494" s="20">
        <v>21714.681397117161</v>
      </c>
      <c r="M494" s="20">
        <v>20178.15788777631</v>
      </c>
      <c r="N494" s="20">
        <v>23519.8837522588</v>
      </c>
      <c r="O494" s="20">
        <v>24366.819113559952</v>
      </c>
      <c r="P494" s="20">
        <v>25017.26747262412</v>
      </c>
      <c r="Q494" s="20">
        <v>25850.875586937302</v>
      </c>
      <c r="R494" s="20">
        <v>26868.25140172839</v>
      </c>
      <c r="S494" s="20">
        <v>27852.870314443531</v>
      </c>
      <c r="T494" s="20">
        <v>28783.912480551531</v>
      </c>
      <c r="U494" s="20">
        <v>29729.74076935001</v>
      </c>
      <c r="V494" s="20">
        <v>30685.002126609881</v>
      </c>
      <c r="W494" s="20">
        <v>31658.17061773764</v>
      </c>
      <c r="X494" s="20">
        <v>32649.155279155351</v>
      </c>
      <c r="Y494" s="20">
        <v>33657.853157557132</v>
      </c>
      <c r="Z494" s="20">
        <v>34684.149072993263</v>
      </c>
      <c r="AA494" s="20">
        <v>35727.915346306647</v>
      </c>
      <c r="AB494" s="20">
        <v>36789.01148929436</v>
      </c>
      <c r="AC494" s="20">
        <v>37867.283856034461</v>
      </c>
      <c r="AD494" s="20">
        <v>38962.565253880377</v>
      </c>
      <c r="AE494" s="20">
        <v>40074.67451268583</v>
      </c>
      <c r="AG494" s="17" t="s">
        <v>3271</v>
      </c>
      <c r="AH494" s="20">
        <v>21714.681397117161</v>
      </c>
      <c r="AI494" s="20">
        <v>20178.15788777631</v>
      </c>
      <c r="AJ494" s="20">
        <v>23519.8837522588</v>
      </c>
      <c r="AK494" s="20">
        <v>24366.819113559952</v>
      </c>
      <c r="AL494" s="20">
        <v>25017.26747262412</v>
      </c>
      <c r="AM494" s="20">
        <v>21726.644539384772</v>
      </c>
      <c r="AN494" s="20">
        <v>22583.766267754239</v>
      </c>
      <c r="AO494" s="20">
        <v>23423.907400963351</v>
      </c>
      <c r="AP494" s="20">
        <v>24183.434816379158</v>
      </c>
      <c r="AQ494" s="20">
        <v>24984.007259637099</v>
      </c>
      <c r="AR494" s="20">
        <v>25779.142868313051</v>
      </c>
      <c r="AS494" s="20">
        <v>26614.059897071631</v>
      </c>
      <c r="AT494" s="20">
        <v>27476.86791342598</v>
      </c>
      <c r="AU494" s="20">
        <v>28349.89363670276</v>
      </c>
      <c r="AV494" s="20">
        <v>29244.153460628819</v>
      </c>
      <c r="AW494" s="20">
        <v>30167.254920377691</v>
      </c>
      <c r="AX494" s="20">
        <v>31094.407370764169</v>
      </c>
      <c r="AY494" s="20">
        <v>32030.559142970618</v>
      </c>
      <c r="AZ494" s="20">
        <v>32966.090135991493</v>
      </c>
      <c r="BA494" s="20">
        <v>33911.588227253407</v>
      </c>
      <c r="BC494" s="17" t="s">
        <v>3272</v>
      </c>
      <c r="BD494" s="20">
        <v>21714.681397117161</v>
      </c>
      <c r="BE494" s="20">
        <v>20178.15788777631</v>
      </c>
      <c r="BF494" s="20">
        <v>23519.8837522588</v>
      </c>
      <c r="BG494" s="20">
        <v>24366.819113559952</v>
      </c>
      <c r="BH494" s="20">
        <v>25017.26747262412</v>
      </c>
      <c r="BI494" s="20">
        <v>23232.929270263361</v>
      </c>
      <c r="BJ494" s="20">
        <v>21378.51027182267</v>
      </c>
      <c r="BK494" s="20">
        <v>19966.26617410683</v>
      </c>
      <c r="BL494" s="20">
        <v>18818.905387190891</v>
      </c>
      <c r="BM494" s="20">
        <v>18098.22427560599</v>
      </c>
      <c r="BN494" s="20">
        <v>17499.380577839609</v>
      </c>
      <c r="BO494" s="20">
        <v>17008.55623545374</v>
      </c>
      <c r="BP494" s="20">
        <v>16609.76712303876</v>
      </c>
      <c r="BQ494" s="20">
        <v>16283.594823999991</v>
      </c>
      <c r="BR494" s="20">
        <v>16017.80146926954</v>
      </c>
      <c r="BS494" s="20">
        <v>15805.852896011849</v>
      </c>
      <c r="BT494" s="20">
        <v>15636.39209156465</v>
      </c>
      <c r="BU494" s="20">
        <v>15501.206591957271</v>
      </c>
      <c r="BV494" s="20">
        <v>15390.23127324276</v>
      </c>
      <c r="BW494" s="20">
        <v>15298.734628181621</v>
      </c>
      <c r="BY494" s="17" t="s">
        <v>3273</v>
      </c>
      <c r="BZ494" s="20">
        <v>21714.681397117161</v>
      </c>
      <c r="CA494" s="20">
        <v>20178.15788777631</v>
      </c>
      <c r="CB494" s="20">
        <v>23519.8837522588</v>
      </c>
      <c r="CC494" s="20">
        <v>24366.819113559952</v>
      </c>
      <c r="CD494" s="20">
        <v>25017.26747262412</v>
      </c>
      <c r="CE494" s="20">
        <v>21345.04727534363</v>
      </c>
      <c r="CF494" s="20">
        <v>22055.127500116108</v>
      </c>
      <c r="CG494" s="20">
        <v>22750.826917500159</v>
      </c>
      <c r="CH494" s="20">
        <v>23374.6858551158</v>
      </c>
      <c r="CI494" s="20">
        <v>24046.348874077459</v>
      </c>
      <c r="CJ494" s="20">
        <v>24709.825929634579</v>
      </c>
      <c r="CK494" s="20">
        <v>25414.237915496549</v>
      </c>
      <c r="CL494" s="20">
        <v>26136.491626435069</v>
      </c>
      <c r="CM494" s="20">
        <v>26870.18460614697</v>
      </c>
      <c r="CN494" s="20">
        <v>27669.905675111851</v>
      </c>
      <c r="CO494" s="20">
        <v>28491.471400221879</v>
      </c>
      <c r="CP494" s="20">
        <v>29315.710231760251</v>
      </c>
      <c r="CQ494" s="20">
        <v>30150.42466984388</v>
      </c>
      <c r="CR494" s="20">
        <v>30985.587450277311</v>
      </c>
      <c r="CS494" s="20">
        <v>31833.893642080351</v>
      </c>
      <c r="CU494" s="17" t="s">
        <v>3274</v>
      </c>
      <c r="CV494" s="20">
        <v>21714.681397117161</v>
      </c>
      <c r="CW494" s="20">
        <v>20178.15788777631</v>
      </c>
      <c r="CX494" s="20">
        <v>23519.8837522588</v>
      </c>
      <c r="CY494" s="20">
        <v>24366.819113559952</v>
      </c>
      <c r="CZ494" s="20">
        <v>25017.26747262412</v>
      </c>
      <c r="DA494" s="20">
        <v>17725.10974922248</v>
      </c>
      <c r="DB494" s="20">
        <v>18426.756595439379</v>
      </c>
      <c r="DC494" s="20">
        <v>19124.49592210666</v>
      </c>
      <c r="DD494" s="20">
        <v>19722.344897926621</v>
      </c>
      <c r="DE494" s="20">
        <v>20383.351183739891</v>
      </c>
      <c r="DF494" s="20">
        <v>21023.511822730459</v>
      </c>
      <c r="DG494" s="20">
        <v>21722.400470934019</v>
      </c>
      <c r="DH494" s="20">
        <v>22452.837712528639</v>
      </c>
      <c r="DI494" s="20">
        <v>23188.438382627632</v>
      </c>
      <c r="DJ494" s="20">
        <v>23946.99473649478</v>
      </c>
      <c r="DK494" s="20">
        <v>24742.418653441819</v>
      </c>
      <c r="DL494" s="20">
        <v>25530.658138384839</v>
      </c>
      <c r="DM494" s="20">
        <v>26322.5208506487</v>
      </c>
      <c r="DN494" s="20">
        <v>27100.07147053098</v>
      </c>
      <c r="DO494" s="20">
        <v>27882.866433638759</v>
      </c>
    </row>
    <row r="495" spans="1:119" x14ac:dyDescent="0.45">
      <c r="A495" s="16" t="s">
        <v>3275</v>
      </c>
      <c r="B495" s="3" t="s">
        <v>89</v>
      </c>
      <c r="C495" s="16"/>
      <c r="H495" s="3" t="s">
        <v>3276</v>
      </c>
      <c r="I495" s="3" t="s">
        <v>2363</v>
      </c>
      <c r="K495" s="17" t="s">
        <v>3277</v>
      </c>
      <c r="L495" s="3">
        <v>0</v>
      </c>
      <c r="M495" s="3">
        <v>0</v>
      </c>
      <c r="N495" s="3">
        <v>0</v>
      </c>
      <c r="O495" s="3">
        <v>0</v>
      </c>
      <c r="P495" s="3">
        <v>0</v>
      </c>
      <c r="Q495" s="3">
        <v>0</v>
      </c>
      <c r="R495" s="3">
        <v>0</v>
      </c>
      <c r="S495" s="3">
        <v>0</v>
      </c>
      <c r="T495" s="3">
        <v>0</v>
      </c>
      <c r="U495" s="3">
        <v>0</v>
      </c>
      <c r="V495" s="3">
        <v>0</v>
      </c>
      <c r="W495" s="3">
        <v>0</v>
      </c>
      <c r="X495" s="3">
        <v>0</v>
      </c>
      <c r="Y495" s="3">
        <v>0</v>
      </c>
      <c r="Z495" s="3">
        <v>0</v>
      </c>
      <c r="AA495" s="3">
        <v>0</v>
      </c>
      <c r="AB495" s="3">
        <v>0</v>
      </c>
      <c r="AC495" s="3">
        <v>0</v>
      </c>
      <c r="AD495" s="3">
        <v>0</v>
      </c>
      <c r="AE495" s="3">
        <v>0</v>
      </c>
      <c r="AG495" s="17" t="s">
        <v>3278</v>
      </c>
      <c r="AH495" s="3">
        <v>0</v>
      </c>
      <c r="AI495" s="3">
        <v>0</v>
      </c>
      <c r="AJ495" s="3">
        <v>0</v>
      </c>
      <c r="AK495" s="3">
        <v>0</v>
      </c>
      <c r="AL495" s="3">
        <v>0</v>
      </c>
      <c r="AM495" s="3">
        <v>0</v>
      </c>
      <c r="AN495" s="3">
        <v>0</v>
      </c>
      <c r="AO495" s="3">
        <v>0</v>
      </c>
      <c r="AP495" s="3">
        <v>0</v>
      </c>
      <c r="AQ495" s="3">
        <v>0</v>
      </c>
      <c r="AR495" s="3">
        <v>0</v>
      </c>
      <c r="AS495" s="3">
        <v>0</v>
      </c>
      <c r="AT495" s="3">
        <v>0</v>
      </c>
      <c r="AU495" s="3">
        <v>0</v>
      </c>
      <c r="AV495" s="3">
        <v>0</v>
      </c>
      <c r="AW495" s="3">
        <v>0</v>
      </c>
      <c r="AX495" s="3">
        <v>0</v>
      </c>
      <c r="AY495" s="3">
        <v>0</v>
      </c>
      <c r="AZ495" s="3">
        <v>0</v>
      </c>
      <c r="BA495" s="3">
        <v>0</v>
      </c>
      <c r="BC495" s="17" t="s">
        <v>3279</v>
      </c>
      <c r="BD495" s="3">
        <v>0</v>
      </c>
      <c r="BE495" s="3">
        <v>0</v>
      </c>
      <c r="BF495" s="3">
        <v>0</v>
      </c>
      <c r="BG495" s="3">
        <v>0</v>
      </c>
      <c r="BH495" s="3">
        <v>0</v>
      </c>
      <c r="BI495" s="3">
        <v>0</v>
      </c>
      <c r="BJ495" s="3">
        <v>0</v>
      </c>
      <c r="BK495" s="3">
        <v>0</v>
      </c>
      <c r="BL495" s="3">
        <v>0</v>
      </c>
      <c r="BM495" s="3">
        <v>0</v>
      </c>
      <c r="BN495" s="3">
        <v>0</v>
      </c>
      <c r="BO495" s="3">
        <v>0</v>
      </c>
      <c r="BP495" s="3">
        <v>0</v>
      </c>
      <c r="BQ495" s="3">
        <v>0</v>
      </c>
      <c r="BR495" s="3">
        <v>0</v>
      </c>
      <c r="BS495" s="3">
        <v>0</v>
      </c>
      <c r="BT495" s="3">
        <v>0</v>
      </c>
      <c r="BU495" s="3">
        <v>0</v>
      </c>
      <c r="BV495" s="3">
        <v>0</v>
      </c>
      <c r="BW495" s="3">
        <v>0</v>
      </c>
      <c r="BY495" s="17" t="s">
        <v>3280</v>
      </c>
      <c r="BZ495" s="3">
        <v>0</v>
      </c>
      <c r="CA495" s="3">
        <v>0</v>
      </c>
      <c r="CB495" s="3">
        <v>0</v>
      </c>
      <c r="CC495" s="3">
        <v>0</v>
      </c>
      <c r="CD495" s="3">
        <v>0</v>
      </c>
      <c r="CE495" s="3">
        <v>0</v>
      </c>
      <c r="CF495" s="3">
        <v>0</v>
      </c>
      <c r="CG495" s="3">
        <v>0</v>
      </c>
      <c r="CH495" s="3">
        <v>0</v>
      </c>
      <c r="CI495" s="3">
        <v>0</v>
      </c>
      <c r="CJ495" s="3">
        <v>0</v>
      </c>
      <c r="CK495" s="3">
        <v>0</v>
      </c>
      <c r="CL495" s="3">
        <v>0</v>
      </c>
      <c r="CM495" s="3">
        <v>0</v>
      </c>
      <c r="CN495" s="3">
        <v>0</v>
      </c>
      <c r="CO495" s="3">
        <v>0</v>
      </c>
      <c r="CP495" s="3">
        <v>0</v>
      </c>
      <c r="CQ495" s="3">
        <v>0</v>
      </c>
      <c r="CR495" s="3">
        <v>0</v>
      </c>
      <c r="CS495" s="3">
        <v>0</v>
      </c>
      <c r="CU495" s="17" t="s">
        <v>3281</v>
      </c>
      <c r="CV495" s="3">
        <v>0</v>
      </c>
      <c r="CW495" s="3">
        <v>0</v>
      </c>
      <c r="CX495" s="3">
        <v>0</v>
      </c>
      <c r="CY495" s="3">
        <v>0</v>
      </c>
      <c r="CZ495" s="3">
        <v>0</v>
      </c>
      <c r="DA495" s="3">
        <v>0</v>
      </c>
      <c r="DB495" s="3">
        <v>0</v>
      </c>
      <c r="DC495" s="3">
        <v>0</v>
      </c>
      <c r="DD495" s="3">
        <v>0</v>
      </c>
      <c r="DE495" s="3">
        <v>0</v>
      </c>
      <c r="DF495" s="3">
        <v>0</v>
      </c>
      <c r="DG495" s="3">
        <v>0</v>
      </c>
      <c r="DH495" s="3">
        <v>0</v>
      </c>
      <c r="DI495" s="3">
        <v>0</v>
      </c>
      <c r="DJ495" s="3">
        <v>0</v>
      </c>
      <c r="DK495" s="3">
        <v>0</v>
      </c>
      <c r="DL495" s="3">
        <v>0</v>
      </c>
      <c r="DM495" s="3">
        <v>0</v>
      </c>
      <c r="DN495" s="3">
        <v>0</v>
      </c>
      <c r="DO495" s="3">
        <v>0</v>
      </c>
    </row>
    <row r="496" spans="1:119" x14ac:dyDescent="0.45">
      <c r="A496" s="16" t="s">
        <v>3282</v>
      </c>
      <c r="B496" s="3" t="s">
        <v>89</v>
      </c>
      <c r="C496" s="16"/>
      <c r="H496" s="3" t="s">
        <v>3283</v>
      </c>
      <c r="I496" s="3" t="s">
        <v>2363</v>
      </c>
      <c r="K496" s="17" t="s">
        <v>3284</v>
      </c>
      <c r="L496" s="3">
        <v>0</v>
      </c>
      <c r="M496" s="3">
        <v>0</v>
      </c>
      <c r="N496" s="3">
        <v>0</v>
      </c>
      <c r="O496" s="3">
        <v>0</v>
      </c>
      <c r="P496" s="3">
        <v>0</v>
      </c>
      <c r="Q496" s="3">
        <v>0</v>
      </c>
      <c r="R496" s="3">
        <v>0</v>
      </c>
      <c r="S496" s="3">
        <v>0</v>
      </c>
      <c r="T496" s="3">
        <v>0</v>
      </c>
      <c r="U496" s="3">
        <v>0</v>
      </c>
      <c r="V496" s="3">
        <v>0</v>
      </c>
      <c r="W496" s="3">
        <v>0</v>
      </c>
      <c r="X496" s="3">
        <v>0</v>
      </c>
      <c r="Y496" s="3">
        <v>0</v>
      </c>
      <c r="Z496" s="3">
        <v>0</v>
      </c>
      <c r="AA496" s="3">
        <v>0</v>
      </c>
      <c r="AB496" s="3">
        <v>0</v>
      </c>
      <c r="AC496" s="3">
        <v>0</v>
      </c>
      <c r="AD496" s="3">
        <v>0</v>
      </c>
      <c r="AE496" s="3">
        <v>0</v>
      </c>
      <c r="AG496" s="17" t="s">
        <v>3285</v>
      </c>
      <c r="AH496" s="3">
        <v>0</v>
      </c>
      <c r="AI496" s="3">
        <v>0</v>
      </c>
      <c r="AJ496" s="3">
        <v>0</v>
      </c>
      <c r="AK496" s="3">
        <v>0</v>
      </c>
      <c r="AL496" s="3">
        <v>0</v>
      </c>
      <c r="AM496" s="3">
        <v>0</v>
      </c>
      <c r="AN496" s="3">
        <v>0</v>
      </c>
      <c r="AO496" s="3">
        <v>0</v>
      </c>
      <c r="AP496" s="3">
        <v>0</v>
      </c>
      <c r="AQ496" s="3">
        <v>0</v>
      </c>
      <c r="AR496" s="3">
        <v>0</v>
      </c>
      <c r="AS496" s="3">
        <v>0</v>
      </c>
      <c r="AT496" s="3">
        <v>0</v>
      </c>
      <c r="AU496" s="3">
        <v>0</v>
      </c>
      <c r="AV496" s="3">
        <v>0</v>
      </c>
      <c r="AW496" s="3">
        <v>0</v>
      </c>
      <c r="AX496" s="3">
        <v>0</v>
      </c>
      <c r="AY496" s="3">
        <v>0</v>
      </c>
      <c r="AZ496" s="3">
        <v>0</v>
      </c>
      <c r="BA496" s="3">
        <v>0</v>
      </c>
      <c r="BC496" s="17" t="s">
        <v>3286</v>
      </c>
      <c r="BD496" s="3">
        <v>0</v>
      </c>
      <c r="BE496" s="3">
        <v>0</v>
      </c>
      <c r="BF496" s="3">
        <v>0</v>
      </c>
      <c r="BG496" s="3">
        <v>0</v>
      </c>
      <c r="BH496" s="3">
        <v>0</v>
      </c>
      <c r="BI496" s="3">
        <v>0</v>
      </c>
      <c r="BJ496" s="3">
        <v>0</v>
      </c>
      <c r="BK496" s="3">
        <v>0</v>
      </c>
      <c r="BL496" s="3">
        <v>0</v>
      </c>
      <c r="BM496" s="3">
        <v>0</v>
      </c>
      <c r="BN496" s="3">
        <v>0</v>
      </c>
      <c r="BO496" s="3">
        <v>0</v>
      </c>
      <c r="BP496" s="3">
        <v>0</v>
      </c>
      <c r="BQ496" s="3">
        <v>0</v>
      </c>
      <c r="BR496" s="3">
        <v>0</v>
      </c>
      <c r="BS496" s="3">
        <v>0</v>
      </c>
      <c r="BT496" s="3">
        <v>0</v>
      </c>
      <c r="BU496" s="3">
        <v>0</v>
      </c>
      <c r="BV496" s="3">
        <v>0</v>
      </c>
      <c r="BW496" s="3">
        <v>0</v>
      </c>
      <c r="BY496" s="17" t="s">
        <v>3287</v>
      </c>
      <c r="BZ496" s="3">
        <v>0</v>
      </c>
      <c r="CA496" s="3">
        <v>0</v>
      </c>
      <c r="CB496" s="3">
        <v>0</v>
      </c>
      <c r="CC496" s="3">
        <v>0</v>
      </c>
      <c r="CD496" s="3">
        <v>0</v>
      </c>
      <c r="CE496" s="3">
        <v>0</v>
      </c>
      <c r="CF496" s="3">
        <v>0</v>
      </c>
      <c r="CG496" s="3">
        <v>0</v>
      </c>
      <c r="CH496" s="3">
        <v>0</v>
      </c>
      <c r="CI496" s="3">
        <v>0</v>
      </c>
      <c r="CJ496" s="3">
        <v>0</v>
      </c>
      <c r="CK496" s="3">
        <v>0</v>
      </c>
      <c r="CL496" s="3">
        <v>0</v>
      </c>
      <c r="CM496" s="3">
        <v>0</v>
      </c>
      <c r="CN496" s="3">
        <v>0</v>
      </c>
      <c r="CO496" s="3">
        <v>0</v>
      </c>
      <c r="CP496" s="3">
        <v>0</v>
      </c>
      <c r="CQ496" s="3">
        <v>0</v>
      </c>
      <c r="CR496" s="3">
        <v>0</v>
      </c>
      <c r="CS496" s="3">
        <v>0</v>
      </c>
      <c r="CU496" s="17" t="s">
        <v>3288</v>
      </c>
      <c r="CV496" s="3">
        <v>0</v>
      </c>
      <c r="CW496" s="3">
        <v>0</v>
      </c>
      <c r="CX496" s="3">
        <v>0</v>
      </c>
      <c r="CY496" s="3">
        <v>0</v>
      </c>
      <c r="CZ496" s="3">
        <v>0</v>
      </c>
      <c r="DA496" s="3">
        <v>0</v>
      </c>
      <c r="DB496" s="3">
        <v>0</v>
      </c>
      <c r="DC496" s="3">
        <v>0</v>
      </c>
      <c r="DD496" s="3">
        <v>0</v>
      </c>
      <c r="DE496" s="3">
        <v>0</v>
      </c>
      <c r="DF496" s="3">
        <v>0</v>
      </c>
      <c r="DG496" s="3">
        <v>0</v>
      </c>
      <c r="DH496" s="3">
        <v>0</v>
      </c>
      <c r="DI496" s="3">
        <v>0</v>
      </c>
      <c r="DJ496" s="3">
        <v>0</v>
      </c>
      <c r="DK496" s="3">
        <v>0</v>
      </c>
      <c r="DL496" s="3">
        <v>0</v>
      </c>
      <c r="DM496" s="3">
        <v>0</v>
      </c>
      <c r="DN496" s="3">
        <v>0</v>
      </c>
      <c r="DO496" s="3">
        <v>0</v>
      </c>
    </row>
    <row r="497" spans="1:119" x14ac:dyDescent="0.45">
      <c r="A497" s="16" t="s">
        <v>3289</v>
      </c>
      <c r="B497" s="3" t="s">
        <v>89</v>
      </c>
      <c r="C497" s="16"/>
      <c r="H497" s="3" t="s">
        <v>3290</v>
      </c>
      <c r="I497" s="3" t="s">
        <v>2363</v>
      </c>
      <c r="K497" s="17" t="s">
        <v>3291</v>
      </c>
      <c r="L497" s="3">
        <v>0</v>
      </c>
      <c r="M497" s="3">
        <v>0</v>
      </c>
      <c r="N497" s="3">
        <v>0</v>
      </c>
      <c r="O497" s="3">
        <v>0</v>
      </c>
      <c r="P497" s="3">
        <v>0</v>
      </c>
      <c r="Q497" s="3">
        <v>0</v>
      </c>
      <c r="R497" s="3">
        <v>0</v>
      </c>
      <c r="S497" s="3">
        <v>0</v>
      </c>
      <c r="T497" s="3">
        <v>0</v>
      </c>
      <c r="U497" s="3">
        <v>0</v>
      </c>
      <c r="V497" s="3">
        <v>0</v>
      </c>
      <c r="W497" s="3">
        <v>0</v>
      </c>
      <c r="X497" s="3">
        <v>0</v>
      </c>
      <c r="Y497" s="3">
        <v>0</v>
      </c>
      <c r="Z497" s="3">
        <v>0</v>
      </c>
      <c r="AA497" s="3">
        <v>0</v>
      </c>
      <c r="AB497" s="3">
        <v>0</v>
      </c>
      <c r="AC497" s="3">
        <v>0</v>
      </c>
      <c r="AD497" s="3">
        <v>0</v>
      </c>
      <c r="AE497" s="3">
        <v>0</v>
      </c>
      <c r="AG497" s="17" t="s">
        <v>3292</v>
      </c>
      <c r="AH497" s="3">
        <v>0</v>
      </c>
      <c r="AI497" s="3">
        <v>0</v>
      </c>
      <c r="AJ497" s="3">
        <v>0</v>
      </c>
      <c r="AK497" s="3">
        <v>0</v>
      </c>
      <c r="AL497" s="3">
        <v>0</v>
      </c>
      <c r="AM497" s="3">
        <v>0</v>
      </c>
      <c r="AN497" s="3">
        <v>0</v>
      </c>
      <c r="AO497" s="3">
        <v>0</v>
      </c>
      <c r="AP497" s="3">
        <v>0</v>
      </c>
      <c r="AQ497" s="3">
        <v>0</v>
      </c>
      <c r="AR497" s="3">
        <v>0</v>
      </c>
      <c r="AS497" s="3">
        <v>0</v>
      </c>
      <c r="AT497" s="3">
        <v>0</v>
      </c>
      <c r="AU497" s="3">
        <v>0</v>
      </c>
      <c r="AV497" s="3">
        <v>0</v>
      </c>
      <c r="AW497" s="3">
        <v>0</v>
      </c>
      <c r="AX497" s="3">
        <v>0</v>
      </c>
      <c r="AY497" s="3">
        <v>0</v>
      </c>
      <c r="AZ497" s="3">
        <v>0</v>
      </c>
      <c r="BA497" s="3">
        <v>0</v>
      </c>
      <c r="BC497" s="17" t="s">
        <v>3293</v>
      </c>
      <c r="BD497" s="3">
        <v>0</v>
      </c>
      <c r="BE497" s="3">
        <v>0</v>
      </c>
      <c r="BF497" s="3">
        <v>0</v>
      </c>
      <c r="BG497" s="3">
        <v>0</v>
      </c>
      <c r="BH497" s="3">
        <v>0</v>
      </c>
      <c r="BI497" s="3">
        <v>0</v>
      </c>
      <c r="BJ497" s="3">
        <v>0</v>
      </c>
      <c r="BK497" s="3">
        <v>0</v>
      </c>
      <c r="BL497" s="3">
        <v>0</v>
      </c>
      <c r="BM497" s="3">
        <v>0</v>
      </c>
      <c r="BN497" s="3">
        <v>0</v>
      </c>
      <c r="BO497" s="3">
        <v>0</v>
      </c>
      <c r="BP497" s="3">
        <v>0</v>
      </c>
      <c r="BQ497" s="3">
        <v>0</v>
      </c>
      <c r="BR497" s="3">
        <v>0</v>
      </c>
      <c r="BS497" s="3">
        <v>0</v>
      </c>
      <c r="BT497" s="3">
        <v>0</v>
      </c>
      <c r="BU497" s="3">
        <v>0</v>
      </c>
      <c r="BV497" s="3">
        <v>0</v>
      </c>
      <c r="BW497" s="3">
        <v>0</v>
      </c>
      <c r="BY497" s="17" t="s">
        <v>3294</v>
      </c>
      <c r="BZ497" s="3">
        <v>0</v>
      </c>
      <c r="CA497" s="3">
        <v>0</v>
      </c>
      <c r="CB497" s="3">
        <v>0</v>
      </c>
      <c r="CC497" s="3">
        <v>0</v>
      </c>
      <c r="CD497" s="3">
        <v>0</v>
      </c>
      <c r="CE497" s="3">
        <v>0</v>
      </c>
      <c r="CF497" s="3">
        <v>0</v>
      </c>
      <c r="CG497" s="3">
        <v>0</v>
      </c>
      <c r="CH497" s="3">
        <v>0</v>
      </c>
      <c r="CI497" s="3">
        <v>0</v>
      </c>
      <c r="CJ497" s="3">
        <v>0</v>
      </c>
      <c r="CK497" s="3">
        <v>0</v>
      </c>
      <c r="CL497" s="3">
        <v>0</v>
      </c>
      <c r="CM497" s="3">
        <v>0</v>
      </c>
      <c r="CN497" s="3">
        <v>0</v>
      </c>
      <c r="CO497" s="3">
        <v>0</v>
      </c>
      <c r="CP497" s="3">
        <v>0</v>
      </c>
      <c r="CQ497" s="3">
        <v>0</v>
      </c>
      <c r="CR497" s="3">
        <v>0</v>
      </c>
      <c r="CS497" s="3">
        <v>0</v>
      </c>
      <c r="CU497" s="17" t="s">
        <v>3295</v>
      </c>
      <c r="CV497" s="3">
        <v>0</v>
      </c>
      <c r="CW497" s="3">
        <v>0</v>
      </c>
      <c r="CX497" s="3">
        <v>0</v>
      </c>
      <c r="CY497" s="3">
        <v>0</v>
      </c>
      <c r="CZ497" s="3">
        <v>0</v>
      </c>
      <c r="DA497" s="3">
        <v>0</v>
      </c>
      <c r="DB497" s="3">
        <v>0</v>
      </c>
      <c r="DC497" s="3">
        <v>0</v>
      </c>
      <c r="DD497" s="3">
        <v>0</v>
      </c>
      <c r="DE497" s="3">
        <v>0</v>
      </c>
      <c r="DF497" s="3">
        <v>0</v>
      </c>
      <c r="DG497" s="3">
        <v>0</v>
      </c>
      <c r="DH497" s="3">
        <v>0</v>
      </c>
      <c r="DI497" s="3">
        <v>0</v>
      </c>
      <c r="DJ497" s="3">
        <v>0</v>
      </c>
      <c r="DK497" s="3">
        <v>0</v>
      </c>
      <c r="DL497" s="3">
        <v>0</v>
      </c>
      <c r="DM497" s="3">
        <v>0</v>
      </c>
      <c r="DN497" s="3">
        <v>0</v>
      </c>
      <c r="DO497" s="3">
        <v>0</v>
      </c>
    </row>
    <row r="498" spans="1:119" x14ac:dyDescent="0.45">
      <c r="A498" s="16" t="s">
        <v>3296</v>
      </c>
      <c r="B498" s="3" t="s">
        <v>89</v>
      </c>
      <c r="C498" s="16"/>
      <c r="H498" s="3" t="s">
        <v>3297</v>
      </c>
      <c r="I498" s="3" t="s">
        <v>2363</v>
      </c>
      <c r="K498" s="17" t="s">
        <v>3298</v>
      </c>
      <c r="L498" s="3">
        <v>0</v>
      </c>
      <c r="M498" s="3">
        <v>0</v>
      </c>
      <c r="N498" s="3">
        <v>0</v>
      </c>
      <c r="O498" s="3">
        <v>0</v>
      </c>
      <c r="P498" s="3">
        <v>0</v>
      </c>
      <c r="Q498" s="3">
        <v>0</v>
      </c>
      <c r="R498" s="3">
        <v>0</v>
      </c>
      <c r="S498" s="3">
        <v>0</v>
      </c>
      <c r="T498" s="3">
        <v>0</v>
      </c>
      <c r="U498" s="3">
        <v>0</v>
      </c>
      <c r="V498" s="3">
        <v>0</v>
      </c>
      <c r="W498" s="3">
        <v>0</v>
      </c>
      <c r="X498" s="3">
        <v>0</v>
      </c>
      <c r="Y498" s="3">
        <v>0</v>
      </c>
      <c r="Z498" s="3">
        <v>0</v>
      </c>
      <c r="AA498" s="3">
        <v>0</v>
      </c>
      <c r="AB498" s="3">
        <v>0</v>
      </c>
      <c r="AC498" s="3">
        <v>0</v>
      </c>
      <c r="AD498" s="3">
        <v>0</v>
      </c>
      <c r="AE498" s="3">
        <v>0</v>
      </c>
      <c r="AG498" s="17" t="s">
        <v>3299</v>
      </c>
      <c r="AH498" s="3">
        <v>0</v>
      </c>
      <c r="AI498" s="3">
        <v>0</v>
      </c>
      <c r="AJ498" s="3">
        <v>0</v>
      </c>
      <c r="AK498" s="3">
        <v>0</v>
      </c>
      <c r="AL498" s="3">
        <v>0</v>
      </c>
      <c r="AM498" s="3">
        <v>0</v>
      </c>
      <c r="AN498" s="3">
        <v>0</v>
      </c>
      <c r="AO498" s="3">
        <v>0</v>
      </c>
      <c r="AP498" s="3">
        <v>0</v>
      </c>
      <c r="AQ498" s="3">
        <v>0</v>
      </c>
      <c r="AR498" s="3">
        <v>0</v>
      </c>
      <c r="AS498" s="3">
        <v>0</v>
      </c>
      <c r="AT498" s="3">
        <v>0</v>
      </c>
      <c r="AU498" s="3">
        <v>0</v>
      </c>
      <c r="AV498" s="3">
        <v>0</v>
      </c>
      <c r="AW498" s="3">
        <v>0</v>
      </c>
      <c r="AX498" s="3">
        <v>0</v>
      </c>
      <c r="AY498" s="3">
        <v>0</v>
      </c>
      <c r="AZ498" s="3">
        <v>0</v>
      </c>
      <c r="BA498" s="3">
        <v>0</v>
      </c>
      <c r="BC498" s="17" t="s">
        <v>3300</v>
      </c>
      <c r="BD498" s="3">
        <v>0</v>
      </c>
      <c r="BE498" s="3">
        <v>0</v>
      </c>
      <c r="BF498" s="3">
        <v>0</v>
      </c>
      <c r="BG498" s="3">
        <v>0</v>
      </c>
      <c r="BH498" s="3">
        <v>0</v>
      </c>
      <c r="BI498" s="3">
        <v>0</v>
      </c>
      <c r="BJ498" s="3">
        <v>0</v>
      </c>
      <c r="BK498" s="3">
        <v>0</v>
      </c>
      <c r="BL498" s="3">
        <v>0</v>
      </c>
      <c r="BM498" s="3">
        <v>0</v>
      </c>
      <c r="BN498" s="3">
        <v>0</v>
      </c>
      <c r="BO498" s="3">
        <v>0</v>
      </c>
      <c r="BP498" s="3">
        <v>0</v>
      </c>
      <c r="BQ498" s="3">
        <v>0</v>
      </c>
      <c r="BR498" s="3">
        <v>0</v>
      </c>
      <c r="BS498" s="3">
        <v>0</v>
      </c>
      <c r="BT498" s="3">
        <v>0</v>
      </c>
      <c r="BU498" s="3">
        <v>0</v>
      </c>
      <c r="BV498" s="3">
        <v>0</v>
      </c>
      <c r="BW498" s="3">
        <v>0</v>
      </c>
      <c r="BY498" s="17" t="s">
        <v>3301</v>
      </c>
      <c r="BZ498" s="3">
        <v>0</v>
      </c>
      <c r="CA498" s="3">
        <v>0</v>
      </c>
      <c r="CB498" s="3">
        <v>0</v>
      </c>
      <c r="CC498" s="3">
        <v>0</v>
      </c>
      <c r="CD498" s="3">
        <v>0</v>
      </c>
      <c r="CE498" s="3">
        <v>0</v>
      </c>
      <c r="CF498" s="3">
        <v>0</v>
      </c>
      <c r="CG498" s="3">
        <v>0</v>
      </c>
      <c r="CH498" s="3">
        <v>0</v>
      </c>
      <c r="CI498" s="3">
        <v>0</v>
      </c>
      <c r="CJ498" s="3">
        <v>0</v>
      </c>
      <c r="CK498" s="3">
        <v>0</v>
      </c>
      <c r="CL498" s="3">
        <v>0</v>
      </c>
      <c r="CM498" s="3">
        <v>0</v>
      </c>
      <c r="CN498" s="3">
        <v>0</v>
      </c>
      <c r="CO498" s="3">
        <v>0</v>
      </c>
      <c r="CP498" s="3">
        <v>0</v>
      </c>
      <c r="CQ498" s="3">
        <v>0</v>
      </c>
      <c r="CR498" s="3">
        <v>0</v>
      </c>
      <c r="CS498" s="3">
        <v>0</v>
      </c>
      <c r="CU498" s="17" t="s">
        <v>3302</v>
      </c>
      <c r="CV498" s="3">
        <v>0</v>
      </c>
      <c r="CW498" s="3">
        <v>0</v>
      </c>
      <c r="CX498" s="3">
        <v>0</v>
      </c>
      <c r="CY498" s="3">
        <v>0</v>
      </c>
      <c r="CZ498" s="3">
        <v>0</v>
      </c>
      <c r="DA498" s="3">
        <v>0</v>
      </c>
      <c r="DB498" s="3">
        <v>0</v>
      </c>
      <c r="DC498" s="3">
        <v>0</v>
      </c>
      <c r="DD498" s="3">
        <v>0</v>
      </c>
      <c r="DE498" s="3">
        <v>0</v>
      </c>
      <c r="DF498" s="3">
        <v>0</v>
      </c>
      <c r="DG498" s="3">
        <v>0</v>
      </c>
      <c r="DH498" s="3">
        <v>0</v>
      </c>
      <c r="DI498" s="3">
        <v>0</v>
      </c>
      <c r="DJ498" s="3">
        <v>0</v>
      </c>
      <c r="DK498" s="3">
        <v>0</v>
      </c>
      <c r="DL498" s="3">
        <v>0</v>
      </c>
      <c r="DM498" s="3">
        <v>0</v>
      </c>
      <c r="DN498" s="3">
        <v>0</v>
      </c>
      <c r="DO498" s="3">
        <v>0</v>
      </c>
    </row>
    <row r="499" spans="1:119" x14ac:dyDescent="0.45">
      <c r="A499" s="16" t="s">
        <v>3303</v>
      </c>
      <c r="B499" s="3" t="s">
        <v>89</v>
      </c>
      <c r="C499" s="16"/>
      <c r="H499" s="3" t="s">
        <v>3304</v>
      </c>
      <c r="I499" s="3" t="s">
        <v>2363</v>
      </c>
      <c r="K499" s="17" t="s">
        <v>3305</v>
      </c>
      <c r="L499" s="3">
        <v>0</v>
      </c>
      <c r="M499" s="3">
        <v>0</v>
      </c>
      <c r="N499" s="3">
        <v>0</v>
      </c>
      <c r="O499" s="3">
        <v>0</v>
      </c>
      <c r="P499" s="3">
        <v>0</v>
      </c>
      <c r="Q499" s="3">
        <v>0</v>
      </c>
      <c r="R499" s="3">
        <v>0</v>
      </c>
      <c r="S499" s="3">
        <v>0</v>
      </c>
      <c r="T499" s="3">
        <v>0</v>
      </c>
      <c r="U499" s="3">
        <v>0</v>
      </c>
      <c r="V499" s="3">
        <v>0</v>
      </c>
      <c r="W499" s="3">
        <v>0</v>
      </c>
      <c r="X499" s="3">
        <v>0</v>
      </c>
      <c r="Y499" s="3">
        <v>0</v>
      </c>
      <c r="Z499" s="3">
        <v>0</v>
      </c>
      <c r="AA499" s="3">
        <v>0</v>
      </c>
      <c r="AB499" s="3">
        <v>0</v>
      </c>
      <c r="AC499" s="3">
        <v>0</v>
      </c>
      <c r="AD499" s="3">
        <v>0</v>
      </c>
      <c r="AE499" s="3">
        <v>0</v>
      </c>
      <c r="AG499" s="17" t="s">
        <v>3306</v>
      </c>
      <c r="AH499" s="3">
        <v>0</v>
      </c>
      <c r="AI499" s="3">
        <v>0</v>
      </c>
      <c r="AJ499" s="3">
        <v>0</v>
      </c>
      <c r="AK499" s="3">
        <v>0</v>
      </c>
      <c r="AL499" s="3">
        <v>0</v>
      </c>
      <c r="AM499" s="3">
        <v>0</v>
      </c>
      <c r="AN499" s="3">
        <v>0</v>
      </c>
      <c r="AO499" s="3">
        <v>0</v>
      </c>
      <c r="AP499" s="3">
        <v>0</v>
      </c>
      <c r="AQ499" s="3">
        <v>0</v>
      </c>
      <c r="AR499" s="3">
        <v>0</v>
      </c>
      <c r="AS499" s="3">
        <v>0</v>
      </c>
      <c r="AT499" s="3">
        <v>0</v>
      </c>
      <c r="AU499" s="3">
        <v>0</v>
      </c>
      <c r="AV499" s="3">
        <v>0</v>
      </c>
      <c r="AW499" s="3">
        <v>0</v>
      </c>
      <c r="AX499" s="3">
        <v>0</v>
      </c>
      <c r="AY499" s="3">
        <v>0</v>
      </c>
      <c r="AZ499" s="3">
        <v>0</v>
      </c>
      <c r="BA499" s="3">
        <v>0</v>
      </c>
      <c r="BC499" s="17" t="s">
        <v>3307</v>
      </c>
      <c r="BD499" s="3">
        <v>0</v>
      </c>
      <c r="BE499" s="3">
        <v>0</v>
      </c>
      <c r="BF499" s="3">
        <v>0</v>
      </c>
      <c r="BG499" s="3">
        <v>0</v>
      </c>
      <c r="BH499" s="3">
        <v>0</v>
      </c>
      <c r="BI499" s="3">
        <v>0</v>
      </c>
      <c r="BJ499" s="3">
        <v>0</v>
      </c>
      <c r="BK499" s="3">
        <v>0</v>
      </c>
      <c r="BL499" s="3">
        <v>0</v>
      </c>
      <c r="BM499" s="3">
        <v>0</v>
      </c>
      <c r="BN499" s="3">
        <v>0</v>
      </c>
      <c r="BO499" s="3">
        <v>0</v>
      </c>
      <c r="BP499" s="3">
        <v>0</v>
      </c>
      <c r="BQ499" s="3">
        <v>0</v>
      </c>
      <c r="BR499" s="3">
        <v>0</v>
      </c>
      <c r="BS499" s="3">
        <v>0</v>
      </c>
      <c r="BT499" s="3">
        <v>0</v>
      </c>
      <c r="BU499" s="3">
        <v>0</v>
      </c>
      <c r="BV499" s="3">
        <v>0</v>
      </c>
      <c r="BW499" s="3">
        <v>0</v>
      </c>
      <c r="BY499" s="17" t="s">
        <v>3308</v>
      </c>
      <c r="BZ499" s="3">
        <v>0</v>
      </c>
      <c r="CA499" s="3">
        <v>0</v>
      </c>
      <c r="CB499" s="3">
        <v>0</v>
      </c>
      <c r="CC499" s="3">
        <v>0</v>
      </c>
      <c r="CD499" s="3">
        <v>0</v>
      </c>
      <c r="CE499" s="3">
        <v>0</v>
      </c>
      <c r="CF499" s="3">
        <v>0</v>
      </c>
      <c r="CG499" s="3">
        <v>0</v>
      </c>
      <c r="CH499" s="3">
        <v>0</v>
      </c>
      <c r="CI499" s="3">
        <v>0</v>
      </c>
      <c r="CJ499" s="3">
        <v>0</v>
      </c>
      <c r="CK499" s="3">
        <v>0</v>
      </c>
      <c r="CL499" s="3">
        <v>0</v>
      </c>
      <c r="CM499" s="3">
        <v>0</v>
      </c>
      <c r="CN499" s="3">
        <v>0</v>
      </c>
      <c r="CO499" s="3">
        <v>0</v>
      </c>
      <c r="CP499" s="3">
        <v>0</v>
      </c>
      <c r="CQ499" s="3">
        <v>0</v>
      </c>
      <c r="CR499" s="3">
        <v>0</v>
      </c>
      <c r="CS499" s="3">
        <v>0</v>
      </c>
      <c r="CU499" s="17" t="s">
        <v>3309</v>
      </c>
      <c r="CV499" s="3">
        <v>0</v>
      </c>
      <c r="CW499" s="3">
        <v>0</v>
      </c>
      <c r="CX499" s="3">
        <v>0</v>
      </c>
      <c r="CY499" s="3">
        <v>0</v>
      </c>
      <c r="CZ499" s="3">
        <v>0</v>
      </c>
      <c r="DA499" s="3">
        <v>0</v>
      </c>
      <c r="DB499" s="3">
        <v>0</v>
      </c>
      <c r="DC499" s="3">
        <v>0</v>
      </c>
      <c r="DD499" s="3">
        <v>0</v>
      </c>
      <c r="DE499" s="3">
        <v>0</v>
      </c>
      <c r="DF499" s="3">
        <v>0</v>
      </c>
      <c r="DG499" s="3">
        <v>0</v>
      </c>
      <c r="DH499" s="3">
        <v>0</v>
      </c>
      <c r="DI499" s="3">
        <v>0</v>
      </c>
      <c r="DJ499" s="3">
        <v>0</v>
      </c>
      <c r="DK499" s="3">
        <v>0</v>
      </c>
      <c r="DL499" s="3">
        <v>0</v>
      </c>
      <c r="DM499" s="3">
        <v>0</v>
      </c>
      <c r="DN499" s="3">
        <v>0</v>
      </c>
      <c r="DO499" s="3">
        <v>0</v>
      </c>
    </row>
    <row r="500" spans="1:119" x14ac:dyDescent="0.45">
      <c r="A500" s="16" t="s">
        <v>3310</v>
      </c>
      <c r="B500" s="3" t="s">
        <v>89</v>
      </c>
      <c r="C500" s="16"/>
      <c r="H500" s="3" t="s">
        <v>3311</v>
      </c>
      <c r="I500" s="3" t="s">
        <v>2363</v>
      </c>
      <c r="K500" s="17" t="s">
        <v>3312</v>
      </c>
      <c r="L500" s="3">
        <v>0</v>
      </c>
      <c r="M500" s="3">
        <v>0</v>
      </c>
      <c r="N500" s="3">
        <v>0</v>
      </c>
      <c r="O500" s="3">
        <v>0</v>
      </c>
      <c r="P500" s="3">
        <v>0</v>
      </c>
      <c r="Q500" s="3">
        <v>0</v>
      </c>
      <c r="R500" s="3">
        <v>0</v>
      </c>
      <c r="S500" s="3">
        <v>0</v>
      </c>
      <c r="T500" s="3">
        <v>0</v>
      </c>
      <c r="U500" s="3">
        <v>0</v>
      </c>
      <c r="V500" s="3">
        <v>0</v>
      </c>
      <c r="W500" s="3">
        <v>0</v>
      </c>
      <c r="X500" s="3">
        <v>0</v>
      </c>
      <c r="Y500" s="3">
        <v>0</v>
      </c>
      <c r="Z500" s="3">
        <v>0</v>
      </c>
      <c r="AA500" s="3">
        <v>0</v>
      </c>
      <c r="AB500" s="3">
        <v>0</v>
      </c>
      <c r="AC500" s="3">
        <v>0</v>
      </c>
      <c r="AD500" s="3">
        <v>0</v>
      </c>
      <c r="AE500" s="3">
        <v>0</v>
      </c>
      <c r="AG500" s="17" t="s">
        <v>3313</v>
      </c>
      <c r="AH500" s="3">
        <v>0</v>
      </c>
      <c r="AI500" s="3">
        <v>0</v>
      </c>
      <c r="AJ500" s="3">
        <v>0</v>
      </c>
      <c r="AK500" s="3">
        <v>0</v>
      </c>
      <c r="AL500" s="3">
        <v>0</v>
      </c>
      <c r="AM500" s="3">
        <v>0</v>
      </c>
      <c r="AN500" s="3">
        <v>0</v>
      </c>
      <c r="AO500" s="3">
        <v>0</v>
      </c>
      <c r="AP500" s="3">
        <v>0</v>
      </c>
      <c r="AQ500" s="3">
        <v>0</v>
      </c>
      <c r="AR500" s="3">
        <v>0</v>
      </c>
      <c r="AS500" s="3">
        <v>0</v>
      </c>
      <c r="AT500" s="3">
        <v>0</v>
      </c>
      <c r="AU500" s="3">
        <v>0</v>
      </c>
      <c r="AV500" s="3">
        <v>0</v>
      </c>
      <c r="AW500" s="3">
        <v>0</v>
      </c>
      <c r="AX500" s="3">
        <v>0</v>
      </c>
      <c r="AY500" s="3">
        <v>0</v>
      </c>
      <c r="AZ500" s="3">
        <v>0</v>
      </c>
      <c r="BA500" s="3">
        <v>0</v>
      </c>
      <c r="BC500" s="17" t="s">
        <v>3314</v>
      </c>
      <c r="BD500" s="3">
        <v>0</v>
      </c>
      <c r="BE500" s="3">
        <v>0</v>
      </c>
      <c r="BF500" s="3">
        <v>0</v>
      </c>
      <c r="BG500" s="3">
        <v>0</v>
      </c>
      <c r="BH500" s="3">
        <v>0</v>
      </c>
      <c r="BI500" s="3">
        <v>0</v>
      </c>
      <c r="BJ500" s="3">
        <v>0</v>
      </c>
      <c r="BK500" s="3">
        <v>0</v>
      </c>
      <c r="BL500" s="3">
        <v>0</v>
      </c>
      <c r="BM500" s="3">
        <v>0</v>
      </c>
      <c r="BN500" s="3">
        <v>0</v>
      </c>
      <c r="BO500" s="3">
        <v>0</v>
      </c>
      <c r="BP500" s="3">
        <v>0</v>
      </c>
      <c r="BQ500" s="3">
        <v>0</v>
      </c>
      <c r="BR500" s="3">
        <v>0</v>
      </c>
      <c r="BS500" s="3">
        <v>0</v>
      </c>
      <c r="BT500" s="3">
        <v>0</v>
      </c>
      <c r="BU500" s="3">
        <v>0</v>
      </c>
      <c r="BV500" s="3">
        <v>0</v>
      </c>
      <c r="BW500" s="3">
        <v>0</v>
      </c>
      <c r="BY500" s="17" t="s">
        <v>3315</v>
      </c>
      <c r="BZ500" s="3">
        <v>0</v>
      </c>
      <c r="CA500" s="3">
        <v>0</v>
      </c>
      <c r="CB500" s="3">
        <v>0</v>
      </c>
      <c r="CC500" s="3">
        <v>0</v>
      </c>
      <c r="CD500" s="3">
        <v>0</v>
      </c>
      <c r="CE500" s="3">
        <v>0</v>
      </c>
      <c r="CF500" s="3">
        <v>0</v>
      </c>
      <c r="CG500" s="3">
        <v>0</v>
      </c>
      <c r="CH500" s="3">
        <v>0</v>
      </c>
      <c r="CI500" s="3">
        <v>0</v>
      </c>
      <c r="CJ500" s="3">
        <v>0</v>
      </c>
      <c r="CK500" s="3">
        <v>0</v>
      </c>
      <c r="CL500" s="3">
        <v>0</v>
      </c>
      <c r="CM500" s="3">
        <v>0</v>
      </c>
      <c r="CN500" s="3">
        <v>0</v>
      </c>
      <c r="CO500" s="3">
        <v>0</v>
      </c>
      <c r="CP500" s="3">
        <v>0</v>
      </c>
      <c r="CQ500" s="3">
        <v>0</v>
      </c>
      <c r="CR500" s="3">
        <v>0</v>
      </c>
      <c r="CS500" s="3">
        <v>0</v>
      </c>
      <c r="CU500" s="17" t="s">
        <v>3316</v>
      </c>
      <c r="CV500" s="3">
        <v>0</v>
      </c>
      <c r="CW500" s="3">
        <v>0</v>
      </c>
      <c r="CX500" s="3">
        <v>0</v>
      </c>
      <c r="CY500" s="3">
        <v>0</v>
      </c>
      <c r="CZ500" s="3">
        <v>0</v>
      </c>
      <c r="DA500" s="3">
        <v>0</v>
      </c>
      <c r="DB500" s="3">
        <v>0</v>
      </c>
      <c r="DC500" s="3">
        <v>0</v>
      </c>
      <c r="DD500" s="3">
        <v>0</v>
      </c>
      <c r="DE500" s="3">
        <v>0</v>
      </c>
      <c r="DF500" s="3">
        <v>0</v>
      </c>
      <c r="DG500" s="3">
        <v>0</v>
      </c>
      <c r="DH500" s="3">
        <v>0</v>
      </c>
      <c r="DI500" s="3">
        <v>0</v>
      </c>
      <c r="DJ500" s="3">
        <v>0</v>
      </c>
      <c r="DK500" s="3">
        <v>0</v>
      </c>
      <c r="DL500" s="3">
        <v>0</v>
      </c>
      <c r="DM500" s="3">
        <v>0</v>
      </c>
      <c r="DN500" s="3">
        <v>0</v>
      </c>
      <c r="DO500" s="3">
        <v>0</v>
      </c>
    </row>
    <row r="501" spans="1:119" x14ac:dyDescent="0.45">
      <c r="A501" s="16" t="s">
        <v>3317</v>
      </c>
      <c r="B501" s="3" t="s">
        <v>89</v>
      </c>
      <c r="C501" s="16"/>
      <c r="H501" s="3" t="s">
        <v>3318</v>
      </c>
      <c r="I501" s="3" t="s">
        <v>2363</v>
      </c>
      <c r="K501" s="17" t="s">
        <v>3319</v>
      </c>
      <c r="L501" s="3">
        <v>0</v>
      </c>
      <c r="M501" s="3">
        <v>0</v>
      </c>
      <c r="N501" s="3">
        <v>0</v>
      </c>
      <c r="O501" s="3">
        <v>0</v>
      </c>
      <c r="P501" s="3">
        <v>0</v>
      </c>
      <c r="Q501" s="3">
        <v>0</v>
      </c>
      <c r="R501" s="3">
        <v>0</v>
      </c>
      <c r="S501" s="3">
        <v>0</v>
      </c>
      <c r="T501" s="3">
        <v>0</v>
      </c>
      <c r="U501" s="3">
        <v>0</v>
      </c>
      <c r="V501" s="3">
        <v>0</v>
      </c>
      <c r="W501" s="3">
        <v>0</v>
      </c>
      <c r="X501" s="3">
        <v>0</v>
      </c>
      <c r="Y501" s="3">
        <v>0</v>
      </c>
      <c r="Z501" s="3">
        <v>0</v>
      </c>
      <c r="AA501" s="3">
        <v>0</v>
      </c>
      <c r="AB501" s="3">
        <v>0</v>
      </c>
      <c r="AC501" s="3">
        <v>0</v>
      </c>
      <c r="AD501" s="3">
        <v>0</v>
      </c>
      <c r="AE501" s="3">
        <v>0</v>
      </c>
      <c r="AG501" s="17" t="s">
        <v>3320</v>
      </c>
      <c r="AH501" s="3">
        <v>0</v>
      </c>
      <c r="AI501" s="3">
        <v>0</v>
      </c>
      <c r="AJ501" s="3">
        <v>0</v>
      </c>
      <c r="AK501" s="3">
        <v>0</v>
      </c>
      <c r="AL501" s="3">
        <v>0</v>
      </c>
      <c r="AM501" s="3">
        <v>0</v>
      </c>
      <c r="AN501" s="3">
        <v>0</v>
      </c>
      <c r="AO501" s="3">
        <v>0</v>
      </c>
      <c r="AP501" s="3">
        <v>0</v>
      </c>
      <c r="AQ501" s="3">
        <v>0</v>
      </c>
      <c r="AR501" s="3">
        <v>0</v>
      </c>
      <c r="AS501" s="3">
        <v>0</v>
      </c>
      <c r="AT501" s="3">
        <v>0</v>
      </c>
      <c r="AU501" s="3">
        <v>0</v>
      </c>
      <c r="AV501" s="3">
        <v>0</v>
      </c>
      <c r="AW501" s="3">
        <v>0</v>
      </c>
      <c r="AX501" s="3">
        <v>0</v>
      </c>
      <c r="AY501" s="3">
        <v>0</v>
      </c>
      <c r="AZ501" s="3">
        <v>0</v>
      </c>
      <c r="BA501" s="3">
        <v>0</v>
      </c>
      <c r="BC501" s="17" t="s">
        <v>3321</v>
      </c>
      <c r="BD501" s="3">
        <v>0</v>
      </c>
      <c r="BE501" s="3">
        <v>0</v>
      </c>
      <c r="BF501" s="3">
        <v>0</v>
      </c>
      <c r="BG501" s="3">
        <v>0</v>
      </c>
      <c r="BH501" s="3">
        <v>0</v>
      </c>
      <c r="BI501" s="3">
        <v>0</v>
      </c>
      <c r="BJ501" s="3">
        <v>0</v>
      </c>
      <c r="BK501" s="3">
        <v>0</v>
      </c>
      <c r="BL501" s="3">
        <v>0</v>
      </c>
      <c r="BM501" s="3">
        <v>0</v>
      </c>
      <c r="BN501" s="3">
        <v>0</v>
      </c>
      <c r="BO501" s="3">
        <v>0</v>
      </c>
      <c r="BP501" s="3">
        <v>0</v>
      </c>
      <c r="BQ501" s="3">
        <v>0</v>
      </c>
      <c r="BR501" s="3">
        <v>0</v>
      </c>
      <c r="BS501" s="3">
        <v>0</v>
      </c>
      <c r="BT501" s="3">
        <v>0</v>
      </c>
      <c r="BU501" s="3">
        <v>0</v>
      </c>
      <c r="BV501" s="3">
        <v>0</v>
      </c>
      <c r="BW501" s="3">
        <v>0</v>
      </c>
      <c r="BY501" s="17" t="s">
        <v>3322</v>
      </c>
      <c r="BZ501" s="3">
        <v>0</v>
      </c>
      <c r="CA501" s="3">
        <v>0</v>
      </c>
      <c r="CB501" s="3">
        <v>0</v>
      </c>
      <c r="CC501" s="3">
        <v>0</v>
      </c>
      <c r="CD501" s="3">
        <v>0</v>
      </c>
      <c r="CE501" s="3">
        <v>0</v>
      </c>
      <c r="CF501" s="3">
        <v>0</v>
      </c>
      <c r="CG501" s="3">
        <v>0</v>
      </c>
      <c r="CH501" s="3">
        <v>0</v>
      </c>
      <c r="CI501" s="3">
        <v>0</v>
      </c>
      <c r="CJ501" s="3">
        <v>0</v>
      </c>
      <c r="CK501" s="3">
        <v>0</v>
      </c>
      <c r="CL501" s="3">
        <v>0</v>
      </c>
      <c r="CM501" s="3">
        <v>0</v>
      </c>
      <c r="CN501" s="3">
        <v>0</v>
      </c>
      <c r="CO501" s="3">
        <v>0</v>
      </c>
      <c r="CP501" s="3">
        <v>0</v>
      </c>
      <c r="CQ501" s="3">
        <v>0</v>
      </c>
      <c r="CR501" s="3">
        <v>0</v>
      </c>
      <c r="CS501" s="3">
        <v>0</v>
      </c>
      <c r="CU501" s="17" t="s">
        <v>3323</v>
      </c>
      <c r="CV501" s="3">
        <v>0</v>
      </c>
      <c r="CW501" s="3">
        <v>0</v>
      </c>
      <c r="CX501" s="3">
        <v>0</v>
      </c>
      <c r="CY501" s="3">
        <v>0</v>
      </c>
      <c r="CZ501" s="3">
        <v>0</v>
      </c>
      <c r="DA501" s="3">
        <v>0</v>
      </c>
      <c r="DB501" s="3">
        <v>0</v>
      </c>
      <c r="DC501" s="3">
        <v>0</v>
      </c>
      <c r="DD501" s="3">
        <v>0</v>
      </c>
      <c r="DE501" s="3">
        <v>0</v>
      </c>
      <c r="DF501" s="3">
        <v>0</v>
      </c>
      <c r="DG501" s="3">
        <v>0</v>
      </c>
      <c r="DH501" s="3">
        <v>0</v>
      </c>
      <c r="DI501" s="3">
        <v>0</v>
      </c>
      <c r="DJ501" s="3">
        <v>0</v>
      </c>
      <c r="DK501" s="3">
        <v>0</v>
      </c>
      <c r="DL501" s="3">
        <v>0</v>
      </c>
      <c r="DM501" s="3">
        <v>0</v>
      </c>
      <c r="DN501" s="3">
        <v>0</v>
      </c>
      <c r="DO501" s="3">
        <v>0</v>
      </c>
    </row>
    <row r="502" spans="1:119" x14ac:dyDescent="0.45">
      <c r="A502" s="16" t="s">
        <v>3324</v>
      </c>
      <c r="B502" s="3" t="s">
        <v>89</v>
      </c>
      <c r="C502" s="16"/>
      <c r="H502" s="3" t="s">
        <v>3325</v>
      </c>
      <c r="I502" s="3" t="s">
        <v>2363</v>
      </c>
      <c r="K502" s="17" t="s">
        <v>3326</v>
      </c>
      <c r="L502" s="3">
        <v>0</v>
      </c>
      <c r="M502" s="3">
        <v>0</v>
      </c>
      <c r="N502" s="3">
        <v>0</v>
      </c>
      <c r="O502" s="3">
        <v>0</v>
      </c>
      <c r="P502" s="3">
        <v>0</v>
      </c>
      <c r="Q502" s="3">
        <v>0</v>
      </c>
      <c r="R502" s="3">
        <v>0</v>
      </c>
      <c r="S502" s="3">
        <v>0</v>
      </c>
      <c r="T502" s="3">
        <v>0</v>
      </c>
      <c r="U502" s="3">
        <v>0</v>
      </c>
      <c r="V502" s="3">
        <v>0</v>
      </c>
      <c r="W502" s="3">
        <v>0</v>
      </c>
      <c r="X502" s="3">
        <v>0</v>
      </c>
      <c r="Y502" s="3">
        <v>0</v>
      </c>
      <c r="Z502" s="3">
        <v>0</v>
      </c>
      <c r="AA502" s="3">
        <v>0</v>
      </c>
      <c r="AB502" s="3">
        <v>0</v>
      </c>
      <c r="AC502" s="3">
        <v>0</v>
      </c>
      <c r="AD502" s="3">
        <v>0</v>
      </c>
      <c r="AE502" s="3">
        <v>0</v>
      </c>
      <c r="AG502" s="17" t="s">
        <v>3327</v>
      </c>
      <c r="AH502" s="3">
        <v>0</v>
      </c>
      <c r="AI502" s="3">
        <v>0</v>
      </c>
      <c r="AJ502" s="3">
        <v>0</v>
      </c>
      <c r="AK502" s="3">
        <v>0</v>
      </c>
      <c r="AL502" s="3">
        <v>0</v>
      </c>
      <c r="AM502" s="3">
        <v>0</v>
      </c>
      <c r="AN502" s="3">
        <v>0</v>
      </c>
      <c r="AO502" s="3">
        <v>0</v>
      </c>
      <c r="AP502" s="3">
        <v>0</v>
      </c>
      <c r="AQ502" s="3">
        <v>0</v>
      </c>
      <c r="AR502" s="3">
        <v>0</v>
      </c>
      <c r="AS502" s="3">
        <v>0</v>
      </c>
      <c r="AT502" s="3">
        <v>0</v>
      </c>
      <c r="AU502" s="3">
        <v>0</v>
      </c>
      <c r="AV502" s="3">
        <v>0</v>
      </c>
      <c r="AW502" s="3">
        <v>0</v>
      </c>
      <c r="AX502" s="3">
        <v>0</v>
      </c>
      <c r="AY502" s="3">
        <v>0</v>
      </c>
      <c r="AZ502" s="3">
        <v>0</v>
      </c>
      <c r="BA502" s="3">
        <v>0</v>
      </c>
      <c r="BC502" s="17" t="s">
        <v>3328</v>
      </c>
      <c r="BD502" s="3">
        <v>0</v>
      </c>
      <c r="BE502" s="3">
        <v>0</v>
      </c>
      <c r="BF502" s="3">
        <v>0</v>
      </c>
      <c r="BG502" s="3">
        <v>0</v>
      </c>
      <c r="BH502" s="3">
        <v>0</v>
      </c>
      <c r="BI502" s="3">
        <v>0</v>
      </c>
      <c r="BJ502" s="3">
        <v>0</v>
      </c>
      <c r="BK502" s="3">
        <v>0</v>
      </c>
      <c r="BL502" s="3">
        <v>0</v>
      </c>
      <c r="BM502" s="3">
        <v>0</v>
      </c>
      <c r="BN502" s="3">
        <v>0</v>
      </c>
      <c r="BO502" s="3">
        <v>0</v>
      </c>
      <c r="BP502" s="3">
        <v>0</v>
      </c>
      <c r="BQ502" s="3">
        <v>0</v>
      </c>
      <c r="BR502" s="3">
        <v>0</v>
      </c>
      <c r="BS502" s="3">
        <v>0</v>
      </c>
      <c r="BT502" s="3">
        <v>0</v>
      </c>
      <c r="BU502" s="3">
        <v>0</v>
      </c>
      <c r="BV502" s="3">
        <v>0</v>
      </c>
      <c r="BW502" s="3">
        <v>0</v>
      </c>
      <c r="BY502" s="17" t="s">
        <v>3329</v>
      </c>
      <c r="BZ502" s="3">
        <v>0</v>
      </c>
      <c r="CA502" s="3">
        <v>0</v>
      </c>
      <c r="CB502" s="3">
        <v>0</v>
      </c>
      <c r="CC502" s="3">
        <v>0</v>
      </c>
      <c r="CD502" s="3">
        <v>0</v>
      </c>
      <c r="CE502" s="3">
        <v>0</v>
      </c>
      <c r="CF502" s="3">
        <v>0</v>
      </c>
      <c r="CG502" s="3">
        <v>0</v>
      </c>
      <c r="CH502" s="3">
        <v>0</v>
      </c>
      <c r="CI502" s="3">
        <v>0</v>
      </c>
      <c r="CJ502" s="3">
        <v>0</v>
      </c>
      <c r="CK502" s="3">
        <v>0</v>
      </c>
      <c r="CL502" s="3">
        <v>0</v>
      </c>
      <c r="CM502" s="3">
        <v>0</v>
      </c>
      <c r="CN502" s="3">
        <v>0</v>
      </c>
      <c r="CO502" s="3">
        <v>0</v>
      </c>
      <c r="CP502" s="3">
        <v>0</v>
      </c>
      <c r="CQ502" s="3">
        <v>0</v>
      </c>
      <c r="CR502" s="3">
        <v>0</v>
      </c>
      <c r="CS502" s="3">
        <v>0</v>
      </c>
      <c r="CU502" s="17" t="s">
        <v>3330</v>
      </c>
      <c r="CV502" s="3">
        <v>0</v>
      </c>
      <c r="CW502" s="3">
        <v>0</v>
      </c>
      <c r="CX502" s="3">
        <v>0</v>
      </c>
      <c r="CY502" s="3">
        <v>0</v>
      </c>
      <c r="CZ502" s="3">
        <v>0</v>
      </c>
      <c r="DA502" s="3">
        <v>0</v>
      </c>
      <c r="DB502" s="3">
        <v>0</v>
      </c>
      <c r="DC502" s="3">
        <v>0</v>
      </c>
      <c r="DD502" s="3">
        <v>0</v>
      </c>
      <c r="DE502" s="3">
        <v>0</v>
      </c>
      <c r="DF502" s="3">
        <v>0</v>
      </c>
      <c r="DG502" s="3">
        <v>0</v>
      </c>
      <c r="DH502" s="3">
        <v>0</v>
      </c>
      <c r="DI502" s="3">
        <v>0</v>
      </c>
      <c r="DJ502" s="3">
        <v>0</v>
      </c>
      <c r="DK502" s="3">
        <v>0</v>
      </c>
      <c r="DL502" s="3">
        <v>0</v>
      </c>
      <c r="DM502" s="3">
        <v>0</v>
      </c>
      <c r="DN502" s="3">
        <v>0</v>
      </c>
      <c r="DO502" s="3">
        <v>0</v>
      </c>
    </row>
    <row r="503" spans="1:119" x14ac:dyDescent="0.45">
      <c r="A503" s="11"/>
      <c r="B503" s="3" t="s">
        <v>89</v>
      </c>
      <c r="C503" s="16"/>
      <c r="H503" s="11" t="s">
        <v>3331</v>
      </c>
      <c r="I503" s="11" t="s">
        <v>2363</v>
      </c>
    </row>
    <row r="504" spans="1:119" x14ac:dyDescent="0.45">
      <c r="A504" s="16" t="s">
        <v>3332</v>
      </c>
      <c r="B504" s="3" t="s">
        <v>89</v>
      </c>
      <c r="C504" s="16" t="s">
        <v>3333</v>
      </c>
      <c r="H504" s="3" t="s">
        <v>3334</v>
      </c>
      <c r="I504" s="3" t="s">
        <v>2363</v>
      </c>
      <c r="K504" s="17" t="s">
        <v>3335</v>
      </c>
      <c r="L504" s="3">
        <v>233.5426488795035</v>
      </c>
      <c r="M504" s="3">
        <v>216.91171838923401</v>
      </c>
      <c r="N504" s="3">
        <v>260.38437502745887</v>
      </c>
      <c r="O504" s="3">
        <v>281.88161840167618</v>
      </c>
      <c r="P504" s="3">
        <v>277.14537524072819</v>
      </c>
      <c r="Q504" s="3">
        <v>280.66713212904529</v>
      </c>
      <c r="R504" s="3">
        <v>288.27996373107698</v>
      </c>
      <c r="S504" s="3">
        <v>295.66759376969418</v>
      </c>
      <c r="T504" s="3">
        <v>302.71524883867062</v>
      </c>
      <c r="U504" s="3">
        <v>309.77517545641251</v>
      </c>
      <c r="V504" s="3">
        <v>315.63985791656307</v>
      </c>
      <c r="W504" s="3">
        <v>321.5193391848382</v>
      </c>
      <c r="X504" s="3">
        <v>327.41194342370699</v>
      </c>
      <c r="Y504" s="3">
        <v>333.31600956440923</v>
      </c>
      <c r="Z504" s="3">
        <v>339.22988990023839</v>
      </c>
      <c r="AA504" s="3">
        <v>345.15194852882138</v>
      </c>
      <c r="AB504" s="3">
        <v>351.08055965113817</v>
      </c>
      <c r="AC504" s="3">
        <v>357.01410573454001</v>
      </c>
      <c r="AD504" s="3">
        <v>362.95097554652068</v>
      </c>
      <c r="AE504" s="3">
        <v>368.88956206550552</v>
      </c>
      <c r="AG504" s="17" t="s">
        <v>3336</v>
      </c>
      <c r="AH504" s="3">
        <v>233.5426488795035</v>
      </c>
      <c r="AI504" s="3">
        <v>216.91171838923401</v>
      </c>
      <c r="AJ504" s="3">
        <v>260.38437502745887</v>
      </c>
      <c r="AK504" s="3">
        <v>281.88161840167618</v>
      </c>
      <c r="AL504" s="3">
        <v>277.14537524072819</v>
      </c>
      <c r="AM504" s="3">
        <v>244.13721667409919</v>
      </c>
      <c r="AN504" s="3">
        <v>250.56938407393949</v>
      </c>
      <c r="AO504" s="3">
        <v>256.85422217475832</v>
      </c>
      <c r="AP504" s="3">
        <v>262.57152570279862</v>
      </c>
      <c r="AQ504" s="3">
        <v>268.49181876300918</v>
      </c>
      <c r="AR504" s="3">
        <v>273.50414299141551</v>
      </c>
      <c r="AS504" s="3">
        <v>278.69318580130658</v>
      </c>
      <c r="AT504" s="3">
        <v>283.97358283024778</v>
      </c>
      <c r="AU504" s="3">
        <v>289.22808169343369</v>
      </c>
      <c r="AV504" s="3">
        <v>294.52664558538009</v>
      </c>
      <c r="AW504" s="3">
        <v>299.91399539428483</v>
      </c>
      <c r="AX504" s="3">
        <v>305.23463731564681</v>
      </c>
      <c r="AY504" s="3">
        <v>310.52079643346298</v>
      </c>
      <c r="AZ504" s="3">
        <v>315.71654386419829</v>
      </c>
      <c r="BA504" s="3">
        <v>320.88712340645992</v>
      </c>
      <c r="BC504" s="17" t="s">
        <v>3337</v>
      </c>
      <c r="BD504" s="3">
        <v>233.5426488795035</v>
      </c>
      <c r="BE504" s="3">
        <v>216.91171838923401</v>
      </c>
      <c r="BF504" s="3">
        <v>260.38437502745887</v>
      </c>
      <c r="BG504" s="3">
        <v>281.88161840167618</v>
      </c>
      <c r="BH504" s="3">
        <v>277.14537524072819</v>
      </c>
      <c r="BI504" s="3">
        <v>256.46782456016331</v>
      </c>
      <c r="BJ504" s="3">
        <v>237.7877260882378</v>
      </c>
      <c r="BK504" s="3">
        <v>223.41837263359409</v>
      </c>
      <c r="BL504" s="3">
        <v>211.7174148545684</v>
      </c>
      <c r="BM504" s="3">
        <v>204.53416659571249</v>
      </c>
      <c r="BN504" s="3">
        <v>198.04885010807769</v>
      </c>
      <c r="BO504" s="3">
        <v>192.54563323080899</v>
      </c>
      <c r="BP504" s="3">
        <v>187.87063391507959</v>
      </c>
      <c r="BQ504" s="3">
        <v>183.8551511860482</v>
      </c>
      <c r="BR504" s="3">
        <v>180.3878474540725</v>
      </c>
      <c r="BS504" s="3">
        <v>177.4020485202154</v>
      </c>
      <c r="BT504" s="3">
        <v>174.80174395200149</v>
      </c>
      <c r="BU504" s="3">
        <v>172.5162489700393</v>
      </c>
      <c r="BV504" s="3">
        <v>170.46549635069201</v>
      </c>
      <c r="BW504" s="3">
        <v>168.60825358129549</v>
      </c>
      <c r="BY504" s="17" t="s">
        <v>3338</v>
      </c>
      <c r="BZ504" s="3">
        <v>233.5426488795035</v>
      </c>
      <c r="CA504" s="3">
        <v>216.91171838923401</v>
      </c>
      <c r="CB504" s="3">
        <v>260.38437502745887</v>
      </c>
      <c r="CC504" s="3">
        <v>281.88161840167618</v>
      </c>
      <c r="CD504" s="3">
        <v>277.14537524072819</v>
      </c>
      <c r="CE504" s="3">
        <v>253.2811959619759</v>
      </c>
      <c r="CF504" s="3">
        <v>251.93369224711071</v>
      </c>
      <c r="CG504" s="3">
        <v>250.88607258504399</v>
      </c>
      <c r="CH504" s="3">
        <v>249.70952331547861</v>
      </c>
      <c r="CI504" s="3">
        <v>249.17070652541079</v>
      </c>
      <c r="CJ504" s="3">
        <v>248.1013162865944</v>
      </c>
      <c r="CK504" s="3">
        <v>247.3711758481289</v>
      </c>
      <c r="CL504" s="3">
        <v>246.89913257507189</v>
      </c>
      <c r="CM504" s="3">
        <v>246.57309777466139</v>
      </c>
      <c r="CN504" s="3">
        <v>248.81120623771869</v>
      </c>
      <c r="CO504" s="3">
        <v>251.05425263879269</v>
      </c>
      <c r="CP504" s="3">
        <v>253.2190646622179</v>
      </c>
      <c r="CQ504" s="3">
        <v>255.34874581232339</v>
      </c>
      <c r="CR504" s="3">
        <v>257.3808526656556</v>
      </c>
      <c r="CS504" s="3">
        <v>259.38177550103211</v>
      </c>
      <c r="CU504" s="17" t="s">
        <v>3339</v>
      </c>
      <c r="CV504" s="3">
        <v>233.5426488795035</v>
      </c>
      <c r="CW504" s="3">
        <v>216.91171838923401</v>
      </c>
      <c r="CX504" s="3">
        <v>260.38437502745887</v>
      </c>
      <c r="CY504" s="3">
        <v>281.88161840167618</v>
      </c>
      <c r="CZ504" s="3">
        <v>277.14537524072819</v>
      </c>
      <c r="DA504" s="3">
        <v>207.77690921014309</v>
      </c>
      <c r="DB504" s="3">
        <v>213.10708958475851</v>
      </c>
      <c r="DC504" s="3">
        <v>218.36501276594109</v>
      </c>
      <c r="DD504" s="3">
        <v>222.87852917475379</v>
      </c>
      <c r="DE504" s="3">
        <v>227.77237659881419</v>
      </c>
      <c r="DF504" s="3">
        <v>231.9452106667722</v>
      </c>
      <c r="DG504" s="3">
        <v>236.44753842806949</v>
      </c>
      <c r="DH504" s="3">
        <v>241.08185129834479</v>
      </c>
      <c r="DI504" s="3">
        <v>245.66774726371901</v>
      </c>
      <c r="DJ504" s="3">
        <v>250.32253750092499</v>
      </c>
      <c r="DK504" s="3">
        <v>255.13153830475619</v>
      </c>
      <c r="DL504" s="3">
        <v>259.81026541728409</v>
      </c>
      <c r="DM504" s="3">
        <v>264.43116586892688</v>
      </c>
      <c r="DN504" s="3">
        <v>268.88690815792057</v>
      </c>
      <c r="DO504" s="3">
        <v>273.3018937980907</v>
      </c>
    </row>
    <row r="505" spans="1:119" x14ac:dyDescent="0.45">
      <c r="A505" s="16" t="s">
        <v>3340</v>
      </c>
      <c r="B505" s="3" t="s">
        <v>89</v>
      </c>
      <c r="C505" s="16" t="s">
        <v>3341</v>
      </c>
      <c r="H505" s="3" t="s">
        <v>3342</v>
      </c>
      <c r="I505" s="3" t="s">
        <v>2363</v>
      </c>
      <c r="K505" s="17" t="s">
        <v>3343</v>
      </c>
      <c r="L505" s="3">
        <v>1497.4258570393531</v>
      </c>
      <c r="M505" s="3">
        <v>1185.9940512823</v>
      </c>
      <c r="N505" s="3">
        <v>1367.7415962034181</v>
      </c>
      <c r="O505" s="3">
        <v>1421.7911602110289</v>
      </c>
      <c r="P505" s="3">
        <v>1475.185330581917</v>
      </c>
      <c r="Q505" s="3">
        <v>1538.8046464268391</v>
      </c>
      <c r="R505" s="3">
        <v>1615.2166343106351</v>
      </c>
      <c r="S505" s="3">
        <v>1689.5367561579069</v>
      </c>
      <c r="T505" s="3">
        <v>1760.070247007314</v>
      </c>
      <c r="U505" s="3">
        <v>1832.1309214540399</v>
      </c>
      <c r="V505" s="3">
        <v>1905.981843616059</v>
      </c>
      <c r="W505" s="3">
        <v>1981.6232154980989</v>
      </c>
      <c r="X505" s="3">
        <v>2059.0538998713259</v>
      </c>
      <c r="Y505" s="3">
        <v>2138.2714000565029</v>
      </c>
      <c r="Z505" s="3">
        <v>2219.2718369479808</v>
      </c>
      <c r="AA505" s="3">
        <v>2302.0499230514151</v>
      </c>
      <c r="AB505" s="3">
        <v>2386.59893331694</v>
      </c>
      <c r="AC505" s="3">
        <v>2472.9106725582542</v>
      </c>
      <c r="AD505" s="3">
        <v>2560.9754392565401</v>
      </c>
      <c r="AE505" s="3">
        <v>2650.7819855565272</v>
      </c>
      <c r="AG505" s="17" t="s">
        <v>3344</v>
      </c>
      <c r="AH505" s="3">
        <v>1497.4258570393531</v>
      </c>
      <c r="AI505" s="3">
        <v>1185.9940512823</v>
      </c>
      <c r="AJ505" s="3">
        <v>1367.7415962034181</v>
      </c>
      <c r="AK505" s="3">
        <v>1421.7911602110289</v>
      </c>
      <c r="AL505" s="3">
        <v>1475.185330581917</v>
      </c>
      <c r="AM505" s="3">
        <v>1319.5764490714821</v>
      </c>
      <c r="AN505" s="3">
        <v>1385.1020215382639</v>
      </c>
      <c r="AO505" s="3">
        <v>1449.6755512241609</v>
      </c>
      <c r="AP505" s="3">
        <v>1508.226825901422</v>
      </c>
      <c r="AQ505" s="3">
        <v>1570.328542058671</v>
      </c>
      <c r="AR505" s="3">
        <v>1632.7813421615981</v>
      </c>
      <c r="AS505" s="3">
        <v>1698.7313829207551</v>
      </c>
      <c r="AT505" s="3">
        <v>1767.2569215003059</v>
      </c>
      <c r="AU505" s="3">
        <v>1836.946565230628</v>
      </c>
      <c r="AV505" s="3">
        <v>1908.6952423740399</v>
      </c>
      <c r="AW505" s="3">
        <v>1983.136797881584</v>
      </c>
      <c r="AX505" s="3">
        <v>2058.2524327187371</v>
      </c>
      <c r="AY505" s="3">
        <v>2134.441174648633</v>
      </c>
      <c r="AZ505" s="3">
        <v>2210.900952685211</v>
      </c>
      <c r="BA505" s="3">
        <v>2288.5003676922879</v>
      </c>
      <c r="BC505" s="17" t="s">
        <v>3345</v>
      </c>
      <c r="BD505" s="3">
        <v>1497.4258570393531</v>
      </c>
      <c r="BE505" s="3">
        <v>1185.9940512823</v>
      </c>
      <c r="BF505" s="3">
        <v>1367.7415962034181</v>
      </c>
      <c r="BG505" s="3">
        <v>1421.7911602110289</v>
      </c>
      <c r="BH505" s="3">
        <v>1475.185330581917</v>
      </c>
      <c r="BI505" s="3">
        <v>1401.8323255284299</v>
      </c>
      <c r="BJ505" s="3">
        <v>1320.5324146981479</v>
      </c>
      <c r="BK505" s="3">
        <v>1257.441864085836</v>
      </c>
      <c r="BL505" s="3">
        <v>1204.4330796515219</v>
      </c>
      <c r="BM505" s="3">
        <v>1173.4939606787229</v>
      </c>
      <c r="BN505" s="3">
        <v>1148.4677240508461</v>
      </c>
      <c r="BO505" s="3">
        <v>1128.954498751139</v>
      </c>
      <c r="BP505" s="3">
        <v>1114.374939670646</v>
      </c>
      <c r="BQ505" s="3">
        <v>1103.6722911095619</v>
      </c>
      <c r="BR505" s="3">
        <v>1096.244687822483</v>
      </c>
      <c r="BS505" s="3">
        <v>1091.8719532038269</v>
      </c>
      <c r="BT505" s="3">
        <v>1089.8548971983139</v>
      </c>
      <c r="BU505" s="3">
        <v>1089.7003849341691</v>
      </c>
      <c r="BV505" s="3">
        <v>1090.7094936257049</v>
      </c>
      <c r="BW505" s="3">
        <v>1092.603422290513</v>
      </c>
      <c r="BY505" s="17" t="s">
        <v>3346</v>
      </c>
      <c r="BZ505" s="3">
        <v>1497.4258570393531</v>
      </c>
      <c r="CA505" s="3">
        <v>1185.9940512823</v>
      </c>
      <c r="CB505" s="3">
        <v>1367.7415962034181</v>
      </c>
      <c r="CC505" s="3">
        <v>1421.7911602110289</v>
      </c>
      <c r="CD505" s="3">
        <v>1475.185330581917</v>
      </c>
      <c r="CE505" s="3">
        <v>1422.166532192748</v>
      </c>
      <c r="CF505" s="3">
        <v>1456.080136498819</v>
      </c>
      <c r="CG505" s="3">
        <v>1489.0851629241879</v>
      </c>
      <c r="CH505" s="3">
        <v>1516.520192611129</v>
      </c>
      <c r="CI505" s="3">
        <v>1548.5298742561599</v>
      </c>
      <c r="CJ505" s="3">
        <v>1580.543612723814</v>
      </c>
      <c r="CK505" s="3">
        <v>1615.506815233045</v>
      </c>
      <c r="CL505" s="3">
        <v>1651.9395596415</v>
      </c>
      <c r="CM505" s="3">
        <v>1689.0944803142611</v>
      </c>
      <c r="CN505" s="3">
        <v>1741.5193126235899</v>
      </c>
      <c r="CO505" s="3">
        <v>1795.260380893139</v>
      </c>
      <c r="CP505" s="3">
        <v>1848.9164827545669</v>
      </c>
      <c r="CQ505" s="3">
        <v>1903.085541951029</v>
      </c>
      <c r="CR505" s="3">
        <v>1956.916127509809</v>
      </c>
      <c r="CS505" s="3">
        <v>2011.381905670243</v>
      </c>
      <c r="CU505" s="17" t="s">
        <v>3347</v>
      </c>
      <c r="CV505" s="3">
        <v>1497.4258570393531</v>
      </c>
      <c r="CW505" s="3">
        <v>1185.9940512823</v>
      </c>
      <c r="CX505" s="3">
        <v>1367.7415962034181</v>
      </c>
      <c r="CY505" s="3">
        <v>1421.7911602110289</v>
      </c>
      <c r="CZ505" s="3">
        <v>1475.185330581917</v>
      </c>
      <c r="DA505" s="3">
        <v>1097.8722943974451</v>
      </c>
      <c r="DB505" s="3">
        <v>1152.3885311222209</v>
      </c>
      <c r="DC505" s="3">
        <v>1206.9118971720161</v>
      </c>
      <c r="DD505" s="3">
        <v>1253.734641403438</v>
      </c>
      <c r="DE505" s="3">
        <v>1305.8592664444491</v>
      </c>
      <c r="DF505" s="3">
        <v>1356.8657712798331</v>
      </c>
      <c r="DG505" s="3">
        <v>1412.887106434142</v>
      </c>
      <c r="DH505" s="3">
        <v>1471.7657867482931</v>
      </c>
      <c r="DI505" s="3">
        <v>1531.3616038679349</v>
      </c>
      <c r="DJ505" s="3">
        <v>1593.137174299856</v>
      </c>
      <c r="DK505" s="3">
        <v>1658.2628113274191</v>
      </c>
      <c r="DL505" s="3">
        <v>1723.0960177084139</v>
      </c>
      <c r="DM505" s="3">
        <v>1788.520592017838</v>
      </c>
      <c r="DN505" s="3">
        <v>1853.018603350693</v>
      </c>
      <c r="DO505" s="3">
        <v>1918.2161645842391</v>
      </c>
    </row>
    <row r="506" spans="1:119" x14ac:dyDescent="0.45">
      <c r="A506" s="16" t="s">
        <v>3348</v>
      </c>
      <c r="B506" s="3" t="s">
        <v>89</v>
      </c>
      <c r="C506" s="16" t="s">
        <v>3349</v>
      </c>
      <c r="H506" s="3" t="s">
        <v>3350</v>
      </c>
      <c r="I506" s="3" t="s">
        <v>2363</v>
      </c>
      <c r="K506" s="17" t="s">
        <v>3351</v>
      </c>
      <c r="L506" s="3">
        <v>0</v>
      </c>
      <c r="M506" s="3">
        <v>0</v>
      </c>
      <c r="N506" s="3">
        <v>0</v>
      </c>
      <c r="O506" s="3">
        <v>0</v>
      </c>
      <c r="P506" s="3">
        <v>0</v>
      </c>
      <c r="Q506" s="3">
        <v>0</v>
      </c>
      <c r="R506" s="3">
        <v>0</v>
      </c>
      <c r="S506" s="3">
        <v>0</v>
      </c>
      <c r="T506" s="3">
        <v>0</v>
      </c>
      <c r="U506" s="3">
        <v>0</v>
      </c>
      <c r="V506" s="3">
        <v>0</v>
      </c>
      <c r="W506" s="3">
        <v>0</v>
      </c>
      <c r="X506" s="3">
        <v>0</v>
      </c>
      <c r="Y506" s="3">
        <v>0</v>
      </c>
      <c r="Z506" s="3">
        <v>0</v>
      </c>
      <c r="AA506" s="3">
        <v>0</v>
      </c>
      <c r="AB506" s="3">
        <v>0</v>
      </c>
      <c r="AC506" s="3">
        <v>0</v>
      </c>
      <c r="AD506" s="3">
        <v>0</v>
      </c>
      <c r="AE506" s="3">
        <v>0</v>
      </c>
      <c r="AG506" s="17" t="s">
        <v>3352</v>
      </c>
      <c r="AH506" s="3">
        <v>0</v>
      </c>
      <c r="AI506" s="3">
        <v>0</v>
      </c>
      <c r="AJ506" s="3">
        <v>0</v>
      </c>
      <c r="AK506" s="3">
        <v>0</v>
      </c>
      <c r="AL506" s="3">
        <v>0</v>
      </c>
      <c r="AM506" s="3">
        <v>0</v>
      </c>
      <c r="AN506" s="3">
        <v>0</v>
      </c>
      <c r="AO506" s="3">
        <v>0</v>
      </c>
      <c r="AP506" s="3">
        <v>0</v>
      </c>
      <c r="AQ506" s="3">
        <v>0</v>
      </c>
      <c r="AR506" s="3">
        <v>0</v>
      </c>
      <c r="AS506" s="3">
        <v>0</v>
      </c>
      <c r="AT506" s="3">
        <v>0</v>
      </c>
      <c r="AU506" s="3">
        <v>0</v>
      </c>
      <c r="AV506" s="3">
        <v>0</v>
      </c>
      <c r="AW506" s="3">
        <v>0</v>
      </c>
      <c r="AX506" s="3">
        <v>0</v>
      </c>
      <c r="AY506" s="3">
        <v>0</v>
      </c>
      <c r="AZ506" s="3">
        <v>0</v>
      </c>
      <c r="BA506" s="3">
        <v>0</v>
      </c>
      <c r="BC506" s="17" t="s">
        <v>3353</v>
      </c>
      <c r="BD506" s="3">
        <v>0</v>
      </c>
      <c r="BE506" s="3">
        <v>0</v>
      </c>
      <c r="BF506" s="3">
        <v>0</v>
      </c>
      <c r="BG506" s="3">
        <v>0</v>
      </c>
      <c r="BH506" s="3">
        <v>0</v>
      </c>
      <c r="BI506" s="3">
        <v>0</v>
      </c>
      <c r="BJ506" s="3">
        <v>0</v>
      </c>
      <c r="BK506" s="3">
        <v>0</v>
      </c>
      <c r="BL506" s="3">
        <v>0</v>
      </c>
      <c r="BM506" s="3">
        <v>0</v>
      </c>
      <c r="BN506" s="3">
        <v>0</v>
      </c>
      <c r="BO506" s="3">
        <v>0</v>
      </c>
      <c r="BP506" s="3">
        <v>0</v>
      </c>
      <c r="BQ506" s="3">
        <v>0</v>
      </c>
      <c r="BR506" s="3">
        <v>0</v>
      </c>
      <c r="BS506" s="3">
        <v>0</v>
      </c>
      <c r="BT506" s="3">
        <v>0</v>
      </c>
      <c r="BU506" s="3">
        <v>0</v>
      </c>
      <c r="BV506" s="3">
        <v>0</v>
      </c>
      <c r="BW506" s="3">
        <v>0</v>
      </c>
      <c r="BY506" s="17" t="s">
        <v>3354</v>
      </c>
      <c r="BZ506" s="3">
        <v>0</v>
      </c>
      <c r="CA506" s="3">
        <v>0</v>
      </c>
      <c r="CB506" s="3">
        <v>0</v>
      </c>
      <c r="CC506" s="3">
        <v>0</v>
      </c>
      <c r="CD506" s="3">
        <v>0</v>
      </c>
      <c r="CE506" s="3">
        <v>0</v>
      </c>
      <c r="CF506" s="3">
        <v>0</v>
      </c>
      <c r="CG506" s="3">
        <v>0</v>
      </c>
      <c r="CH506" s="3">
        <v>0</v>
      </c>
      <c r="CI506" s="3">
        <v>0</v>
      </c>
      <c r="CJ506" s="3">
        <v>0</v>
      </c>
      <c r="CK506" s="3">
        <v>0</v>
      </c>
      <c r="CL506" s="3">
        <v>0</v>
      </c>
      <c r="CM506" s="3">
        <v>0</v>
      </c>
      <c r="CN506" s="3">
        <v>0</v>
      </c>
      <c r="CO506" s="3">
        <v>0</v>
      </c>
      <c r="CP506" s="3">
        <v>0</v>
      </c>
      <c r="CQ506" s="3">
        <v>0</v>
      </c>
      <c r="CR506" s="3">
        <v>0</v>
      </c>
      <c r="CS506" s="3">
        <v>0</v>
      </c>
      <c r="CU506" s="17" t="s">
        <v>3355</v>
      </c>
      <c r="CV506" s="3">
        <v>0</v>
      </c>
      <c r="CW506" s="3">
        <v>0</v>
      </c>
      <c r="CX506" s="3">
        <v>0</v>
      </c>
      <c r="CY506" s="3">
        <v>0</v>
      </c>
      <c r="CZ506" s="3">
        <v>0</v>
      </c>
      <c r="DA506" s="3">
        <v>0</v>
      </c>
      <c r="DB506" s="3">
        <v>0</v>
      </c>
      <c r="DC506" s="3">
        <v>0</v>
      </c>
      <c r="DD506" s="3">
        <v>0</v>
      </c>
      <c r="DE506" s="3">
        <v>0</v>
      </c>
      <c r="DF506" s="3">
        <v>0</v>
      </c>
      <c r="DG506" s="3">
        <v>0</v>
      </c>
      <c r="DH506" s="3">
        <v>0</v>
      </c>
      <c r="DI506" s="3">
        <v>0</v>
      </c>
      <c r="DJ506" s="3">
        <v>0</v>
      </c>
      <c r="DK506" s="3">
        <v>0</v>
      </c>
      <c r="DL506" s="3">
        <v>0</v>
      </c>
      <c r="DM506" s="3">
        <v>0</v>
      </c>
      <c r="DN506" s="3">
        <v>0</v>
      </c>
      <c r="DO506" s="3">
        <v>0</v>
      </c>
    </row>
    <row r="507" spans="1:119" x14ac:dyDescent="0.45">
      <c r="A507" s="16" t="s">
        <v>3356</v>
      </c>
      <c r="B507" s="3" t="s">
        <v>89</v>
      </c>
      <c r="C507" s="16"/>
      <c r="H507" s="3" t="s">
        <v>3357</v>
      </c>
      <c r="I507" s="3" t="s">
        <v>2363</v>
      </c>
      <c r="K507" s="17" t="s">
        <v>3358</v>
      </c>
      <c r="L507" s="3">
        <v>0</v>
      </c>
      <c r="M507" s="3">
        <v>0</v>
      </c>
      <c r="N507" s="3">
        <v>0</v>
      </c>
      <c r="O507" s="3">
        <v>0</v>
      </c>
      <c r="P507" s="3">
        <v>0</v>
      </c>
      <c r="Q507" s="3">
        <v>0</v>
      </c>
      <c r="R507" s="3">
        <v>0</v>
      </c>
      <c r="S507" s="3">
        <v>0</v>
      </c>
      <c r="T507" s="3">
        <v>0</v>
      </c>
      <c r="U507" s="3">
        <v>0</v>
      </c>
      <c r="V507" s="3">
        <v>0</v>
      </c>
      <c r="W507" s="3">
        <v>0</v>
      </c>
      <c r="X507" s="3">
        <v>0</v>
      </c>
      <c r="Y507" s="3">
        <v>0</v>
      </c>
      <c r="Z507" s="3">
        <v>0</v>
      </c>
      <c r="AA507" s="3">
        <v>0</v>
      </c>
      <c r="AB507" s="3">
        <v>0</v>
      </c>
      <c r="AC507" s="3">
        <v>0</v>
      </c>
      <c r="AD507" s="3">
        <v>0</v>
      </c>
      <c r="AE507" s="3">
        <v>0</v>
      </c>
      <c r="AG507" s="17" t="s">
        <v>3359</v>
      </c>
      <c r="AH507" s="3">
        <v>0</v>
      </c>
      <c r="AI507" s="3">
        <v>0</v>
      </c>
      <c r="AJ507" s="3">
        <v>0</v>
      </c>
      <c r="AK507" s="3">
        <v>0</v>
      </c>
      <c r="AL507" s="3">
        <v>0</v>
      </c>
      <c r="AM507" s="3">
        <v>0</v>
      </c>
      <c r="AN507" s="3">
        <v>0</v>
      </c>
      <c r="AO507" s="3">
        <v>0</v>
      </c>
      <c r="AP507" s="3">
        <v>0</v>
      </c>
      <c r="AQ507" s="3">
        <v>0</v>
      </c>
      <c r="AR507" s="3">
        <v>0</v>
      </c>
      <c r="AS507" s="3">
        <v>0</v>
      </c>
      <c r="AT507" s="3">
        <v>0</v>
      </c>
      <c r="AU507" s="3">
        <v>0</v>
      </c>
      <c r="AV507" s="3">
        <v>0</v>
      </c>
      <c r="AW507" s="3">
        <v>0</v>
      </c>
      <c r="AX507" s="3">
        <v>0</v>
      </c>
      <c r="AY507" s="3">
        <v>0</v>
      </c>
      <c r="AZ507" s="3">
        <v>0</v>
      </c>
      <c r="BA507" s="3">
        <v>0</v>
      </c>
      <c r="BC507" s="17" t="s">
        <v>3360</v>
      </c>
      <c r="BD507" s="3">
        <v>0</v>
      </c>
      <c r="BE507" s="3">
        <v>0</v>
      </c>
      <c r="BF507" s="3">
        <v>0</v>
      </c>
      <c r="BG507" s="3">
        <v>0</v>
      </c>
      <c r="BH507" s="3">
        <v>0</v>
      </c>
      <c r="BI507" s="3">
        <v>0</v>
      </c>
      <c r="BJ507" s="3">
        <v>0</v>
      </c>
      <c r="BK507" s="3">
        <v>0</v>
      </c>
      <c r="BL507" s="3">
        <v>0</v>
      </c>
      <c r="BM507" s="3">
        <v>0</v>
      </c>
      <c r="BN507" s="3">
        <v>0</v>
      </c>
      <c r="BO507" s="3">
        <v>0</v>
      </c>
      <c r="BP507" s="3">
        <v>0</v>
      </c>
      <c r="BQ507" s="3">
        <v>0</v>
      </c>
      <c r="BR507" s="3">
        <v>0</v>
      </c>
      <c r="BS507" s="3">
        <v>0</v>
      </c>
      <c r="BT507" s="3">
        <v>0</v>
      </c>
      <c r="BU507" s="3">
        <v>0</v>
      </c>
      <c r="BV507" s="3">
        <v>0</v>
      </c>
      <c r="BW507" s="3">
        <v>0</v>
      </c>
      <c r="BY507" s="17" t="s">
        <v>3361</v>
      </c>
      <c r="BZ507" s="3">
        <v>0</v>
      </c>
      <c r="CA507" s="3">
        <v>0</v>
      </c>
      <c r="CB507" s="3">
        <v>0</v>
      </c>
      <c r="CC507" s="3">
        <v>0</v>
      </c>
      <c r="CD507" s="3">
        <v>0</v>
      </c>
      <c r="CE507" s="3">
        <v>0</v>
      </c>
      <c r="CF507" s="3">
        <v>0</v>
      </c>
      <c r="CG507" s="3">
        <v>0</v>
      </c>
      <c r="CH507" s="3">
        <v>0</v>
      </c>
      <c r="CI507" s="3">
        <v>0</v>
      </c>
      <c r="CJ507" s="3">
        <v>0</v>
      </c>
      <c r="CK507" s="3">
        <v>0</v>
      </c>
      <c r="CL507" s="3">
        <v>0</v>
      </c>
      <c r="CM507" s="3">
        <v>0</v>
      </c>
      <c r="CN507" s="3">
        <v>0</v>
      </c>
      <c r="CO507" s="3">
        <v>0</v>
      </c>
      <c r="CP507" s="3">
        <v>0</v>
      </c>
      <c r="CQ507" s="3">
        <v>0</v>
      </c>
      <c r="CR507" s="3">
        <v>0</v>
      </c>
      <c r="CS507" s="3">
        <v>0</v>
      </c>
      <c r="CU507" s="17" t="s">
        <v>3362</v>
      </c>
      <c r="CV507" s="3">
        <v>0</v>
      </c>
      <c r="CW507" s="3">
        <v>0</v>
      </c>
      <c r="CX507" s="3">
        <v>0</v>
      </c>
      <c r="CY507" s="3">
        <v>0</v>
      </c>
      <c r="CZ507" s="3">
        <v>0</v>
      </c>
      <c r="DA507" s="3">
        <v>0</v>
      </c>
      <c r="DB507" s="3">
        <v>0</v>
      </c>
      <c r="DC507" s="3">
        <v>0</v>
      </c>
      <c r="DD507" s="3">
        <v>0</v>
      </c>
      <c r="DE507" s="3">
        <v>0</v>
      </c>
      <c r="DF507" s="3">
        <v>0</v>
      </c>
      <c r="DG507" s="3">
        <v>0</v>
      </c>
      <c r="DH507" s="3">
        <v>0</v>
      </c>
      <c r="DI507" s="3">
        <v>0</v>
      </c>
      <c r="DJ507" s="3">
        <v>0</v>
      </c>
      <c r="DK507" s="3">
        <v>0</v>
      </c>
      <c r="DL507" s="3">
        <v>0</v>
      </c>
      <c r="DM507" s="3">
        <v>0</v>
      </c>
      <c r="DN507" s="3">
        <v>0</v>
      </c>
      <c r="DO507" s="3">
        <v>0</v>
      </c>
    </row>
    <row r="508" spans="1:119" x14ac:dyDescent="0.45">
      <c r="A508" s="16" t="s">
        <v>3363</v>
      </c>
      <c r="B508" s="3" t="s">
        <v>89</v>
      </c>
      <c r="C508" s="16"/>
      <c r="H508" s="3" t="s">
        <v>3364</v>
      </c>
      <c r="I508" s="3" t="s">
        <v>2363</v>
      </c>
      <c r="K508" s="17" t="s">
        <v>3365</v>
      </c>
      <c r="L508" s="3">
        <v>0</v>
      </c>
      <c r="M508" s="3">
        <v>0</v>
      </c>
      <c r="N508" s="3">
        <v>0</v>
      </c>
      <c r="O508" s="3">
        <v>0</v>
      </c>
      <c r="P508" s="3">
        <v>0</v>
      </c>
      <c r="Q508" s="3">
        <v>0</v>
      </c>
      <c r="R508" s="3">
        <v>0</v>
      </c>
      <c r="S508" s="3">
        <v>0</v>
      </c>
      <c r="T508" s="3">
        <v>0</v>
      </c>
      <c r="U508" s="3">
        <v>0</v>
      </c>
      <c r="V508" s="3">
        <v>0</v>
      </c>
      <c r="W508" s="3">
        <v>0</v>
      </c>
      <c r="X508" s="3">
        <v>0</v>
      </c>
      <c r="Y508" s="3">
        <v>0</v>
      </c>
      <c r="Z508" s="3">
        <v>0</v>
      </c>
      <c r="AA508" s="3">
        <v>0</v>
      </c>
      <c r="AB508" s="3">
        <v>0</v>
      </c>
      <c r="AC508" s="3">
        <v>0</v>
      </c>
      <c r="AD508" s="3">
        <v>0</v>
      </c>
      <c r="AE508" s="3">
        <v>0</v>
      </c>
      <c r="AG508" s="17" t="s">
        <v>3366</v>
      </c>
      <c r="AH508" s="3">
        <v>0</v>
      </c>
      <c r="AI508" s="3">
        <v>0</v>
      </c>
      <c r="AJ508" s="3">
        <v>0</v>
      </c>
      <c r="AK508" s="3">
        <v>0</v>
      </c>
      <c r="AL508" s="3">
        <v>0</v>
      </c>
      <c r="AM508" s="3">
        <v>0</v>
      </c>
      <c r="AN508" s="3">
        <v>0</v>
      </c>
      <c r="AO508" s="3">
        <v>0</v>
      </c>
      <c r="AP508" s="3">
        <v>0</v>
      </c>
      <c r="AQ508" s="3">
        <v>0</v>
      </c>
      <c r="AR508" s="3">
        <v>0</v>
      </c>
      <c r="AS508" s="3">
        <v>0</v>
      </c>
      <c r="AT508" s="3">
        <v>0</v>
      </c>
      <c r="AU508" s="3">
        <v>0</v>
      </c>
      <c r="AV508" s="3">
        <v>0</v>
      </c>
      <c r="AW508" s="3">
        <v>0</v>
      </c>
      <c r="AX508" s="3">
        <v>0</v>
      </c>
      <c r="AY508" s="3">
        <v>0</v>
      </c>
      <c r="AZ508" s="3">
        <v>0</v>
      </c>
      <c r="BA508" s="3">
        <v>0</v>
      </c>
      <c r="BC508" s="17" t="s">
        <v>3367</v>
      </c>
      <c r="BD508" s="3">
        <v>0</v>
      </c>
      <c r="BE508" s="3">
        <v>0</v>
      </c>
      <c r="BF508" s="3">
        <v>0</v>
      </c>
      <c r="BG508" s="3">
        <v>0</v>
      </c>
      <c r="BH508" s="3">
        <v>0</v>
      </c>
      <c r="BI508" s="3">
        <v>0</v>
      </c>
      <c r="BJ508" s="3">
        <v>0</v>
      </c>
      <c r="BK508" s="3">
        <v>0</v>
      </c>
      <c r="BL508" s="3">
        <v>0</v>
      </c>
      <c r="BM508" s="3">
        <v>0</v>
      </c>
      <c r="BN508" s="3">
        <v>0</v>
      </c>
      <c r="BO508" s="3">
        <v>0</v>
      </c>
      <c r="BP508" s="3">
        <v>0</v>
      </c>
      <c r="BQ508" s="3">
        <v>0</v>
      </c>
      <c r="BR508" s="3">
        <v>0</v>
      </c>
      <c r="BS508" s="3">
        <v>0</v>
      </c>
      <c r="BT508" s="3">
        <v>0</v>
      </c>
      <c r="BU508" s="3">
        <v>0</v>
      </c>
      <c r="BV508" s="3">
        <v>0</v>
      </c>
      <c r="BW508" s="3">
        <v>0</v>
      </c>
      <c r="BY508" s="17" t="s">
        <v>3368</v>
      </c>
      <c r="BZ508" s="3">
        <v>0</v>
      </c>
      <c r="CA508" s="3">
        <v>0</v>
      </c>
      <c r="CB508" s="3">
        <v>0</v>
      </c>
      <c r="CC508" s="3">
        <v>0</v>
      </c>
      <c r="CD508" s="3">
        <v>0</v>
      </c>
      <c r="CE508" s="3">
        <v>0</v>
      </c>
      <c r="CF508" s="3">
        <v>0</v>
      </c>
      <c r="CG508" s="3">
        <v>0</v>
      </c>
      <c r="CH508" s="3">
        <v>0</v>
      </c>
      <c r="CI508" s="3">
        <v>0</v>
      </c>
      <c r="CJ508" s="3">
        <v>0</v>
      </c>
      <c r="CK508" s="3">
        <v>0</v>
      </c>
      <c r="CL508" s="3">
        <v>0</v>
      </c>
      <c r="CM508" s="3">
        <v>0</v>
      </c>
      <c r="CN508" s="3">
        <v>0</v>
      </c>
      <c r="CO508" s="3">
        <v>0</v>
      </c>
      <c r="CP508" s="3">
        <v>0</v>
      </c>
      <c r="CQ508" s="3">
        <v>0</v>
      </c>
      <c r="CR508" s="3">
        <v>0</v>
      </c>
      <c r="CS508" s="3">
        <v>0</v>
      </c>
      <c r="CU508" s="17" t="s">
        <v>3369</v>
      </c>
      <c r="CV508" s="3">
        <v>0</v>
      </c>
      <c r="CW508" s="3">
        <v>0</v>
      </c>
      <c r="CX508" s="3">
        <v>0</v>
      </c>
      <c r="CY508" s="3">
        <v>0</v>
      </c>
      <c r="CZ508" s="3">
        <v>0</v>
      </c>
      <c r="DA508" s="3">
        <v>0</v>
      </c>
      <c r="DB508" s="3">
        <v>0</v>
      </c>
      <c r="DC508" s="3">
        <v>0</v>
      </c>
      <c r="DD508" s="3">
        <v>0</v>
      </c>
      <c r="DE508" s="3">
        <v>0</v>
      </c>
      <c r="DF508" s="3">
        <v>0</v>
      </c>
      <c r="DG508" s="3">
        <v>0</v>
      </c>
      <c r="DH508" s="3">
        <v>0</v>
      </c>
      <c r="DI508" s="3">
        <v>0</v>
      </c>
      <c r="DJ508" s="3">
        <v>0</v>
      </c>
      <c r="DK508" s="3">
        <v>0</v>
      </c>
      <c r="DL508" s="3">
        <v>0</v>
      </c>
      <c r="DM508" s="3">
        <v>0</v>
      </c>
      <c r="DN508" s="3">
        <v>0</v>
      </c>
      <c r="DO508" s="3">
        <v>0</v>
      </c>
    </row>
    <row r="509" spans="1:119" x14ac:dyDescent="0.45">
      <c r="A509" s="16" t="s">
        <v>3370</v>
      </c>
      <c r="B509" s="3" t="s">
        <v>89</v>
      </c>
      <c r="C509" s="16" t="s">
        <v>3371</v>
      </c>
      <c r="H509" s="3" t="s">
        <v>3372</v>
      </c>
      <c r="I509" s="3" t="s">
        <v>2363</v>
      </c>
      <c r="K509" s="17" t="s">
        <v>3373</v>
      </c>
      <c r="L509" s="3">
        <v>0</v>
      </c>
      <c r="M509" s="3">
        <v>0</v>
      </c>
      <c r="N509" s="3">
        <v>0</v>
      </c>
      <c r="O509" s="3">
        <v>0</v>
      </c>
      <c r="P509" s="3">
        <v>0</v>
      </c>
      <c r="Q509" s="3">
        <v>0</v>
      </c>
      <c r="R509" s="3">
        <v>0</v>
      </c>
      <c r="S509" s="3">
        <v>0</v>
      </c>
      <c r="T509" s="3">
        <v>0</v>
      </c>
      <c r="U509" s="3">
        <v>0</v>
      </c>
      <c r="V509" s="3">
        <v>0</v>
      </c>
      <c r="W509" s="3">
        <v>0</v>
      </c>
      <c r="X509" s="3">
        <v>0</v>
      </c>
      <c r="Y509" s="3">
        <v>0</v>
      </c>
      <c r="Z509" s="3">
        <v>0</v>
      </c>
      <c r="AA509" s="3">
        <v>0</v>
      </c>
      <c r="AB509" s="3">
        <v>0</v>
      </c>
      <c r="AC509" s="3">
        <v>0</v>
      </c>
      <c r="AD509" s="3">
        <v>0</v>
      </c>
      <c r="AE509" s="3">
        <v>0</v>
      </c>
      <c r="AG509" s="17" t="s">
        <v>3374</v>
      </c>
      <c r="AH509" s="3">
        <v>0</v>
      </c>
      <c r="AI509" s="3">
        <v>0</v>
      </c>
      <c r="AJ509" s="3">
        <v>0</v>
      </c>
      <c r="AK509" s="3">
        <v>0</v>
      </c>
      <c r="AL509" s="3">
        <v>0</v>
      </c>
      <c r="AM509" s="3">
        <v>0</v>
      </c>
      <c r="AN509" s="3">
        <v>0</v>
      </c>
      <c r="AO509" s="3">
        <v>0</v>
      </c>
      <c r="AP509" s="3">
        <v>0</v>
      </c>
      <c r="AQ509" s="3">
        <v>0</v>
      </c>
      <c r="AR509" s="3">
        <v>0</v>
      </c>
      <c r="AS509" s="3">
        <v>0</v>
      </c>
      <c r="AT509" s="3">
        <v>0</v>
      </c>
      <c r="AU509" s="3">
        <v>0</v>
      </c>
      <c r="AV509" s="3">
        <v>0</v>
      </c>
      <c r="AW509" s="3">
        <v>0</v>
      </c>
      <c r="AX509" s="3">
        <v>0</v>
      </c>
      <c r="AY509" s="3">
        <v>0</v>
      </c>
      <c r="AZ509" s="3">
        <v>0</v>
      </c>
      <c r="BA509" s="3">
        <v>0</v>
      </c>
      <c r="BC509" s="17" t="s">
        <v>3375</v>
      </c>
      <c r="BD509" s="3">
        <v>0</v>
      </c>
      <c r="BE509" s="3">
        <v>0</v>
      </c>
      <c r="BF509" s="3">
        <v>0</v>
      </c>
      <c r="BG509" s="3">
        <v>0</v>
      </c>
      <c r="BH509" s="3">
        <v>0</v>
      </c>
      <c r="BI509" s="3">
        <v>0</v>
      </c>
      <c r="BJ509" s="3">
        <v>0</v>
      </c>
      <c r="BK509" s="3">
        <v>0</v>
      </c>
      <c r="BL509" s="3">
        <v>0</v>
      </c>
      <c r="BM509" s="3">
        <v>0</v>
      </c>
      <c r="BN509" s="3">
        <v>0</v>
      </c>
      <c r="BO509" s="3">
        <v>0</v>
      </c>
      <c r="BP509" s="3">
        <v>0</v>
      </c>
      <c r="BQ509" s="3">
        <v>0</v>
      </c>
      <c r="BR509" s="3">
        <v>0</v>
      </c>
      <c r="BS509" s="3">
        <v>0</v>
      </c>
      <c r="BT509" s="3">
        <v>0</v>
      </c>
      <c r="BU509" s="3">
        <v>0</v>
      </c>
      <c r="BV509" s="3">
        <v>0</v>
      </c>
      <c r="BW509" s="3">
        <v>0</v>
      </c>
      <c r="BY509" s="17" t="s">
        <v>3376</v>
      </c>
      <c r="BZ509" s="3">
        <v>0</v>
      </c>
      <c r="CA509" s="3">
        <v>0</v>
      </c>
      <c r="CB509" s="3">
        <v>0</v>
      </c>
      <c r="CC509" s="3">
        <v>0</v>
      </c>
      <c r="CD509" s="3">
        <v>0</v>
      </c>
      <c r="CE509" s="3">
        <v>0</v>
      </c>
      <c r="CF509" s="3">
        <v>0</v>
      </c>
      <c r="CG509" s="3">
        <v>0</v>
      </c>
      <c r="CH509" s="3">
        <v>0</v>
      </c>
      <c r="CI509" s="3">
        <v>0</v>
      </c>
      <c r="CJ509" s="3">
        <v>0</v>
      </c>
      <c r="CK509" s="3">
        <v>0</v>
      </c>
      <c r="CL509" s="3">
        <v>0</v>
      </c>
      <c r="CM509" s="3">
        <v>0</v>
      </c>
      <c r="CN509" s="3">
        <v>0</v>
      </c>
      <c r="CO509" s="3">
        <v>0</v>
      </c>
      <c r="CP509" s="3">
        <v>0</v>
      </c>
      <c r="CQ509" s="3">
        <v>0</v>
      </c>
      <c r="CR509" s="3">
        <v>0</v>
      </c>
      <c r="CS509" s="3">
        <v>0</v>
      </c>
      <c r="CU509" s="17" t="s">
        <v>3377</v>
      </c>
      <c r="CV509" s="3">
        <v>0</v>
      </c>
      <c r="CW509" s="3">
        <v>0</v>
      </c>
      <c r="CX509" s="3">
        <v>0</v>
      </c>
      <c r="CY509" s="3">
        <v>0</v>
      </c>
      <c r="CZ509" s="3">
        <v>0</v>
      </c>
      <c r="DA509" s="3">
        <v>0</v>
      </c>
      <c r="DB509" s="3">
        <v>0</v>
      </c>
      <c r="DC509" s="3">
        <v>0</v>
      </c>
      <c r="DD509" s="3">
        <v>0</v>
      </c>
      <c r="DE509" s="3">
        <v>0</v>
      </c>
      <c r="DF509" s="3">
        <v>0</v>
      </c>
      <c r="DG509" s="3">
        <v>0</v>
      </c>
      <c r="DH509" s="3">
        <v>0</v>
      </c>
      <c r="DI509" s="3">
        <v>0</v>
      </c>
      <c r="DJ509" s="3">
        <v>0</v>
      </c>
      <c r="DK509" s="3">
        <v>0</v>
      </c>
      <c r="DL509" s="3">
        <v>0</v>
      </c>
      <c r="DM509" s="3">
        <v>0</v>
      </c>
      <c r="DN509" s="3">
        <v>0</v>
      </c>
      <c r="DO509" s="3">
        <v>0</v>
      </c>
    </row>
    <row r="510" spans="1:119" x14ac:dyDescent="0.45">
      <c r="A510" s="16" t="s">
        <v>3378</v>
      </c>
      <c r="B510" s="3" t="s">
        <v>89</v>
      </c>
      <c r="C510" s="16" t="s">
        <v>3379</v>
      </c>
      <c r="H510" s="3" t="s">
        <v>3380</v>
      </c>
      <c r="I510" s="3" t="s">
        <v>2363</v>
      </c>
      <c r="K510" s="17" t="s">
        <v>3381</v>
      </c>
      <c r="L510" s="3">
        <v>0</v>
      </c>
      <c r="M510" s="3">
        <v>0</v>
      </c>
      <c r="N510" s="3">
        <v>0</v>
      </c>
      <c r="O510" s="3">
        <v>0</v>
      </c>
      <c r="P510" s="3">
        <v>0</v>
      </c>
      <c r="Q510" s="3">
        <v>0</v>
      </c>
      <c r="R510" s="3">
        <v>0</v>
      </c>
      <c r="S510" s="3">
        <v>0</v>
      </c>
      <c r="T510" s="3">
        <v>0</v>
      </c>
      <c r="U510" s="3">
        <v>0</v>
      </c>
      <c r="V510" s="3">
        <v>0</v>
      </c>
      <c r="W510" s="3">
        <v>0</v>
      </c>
      <c r="X510" s="3">
        <v>0</v>
      </c>
      <c r="Y510" s="3">
        <v>0</v>
      </c>
      <c r="Z510" s="3">
        <v>0</v>
      </c>
      <c r="AA510" s="3">
        <v>0</v>
      </c>
      <c r="AB510" s="3">
        <v>0</v>
      </c>
      <c r="AC510" s="3">
        <v>0</v>
      </c>
      <c r="AD510" s="3">
        <v>0</v>
      </c>
      <c r="AE510" s="3">
        <v>0</v>
      </c>
      <c r="AG510" s="17" t="s">
        <v>3382</v>
      </c>
      <c r="AH510" s="3">
        <v>0</v>
      </c>
      <c r="AI510" s="3">
        <v>0</v>
      </c>
      <c r="AJ510" s="3">
        <v>0</v>
      </c>
      <c r="AK510" s="3">
        <v>0</v>
      </c>
      <c r="AL510" s="3">
        <v>0</v>
      </c>
      <c r="AM510" s="3">
        <v>0</v>
      </c>
      <c r="AN510" s="3">
        <v>0</v>
      </c>
      <c r="AO510" s="3">
        <v>0</v>
      </c>
      <c r="AP510" s="3">
        <v>0</v>
      </c>
      <c r="AQ510" s="3">
        <v>0</v>
      </c>
      <c r="AR510" s="3">
        <v>0</v>
      </c>
      <c r="AS510" s="3">
        <v>0</v>
      </c>
      <c r="AT510" s="3">
        <v>0</v>
      </c>
      <c r="AU510" s="3">
        <v>0</v>
      </c>
      <c r="AV510" s="3">
        <v>0</v>
      </c>
      <c r="AW510" s="3">
        <v>0</v>
      </c>
      <c r="AX510" s="3">
        <v>0</v>
      </c>
      <c r="AY510" s="3">
        <v>0</v>
      </c>
      <c r="AZ510" s="3">
        <v>0</v>
      </c>
      <c r="BA510" s="3">
        <v>0</v>
      </c>
      <c r="BC510" s="17" t="s">
        <v>3383</v>
      </c>
      <c r="BD510" s="3">
        <v>0</v>
      </c>
      <c r="BE510" s="3">
        <v>0</v>
      </c>
      <c r="BF510" s="3">
        <v>0</v>
      </c>
      <c r="BG510" s="3">
        <v>0</v>
      </c>
      <c r="BH510" s="3">
        <v>0</v>
      </c>
      <c r="BI510" s="3">
        <v>0</v>
      </c>
      <c r="BJ510" s="3">
        <v>0</v>
      </c>
      <c r="BK510" s="3">
        <v>0</v>
      </c>
      <c r="BL510" s="3">
        <v>0</v>
      </c>
      <c r="BM510" s="3">
        <v>0</v>
      </c>
      <c r="BN510" s="3">
        <v>0</v>
      </c>
      <c r="BO510" s="3">
        <v>0</v>
      </c>
      <c r="BP510" s="3">
        <v>0</v>
      </c>
      <c r="BQ510" s="3">
        <v>0</v>
      </c>
      <c r="BR510" s="3">
        <v>0</v>
      </c>
      <c r="BS510" s="3">
        <v>0</v>
      </c>
      <c r="BT510" s="3">
        <v>0</v>
      </c>
      <c r="BU510" s="3">
        <v>0</v>
      </c>
      <c r="BV510" s="3">
        <v>0</v>
      </c>
      <c r="BW510" s="3">
        <v>0</v>
      </c>
      <c r="BY510" s="17" t="s">
        <v>3384</v>
      </c>
      <c r="BZ510" s="3">
        <v>0</v>
      </c>
      <c r="CA510" s="3">
        <v>0</v>
      </c>
      <c r="CB510" s="3">
        <v>0</v>
      </c>
      <c r="CC510" s="3">
        <v>0</v>
      </c>
      <c r="CD510" s="3">
        <v>0</v>
      </c>
      <c r="CE510" s="3">
        <v>0</v>
      </c>
      <c r="CF510" s="3">
        <v>0</v>
      </c>
      <c r="CG510" s="3">
        <v>0</v>
      </c>
      <c r="CH510" s="3">
        <v>0</v>
      </c>
      <c r="CI510" s="3">
        <v>0</v>
      </c>
      <c r="CJ510" s="3">
        <v>0</v>
      </c>
      <c r="CK510" s="3">
        <v>0</v>
      </c>
      <c r="CL510" s="3">
        <v>0</v>
      </c>
      <c r="CM510" s="3">
        <v>0</v>
      </c>
      <c r="CN510" s="3">
        <v>0</v>
      </c>
      <c r="CO510" s="3">
        <v>0</v>
      </c>
      <c r="CP510" s="3">
        <v>0</v>
      </c>
      <c r="CQ510" s="3">
        <v>0</v>
      </c>
      <c r="CR510" s="3">
        <v>0</v>
      </c>
      <c r="CS510" s="3">
        <v>0</v>
      </c>
      <c r="CU510" s="17" t="s">
        <v>3385</v>
      </c>
      <c r="CV510" s="3">
        <v>0</v>
      </c>
      <c r="CW510" s="3">
        <v>0</v>
      </c>
      <c r="CX510" s="3">
        <v>0</v>
      </c>
      <c r="CY510" s="3">
        <v>0</v>
      </c>
      <c r="CZ510" s="3">
        <v>0</v>
      </c>
      <c r="DA510" s="3">
        <v>0</v>
      </c>
      <c r="DB510" s="3">
        <v>0</v>
      </c>
      <c r="DC510" s="3">
        <v>0</v>
      </c>
      <c r="DD510" s="3">
        <v>0</v>
      </c>
      <c r="DE510" s="3">
        <v>0</v>
      </c>
      <c r="DF510" s="3">
        <v>0</v>
      </c>
      <c r="DG510" s="3">
        <v>0</v>
      </c>
      <c r="DH510" s="3">
        <v>0</v>
      </c>
      <c r="DI510" s="3">
        <v>0</v>
      </c>
      <c r="DJ510" s="3">
        <v>0</v>
      </c>
      <c r="DK510" s="3">
        <v>0</v>
      </c>
      <c r="DL510" s="3">
        <v>0</v>
      </c>
      <c r="DM510" s="3">
        <v>0</v>
      </c>
      <c r="DN510" s="3">
        <v>0</v>
      </c>
      <c r="DO510" s="3">
        <v>0</v>
      </c>
    </row>
    <row r="511" spans="1:119" x14ac:dyDescent="0.45">
      <c r="A511" s="16" t="s">
        <v>3386</v>
      </c>
      <c r="B511" s="3" t="s">
        <v>89</v>
      </c>
      <c r="C511" s="16" t="s">
        <v>3387</v>
      </c>
      <c r="H511" s="3" t="s">
        <v>3388</v>
      </c>
      <c r="I511" s="3" t="s">
        <v>2363</v>
      </c>
      <c r="K511" s="17" t="s">
        <v>3389</v>
      </c>
      <c r="L511" s="3">
        <v>0</v>
      </c>
      <c r="M511" s="3">
        <v>0</v>
      </c>
      <c r="N511" s="3">
        <v>0</v>
      </c>
      <c r="O511" s="3">
        <v>0</v>
      </c>
      <c r="P511" s="3">
        <v>0</v>
      </c>
      <c r="Q511" s="3">
        <v>0</v>
      </c>
      <c r="R511" s="3">
        <v>0</v>
      </c>
      <c r="S511" s="3">
        <v>0</v>
      </c>
      <c r="T511" s="3">
        <v>0</v>
      </c>
      <c r="U511" s="3">
        <v>0</v>
      </c>
      <c r="V511" s="3">
        <v>0</v>
      </c>
      <c r="W511" s="3">
        <v>0</v>
      </c>
      <c r="X511" s="3">
        <v>0</v>
      </c>
      <c r="Y511" s="3">
        <v>0</v>
      </c>
      <c r="Z511" s="3">
        <v>0</v>
      </c>
      <c r="AA511" s="3">
        <v>0</v>
      </c>
      <c r="AB511" s="3">
        <v>0</v>
      </c>
      <c r="AC511" s="3">
        <v>0</v>
      </c>
      <c r="AD511" s="3">
        <v>0</v>
      </c>
      <c r="AE511" s="3">
        <v>0</v>
      </c>
      <c r="AG511" s="17" t="s">
        <v>3390</v>
      </c>
      <c r="AH511" s="3">
        <v>0</v>
      </c>
      <c r="AI511" s="3">
        <v>0</v>
      </c>
      <c r="AJ511" s="3">
        <v>0</v>
      </c>
      <c r="AK511" s="3">
        <v>0</v>
      </c>
      <c r="AL511" s="3">
        <v>0</v>
      </c>
      <c r="AM511" s="3">
        <v>0</v>
      </c>
      <c r="AN511" s="3">
        <v>0</v>
      </c>
      <c r="AO511" s="3">
        <v>0</v>
      </c>
      <c r="AP511" s="3">
        <v>0</v>
      </c>
      <c r="AQ511" s="3">
        <v>0</v>
      </c>
      <c r="AR511" s="3">
        <v>0</v>
      </c>
      <c r="AS511" s="3">
        <v>0</v>
      </c>
      <c r="AT511" s="3">
        <v>0</v>
      </c>
      <c r="AU511" s="3">
        <v>0</v>
      </c>
      <c r="AV511" s="3">
        <v>0</v>
      </c>
      <c r="AW511" s="3">
        <v>0</v>
      </c>
      <c r="AX511" s="3">
        <v>0</v>
      </c>
      <c r="AY511" s="3">
        <v>0</v>
      </c>
      <c r="AZ511" s="3">
        <v>0</v>
      </c>
      <c r="BA511" s="3">
        <v>0</v>
      </c>
      <c r="BC511" s="17" t="s">
        <v>3391</v>
      </c>
      <c r="BD511" s="3">
        <v>0</v>
      </c>
      <c r="BE511" s="3">
        <v>0</v>
      </c>
      <c r="BF511" s="3">
        <v>0</v>
      </c>
      <c r="BG511" s="3">
        <v>0</v>
      </c>
      <c r="BH511" s="3">
        <v>0</v>
      </c>
      <c r="BI511" s="3">
        <v>0</v>
      </c>
      <c r="BJ511" s="3">
        <v>0</v>
      </c>
      <c r="BK511" s="3">
        <v>0</v>
      </c>
      <c r="BL511" s="3">
        <v>0</v>
      </c>
      <c r="BM511" s="3">
        <v>0</v>
      </c>
      <c r="BN511" s="3">
        <v>0</v>
      </c>
      <c r="BO511" s="3">
        <v>0</v>
      </c>
      <c r="BP511" s="3">
        <v>0</v>
      </c>
      <c r="BQ511" s="3">
        <v>0</v>
      </c>
      <c r="BR511" s="3">
        <v>0</v>
      </c>
      <c r="BS511" s="3">
        <v>0</v>
      </c>
      <c r="BT511" s="3">
        <v>0</v>
      </c>
      <c r="BU511" s="3">
        <v>0</v>
      </c>
      <c r="BV511" s="3">
        <v>0</v>
      </c>
      <c r="BW511" s="3">
        <v>0</v>
      </c>
      <c r="BY511" s="17" t="s">
        <v>3392</v>
      </c>
      <c r="BZ511" s="3">
        <v>0</v>
      </c>
      <c r="CA511" s="3">
        <v>0</v>
      </c>
      <c r="CB511" s="3">
        <v>0</v>
      </c>
      <c r="CC511" s="3">
        <v>0</v>
      </c>
      <c r="CD511" s="3">
        <v>0</v>
      </c>
      <c r="CE511" s="3">
        <v>0</v>
      </c>
      <c r="CF511" s="3">
        <v>0</v>
      </c>
      <c r="CG511" s="3">
        <v>0</v>
      </c>
      <c r="CH511" s="3">
        <v>0</v>
      </c>
      <c r="CI511" s="3">
        <v>0</v>
      </c>
      <c r="CJ511" s="3">
        <v>0</v>
      </c>
      <c r="CK511" s="3">
        <v>0</v>
      </c>
      <c r="CL511" s="3">
        <v>0</v>
      </c>
      <c r="CM511" s="3">
        <v>0</v>
      </c>
      <c r="CN511" s="3">
        <v>0</v>
      </c>
      <c r="CO511" s="3">
        <v>0</v>
      </c>
      <c r="CP511" s="3">
        <v>0</v>
      </c>
      <c r="CQ511" s="3">
        <v>0</v>
      </c>
      <c r="CR511" s="3">
        <v>0</v>
      </c>
      <c r="CS511" s="3">
        <v>0</v>
      </c>
      <c r="CU511" s="17" t="s">
        <v>3393</v>
      </c>
      <c r="CV511" s="3">
        <v>0</v>
      </c>
      <c r="CW511" s="3">
        <v>0</v>
      </c>
      <c r="CX511" s="3">
        <v>0</v>
      </c>
      <c r="CY511" s="3">
        <v>0</v>
      </c>
      <c r="CZ511" s="3">
        <v>0</v>
      </c>
      <c r="DA511" s="3">
        <v>0</v>
      </c>
      <c r="DB511" s="3">
        <v>0</v>
      </c>
      <c r="DC511" s="3">
        <v>0</v>
      </c>
      <c r="DD511" s="3">
        <v>0</v>
      </c>
      <c r="DE511" s="3">
        <v>0</v>
      </c>
      <c r="DF511" s="3">
        <v>0</v>
      </c>
      <c r="DG511" s="3">
        <v>0</v>
      </c>
      <c r="DH511" s="3">
        <v>0</v>
      </c>
      <c r="DI511" s="3">
        <v>0</v>
      </c>
      <c r="DJ511" s="3">
        <v>0</v>
      </c>
      <c r="DK511" s="3">
        <v>0</v>
      </c>
      <c r="DL511" s="3">
        <v>0</v>
      </c>
      <c r="DM511" s="3">
        <v>0</v>
      </c>
      <c r="DN511" s="3">
        <v>0</v>
      </c>
      <c r="DO511" s="3">
        <v>0</v>
      </c>
    </row>
    <row r="512" spans="1:119" x14ac:dyDescent="0.45">
      <c r="A512" s="11"/>
      <c r="B512" s="3" t="s">
        <v>89</v>
      </c>
      <c r="C512" s="16" t="s">
        <v>3394</v>
      </c>
      <c r="H512" s="11" t="s">
        <v>3395</v>
      </c>
      <c r="I512" s="11" t="s">
        <v>2363</v>
      </c>
    </row>
    <row r="513" spans="1:119" x14ac:dyDescent="0.45">
      <c r="A513" s="16" t="s">
        <v>3396</v>
      </c>
      <c r="B513" s="3" t="s">
        <v>89</v>
      </c>
      <c r="C513" s="16" t="s">
        <v>3397</v>
      </c>
      <c r="H513" s="3" t="s">
        <v>3398</v>
      </c>
      <c r="I513" s="3" t="s">
        <v>2363</v>
      </c>
      <c r="K513" s="17" t="s">
        <v>3399</v>
      </c>
      <c r="L513" s="3">
        <v>0</v>
      </c>
      <c r="M513" s="3">
        <v>0</v>
      </c>
      <c r="N513" s="3">
        <v>0</v>
      </c>
      <c r="O513" s="3">
        <v>0</v>
      </c>
      <c r="P513" s="3">
        <v>0</v>
      </c>
      <c r="Q513" s="3">
        <v>0</v>
      </c>
      <c r="R513" s="3">
        <v>0</v>
      </c>
      <c r="S513" s="3">
        <v>0</v>
      </c>
      <c r="T513" s="3">
        <v>0</v>
      </c>
      <c r="U513" s="3">
        <v>0</v>
      </c>
      <c r="V513" s="3">
        <v>0</v>
      </c>
      <c r="W513" s="3">
        <v>0</v>
      </c>
      <c r="X513" s="3">
        <v>0</v>
      </c>
      <c r="Y513" s="3">
        <v>0</v>
      </c>
      <c r="Z513" s="3">
        <v>0</v>
      </c>
      <c r="AA513" s="3">
        <v>0</v>
      </c>
      <c r="AB513" s="3">
        <v>0</v>
      </c>
      <c r="AC513" s="3">
        <v>0</v>
      </c>
      <c r="AD513" s="3">
        <v>0</v>
      </c>
      <c r="AE513" s="3">
        <v>0</v>
      </c>
      <c r="AG513" s="17" t="s">
        <v>3400</v>
      </c>
      <c r="AH513" s="3">
        <v>0</v>
      </c>
      <c r="AI513" s="3">
        <v>0</v>
      </c>
      <c r="AJ513" s="3">
        <v>0</v>
      </c>
      <c r="AK513" s="3">
        <v>0</v>
      </c>
      <c r="AL513" s="3">
        <v>0</v>
      </c>
      <c r="AM513" s="3">
        <v>0</v>
      </c>
      <c r="AN513" s="3">
        <v>0</v>
      </c>
      <c r="AO513" s="3">
        <v>0</v>
      </c>
      <c r="AP513" s="3">
        <v>0</v>
      </c>
      <c r="AQ513" s="3">
        <v>0</v>
      </c>
      <c r="AR513" s="3">
        <v>0</v>
      </c>
      <c r="AS513" s="3">
        <v>0</v>
      </c>
      <c r="AT513" s="3">
        <v>0</v>
      </c>
      <c r="AU513" s="3">
        <v>0</v>
      </c>
      <c r="AV513" s="3">
        <v>0</v>
      </c>
      <c r="AW513" s="3">
        <v>0</v>
      </c>
      <c r="AX513" s="3">
        <v>0</v>
      </c>
      <c r="AY513" s="3">
        <v>0</v>
      </c>
      <c r="AZ513" s="3">
        <v>0</v>
      </c>
      <c r="BA513" s="3">
        <v>0</v>
      </c>
      <c r="BC513" s="17" t="s">
        <v>3401</v>
      </c>
      <c r="BD513" s="3">
        <v>0</v>
      </c>
      <c r="BE513" s="3">
        <v>0</v>
      </c>
      <c r="BF513" s="3">
        <v>0</v>
      </c>
      <c r="BG513" s="3">
        <v>0</v>
      </c>
      <c r="BH513" s="3">
        <v>0</v>
      </c>
      <c r="BI513" s="3">
        <v>0</v>
      </c>
      <c r="BJ513" s="3">
        <v>0</v>
      </c>
      <c r="BK513" s="3">
        <v>0</v>
      </c>
      <c r="BL513" s="3">
        <v>0</v>
      </c>
      <c r="BM513" s="3">
        <v>0</v>
      </c>
      <c r="BN513" s="3">
        <v>0</v>
      </c>
      <c r="BO513" s="3">
        <v>0</v>
      </c>
      <c r="BP513" s="3">
        <v>0</v>
      </c>
      <c r="BQ513" s="3">
        <v>0</v>
      </c>
      <c r="BR513" s="3">
        <v>0</v>
      </c>
      <c r="BS513" s="3">
        <v>0</v>
      </c>
      <c r="BT513" s="3">
        <v>0</v>
      </c>
      <c r="BU513" s="3">
        <v>0</v>
      </c>
      <c r="BV513" s="3">
        <v>0</v>
      </c>
      <c r="BW513" s="3">
        <v>0</v>
      </c>
      <c r="BY513" s="17" t="s">
        <v>3402</v>
      </c>
      <c r="BZ513" s="3">
        <v>0</v>
      </c>
      <c r="CA513" s="3">
        <v>0</v>
      </c>
      <c r="CB513" s="3">
        <v>0</v>
      </c>
      <c r="CC513" s="3">
        <v>0</v>
      </c>
      <c r="CD513" s="3">
        <v>0</v>
      </c>
      <c r="CE513" s="3">
        <v>0</v>
      </c>
      <c r="CF513" s="3">
        <v>0</v>
      </c>
      <c r="CG513" s="3">
        <v>0</v>
      </c>
      <c r="CH513" s="3">
        <v>0</v>
      </c>
      <c r="CI513" s="3">
        <v>0</v>
      </c>
      <c r="CJ513" s="3">
        <v>0</v>
      </c>
      <c r="CK513" s="3">
        <v>0</v>
      </c>
      <c r="CL513" s="3">
        <v>0</v>
      </c>
      <c r="CM513" s="3">
        <v>0</v>
      </c>
      <c r="CN513" s="3">
        <v>0</v>
      </c>
      <c r="CO513" s="3">
        <v>0</v>
      </c>
      <c r="CP513" s="3">
        <v>0</v>
      </c>
      <c r="CQ513" s="3">
        <v>0</v>
      </c>
      <c r="CR513" s="3">
        <v>0</v>
      </c>
      <c r="CS513" s="3">
        <v>0</v>
      </c>
      <c r="CU513" s="17" t="s">
        <v>3403</v>
      </c>
      <c r="CV513" s="3">
        <v>0</v>
      </c>
      <c r="CW513" s="3">
        <v>0</v>
      </c>
      <c r="CX513" s="3">
        <v>0</v>
      </c>
      <c r="CY513" s="3">
        <v>0</v>
      </c>
      <c r="CZ513" s="3">
        <v>0</v>
      </c>
      <c r="DA513" s="3">
        <v>0</v>
      </c>
      <c r="DB513" s="3">
        <v>0</v>
      </c>
      <c r="DC513" s="3">
        <v>0</v>
      </c>
      <c r="DD513" s="3">
        <v>0</v>
      </c>
      <c r="DE513" s="3">
        <v>0</v>
      </c>
      <c r="DF513" s="3">
        <v>0</v>
      </c>
      <c r="DG513" s="3">
        <v>0</v>
      </c>
      <c r="DH513" s="3">
        <v>0</v>
      </c>
      <c r="DI513" s="3">
        <v>0</v>
      </c>
      <c r="DJ513" s="3">
        <v>0</v>
      </c>
      <c r="DK513" s="3">
        <v>0</v>
      </c>
      <c r="DL513" s="3">
        <v>0</v>
      </c>
      <c r="DM513" s="3">
        <v>0</v>
      </c>
      <c r="DN513" s="3">
        <v>0</v>
      </c>
      <c r="DO513" s="3">
        <v>0</v>
      </c>
    </row>
    <row r="514" spans="1:119" x14ac:dyDescent="0.45">
      <c r="A514" s="16" t="s">
        <v>3404</v>
      </c>
      <c r="B514" s="3" t="s">
        <v>89</v>
      </c>
      <c r="C514" s="16" t="s">
        <v>3405</v>
      </c>
      <c r="H514" s="3" t="s">
        <v>3406</v>
      </c>
      <c r="I514" s="3" t="s">
        <v>2363</v>
      </c>
      <c r="K514" s="17" t="s">
        <v>3407</v>
      </c>
      <c r="L514" s="3">
        <v>0</v>
      </c>
      <c r="M514" s="3">
        <v>0</v>
      </c>
      <c r="N514" s="3">
        <v>0</v>
      </c>
      <c r="O514" s="3">
        <v>0</v>
      </c>
      <c r="P514" s="3">
        <v>0</v>
      </c>
      <c r="Q514" s="3">
        <v>0</v>
      </c>
      <c r="R514" s="3">
        <v>0</v>
      </c>
      <c r="S514" s="3">
        <v>0</v>
      </c>
      <c r="T514" s="3">
        <v>0</v>
      </c>
      <c r="U514" s="3">
        <v>0</v>
      </c>
      <c r="V514" s="3">
        <v>0</v>
      </c>
      <c r="W514" s="3">
        <v>0</v>
      </c>
      <c r="X514" s="3">
        <v>0</v>
      </c>
      <c r="Y514" s="3">
        <v>0</v>
      </c>
      <c r="Z514" s="3">
        <v>0</v>
      </c>
      <c r="AA514" s="3">
        <v>0</v>
      </c>
      <c r="AB514" s="3">
        <v>0</v>
      </c>
      <c r="AC514" s="3">
        <v>0</v>
      </c>
      <c r="AD514" s="3">
        <v>0</v>
      </c>
      <c r="AE514" s="3">
        <v>0</v>
      </c>
      <c r="AG514" s="17" t="s">
        <v>3408</v>
      </c>
      <c r="AH514" s="3">
        <v>0</v>
      </c>
      <c r="AI514" s="3">
        <v>0</v>
      </c>
      <c r="AJ514" s="3">
        <v>0</v>
      </c>
      <c r="AK514" s="3">
        <v>0</v>
      </c>
      <c r="AL514" s="3">
        <v>0</v>
      </c>
      <c r="AM514" s="3">
        <v>0</v>
      </c>
      <c r="AN514" s="3">
        <v>0</v>
      </c>
      <c r="AO514" s="3">
        <v>0</v>
      </c>
      <c r="AP514" s="3">
        <v>0</v>
      </c>
      <c r="AQ514" s="3">
        <v>0</v>
      </c>
      <c r="AR514" s="3">
        <v>0</v>
      </c>
      <c r="AS514" s="3">
        <v>0</v>
      </c>
      <c r="AT514" s="3">
        <v>0</v>
      </c>
      <c r="AU514" s="3">
        <v>0</v>
      </c>
      <c r="AV514" s="3">
        <v>0</v>
      </c>
      <c r="AW514" s="3">
        <v>0</v>
      </c>
      <c r="AX514" s="3">
        <v>0</v>
      </c>
      <c r="AY514" s="3">
        <v>0</v>
      </c>
      <c r="AZ514" s="3">
        <v>0</v>
      </c>
      <c r="BA514" s="3">
        <v>0</v>
      </c>
      <c r="BC514" s="17" t="s">
        <v>3409</v>
      </c>
      <c r="BD514" s="3">
        <v>0</v>
      </c>
      <c r="BE514" s="3">
        <v>0</v>
      </c>
      <c r="BF514" s="3">
        <v>0</v>
      </c>
      <c r="BG514" s="3">
        <v>0</v>
      </c>
      <c r="BH514" s="3">
        <v>0</v>
      </c>
      <c r="BI514" s="3">
        <v>0</v>
      </c>
      <c r="BJ514" s="3">
        <v>0</v>
      </c>
      <c r="BK514" s="3">
        <v>0</v>
      </c>
      <c r="BL514" s="3">
        <v>0</v>
      </c>
      <c r="BM514" s="3">
        <v>0</v>
      </c>
      <c r="BN514" s="3">
        <v>0</v>
      </c>
      <c r="BO514" s="3">
        <v>0</v>
      </c>
      <c r="BP514" s="3">
        <v>0</v>
      </c>
      <c r="BQ514" s="3">
        <v>0</v>
      </c>
      <c r="BR514" s="3">
        <v>0</v>
      </c>
      <c r="BS514" s="3">
        <v>0</v>
      </c>
      <c r="BT514" s="3">
        <v>0</v>
      </c>
      <c r="BU514" s="3">
        <v>0</v>
      </c>
      <c r="BV514" s="3">
        <v>0</v>
      </c>
      <c r="BW514" s="3">
        <v>0</v>
      </c>
      <c r="BY514" s="17" t="s">
        <v>3410</v>
      </c>
      <c r="BZ514" s="3">
        <v>0</v>
      </c>
      <c r="CA514" s="3">
        <v>0</v>
      </c>
      <c r="CB514" s="3">
        <v>0</v>
      </c>
      <c r="CC514" s="3">
        <v>0</v>
      </c>
      <c r="CD514" s="3">
        <v>0</v>
      </c>
      <c r="CE514" s="3">
        <v>0</v>
      </c>
      <c r="CF514" s="3">
        <v>0</v>
      </c>
      <c r="CG514" s="3">
        <v>0</v>
      </c>
      <c r="CH514" s="3">
        <v>0</v>
      </c>
      <c r="CI514" s="3">
        <v>0</v>
      </c>
      <c r="CJ514" s="3">
        <v>0</v>
      </c>
      <c r="CK514" s="3">
        <v>0</v>
      </c>
      <c r="CL514" s="3">
        <v>0</v>
      </c>
      <c r="CM514" s="3">
        <v>0</v>
      </c>
      <c r="CN514" s="3">
        <v>0</v>
      </c>
      <c r="CO514" s="3">
        <v>0</v>
      </c>
      <c r="CP514" s="3">
        <v>0</v>
      </c>
      <c r="CQ514" s="3">
        <v>0</v>
      </c>
      <c r="CR514" s="3">
        <v>0</v>
      </c>
      <c r="CS514" s="3">
        <v>0</v>
      </c>
      <c r="CU514" s="17" t="s">
        <v>3411</v>
      </c>
      <c r="CV514" s="3">
        <v>0</v>
      </c>
      <c r="CW514" s="3">
        <v>0</v>
      </c>
      <c r="CX514" s="3">
        <v>0</v>
      </c>
      <c r="CY514" s="3">
        <v>0</v>
      </c>
      <c r="CZ514" s="3">
        <v>0</v>
      </c>
      <c r="DA514" s="3">
        <v>0</v>
      </c>
      <c r="DB514" s="3">
        <v>0</v>
      </c>
      <c r="DC514" s="3">
        <v>0</v>
      </c>
      <c r="DD514" s="3">
        <v>0</v>
      </c>
      <c r="DE514" s="3">
        <v>0</v>
      </c>
      <c r="DF514" s="3">
        <v>0</v>
      </c>
      <c r="DG514" s="3">
        <v>0</v>
      </c>
      <c r="DH514" s="3">
        <v>0</v>
      </c>
      <c r="DI514" s="3">
        <v>0</v>
      </c>
      <c r="DJ514" s="3">
        <v>0</v>
      </c>
      <c r="DK514" s="3">
        <v>0</v>
      </c>
      <c r="DL514" s="3">
        <v>0</v>
      </c>
      <c r="DM514" s="3">
        <v>0</v>
      </c>
      <c r="DN514" s="3">
        <v>0</v>
      </c>
      <c r="DO514" s="3">
        <v>0</v>
      </c>
    </row>
    <row r="515" spans="1:119" x14ac:dyDescent="0.45">
      <c r="A515" s="16" t="s">
        <v>3412</v>
      </c>
      <c r="B515" s="3" t="s">
        <v>89</v>
      </c>
      <c r="C515" s="16" t="s">
        <v>3413</v>
      </c>
      <c r="H515" s="3" t="s">
        <v>3414</v>
      </c>
      <c r="I515" s="3" t="s">
        <v>2363</v>
      </c>
      <c r="K515" s="17" t="s">
        <v>3415</v>
      </c>
      <c r="L515" s="3">
        <v>0</v>
      </c>
      <c r="M515" s="3">
        <v>0</v>
      </c>
      <c r="N515" s="3">
        <v>0</v>
      </c>
      <c r="O515" s="3">
        <v>0</v>
      </c>
      <c r="P515" s="3">
        <v>0</v>
      </c>
      <c r="Q515" s="3">
        <v>0</v>
      </c>
      <c r="R515" s="3">
        <v>0</v>
      </c>
      <c r="S515" s="3">
        <v>0</v>
      </c>
      <c r="T515" s="3">
        <v>0</v>
      </c>
      <c r="U515" s="3">
        <v>0</v>
      </c>
      <c r="V515" s="3">
        <v>0</v>
      </c>
      <c r="W515" s="3">
        <v>0</v>
      </c>
      <c r="X515" s="3">
        <v>0</v>
      </c>
      <c r="Y515" s="3">
        <v>0</v>
      </c>
      <c r="Z515" s="3">
        <v>0</v>
      </c>
      <c r="AA515" s="3">
        <v>0</v>
      </c>
      <c r="AB515" s="3">
        <v>0</v>
      </c>
      <c r="AC515" s="3">
        <v>0</v>
      </c>
      <c r="AD515" s="3">
        <v>0</v>
      </c>
      <c r="AE515" s="3">
        <v>0</v>
      </c>
      <c r="AG515" s="17" t="s">
        <v>3416</v>
      </c>
      <c r="AH515" s="3">
        <v>0</v>
      </c>
      <c r="AI515" s="3">
        <v>0</v>
      </c>
      <c r="AJ515" s="3">
        <v>0</v>
      </c>
      <c r="AK515" s="3">
        <v>0</v>
      </c>
      <c r="AL515" s="3">
        <v>0</v>
      </c>
      <c r="AM515" s="3">
        <v>0</v>
      </c>
      <c r="AN515" s="3">
        <v>0</v>
      </c>
      <c r="AO515" s="3">
        <v>0</v>
      </c>
      <c r="AP515" s="3">
        <v>0</v>
      </c>
      <c r="AQ515" s="3">
        <v>0</v>
      </c>
      <c r="AR515" s="3">
        <v>0</v>
      </c>
      <c r="AS515" s="3">
        <v>0</v>
      </c>
      <c r="AT515" s="3">
        <v>0</v>
      </c>
      <c r="AU515" s="3">
        <v>0</v>
      </c>
      <c r="AV515" s="3">
        <v>0</v>
      </c>
      <c r="AW515" s="3">
        <v>0</v>
      </c>
      <c r="AX515" s="3">
        <v>0</v>
      </c>
      <c r="AY515" s="3">
        <v>0</v>
      </c>
      <c r="AZ515" s="3">
        <v>0</v>
      </c>
      <c r="BA515" s="3">
        <v>0</v>
      </c>
      <c r="BC515" s="17" t="s">
        <v>3417</v>
      </c>
      <c r="BD515" s="3">
        <v>0</v>
      </c>
      <c r="BE515" s="3">
        <v>0</v>
      </c>
      <c r="BF515" s="3">
        <v>0</v>
      </c>
      <c r="BG515" s="3">
        <v>0</v>
      </c>
      <c r="BH515" s="3">
        <v>0</v>
      </c>
      <c r="BI515" s="3">
        <v>0</v>
      </c>
      <c r="BJ515" s="3">
        <v>0</v>
      </c>
      <c r="BK515" s="3">
        <v>0</v>
      </c>
      <c r="BL515" s="3">
        <v>0</v>
      </c>
      <c r="BM515" s="3">
        <v>0</v>
      </c>
      <c r="BN515" s="3">
        <v>0</v>
      </c>
      <c r="BO515" s="3">
        <v>0</v>
      </c>
      <c r="BP515" s="3">
        <v>0</v>
      </c>
      <c r="BQ515" s="3">
        <v>0</v>
      </c>
      <c r="BR515" s="3">
        <v>0</v>
      </c>
      <c r="BS515" s="3">
        <v>0</v>
      </c>
      <c r="BT515" s="3">
        <v>0</v>
      </c>
      <c r="BU515" s="3">
        <v>0</v>
      </c>
      <c r="BV515" s="3">
        <v>0</v>
      </c>
      <c r="BW515" s="3">
        <v>0</v>
      </c>
      <c r="BY515" s="17" t="s">
        <v>3418</v>
      </c>
      <c r="BZ515" s="3">
        <v>0</v>
      </c>
      <c r="CA515" s="3">
        <v>0</v>
      </c>
      <c r="CB515" s="3">
        <v>0</v>
      </c>
      <c r="CC515" s="3">
        <v>0</v>
      </c>
      <c r="CD515" s="3">
        <v>0</v>
      </c>
      <c r="CE515" s="3">
        <v>0</v>
      </c>
      <c r="CF515" s="3">
        <v>0</v>
      </c>
      <c r="CG515" s="3">
        <v>0</v>
      </c>
      <c r="CH515" s="3">
        <v>0</v>
      </c>
      <c r="CI515" s="3">
        <v>0</v>
      </c>
      <c r="CJ515" s="3">
        <v>0</v>
      </c>
      <c r="CK515" s="3">
        <v>0</v>
      </c>
      <c r="CL515" s="3">
        <v>0</v>
      </c>
      <c r="CM515" s="3">
        <v>0</v>
      </c>
      <c r="CN515" s="3">
        <v>0</v>
      </c>
      <c r="CO515" s="3">
        <v>0</v>
      </c>
      <c r="CP515" s="3">
        <v>0</v>
      </c>
      <c r="CQ515" s="3">
        <v>0</v>
      </c>
      <c r="CR515" s="3">
        <v>0</v>
      </c>
      <c r="CS515" s="3">
        <v>0</v>
      </c>
      <c r="CU515" s="17" t="s">
        <v>3419</v>
      </c>
      <c r="CV515" s="3">
        <v>0</v>
      </c>
      <c r="CW515" s="3">
        <v>0</v>
      </c>
      <c r="CX515" s="3">
        <v>0</v>
      </c>
      <c r="CY515" s="3">
        <v>0</v>
      </c>
      <c r="CZ515" s="3">
        <v>0</v>
      </c>
      <c r="DA515" s="3">
        <v>0</v>
      </c>
      <c r="DB515" s="3">
        <v>0</v>
      </c>
      <c r="DC515" s="3">
        <v>0</v>
      </c>
      <c r="DD515" s="3">
        <v>0</v>
      </c>
      <c r="DE515" s="3">
        <v>0</v>
      </c>
      <c r="DF515" s="3">
        <v>0</v>
      </c>
      <c r="DG515" s="3">
        <v>0</v>
      </c>
      <c r="DH515" s="3">
        <v>0</v>
      </c>
      <c r="DI515" s="3">
        <v>0</v>
      </c>
      <c r="DJ515" s="3">
        <v>0</v>
      </c>
      <c r="DK515" s="3">
        <v>0</v>
      </c>
      <c r="DL515" s="3">
        <v>0</v>
      </c>
      <c r="DM515" s="3">
        <v>0</v>
      </c>
      <c r="DN515" s="3">
        <v>0</v>
      </c>
      <c r="DO515" s="3">
        <v>0</v>
      </c>
    </row>
    <row r="516" spans="1:119" x14ac:dyDescent="0.45">
      <c r="A516" s="16" t="s">
        <v>3420</v>
      </c>
      <c r="B516" s="3" t="s">
        <v>89</v>
      </c>
      <c r="C516" s="16"/>
      <c r="H516" s="3" t="s">
        <v>3421</v>
      </c>
      <c r="I516" s="3" t="s">
        <v>2363</v>
      </c>
      <c r="K516" s="17" t="s">
        <v>3422</v>
      </c>
      <c r="L516" s="3">
        <v>0</v>
      </c>
      <c r="M516" s="3">
        <v>0</v>
      </c>
      <c r="N516" s="3">
        <v>0</v>
      </c>
      <c r="O516" s="3">
        <v>0</v>
      </c>
      <c r="P516" s="3">
        <v>0</v>
      </c>
      <c r="Q516" s="3">
        <v>0</v>
      </c>
      <c r="R516" s="3">
        <v>0</v>
      </c>
      <c r="S516" s="3">
        <v>0</v>
      </c>
      <c r="T516" s="3">
        <v>0</v>
      </c>
      <c r="U516" s="3">
        <v>0</v>
      </c>
      <c r="V516" s="3">
        <v>0</v>
      </c>
      <c r="W516" s="3">
        <v>0</v>
      </c>
      <c r="X516" s="3">
        <v>0</v>
      </c>
      <c r="Y516" s="3">
        <v>0</v>
      </c>
      <c r="Z516" s="3">
        <v>0</v>
      </c>
      <c r="AA516" s="3">
        <v>0</v>
      </c>
      <c r="AB516" s="3">
        <v>0</v>
      </c>
      <c r="AC516" s="3">
        <v>0</v>
      </c>
      <c r="AD516" s="3">
        <v>0</v>
      </c>
      <c r="AE516" s="3">
        <v>0</v>
      </c>
      <c r="AG516" s="17" t="s">
        <v>3423</v>
      </c>
      <c r="AH516" s="3">
        <v>0</v>
      </c>
      <c r="AI516" s="3">
        <v>0</v>
      </c>
      <c r="AJ516" s="3">
        <v>0</v>
      </c>
      <c r="AK516" s="3">
        <v>0</v>
      </c>
      <c r="AL516" s="3">
        <v>0</v>
      </c>
      <c r="AM516" s="3">
        <v>0</v>
      </c>
      <c r="AN516" s="3">
        <v>0</v>
      </c>
      <c r="AO516" s="3">
        <v>0</v>
      </c>
      <c r="AP516" s="3">
        <v>0</v>
      </c>
      <c r="AQ516" s="3">
        <v>0</v>
      </c>
      <c r="AR516" s="3">
        <v>0</v>
      </c>
      <c r="AS516" s="3">
        <v>0</v>
      </c>
      <c r="AT516" s="3">
        <v>0</v>
      </c>
      <c r="AU516" s="3">
        <v>0</v>
      </c>
      <c r="AV516" s="3">
        <v>0</v>
      </c>
      <c r="AW516" s="3">
        <v>0</v>
      </c>
      <c r="AX516" s="3">
        <v>0</v>
      </c>
      <c r="AY516" s="3">
        <v>0</v>
      </c>
      <c r="AZ516" s="3">
        <v>0</v>
      </c>
      <c r="BA516" s="3">
        <v>0</v>
      </c>
      <c r="BC516" s="17" t="s">
        <v>3424</v>
      </c>
      <c r="BD516" s="3">
        <v>0</v>
      </c>
      <c r="BE516" s="3">
        <v>0</v>
      </c>
      <c r="BF516" s="3">
        <v>0</v>
      </c>
      <c r="BG516" s="3">
        <v>0</v>
      </c>
      <c r="BH516" s="3">
        <v>0</v>
      </c>
      <c r="BI516" s="3">
        <v>0</v>
      </c>
      <c r="BJ516" s="3">
        <v>0</v>
      </c>
      <c r="BK516" s="3">
        <v>0</v>
      </c>
      <c r="BL516" s="3">
        <v>0</v>
      </c>
      <c r="BM516" s="3">
        <v>0</v>
      </c>
      <c r="BN516" s="3">
        <v>0</v>
      </c>
      <c r="BO516" s="3">
        <v>0</v>
      </c>
      <c r="BP516" s="3">
        <v>0</v>
      </c>
      <c r="BQ516" s="3">
        <v>0</v>
      </c>
      <c r="BR516" s="3">
        <v>0</v>
      </c>
      <c r="BS516" s="3">
        <v>0</v>
      </c>
      <c r="BT516" s="3">
        <v>0</v>
      </c>
      <c r="BU516" s="3">
        <v>0</v>
      </c>
      <c r="BV516" s="3">
        <v>0</v>
      </c>
      <c r="BW516" s="3">
        <v>0</v>
      </c>
      <c r="BY516" s="17" t="s">
        <v>3425</v>
      </c>
      <c r="BZ516" s="3">
        <v>0</v>
      </c>
      <c r="CA516" s="3">
        <v>0</v>
      </c>
      <c r="CB516" s="3">
        <v>0</v>
      </c>
      <c r="CC516" s="3">
        <v>0</v>
      </c>
      <c r="CD516" s="3">
        <v>0</v>
      </c>
      <c r="CE516" s="3">
        <v>0</v>
      </c>
      <c r="CF516" s="3">
        <v>0</v>
      </c>
      <c r="CG516" s="3">
        <v>0</v>
      </c>
      <c r="CH516" s="3">
        <v>0</v>
      </c>
      <c r="CI516" s="3">
        <v>0</v>
      </c>
      <c r="CJ516" s="3">
        <v>0</v>
      </c>
      <c r="CK516" s="3">
        <v>0</v>
      </c>
      <c r="CL516" s="3">
        <v>0</v>
      </c>
      <c r="CM516" s="3">
        <v>0</v>
      </c>
      <c r="CN516" s="3">
        <v>0</v>
      </c>
      <c r="CO516" s="3">
        <v>0</v>
      </c>
      <c r="CP516" s="3">
        <v>0</v>
      </c>
      <c r="CQ516" s="3">
        <v>0</v>
      </c>
      <c r="CR516" s="3">
        <v>0</v>
      </c>
      <c r="CS516" s="3">
        <v>0</v>
      </c>
      <c r="CU516" s="17" t="s">
        <v>3426</v>
      </c>
      <c r="CV516" s="3">
        <v>0</v>
      </c>
      <c r="CW516" s="3">
        <v>0</v>
      </c>
      <c r="CX516" s="3">
        <v>0</v>
      </c>
      <c r="CY516" s="3">
        <v>0</v>
      </c>
      <c r="CZ516" s="3">
        <v>0</v>
      </c>
      <c r="DA516" s="3">
        <v>0</v>
      </c>
      <c r="DB516" s="3">
        <v>0</v>
      </c>
      <c r="DC516" s="3">
        <v>0</v>
      </c>
      <c r="DD516" s="3">
        <v>0</v>
      </c>
      <c r="DE516" s="3">
        <v>0</v>
      </c>
      <c r="DF516" s="3">
        <v>0</v>
      </c>
      <c r="DG516" s="3">
        <v>0</v>
      </c>
      <c r="DH516" s="3">
        <v>0</v>
      </c>
      <c r="DI516" s="3">
        <v>0</v>
      </c>
      <c r="DJ516" s="3">
        <v>0</v>
      </c>
      <c r="DK516" s="3">
        <v>0</v>
      </c>
      <c r="DL516" s="3">
        <v>0</v>
      </c>
      <c r="DM516" s="3">
        <v>0</v>
      </c>
      <c r="DN516" s="3">
        <v>0</v>
      </c>
      <c r="DO516" s="3">
        <v>0</v>
      </c>
    </row>
    <row r="517" spans="1:119" x14ac:dyDescent="0.45">
      <c r="A517" s="16" t="s">
        <v>3427</v>
      </c>
      <c r="B517" s="3" t="s">
        <v>89</v>
      </c>
      <c r="C517" s="16"/>
      <c r="H517" s="3" t="s">
        <v>3428</v>
      </c>
      <c r="I517" s="3" t="s">
        <v>2363</v>
      </c>
      <c r="K517" s="17" t="s">
        <v>3429</v>
      </c>
      <c r="L517" s="3">
        <v>0</v>
      </c>
      <c r="M517" s="3">
        <v>0</v>
      </c>
      <c r="N517" s="3">
        <v>0</v>
      </c>
      <c r="O517" s="3">
        <v>0</v>
      </c>
      <c r="P517" s="3">
        <v>0</v>
      </c>
      <c r="Q517" s="3">
        <v>0</v>
      </c>
      <c r="R517" s="3">
        <v>0</v>
      </c>
      <c r="S517" s="3">
        <v>0</v>
      </c>
      <c r="T517" s="3">
        <v>0</v>
      </c>
      <c r="U517" s="3">
        <v>0</v>
      </c>
      <c r="V517" s="3">
        <v>0</v>
      </c>
      <c r="W517" s="3">
        <v>0</v>
      </c>
      <c r="X517" s="3">
        <v>0</v>
      </c>
      <c r="Y517" s="3">
        <v>0</v>
      </c>
      <c r="Z517" s="3">
        <v>0</v>
      </c>
      <c r="AA517" s="3">
        <v>0</v>
      </c>
      <c r="AB517" s="3">
        <v>0</v>
      </c>
      <c r="AC517" s="3">
        <v>0</v>
      </c>
      <c r="AD517" s="3">
        <v>0</v>
      </c>
      <c r="AE517" s="3">
        <v>0</v>
      </c>
      <c r="AG517" s="17" t="s">
        <v>3430</v>
      </c>
      <c r="AH517" s="3">
        <v>0</v>
      </c>
      <c r="AI517" s="3">
        <v>0</v>
      </c>
      <c r="AJ517" s="3">
        <v>0</v>
      </c>
      <c r="AK517" s="3">
        <v>0</v>
      </c>
      <c r="AL517" s="3">
        <v>0</v>
      </c>
      <c r="AM517" s="3">
        <v>0</v>
      </c>
      <c r="AN517" s="3">
        <v>0</v>
      </c>
      <c r="AO517" s="3">
        <v>0</v>
      </c>
      <c r="AP517" s="3">
        <v>0</v>
      </c>
      <c r="AQ517" s="3">
        <v>0</v>
      </c>
      <c r="AR517" s="3">
        <v>0</v>
      </c>
      <c r="AS517" s="3">
        <v>0</v>
      </c>
      <c r="AT517" s="3">
        <v>0</v>
      </c>
      <c r="AU517" s="3">
        <v>0</v>
      </c>
      <c r="AV517" s="3">
        <v>0</v>
      </c>
      <c r="AW517" s="3">
        <v>0</v>
      </c>
      <c r="AX517" s="3">
        <v>0</v>
      </c>
      <c r="AY517" s="3">
        <v>0</v>
      </c>
      <c r="AZ517" s="3">
        <v>0</v>
      </c>
      <c r="BA517" s="3">
        <v>0</v>
      </c>
      <c r="BC517" s="17" t="s">
        <v>3431</v>
      </c>
      <c r="BD517" s="3">
        <v>0</v>
      </c>
      <c r="BE517" s="3">
        <v>0</v>
      </c>
      <c r="BF517" s="3">
        <v>0</v>
      </c>
      <c r="BG517" s="3">
        <v>0</v>
      </c>
      <c r="BH517" s="3">
        <v>0</v>
      </c>
      <c r="BI517" s="3">
        <v>0</v>
      </c>
      <c r="BJ517" s="3">
        <v>0</v>
      </c>
      <c r="BK517" s="3">
        <v>0</v>
      </c>
      <c r="BL517" s="3">
        <v>0</v>
      </c>
      <c r="BM517" s="3">
        <v>0</v>
      </c>
      <c r="BN517" s="3">
        <v>0</v>
      </c>
      <c r="BO517" s="3">
        <v>0</v>
      </c>
      <c r="BP517" s="3">
        <v>0</v>
      </c>
      <c r="BQ517" s="3">
        <v>0</v>
      </c>
      <c r="BR517" s="3">
        <v>0</v>
      </c>
      <c r="BS517" s="3">
        <v>0</v>
      </c>
      <c r="BT517" s="3">
        <v>0</v>
      </c>
      <c r="BU517" s="3">
        <v>0</v>
      </c>
      <c r="BV517" s="3">
        <v>0</v>
      </c>
      <c r="BW517" s="3">
        <v>0</v>
      </c>
      <c r="BY517" s="17" t="s">
        <v>3432</v>
      </c>
      <c r="BZ517" s="3">
        <v>0</v>
      </c>
      <c r="CA517" s="3">
        <v>0</v>
      </c>
      <c r="CB517" s="3">
        <v>0</v>
      </c>
      <c r="CC517" s="3">
        <v>0</v>
      </c>
      <c r="CD517" s="3">
        <v>0</v>
      </c>
      <c r="CE517" s="3">
        <v>0</v>
      </c>
      <c r="CF517" s="3">
        <v>0</v>
      </c>
      <c r="CG517" s="3">
        <v>0</v>
      </c>
      <c r="CH517" s="3">
        <v>0</v>
      </c>
      <c r="CI517" s="3">
        <v>0</v>
      </c>
      <c r="CJ517" s="3">
        <v>0</v>
      </c>
      <c r="CK517" s="3">
        <v>0</v>
      </c>
      <c r="CL517" s="3">
        <v>0</v>
      </c>
      <c r="CM517" s="3">
        <v>0</v>
      </c>
      <c r="CN517" s="3">
        <v>0</v>
      </c>
      <c r="CO517" s="3">
        <v>0</v>
      </c>
      <c r="CP517" s="3">
        <v>0</v>
      </c>
      <c r="CQ517" s="3">
        <v>0</v>
      </c>
      <c r="CR517" s="3">
        <v>0</v>
      </c>
      <c r="CS517" s="3">
        <v>0</v>
      </c>
      <c r="CU517" s="17" t="s">
        <v>3433</v>
      </c>
      <c r="CV517" s="3">
        <v>0</v>
      </c>
      <c r="CW517" s="3">
        <v>0</v>
      </c>
      <c r="CX517" s="3">
        <v>0</v>
      </c>
      <c r="CY517" s="3">
        <v>0</v>
      </c>
      <c r="CZ517" s="3">
        <v>0</v>
      </c>
      <c r="DA517" s="3">
        <v>0</v>
      </c>
      <c r="DB517" s="3">
        <v>0</v>
      </c>
      <c r="DC517" s="3">
        <v>0</v>
      </c>
      <c r="DD517" s="3">
        <v>0</v>
      </c>
      <c r="DE517" s="3">
        <v>0</v>
      </c>
      <c r="DF517" s="3">
        <v>0</v>
      </c>
      <c r="DG517" s="3">
        <v>0</v>
      </c>
      <c r="DH517" s="3">
        <v>0</v>
      </c>
      <c r="DI517" s="3">
        <v>0</v>
      </c>
      <c r="DJ517" s="3">
        <v>0</v>
      </c>
      <c r="DK517" s="3">
        <v>0</v>
      </c>
      <c r="DL517" s="3">
        <v>0</v>
      </c>
      <c r="DM517" s="3">
        <v>0</v>
      </c>
      <c r="DN517" s="3">
        <v>0</v>
      </c>
      <c r="DO517" s="3">
        <v>0</v>
      </c>
    </row>
    <row r="518" spans="1:119" x14ac:dyDescent="0.45">
      <c r="A518" s="16" t="s">
        <v>3434</v>
      </c>
      <c r="B518" s="3" t="s">
        <v>89</v>
      </c>
      <c r="C518" s="16" t="s">
        <v>3435</v>
      </c>
      <c r="H518" s="3" t="s">
        <v>3436</v>
      </c>
      <c r="I518" s="3" t="s">
        <v>2363</v>
      </c>
      <c r="K518" s="17" t="s">
        <v>3437</v>
      </c>
      <c r="L518" s="3">
        <v>0</v>
      </c>
      <c r="M518" s="3">
        <v>0</v>
      </c>
      <c r="N518" s="3">
        <v>0</v>
      </c>
      <c r="O518" s="3">
        <v>0</v>
      </c>
      <c r="P518" s="3">
        <v>0</v>
      </c>
      <c r="Q518" s="3">
        <v>0</v>
      </c>
      <c r="R518" s="3">
        <v>0</v>
      </c>
      <c r="S518" s="3">
        <v>0</v>
      </c>
      <c r="T518" s="3">
        <v>0</v>
      </c>
      <c r="U518" s="3">
        <v>0</v>
      </c>
      <c r="V518" s="3">
        <v>0</v>
      </c>
      <c r="W518" s="3">
        <v>0</v>
      </c>
      <c r="X518" s="3">
        <v>0</v>
      </c>
      <c r="Y518" s="3">
        <v>0</v>
      </c>
      <c r="Z518" s="3">
        <v>0</v>
      </c>
      <c r="AA518" s="3">
        <v>0</v>
      </c>
      <c r="AB518" s="3">
        <v>0</v>
      </c>
      <c r="AC518" s="3">
        <v>0</v>
      </c>
      <c r="AD518" s="3">
        <v>0</v>
      </c>
      <c r="AE518" s="3">
        <v>0</v>
      </c>
      <c r="AG518" s="17" t="s">
        <v>3438</v>
      </c>
      <c r="AH518" s="3">
        <v>0</v>
      </c>
      <c r="AI518" s="3">
        <v>0</v>
      </c>
      <c r="AJ518" s="3">
        <v>0</v>
      </c>
      <c r="AK518" s="3">
        <v>0</v>
      </c>
      <c r="AL518" s="3">
        <v>0</v>
      </c>
      <c r="AM518" s="3">
        <v>0</v>
      </c>
      <c r="AN518" s="3">
        <v>0</v>
      </c>
      <c r="AO518" s="3">
        <v>0</v>
      </c>
      <c r="AP518" s="3">
        <v>0</v>
      </c>
      <c r="AQ518" s="3">
        <v>0</v>
      </c>
      <c r="AR518" s="3">
        <v>0</v>
      </c>
      <c r="AS518" s="3">
        <v>0</v>
      </c>
      <c r="AT518" s="3">
        <v>0</v>
      </c>
      <c r="AU518" s="3">
        <v>0</v>
      </c>
      <c r="AV518" s="3">
        <v>0</v>
      </c>
      <c r="AW518" s="3">
        <v>0</v>
      </c>
      <c r="AX518" s="3">
        <v>0</v>
      </c>
      <c r="AY518" s="3">
        <v>0</v>
      </c>
      <c r="AZ518" s="3">
        <v>0</v>
      </c>
      <c r="BA518" s="3">
        <v>0</v>
      </c>
      <c r="BC518" s="17" t="s">
        <v>3439</v>
      </c>
      <c r="BD518" s="3">
        <v>0</v>
      </c>
      <c r="BE518" s="3">
        <v>0</v>
      </c>
      <c r="BF518" s="3">
        <v>0</v>
      </c>
      <c r="BG518" s="3">
        <v>0</v>
      </c>
      <c r="BH518" s="3">
        <v>0</v>
      </c>
      <c r="BI518" s="3">
        <v>0</v>
      </c>
      <c r="BJ518" s="3">
        <v>0</v>
      </c>
      <c r="BK518" s="3">
        <v>0</v>
      </c>
      <c r="BL518" s="3">
        <v>0</v>
      </c>
      <c r="BM518" s="3">
        <v>0</v>
      </c>
      <c r="BN518" s="3">
        <v>0</v>
      </c>
      <c r="BO518" s="3">
        <v>0</v>
      </c>
      <c r="BP518" s="3">
        <v>0</v>
      </c>
      <c r="BQ518" s="3">
        <v>0</v>
      </c>
      <c r="BR518" s="3">
        <v>0</v>
      </c>
      <c r="BS518" s="3">
        <v>0</v>
      </c>
      <c r="BT518" s="3">
        <v>0</v>
      </c>
      <c r="BU518" s="3">
        <v>0</v>
      </c>
      <c r="BV518" s="3">
        <v>0</v>
      </c>
      <c r="BW518" s="3">
        <v>0</v>
      </c>
      <c r="BY518" s="17" t="s">
        <v>3440</v>
      </c>
      <c r="BZ518" s="3">
        <v>0</v>
      </c>
      <c r="CA518" s="3">
        <v>0</v>
      </c>
      <c r="CB518" s="3">
        <v>0</v>
      </c>
      <c r="CC518" s="3">
        <v>0</v>
      </c>
      <c r="CD518" s="3">
        <v>0</v>
      </c>
      <c r="CE518" s="3">
        <v>0</v>
      </c>
      <c r="CF518" s="3">
        <v>0</v>
      </c>
      <c r="CG518" s="3">
        <v>0</v>
      </c>
      <c r="CH518" s="3">
        <v>0</v>
      </c>
      <c r="CI518" s="3">
        <v>0</v>
      </c>
      <c r="CJ518" s="3">
        <v>0</v>
      </c>
      <c r="CK518" s="3">
        <v>0</v>
      </c>
      <c r="CL518" s="3">
        <v>0</v>
      </c>
      <c r="CM518" s="3">
        <v>0</v>
      </c>
      <c r="CN518" s="3">
        <v>0</v>
      </c>
      <c r="CO518" s="3">
        <v>0</v>
      </c>
      <c r="CP518" s="3">
        <v>0</v>
      </c>
      <c r="CQ518" s="3">
        <v>0</v>
      </c>
      <c r="CR518" s="3">
        <v>0</v>
      </c>
      <c r="CS518" s="3">
        <v>0</v>
      </c>
      <c r="CU518" s="17" t="s">
        <v>3441</v>
      </c>
      <c r="CV518" s="3">
        <v>0</v>
      </c>
      <c r="CW518" s="3">
        <v>0</v>
      </c>
      <c r="CX518" s="3">
        <v>0</v>
      </c>
      <c r="CY518" s="3">
        <v>0</v>
      </c>
      <c r="CZ518" s="3">
        <v>0</v>
      </c>
      <c r="DA518" s="3">
        <v>0</v>
      </c>
      <c r="DB518" s="3">
        <v>0</v>
      </c>
      <c r="DC518" s="3">
        <v>0</v>
      </c>
      <c r="DD518" s="3">
        <v>0</v>
      </c>
      <c r="DE518" s="3">
        <v>0</v>
      </c>
      <c r="DF518" s="3">
        <v>0</v>
      </c>
      <c r="DG518" s="3">
        <v>0</v>
      </c>
      <c r="DH518" s="3">
        <v>0</v>
      </c>
      <c r="DI518" s="3">
        <v>0</v>
      </c>
      <c r="DJ518" s="3">
        <v>0</v>
      </c>
      <c r="DK518" s="3">
        <v>0</v>
      </c>
      <c r="DL518" s="3">
        <v>0</v>
      </c>
      <c r="DM518" s="3">
        <v>0</v>
      </c>
      <c r="DN518" s="3">
        <v>0</v>
      </c>
      <c r="DO518" s="3">
        <v>0</v>
      </c>
    </row>
    <row r="519" spans="1:119" x14ac:dyDescent="0.45">
      <c r="A519" s="16" t="s">
        <v>3442</v>
      </c>
      <c r="B519" s="3" t="s">
        <v>89</v>
      </c>
      <c r="C519" s="16" t="s">
        <v>3443</v>
      </c>
      <c r="H519" s="3" t="s">
        <v>3444</v>
      </c>
      <c r="I519" s="3" t="s">
        <v>2363</v>
      </c>
      <c r="K519" s="17" t="s">
        <v>3445</v>
      </c>
      <c r="L519" s="3">
        <v>0</v>
      </c>
      <c r="M519" s="3">
        <v>0</v>
      </c>
      <c r="N519" s="3">
        <v>0</v>
      </c>
      <c r="O519" s="3">
        <v>0</v>
      </c>
      <c r="P519" s="3">
        <v>0</v>
      </c>
      <c r="Q519" s="3">
        <v>0</v>
      </c>
      <c r="R519" s="3">
        <v>0</v>
      </c>
      <c r="S519" s="3">
        <v>0</v>
      </c>
      <c r="T519" s="3">
        <v>0</v>
      </c>
      <c r="U519" s="3">
        <v>0</v>
      </c>
      <c r="V519" s="3">
        <v>0</v>
      </c>
      <c r="W519" s="3">
        <v>0</v>
      </c>
      <c r="X519" s="3">
        <v>0</v>
      </c>
      <c r="Y519" s="3">
        <v>0</v>
      </c>
      <c r="Z519" s="3">
        <v>0</v>
      </c>
      <c r="AA519" s="3">
        <v>0</v>
      </c>
      <c r="AB519" s="3">
        <v>0</v>
      </c>
      <c r="AC519" s="3">
        <v>0</v>
      </c>
      <c r="AD519" s="3">
        <v>0</v>
      </c>
      <c r="AE519" s="3">
        <v>0</v>
      </c>
      <c r="AG519" s="17" t="s">
        <v>3446</v>
      </c>
      <c r="AH519" s="3">
        <v>0</v>
      </c>
      <c r="AI519" s="3">
        <v>0</v>
      </c>
      <c r="AJ519" s="3">
        <v>0</v>
      </c>
      <c r="AK519" s="3">
        <v>0</v>
      </c>
      <c r="AL519" s="3">
        <v>0</v>
      </c>
      <c r="AM519" s="3">
        <v>0</v>
      </c>
      <c r="AN519" s="3">
        <v>0</v>
      </c>
      <c r="AO519" s="3">
        <v>0</v>
      </c>
      <c r="AP519" s="3">
        <v>0</v>
      </c>
      <c r="AQ519" s="3">
        <v>0</v>
      </c>
      <c r="AR519" s="3">
        <v>0</v>
      </c>
      <c r="AS519" s="3">
        <v>0</v>
      </c>
      <c r="AT519" s="3">
        <v>0</v>
      </c>
      <c r="AU519" s="3">
        <v>0</v>
      </c>
      <c r="AV519" s="3">
        <v>0</v>
      </c>
      <c r="AW519" s="3">
        <v>0</v>
      </c>
      <c r="AX519" s="3">
        <v>0</v>
      </c>
      <c r="AY519" s="3">
        <v>0</v>
      </c>
      <c r="AZ519" s="3">
        <v>0</v>
      </c>
      <c r="BA519" s="3">
        <v>0</v>
      </c>
      <c r="BC519" s="17" t="s">
        <v>3447</v>
      </c>
      <c r="BD519" s="3">
        <v>0</v>
      </c>
      <c r="BE519" s="3">
        <v>0</v>
      </c>
      <c r="BF519" s="3">
        <v>0</v>
      </c>
      <c r="BG519" s="3">
        <v>0</v>
      </c>
      <c r="BH519" s="3">
        <v>0</v>
      </c>
      <c r="BI519" s="3">
        <v>0</v>
      </c>
      <c r="BJ519" s="3">
        <v>0</v>
      </c>
      <c r="BK519" s="3">
        <v>0</v>
      </c>
      <c r="BL519" s="3">
        <v>0</v>
      </c>
      <c r="BM519" s="3">
        <v>0</v>
      </c>
      <c r="BN519" s="3">
        <v>0</v>
      </c>
      <c r="BO519" s="3">
        <v>0</v>
      </c>
      <c r="BP519" s="3">
        <v>0</v>
      </c>
      <c r="BQ519" s="3">
        <v>0</v>
      </c>
      <c r="BR519" s="3">
        <v>0</v>
      </c>
      <c r="BS519" s="3">
        <v>0</v>
      </c>
      <c r="BT519" s="3">
        <v>0</v>
      </c>
      <c r="BU519" s="3">
        <v>0</v>
      </c>
      <c r="BV519" s="3">
        <v>0</v>
      </c>
      <c r="BW519" s="3">
        <v>0</v>
      </c>
      <c r="BY519" s="17" t="s">
        <v>3448</v>
      </c>
      <c r="BZ519" s="3">
        <v>0</v>
      </c>
      <c r="CA519" s="3">
        <v>0</v>
      </c>
      <c r="CB519" s="3">
        <v>0</v>
      </c>
      <c r="CC519" s="3">
        <v>0</v>
      </c>
      <c r="CD519" s="3">
        <v>0</v>
      </c>
      <c r="CE519" s="3">
        <v>0</v>
      </c>
      <c r="CF519" s="3">
        <v>0</v>
      </c>
      <c r="CG519" s="3">
        <v>0</v>
      </c>
      <c r="CH519" s="3">
        <v>0</v>
      </c>
      <c r="CI519" s="3">
        <v>0</v>
      </c>
      <c r="CJ519" s="3">
        <v>0</v>
      </c>
      <c r="CK519" s="3">
        <v>0</v>
      </c>
      <c r="CL519" s="3">
        <v>0</v>
      </c>
      <c r="CM519" s="3">
        <v>0</v>
      </c>
      <c r="CN519" s="3">
        <v>0</v>
      </c>
      <c r="CO519" s="3">
        <v>0</v>
      </c>
      <c r="CP519" s="3">
        <v>0</v>
      </c>
      <c r="CQ519" s="3">
        <v>0</v>
      </c>
      <c r="CR519" s="3">
        <v>0</v>
      </c>
      <c r="CS519" s="3">
        <v>0</v>
      </c>
      <c r="CU519" s="17" t="s">
        <v>3449</v>
      </c>
      <c r="CV519" s="3">
        <v>0</v>
      </c>
      <c r="CW519" s="3">
        <v>0</v>
      </c>
      <c r="CX519" s="3">
        <v>0</v>
      </c>
      <c r="CY519" s="3">
        <v>0</v>
      </c>
      <c r="CZ519" s="3">
        <v>0</v>
      </c>
      <c r="DA519" s="3">
        <v>0</v>
      </c>
      <c r="DB519" s="3">
        <v>0</v>
      </c>
      <c r="DC519" s="3">
        <v>0</v>
      </c>
      <c r="DD519" s="3">
        <v>0</v>
      </c>
      <c r="DE519" s="3">
        <v>0</v>
      </c>
      <c r="DF519" s="3">
        <v>0</v>
      </c>
      <c r="DG519" s="3">
        <v>0</v>
      </c>
      <c r="DH519" s="3">
        <v>0</v>
      </c>
      <c r="DI519" s="3">
        <v>0</v>
      </c>
      <c r="DJ519" s="3">
        <v>0</v>
      </c>
      <c r="DK519" s="3">
        <v>0</v>
      </c>
      <c r="DL519" s="3">
        <v>0</v>
      </c>
      <c r="DM519" s="3">
        <v>0</v>
      </c>
      <c r="DN519" s="3">
        <v>0</v>
      </c>
      <c r="DO519" s="3">
        <v>0</v>
      </c>
    </row>
    <row r="520" spans="1:119" x14ac:dyDescent="0.45">
      <c r="A520" s="16" t="s">
        <v>3450</v>
      </c>
      <c r="B520" s="3" t="s">
        <v>89</v>
      </c>
      <c r="C520" s="16" t="s">
        <v>3451</v>
      </c>
      <c r="H520" s="3" t="s">
        <v>3452</v>
      </c>
      <c r="I520" s="3" t="s">
        <v>2363</v>
      </c>
      <c r="K520" s="17" t="s">
        <v>3453</v>
      </c>
      <c r="L520" s="3">
        <v>0</v>
      </c>
      <c r="M520" s="3">
        <v>0</v>
      </c>
      <c r="N520" s="3">
        <v>0</v>
      </c>
      <c r="O520" s="3">
        <v>0</v>
      </c>
      <c r="P520" s="3">
        <v>0</v>
      </c>
      <c r="Q520" s="3">
        <v>0</v>
      </c>
      <c r="R520" s="3">
        <v>0</v>
      </c>
      <c r="S520" s="3">
        <v>0</v>
      </c>
      <c r="T520" s="3">
        <v>0</v>
      </c>
      <c r="U520" s="3">
        <v>0</v>
      </c>
      <c r="V520" s="3">
        <v>0</v>
      </c>
      <c r="W520" s="3">
        <v>0</v>
      </c>
      <c r="X520" s="3">
        <v>0</v>
      </c>
      <c r="Y520" s="3">
        <v>0</v>
      </c>
      <c r="Z520" s="3">
        <v>0</v>
      </c>
      <c r="AA520" s="3">
        <v>0</v>
      </c>
      <c r="AB520" s="3">
        <v>0</v>
      </c>
      <c r="AC520" s="3">
        <v>0</v>
      </c>
      <c r="AD520" s="3">
        <v>0</v>
      </c>
      <c r="AE520" s="3">
        <v>0</v>
      </c>
      <c r="AG520" s="17" t="s">
        <v>3454</v>
      </c>
      <c r="AH520" s="3">
        <v>0</v>
      </c>
      <c r="AI520" s="3">
        <v>0</v>
      </c>
      <c r="AJ520" s="3">
        <v>0</v>
      </c>
      <c r="AK520" s="3">
        <v>0</v>
      </c>
      <c r="AL520" s="3">
        <v>0</v>
      </c>
      <c r="AM520" s="3">
        <v>0</v>
      </c>
      <c r="AN520" s="3">
        <v>0</v>
      </c>
      <c r="AO520" s="3">
        <v>0</v>
      </c>
      <c r="AP520" s="3">
        <v>0</v>
      </c>
      <c r="AQ520" s="3">
        <v>0</v>
      </c>
      <c r="AR520" s="3">
        <v>0</v>
      </c>
      <c r="AS520" s="3">
        <v>0</v>
      </c>
      <c r="AT520" s="3">
        <v>0</v>
      </c>
      <c r="AU520" s="3">
        <v>0</v>
      </c>
      <c r="AV520" s="3">
        <v>0</v>
      </c>
      <c r="AW520" s="3">
        <v>0</v>
      </c>
      <c r="AX520" s="3">
        <v>0</v>
      </c>
      <c r="AY520" s="3">
        <v>0</v>
      </c>
      <c r="AZ520" s="3">
        <v>0</v>
      </c>
      <c r="BA520" s="3">
        <v>0</v>
      </c>
      <c r="BC520" s="17" t="s">
        <v>3455</v>
      </c>
      <c r="BD520" s="3">
        <v>0</v>
      </c>
      <c r="BE520" s="3">
        <v>0</v>
      </c>
      <c r="BF520" s="3">
        <v>0</v>
      </c>
      <c r="BG520" s="3">
        <v>0</v>
      </c>
      <c r="BH520" s="3">
        <v>0</v>
      </c>
      <c r="BI520" s="3">
        <v>0</v>
      </c>
      <c r="BJ520" s="3">
        <v>0</v>
      </c>
      <c r="BK520" s="3">
        <v>0</v>
      </c>
      <c r="BL520" s="3">
        <v>0</v>
      </c>
      <c r="BM520" s="3">
        <v>0</v>
      </c>
      <c r="BN520" s="3">
        <v>0</v>
      </c>
      <c r="BO520" s="3">
        <v>0</v>
      </c>
      <c r="BP520" s="3">
        <v>0</v>
      </c>
      <c r="BQ520" s="3">
        <v>0</v>
      </c>
      <c r="BR520" s="3">
        <v>0</v>
      </c>
      <c r="BS520" s="3">
        <v>0</v>
      </c>
      <c r="BT520" s="3">
        <v>0</v>
      </c>
      <c r="BU520" s="3">
        <v>0</v>
      </c>
      <c r="BV520" s="3">
        <v>0</v>
      </c>
      <c r="BW520" s="3">
        <v>0</v>
      </c>
      <c r="BY520" s="17" t="s">
        <v>3456</v>
      </c>
      <c r="BZ520" s="3">
        <v>0</v>
      </c>
      <c r="CA520" s="3">
        <v>0</v>
      </c>
      <c r="CB520" s="3">
        <v>0</v>
      </c>
      <c r="CC520" s="3">
        <v>0</v>
      </c>
      <c r="CD520" s="3">
        <v>0</v>
      </c>
      <c r="CE520" s="3">
        <v>0</v>
      </c>
      <c r="CF520" s="3">
        <v>0</v>
      </c>
      <c r="CG520" s="3">
        <v>0</v>
      </c>
      <c r="CH520" s="3">
        <v>0</v>
      </c>
      <c r="CI520" s="3">
        <v>0</v>
      </c>
      <c r="CJ520" s="3">
        <v>0</v>
      </c>
      <c r="CK520" s="3">
        <v>0</v>
      </c>
      <c r="CL520" s="3">
        <v>0</v>
      </c>
      <c r="CM520" s="3">
        <v>0</v>
      </c>
      <c r="CN520" s="3">
        <v>0</v>
      </c>
      <c r="CO520" s="3">
        <v>0</v>
      </c>
      <c r="CP520" s="3">
        <v>0</v>
      </c>
      <c r="CQ520" s="3">
        <v>0</v>
      </c>
      <c r="CR520" s="3">
        <v>0</v>
      </c>
      <c r="CS520" s="3">
        <v>0</v>
      </c>
      <c r="CU520" s="17" t="s">
        <v>3457</v>
      </c>
      <c r="CV520" s="3">
        <v>0</v>
      </c>
      <c r="CW520" s="3">
        <v>0</v>
      </c>
      <c r="CX520" s="3">
        <v>0</v>
      </c>
      <c r="CY520" s="3">
        <v>0</v>
      </c>
      <c r="CZ520" s="3">
        <v>0</v>
      </c>
      <c r="DA520" s="3">
        <v>0</v>
      </c>
      <c r="DB520" s="3">
        <v>0</v>
      </c>
      <c r="DC520" s="3">
        <v>0</v>
      </c>
      <c r="DD520" s="3">
        <v>0</v>
      </c>
      <c r="DE520" s="3">
        <v>0</v>
      </c>
      <c r="DF520" s="3">
        <v>0</v>
      </c>
      <c r="DG520" s="3">
        <v>0</v>
      </c>
      <c r="DH520" s="3">
        <v>0</v>
      </c>
      <c r="DI520" s="3">
        <v>0</v>
      </c>
      <c r="DJ520" s="3">
        <v>0</v>
      </c>
      <c r="DK520" s="3">
        <v>0</v>
      </c>
      <c r="DL520" s="3">
        <v>0</v>
      </c>
      <c r="DM520" s="3">
        <v>0</v>
      </c>
      <c r="DN520" s="3">
        <v>0</v>
      </c>
      <c r="DO520" s="3">
        <v>0</v>
      </c>
    </row>
    <row r="521" spans="1:119" x14ac:dyDescent="0.45">
      <c r="A521" s="11"/>
      <c r="B521" s="3" t="s">
        <v>89</v>
      </c>
      <c r="C521" s="16" t="s">
        <v>3458</v>
      </c>
      <c r="H521" s="11" t="s">
        <v>3459</v>
      </c>
      <c r="I521" s="11" t="s">
        <v>2363</v>
      </c>
    </row>
    <row r="522" spans="1:119" x14ac:dyDescent="0.45">
      <c r="A522" s="16" t="s">
        <v>3460</v>
      </c>
      <c r="B522" s="3" t="s">
        <v>89</v>
      </c>
      <c r="C522" s="16"/>
      <c r="H522" s="3" t="s">
        <v>3461</v>
      </c>
      <c r="I522" s="3" t="s">
        <v>2363</v>
      </c>
      <c r="K522" s="17" t="s">
        <v>3462</v>
      </c>
      <c r="L522" s="3">
        <v>0</v>
      </c>
      <c r="M522" s="3">
        <v>0</v>
      </c>
      <c r="N522" s="3">
        <v>0</v>
      </c>
      <c r="O522" s="3">
        <v>0</v>
      </c>
      <c r="P522" s="3">
        <v>0</v>
      </c>
      <c r="Q522" s="3">
        <v>0</v>
      </c>
      <c r="R522" s="3">
        <v>0</v>
      </c>
      <c r="S522" s="3">
        <v>0</v>
      </c>
      <c r="T522" s="3">
        <v>0</v>
      </c>
      <c r="U522" s="3">
        <v>0</v>
      </c>
      <c r="V522" s="3">
        <v>0</v>
      </c>
      <c r="W522" s="3">
        <v>0</v>
      </c>
      <c r="X522" s="3">
        <v>0</v>
      </c>
      <c r="Y522" s="3">
        <v>0</v>
      </c>
      <c r="Z522" s="3">
        <v>0</v>
      </c>
      <c r="AA522" s="3">
        <v>0</v>
      </c>
      <c r="AB522" s="3">
        <v>0</v>
      </c>
      <c r="AC522" s="3">
        <v>0</v>
      </c>
      <c r="AD522" s="3">
        <v>0</v>
      </c>
      <c r="AE522" s="3">
        <v>0</v>
      </c>
      <c r="AG522" s="17" t="s">
        <v>3463</v>
      </c>
      <c r="AH522" s="3">
        <v>0</v>
      </c>
      <c r="AI522" s="3">
        <v>0</v>
      </c>
      <c r="AJ522" s="3">
        <v>0</v>
      </c>
      <c r="AK522" s="3">
        <v>0</v>
      </c>
      <c r="AL522" s="3">
        <v>0</v>
      </c>
      <c r="AM522" s="3">
        <v>0</v>
      </c>
      <c r="AN522" s="3">
        <v>0</v>
      </c>
      <c r="AO522" s="3">
        <v>0</v>
      </c>
      <c r="AP522" s="3">
        <v>0</v>
      </c>
      <c r="AQ522" s="3">
        <v>0</v>
      </c>
      <c r="AR522" s="3">
        <v>0</v>
      </c>
      <c r="AS522" s="3">
        <v>0</v>
      </c>
      <c r="AT522" s="3">
        <v>0</v>
      </c>
      <c r="AU522" s="3">
        <v>0</v>
      </c>
      <c r="AV522" s="3">
        <v>0</v>
      </c>
      <c r="AW522" s="3">
        <v>0</v>
      </c>
      <c r="AX522" s="3">
        <v>0</v>
      </c>
      <c r="AY522" s="3">
        <v>0</v>
      </c>
      <c r="AZ522" s="3">
        <v>0</v>
      </c>
      <c r="BA522" s="3">
        <v>0</v>
      </c>
      <c r="BC522" s="17" t="s">
        <v>3464</v>
      </c>
      <c r="BD522" s="3">
        <v>0</v>
      </c>
      <c r="BE522" s="3">
        <v>0</v>
      </c>
      <c r="BF522" s="3">
        <v>0</v>
      </c>
      <c r="BG522" s="3">
        <v>0</v>
      </c>
      <c r="BH522" s="3">
        <v>0</v>
      </c>
      <c r="BI522" s="3">
        <v>0</v>
      </c>
      <c r="BJ522" s="3">
        <v>0</v>
      </c>
      <c r="BK522" s="3">
        <v>0</v>
      </c>
      <c r="BL522" s="3">
        <v>0</v>
      </c>
      <c r="BM522" s="3">
        <v>0</v>
      </c>
      <c r="BN522" s="3">
        <v>0</v>
      </c>
      <c r="BO522" s="3">
        <v>0</v>
      </c>
      <c r="BP522" s="3">
        <v>0</v>
      </c>
      <c r="BQ522" s="3">
        <v>0</v>
      </c>
      <c r="BR522" s="3">
        <v>0</v>
      </c>
      <c r="BS522" s="3">
        <v>0</v>
      </c>
      <c r="BT522" s="3">
        <v>0</v>
      </c>
      <c r="BU522" s="3">
        <v>0</v>
      </c>
      <c r="BV522" s="3">
        <v>0</v>
      </c>
      <c r="BW522" s="3">
        <v>0</v>
      </c>
      <c r="BY522" s="17" t="s">
        <v>3465</v>
      </c>
      <c r="BZ522" s="3">
        <v>0</v>
      </c>
      <c r="CA522" s="3">
        <v>0</v>
      </c>
      <c r="CB522" s="3">
        <v>0</v>
      </c>
      <c r="CC522" s="3">
        <v>0</v>
      </c>
      <c r="CD522" s="3">
        <v>0</v>
      </c>
      <c r="CE522" s="3">
        <v>0</v>
      </c>
      <c r="CF522" s="3">
        <v>0</v>
      </c>
      <c r="CG522" s="3">
        <v>0</v>
      </c>
      <c r="CH522" s="3">
        <v>0</v>
      </c>
      <c r="CI522" s="3">
        <v>0</v>
      </c>
      <c r="CJ522" s="3">
        <v>0</v>
      </c>
      <c r="CK522" s="3">
        <v>0</v>
      </c>
      <c r="CL522" s="3">
        <v>0</v>
      </c>
      <c r="CM522" s="3">
        <v>0</v>
      </c>
      <c r="CN522" s="3">
        <v>0</v>
      </c>
      <c r="CO522" s="3">
        <v>0</v>
      </c>
      <c r="CP522" s="3">
        <v>0</v>
      </c>
      <c r="CQ522" s="3">
        <v>0</v>
      </c>
      <c r="CR522" s="3">
        <v>0</v>
      </c>
      <c r="CS522" s="3">
        <v>0</v>
      </c>
      <c r="CU522" s="17" t="s">
        <v>3466</v>
      </c>
      <c r="CV522" s="3">
        <v>0</v>
      </c>
      <c r="CW522" s="3">
        <v>0</v>
      </c>
      <c r="CX522" s="3">
        <v>0</v>
      </c>
      <c r="CY522" s="3">
        <v>0</v>
      </c>
      <c r="CZ522" s="3">
        <v>0</v>
      </c>
      <c r="DA522" s="3">
        <v>0</v>
      </c>
      <c r="DB522" s="3">
        <v>0</v>
      </c>
      <c r="DC522" s="3">
        <v>0</v>
      </c>
      <c r="DD522" s="3">
        <v>0</v>
      </c>
      <c r="DE522" s="3">
        <v>0</v>
      </c>
      <c r="DF522" s="3">
        <v>0</v>
      </c>
      <c r="DG522" s="3">
        <v>0</v>
      </c>
      <c r="DH522" s="3">
        <v>0</v>
      </c>
      <c r="DI522" s="3">
        <v>0</v>
      </c>
      <c r="DJ522" s="3">
        <v>0</v>
      </c>
      <c r="DK522" s="3">
        <v>0</v>
      </c>
      <c r="DL522" s="3">
        <v>0</v>
      </c>
      <c r="DM522" s="3">
        <v>0</v>
      </c>
      <c r="DN522" s="3">
        <v>0</v>
      </c>
      <c r="DO522" s="3">
        <v>0</v>
      </c>
    </row>
    <row r="523" spans="1:119" x14ac:dyDescent="0.45">
      <c r="A523" s="16" t="s">
        <v>3467</v>
      </c>
      <c r="B523" s="3" t="s">
        <v>89</v>
      </c>
      <c r="C523" s="16"/>
      <c r="H523" s="3" t="s">
        <v>3468</v>
      </c>
      <c r="I523" s="3" t="s">
        <v>2363</v>
      </c>
      <c r="K523" s="17" t="s">
        <v>3469</v>
      </c>
      <c r="L523" s="3">
        <v>0</v>
      </c>
      <c r="M523" s="3">
        <v>0</v>
      </c>
      <c r="N523" s="3">
        <v>0</v>
      </c>
      <c r="O523" s="3">
        <v>0</v>
      </c>
      <c r="P523" s="3">
        <v>0</v>
      </c>
      <c r="Q523" s="3">
        <v>0</v>
      </c>
      <c r="R523" s="3">
        <v>0</v>
      </c>
      <c r="S523" s="3">
        <v>0</v>
      </c>
      <c r="T523" s="3">
        <v>0</v>
      </c>
      <c r="U523" s="3">
        <v>0</v>
      </c>
      <c r="V523" s="3">
        <v>0</v>
      </c>
      <c r="W523" s="3">
        <v>0</v>
      </c>
      <c r="X523" s="3">
        <v>0</v>
      </c>
      <c r="Y523" s="3">
        <v>0</v>
      </c>
      <c r="Z523" s="3">
        <v>0</v>
      </c>
      <c r="AA523" s="3">
        <v>0</v>
      </c>
      <c r="AB523" s="3">
        <v>0</v>
      </c>
      <c r="AC523" s="3">
        <v>0</v>
      </c>
      <c r="AD523" s="3">
        <v>0</v>
      </c>
      <c r="AE523" s="3">
        <v>0</v>
      </c>
      <c r="AG523" s="17" t="s">
        <v>3470</v>
      </c>
      <c r="AH523" s="3">
        <v>0</v>
      </c>
      <c r="AI523" s="3">
        <v>0</v>
      </c>
      <c r="AJ523" s="3">
        <v>0</v>
      </c>
      <c r="AK523" s="3">
        <v>0</v>
      </c>
      <c r="AL523" s="3">
        <v>0</v>
      </c>
      <c r="AM523" s="3">
        <v>0</v>
      </c>
      <c r="AN523" s="3">
        <v>0</v>
      </c>
      <c r="AO523" s="3">
        <v>0</v>
      </c>
      <c r="AP523" s="3">
        <v>0</v>
      </c>
      <c r="AQ523" s="3">
        <v>0</v>
      </c>
      <c r="AR523" s="3">
        <v>0</v>
      </c>
      <c r="AS523" s="3">
        <v>0</v>
      </c>
      <c r="AT523" s="3">
        <v>0</v>
      </c>
      <c r="AU523" s="3">
        <v>0</v>
      </c>
      <c r="AV523" s="3">
        <v>0</v>
      </c>
      <c r="AW523" s="3">
        <v>0</v>
      </c>
      <c r="AX523" s="3">
        <v>0</v>
      </c>
      <c r="AY523" s="3">
        <v>0</v>
      </c>
      <c r="AZ523" s="3">
        <v>0</v>
      </c>
      <c r="BA523" s="3">
        <v>0</v>
      </c>
      <c r="BC523" s="17" t="s">
        <v>3471</v>
      </c>
      <c r="BD523" s="3">
        <v>0</v>
      </c>
      <c r="BE523" s="3">
        <v>0</v>
      </c>
      <c r="BF523" s="3">
        <v>0</v>
      </c>
      <c r="BG523" s="3">
        <v>0</v>
      </c>
      <c r="BH523" s="3">
        <v>0</v>
      </c>
      <c r="BI523" s="3">
        <v>0</v>
      </c>
      <c r="BJ523" s="3">
        <v>0</v>
      </c>
      <c r="BK523" s="3">
        <v>0</v>
      </c>
      <c r="BL523" s="3">
        <v>0</v>
      </c>
      <c r="BM523" s="3">
        <v>0</v>
      </c>
      <c r="BN523" s="3">
        <v>0</v>
      </c>
      <c r="BO523" s="3">
        <v>0</v>
      </c>
      <c r="BP523" s="3">
        <v>0</v>
      </c>
      <c r="BQ523" s="3">
        <v>0</v>
      </c>
      <c r="BR523" s="3">
        <v>0</v>
      </c>
      <c r="BS523" s="3">
        <v>0</v>
      </c>
      <c r="BT523" s="3">
        <v>0</v>
      </c>
      <c r="BU523" s="3">
        <v>0</v>
      </c>
      <c r="BV523" s="3">
        <v>0</v>
      </c>
      <c r="BW523" s="3">
        <v>0</v>
      </c>
      <c r="BY523" s="17" t="s">
        <v>3472</v>
      </c>
      <c r="BZ523" s="3">
        <v>0</v>
      </c>
      <c r="CA523" s="3">
        <v>0</v>
      </c>
      <c r="CB523" s="3">
        <v>0</v>
      </c>
      <c r="CC523" s="3">
        <v>0</v>
      </c>
      <c r="CD523" s="3">
        <v>0</v>
      </c>
      <c r="CE523" s="3">
        <v>0</v>
      </c>
      <c r="CF523" s="3">
        <v>0</v>
      </c>
      <c r="CG523" s="3">
        <v>0</v>
      </c>
      <c r="CH523" s="3">
        <v>0</v>
      </c>
      <c r="CI523" s="3">
        <v>0</v>
      </c>
      <c r="CJ523" s="3">
        <v>0</v>
      </c>
      <c r="CK523" s="3">
        <v>0</v>
      </c>
      <c r="CL523" s="3">
        <v>0</v>
      </c>
      <c r="CM523" s="3">
        <v>0</v>
      </c>
      <c r="CN523" s="3">
        <v>0</v>
      </c>
      <c r="CO523" s="3">
        <v>0</v>
      </c>
      <c r="CP523" s="3">
        <v>0</v>
      </c>
      <c r="CQ523" s="3">
        <v>0</v>
      </c>
      <c r="CR523" s="3">
        <v>0</v>
      </c>
      <c r="CS523" s="3">
        <v>0</v>
      </c>
      <c r="CU523" s="17" t="s">
        <v>3473</v>
      </c>
      <c r="CV523" s="3">
        <v>0</v>
      </c>
      <c r="CW523" s="3">
        <v>0</v>
      </c>
      <c r="CX523" s="3">
        <v>0</v>
      </c>
      <c r="CY523" s="3">
        <v>0</v>
      </c>
      <c r="CZ523" s="3">
        <v>0</v>
      </c>
      <c r="DA523" s="3">
        <v>0</v>
      </c>
      <c r="DB523" s="3">
        <v>0</v>
      </c>
      <c r="DC523" s="3">
        <v>0</v>
      </c>
      <c r="DD523" s="3">
        <v>0</v>
      </c>
      <c r="DE523" s="3">
        <v>0</v>
      </c>
      <c r="DF523" s="3">
        <v>0</v>
      </c>
      <c r="DG523" s="3">
        <v>0</v>
      </c>
      <c r="DH523" s="3">
        <v>0</v>
      </c>
      <c r="DI523" s="3">
        <v>0</v>
      </c>
      <c r="DJ523" s="3">
        <v>0</v>
      </c>
      <c r="DK523" s="3">
        <v>0</v>
      </c>
      <c r="DL523" s="3">
        <v>0</v>
      </c>
      <c r="DM523" s="3">
        <v>0</v>
      </c>
      <c r="DN523" s="3">
        <v>0</v>
      </c>
      <c r="DO523" s="3">
        <v>0</v>
      </c>
    </row>
    <row r="524" spans="1:119" x14ac:dyDescent="0.45">
      <c r="A524" s="16" t="s">
        <v>3474</v>
      </c>
      <c r="B524" s="3" t="s">
        <v>89</v>
      </c>
      <c r="C524" s="16"/>
      <c r="H524" s="3" t="s">
        <v>3475</v>
      </c>
      <c r="I524" s="3" t="s">
        <v>2363</v>
      </c>
      <c r="K524" s="17" t="s">
        <v>3476</v>
      </c>
      <c r="L524" s="3">
        <v>0</v>
      </c>
      <c r="M524" s="3">
        <v>0</v>
      </c>
      <c r="N524" s="3">
        <v>0</v>
      </c>
      <c r="O524" s="3">
        <v>0</v>
      </c>
      <c r="P524" s="3">
        <v>0</v>
      </c>
      <c r="Q524" s="3">
        <v>0</v>
      </c>
      <c r="R524" s="3">
        <v>0</v>
      </c>
      <c r="S524" s="3">
        <v>0</v>
      </c>
      <c r="T524" s="3">
        <v>0</v>
      </c>
      <c r="U524" s="3">
        <v>0</v>
      </c>
      <c r="V524" s="3">
        <v>0</v>
      </c>
      <c r="W524" s="3">
        <v>0</v>
      </c>
      <c r="X524" s="3">
        <v>0</v>
      </c>
      <c r="Y524" s="3">
        <v>0</v>
      </c>
      <c r="Z524" s="3">
        <v>0</v>
      </c>
      <c r="AA524" s="3">
        <v>0</v>
      </c>
      <c r="AB524" s="3">
        <v>0</v>
      </c>
      <c r="AC524" s="3">
        <v>0</v>
      </c>
      <c r="AD524" s="3">
        <v>0</v>
      </c>
      <c r="AE524" s="3">
        <v>0</v>
      </c>
      <c r="AG524" s="17" t="s">
        <v>3477</v>
      </c>
      <c r="AH524" s="3">
        <v>0</v>
      </c>
      <c r="AI524" s="3">
        <v>0</v>
      </c>
      <c r="AJ524" s="3">
        <v>0</v>
      </c>
      <c r="AK524" s="3">
        <v>0</v>
      </c>
      <c r="AL524" s="3">
        <v>0</v>
      </c>
      <c r="AM524" s="3">
        <v>0</v>
      </c>
      <c r="AN524" s="3">
        <v>0</v>
      </c>
      <c r="AO524" s="3">
        <v>0</v>
      </c>
      <c r="AP524" s="3">
        <v>0</v>
      </c>
      <c r="AQ524" s="3">
        <v>0</v>
      </c>
      <c r="AR524" s="3">
        <v>0</v>
      </c>
      <c r="AS524" s="3">
        <v>0</v>
      </c>
      <c r="AT524" s="3">
        <v>0</v>
      </c>
      <c r="AU524" s="3">
        <v>0</v>
      </c>
      <c r="AV524" s="3">
        <v>0</v>
      </c>
      <c r="AW524" s="3">
        <v>0</v>
      </c>
      <c r="AX524" s="3">
        <v>0</v>
      </c>
      <c r="AY524" s="3">
        <v>0</v>
      </c>
      <c r="AZ524" s="3">
        <v>0</v>
      </c>
      <c r="BA524" s="3">
        <v>0</v>
      </c>
      <c r="BC524" s="17" t="s">
        <v>3478</v>
      </c>
      <c r="BD524" s="3">
        <v>0</v>
      </c>
      <c r="BE524" s="3">
        <v>0</v>
      </c>
      <c r="BF524" s="3">
        <v>0</v>
      </c>
      <c r="BG524" s="3">
        <v>0</v>
      </c>
      <c r="BH524" s="3">
        <v>0</v>
      </c>
      <c r="BI524" s="3">
        <v>0</v>
      </c>
      <c r="BJ524" s="3">
        <v>0</v>
      </c>
      <c r="BK524" s="3">
        <v>0</v>
      </c>
      <c r="BL524" s="3">
        <v>0</v>
      </c>
      <c r="BM524" s="3">
        <v>0</v>
      </c>
      <c r="BN524" s="3">
        <v>0</v>
      </c>
      <c r="BO524" s="3">
        <v>0</v>
      </c>
      <c r="BP524" s="3">
        <v>0</v>
      </c>
      <c r="BQ524" s="3">
        <v>0</v>
      </c>
      <c r="BR524" s="3">
        <v>0</v>
      </c>
      <c r="BS524" s="3">
        <v>0</v>
      </c>
      <c r="BT524" s="3">
        <v>0</v>
      </c>
      <c r="BU524" s="3">
        <v>0</v>
      </c>
      <c r="BV524" s="3">
        <v>0</v>
      </c>
      <c r="BW524" s="3">
        <v>0</v>
      </c>
      <c r="BY524" s="17" t="s">
        <v>3479</v>
      </c>
      <c r="BZ524" s="3">
        <v>0</v>
      </c>
      <c r="CA524" s="3">
        <v>0</v>
      </c>
      <c r="CB524" s="3">
        <v>0</v>
      </c>
      <c r="CC524" s="3">
        <v>0</v>
      </c>
      <c r="CD524" s="3">
        <v>0</v>
      </c>
      <c r="CE524" s="3">
        <v>0</v>
      </c>
      <c r="CF524" s="3">
        <v>0</v>
      </c>
      <c r="CG524" s="3">
        <v>0</v>
      </c>
      <c r="CH524" s="3">
        <v>0</v>
      </c>
      <c r="CI524" s="3">
        <v>0</v>
      </c>
      <c r="CJ524" s="3">
        <v>0</v>
      </c>
      <c r="CK524" s="3">
        <v>0</v>
      </c>
      <c r="CL524" s="3">
        <v>0</v>
      </c>
      <c r="CM524" s="3">
        <v>0</v>
      </c>
      <c r="CN524" s="3">
        <v>0</v>
      </c>
      <c r="CO524" s="3">
        <v>0</v>
      </c>
      <c r="CP524" s="3">
        <v>0</v>
      </c>
      <c r="CQ524" s="3">
        <v>0</v>
      </c>
      <c r="CR524" s="3">
        <v>0</v>
      </c>
      <c r="CS524" s="3">
        <v>0</v>
      </c>
      <c r="CU524" s="17" t="s">
        <v>3480</v>
      </c>
      <c r="CV524" s="3">
        <v>0</v>
      </c>
      <c r="CW524" s="3">
        <v>0</v>
      </c>
      <c r="CX524" s="3">
        <v>0</v>
      </c>
      <c r="CY524" s="3">
        <v>0</v>
      </c>
      <c r="CZ524" s="3">
        <v>0</v>
      </c>
      <c r="DA524" s="3">
        <v>0</v>
      </c>
      <c r="DB524" s="3">
        <v>0</v>
      </c>
      <c r="DC524" s="3">
        <v>0</v>
      </c>
      <c r="DD524" s="3">
        <v>0</v>
      </c>
      <c r="DE524" s="3">
        <v>0</v>
      </c>
      <c r="DF524" s="3">
        <v>0</v>
      </c>
      <c r="DG524" s="3">
        <v>0</v>
      </c>
      <c r="DH524" s="3">
        <v>0</v>
      </c>
      <c r="DI524" s="3">
        <v>0</v>
      </c>
      <c r="DJ524" s="3">
        <v>0</v>
      </c>
      <c r="DK524" s="3">
        <v>0</v>
      </c>
      <c r="DL524" s="3">
        <v>0</v>
      </c>
      <c r="DM524" s="3">
        <v>0</v>
      </c>
      <c r="DN524" s="3">
        <v>0</v>
      </c>
      <c r="DO524" s="3">
        <v>0</v>
      </c>
    </row>
    <row r="525" spans="1:119" x14ac:dyDescent="0.45">
      <c r="A525" s="16" t="s">
        <v>3481</v>
      </c>
      <c r="B525" s="3" t="s">
        <v>89</v>
      </c>
      <c r="C525" s="16"/>
      <c r="H525" s="3" t="s">
        <v>3482</v>
      </c>
      <c r="I525" s="3" t="s">
        <v>2363</v>
      </c>
      <c r="K525" s="17" t="s">
        <v>3483</v>
      </c>
      <c r="L525" s="3">
        <v>0</v>
      </c>
      <c r="M525" s="3">
        <v>0</v>
      </c>
      <c r="N525" s="3">
        <v>0</v>
      </c>
      <c r="O525" s="3">
        <v>0</v>
      </c>
      <c r="P525" s="3">
        <v>0</v>
      </c>
      <c r="Q525" s="3">
        <v>0</v>
      </c>
      <c r="R525" s="3">
        <v>0</v>
      </c>
      <c r="S525" s="3">
        <v>0</v>
      </c>
      <c r="T525" s="3">
        <v>0</v>
      </c>
      <c r="U525" s="3">
        <v>0</v>
      </c>
      <c r="V525" s="3">
        <v>0</v>
      </c>
      <c r="W525" s="3">
        <v>0</v>
      </c>
      <c r="X525" s="3">
        <v>0</v>
      </c>
      <c r="Y525" s="3">
        <v>0</v>
      </c>
      <c r="Z525" s="3">
        <v>0</v>
      </c>
      <c r="AA525" s="3">
        <v>0</v>
      </c>
      <c r="AB525" s="3">
        <v>0</v>
      </c>
      <c r="AC525" s="3">
        <v>0</v>
      </c>
      <c r="AD525" s="3">
        <v>0</v>
      </c>
      <c r="AE525" s="3">
        <v>0</v>
      </c>
      <c r="AG525" s="17" t="s">
        <v>3484</v>
      </c>
      <c r="AH525" s="3">
        <v>0</v>
      </c>
      <c r="AI525" s="3">
        <v>0</v>
      </c>
      <c r="AJ525" s="3">
        <v>0</v>
      </c>
      <c r="AK525" s="3">
        <v>0</v>
      </c>
      <c r="AL525" s="3">
        <v>0</v>
      </c>
      <c r="AM525" s="3">
        <v>0</v>
      </c>
      <c r="AN525" s="3">
        <v>0</v>
      </c>
      <c r="AO525" s="3">
        <v>0</v>
      </c>
      <c r="AP525" s="3">
        <v>0</v>
      </c>
      <c r="AQ525" s="3">
        <v>0</v>
      </c>
      <c r="AR525" s="3">
        <v>0</v>
      </c>
      <c r="AS525" s="3">
        <v>0</v>
      </c>
      <c r="AT525" s="3">
        <v>0</v>
      </c>
      <c r="AU525" s="3">
        <v>0</v>
      </c>
      <c r="AV525" s="3">
        <v>0</v>
      </c>
      <c r="AW525" s="3">
        <v>0</v>
      </c>
      <c r="AX525" s="3">
        <v>0</v>
      </c>
      <c r="AY525" s="3">
        <v>0</v>
      </c>
      <c r="AZ525" s="3">
        <v>0</v>
      </c>
      <c r="BA525" s="3">
        <v>0</v>
      </c>
      <c r="BC525" s="17" t="s">
        <v>3485</v>
      </c>
      <c r="BD525" s="3">
        <v>0</v>
      </c>
      <c r="BE525" s="3">
        <v>0</v>
      </c>
      <c r="BF525" s="3">
        <v>0</v>
      </c>
      <c r="BG525" s="3">
        <v>0</v>
      </c>
      <c r="BH525" s="3">
        <v>0</v>
      </c>
      <c r="BI525" s="3">
        <v>0</v>
      </c>
      <c r="BJ525" s="3">
        <v>0</v>
      </c>
      <c r="BK525" s="3">
        <v>0</v>
      </c>
      <c r="BL525" s="3">
        <v>0</v>
      </c>
      <c r="BM525" s="3">
        <v>0</v>
      </c>
      <c r="BN525" s="3">
        <v>0</v>
      </c>
      <c r="BO525" s="3">
        <v>0</v>
      </c>
      <c r="BP525" s="3">
        <v>0</v>
      </c>
      <c r="BQ525" s="3">
        <v>0</v>
      </c>
      <c r="BR525" s="3">
        <v>0</v>
      </c>
      <c r="BS525" s="3">
        <v>0</v>
      </c>
      <c r="BT525" s="3">
        <v>0</v>
      </c>
      <c r="BU525" s="3">
        <v>0</v>
      </c>
      <c r="BV525" s="3">
        <v>0</v>
      </c>
      <c r="BW525" s="3">
        <v>0</v>
      </c>
      <c r="BY525" s="17" t="s">
        <v>3486</v>
      </c>
      <c r="BZ525" s="3">
        <v>0</v>
      </c>
      <c r="CA525" s="3">
        <v>0</v>
      </c>
      <c r="CB525" s="3">
        <v>0</v>
      </c>
      <c r="CC525" s="3">
        <v>0</v>
      </c>
      <c r="CD525" s="3">
        <v>0</v>
      </c>
      <c r="CE525" s="3">
        <v>0</v>
      </c>
      <c r="CF525" s="3">
        <v>0</v>
      </c>
      <c r="CG525" s="3">
        <v>0</v>
      </c>
      <c r="CH525" s="3">
        <v>0</v>
      </c>
      <c r="CI525" s="3">
        <v>0</v>
      </c>
      <c r="CJ525" s="3">
        <v>0</v>
      </c>
      <c r="CK525" s="3">
        <v>0</v>
      </c>
      <c r="CL525" s="3">
        <v>0</v>
      </c>
      <c r="CM525" s="3">
        <v>0</v>
      </c>
      <c r="CN525" s="3">
        <v>0</v>
      </c>
      <c r="CO525" s="3">
        <v>0</v>
      </c>
      <c r="CP525" s="3">
        <v>0</v>
      </c>
      <c r="CQ525" s="3">
        <v>0</v>
      </c>
      <c r="CR525" s="3">
        <v>0</v>
      </c>
      <c r="CS525" s="3">
        <v>0</v>
      </c>
      <c r="CU525" s="17" t="s">
        <v>3487</v>
      </c>
      <c r="CV525" s="3">
        <v>0</v>
      </c>
      <c r="CW525" s="3">
        <v>0</v>
      </c>
      <c r="CX525" s="3">
        <v>0</v>
      </c>
      <c r="CY525" s="3">
        <v>0</v>
      </c>
      <c r="CZ525" s="3">
        <v>0</v>
      </c>
      <c r="DA525" s="3">
        <v>0</v>
      </c>
      <c r="DB525" s="3">
        <v>0</v>
      </c>
      <c r="DC525" s="3">
        <v>0</v>
      </c>
      <c r="DD525" s="3">
        <v>0</v>
      </c>
      <c r="DE525" s="3">
        <v>0</v>
      </c>
      <c r="DF525" s="3">
        <v>0</v>
      </c>
      <c r="DG525" s="3">
        <v>0</v>
      </c>
      <c r="DH525" s="3">
        <v>0</v>
      </c>
      <c r="DI525" s="3">
        <v>0</v>
      </c>
      <c r="DJ525" s="3">
        <v>0</v>
      </c>
      <c r="DK525" s="3">
        <v>0</v>
      </c>
      <c r="DL525" s="3">
        <v>0</v>
      </c>
      <c r="DM525" s="3">
        <v>0</v>
      </c>
      <c r="DN525" s="3">
        <v>0</v>
      </c>
      <c r="DO525" s="3">
        <v>0</v>
      </c>
    </row>
    <row r="526" spans="1:119" x14ac:dyDescent="0.45">
      <c r="A526" s="16" t="s">
        <v>3488</v>
      </c>
      <c r="B526" s="3" t="s">
        <v>89</v>
      </c>
      <c r="C526" s="16"/>
      <c r="H526" s="3" t="s">
        <v>3489</v>
      </c>
      <c r="I526" s="3" t="s">
        <v>2363</v>
      </c>
      <c r="K526" s="17" t="s">
        <v>3490</v>
      </c>
      <c r="L526" s="3">
        <v>0</v>
      </c>
      <c r="M526" s="3">
        <v>0</v>
      </c>
      <c r="N526" s="3">
        <v>0</v>
      </c>
      <c r="O526" s="3">
        <v>0</v>
      </c>
      <c r="P526" s="3">
        <v>0</v>
      </c>
      <c r="Q526" s="3">
        <v>0</v>
      </c>
      <c r="R526" s="3">
        <v>0</v>
      </c>
      <c r="S526" s="3">
        <v>0</v>
      </c>
      <c r="T526" s="3">
        <v>0</v>
      </c>
      <c r="U526" s="3">
        <v>0</v>
      </c>
      <c r="V526" s="3">
        <v>0</v>
      </c>
      <c r="W526" s="3">
        <v>0</v>
      </c>
      <c r="X526" s="3">
        <v>0</v>
      </c>
      <c r="Y526" s="3">
        <v>0</v>
      </c>
      <c r="Z526" s="3">
        <v>0</v>
      </c>
      <c r="AA526" s="3">
        <v>0</v>
      </c>
      <c r="AB526" s="3">
        <v>0</v>
      </c>
      <c r="AC526" s="3">
        <v>0</v>
      </c>
      <c r="AD526" s="3">
        <v>0</v>
      </c>
      <c r="AE526" s="3">
        <v>0</v>
      </c>
      <c r="AG526" s="17" t="s">
        <v>3491</v>
      </c>
      <c r="AH526" s="3">
        <v>0</v>
      </c>
      <c r="AI526" s="3">
        <v>0</v>
      </c>
      <c r="AJ526" s="3">
        <v>0</v>
      </c>
      <c r="AK526" s="3">
        <v>0</v>
      </c>
      <c r="AL526" s="3">
        <v>0</v>
      </c>
      <c r="AM526" s="3">
        <v>0</v>
      </c>
      <c r="AN526" s="3">
        <v>0</v>
      </c>
      <c r="AO526" s="3">
        <v>0</v>
      </c>
      <c r="AP526" s="3">
        <v>0</v>
      </c>
      <c r="AQ526" s="3">
        <v>0</v>
      </c>
      <c r="AR526" s="3">
        <v>0</v>
      </c>
      <c r="AS526" s="3">
        <v>0</v>
      </c>
      <c r="AT526" s="3">
        <v>0</v>
      </c>
      <c r="AU526" s="3">
        <v>0</v>
      </c>
      <c r="AV526" s="3">
        <v>0</v>
      </c>
      <c r="AW526" s="3">
        <v>0</v>
      </c>
      <c r="AX526" s="3">
        <v>0</v>
      </c>
      <c r="AY526" s="3">
        <v>0</v>
      </c>
      <c r="AZ526" s="3">
        <v>0</v>
      </c>
      <c r="BA526" s="3">
        <v>0</v>
      </c>
      <c r="BC526" s="17" t="s">
        <v>3492</v>
      </c>
      <c r="BD526" s="3">
        <v>0</v>
      </c>
      <c r="BE526" s="3">
        <v>0</v>
      </c>
      <c r="BF526" s="3">
        <v>0</v>
      </c>
      <c r="BG526" s="3">
        <v>0</v>
      </c>
      <c r="BH526" s="3">
        <v>0</v>
      </c>
      <c r="BI526" s="3">
        <v>0</v>
      </c>
      <c r="BJ526" s="3">
        <v>0</v>
      </c>
      <c r="BK526" s="3">
        <v>0</v>
      </c>
      <c r="BL526" s="3">
        <v>0</v>
      </c>
      <c r="BM526" s="3">
        <v>0</v>
      </c>
      <c r="BN526" s="3">
        <v>0</v>
      </c>
      <c r="BO526" s="3">
        <v>0</v>
      </c>
      <c r="BP526" s="3">
        <v>0</v>
      </c>
      <c r="BQ526" s="3">
        <v>0</v>
      </c>
      <c r="BR526" s="3">
        <v>0</v>
      </c>
      <c r="BS526" s="3">
        <v>0</v>
      </c>
      <c r="BT526" s="3">
        <v>0</v>
      </c>
      <c r="BU526" s="3">
        <v>0</v>
      </c>
      <c r="BV526" s="3">
        <v>0</v>
      </c>
      <c r="BW526" s="3">
        <v>0</v>
      </c>
      <c r="BY526" s="17" t="s">
        <v>3493</v>
      </c>
      <c r="BZ526" s="3">
        <v>0</v>
      </c>
      <c r="CA526" s="3">
        <v>0</v>
      </c>
      <c r="CB526" s="3">
        <v>0</v>
      </c>
      <c r="CC526" s="3">
        <v>0</v>
      </c>
      <c r="CD526" s="3">
        <v>0</v>
      </c>
      <c r="CE526" s="3">
        <v>0</v>
      </c>
      <c r="CF526" s="3">
        <v>0</v>
      </c>
      <c r="CG526" s="3">
        <v>0</v>
      </c>
      <c r="CH526" s="3">
        <v>0</v>
      </c>
      <c r="CI526" s="3">
        <v>0</v>
      </c>
      <c r="CJ526" s="3">
        <v>0</v>
      </c>
      <c r="CK526" s="3">
        <v>0</v>
      </c>
      <c r="CL526" s="3">
        <v>0</v>
      </c>
      <c r="CM526" s="3">
        <v>0</v>
      </c>
      <c r="CN526" s="3">
        <v>0</v>
      </c>
      <c r="CO526" s="3">
        <v>0</v>
      </c>
      <c r="CP526" s="3">
        <v>0</v>
      </c>
      <c r="CQ526" s="3">
        <v>0</v>
      </c>
      <c r="CR526" s="3">
        <v>0</v>
      </c>
      <c r="CS526" s="3">
        <v>0</v>
      </c>
      <c r="CU526" s="17" t="s">
        <v>3494</v>
      </c>
      <c r="CV526" s="3">
        <v>0</v>
      </c>
      <c r="CW526" s="3">
        <v>0</v>
      </c>
      <c r="CX526" s="3">
        <v>0</v>
      </c>
      <c r="CY526" s="3">
        <v>0</v>
      </c>
      <c r="CZ526" s="3">
        <v>0</v>
      </c>
      <c r="DA526" s="3">
        <v>0</v>
      </c>
      <c r="DB526" s="3">
        <v>0</v>
      </c>
      <c r="DC526" s="3">
        <v>0</v>
      </c>
      <c r="DD526" s="3">
        <v>0</v>
      </c>
      <c r="DE526" s="3">
        <v>0</v>
      </c>
      <c r="DF526" s="3">
        <v>0</v>
      </c>
      <c r="DG526" s="3">
        <v>0</v>
      </c>
      <c r="DH526" s="3">
        <v>0</v>
      </c>
      <c r="DI526" s="3">
        <v>0</v>
      </c>
      <c r="DJ526" s="3">
        <v>0</v>
      </c>
      <c r="DK526" s="3">
        <v>0</v>
      </c>
      <c r="DL526" s="3">
        <v>0</v>
      </c>
      <c r="DM526" s="3">
        <v>0</v>
      </c>
      <c r="DN526" s="3">
        <v>0</v>
      </c>
      <c r="DO526" s="3">
        <v>0</v>
      </c>
    </row>
    <row r="527" spans="1:119" x14ac:dyDescent="0.45">
      <c r="A527" s="16" t="s">
        <v>3495</v>
      </c>
      <c r="B527" s="3" t="s">
        <v>89</v>
      </c>
      <c r="C527" s="16" t="s">
        <v>3496</v>
      </c>
      <c r="H527" s="3" t="s">
        <v>3497</v>
      </c>
      <c r="I527" s="3" t="s">
        <v>2363</v>
      </c>
      <c r="K527" s="17" t="s">
        <v>3498</v>
      </c>
      <c r="L527" s="3">
        <v>0</v>
      </c>
      <c r="M527" s="3">
        <v>0</v>
      </c>
      <c r="N527" s="3">
        <v>0</v>
      </c>
      <c r="O527" s="3">
        <v>0</v>
      </c>
      <c r="P527" s="3">
        <v>0</v>
      </c>
      <c r="Q527" s="3">
        <v>0</v>
      </c>
      <c r="R527" s="3">
        <v>0</v>
      </c>
      <c r="S527" s="3">
        <v>0</v>
      </c>
      <c r="T527" s="3">
        <v>0</v>
      </c>
      <c r="U527" s="3">
        <v>0</v>
      </c>
      <c r="V527" s="3">
        <v>0</v>
      </c>
      <c r="W527" s="3">
        <v>0</v>
      </c>
      <c r="X527" s="3">
        <v>0</v>
      </c>
      <c r="Y527" s="3">
        <v>0</v>
      </c>
      <c r="Z527" s="3">
        <v>0</v>
      </c>
      <c r="AA527" s="3">
        <v>0</v>
      </c>
      <c r="AB527" s="3">
        <v>0</v>
      </c>
      <c r="AC527" s="3">
        <v>0</v>
      </c>
      <c r="AD527" s="3">
        <v>0</v>
      </c>
      <c r="AE527" s="3">
        <v>0</v>
      </c>
      <c r="AG527" s="17" t="s">
        <v>3499</v>
      </c>
      <c r="AH527" s="3">
        <v>0</v>
      </c>
      <c r="AI527" s="3">
        <v>0</v>
      </c>
      <c r="AJ527" s="3">
        <v>0</v>
      </c>
      <c r="AK527" s="3">
        <v>0</v>
      </c>
      <c r="AL527" s="3">
        <v>0</v>
      </c>
      <c r="AM527" s="3">
        <v>0</v>
      </c>
      <c r="AN527" s="3">
        <v>0</v>
      </c>
      <c r="AO527" s="3">
        <v>0</v>
      </c>
      <c r="AP527" s="3">
        <v>0</v>
      </c>
      <c r="AQ527" s="3">
        <v>0</v>
      </c>
      <c r="AR527" s="3">
        <v>0</v>
      </c>
      <c r="AS527" s="3">
        <v>0</v>
      </c>
      <c r="AT527" s="3">
        <v>0</v>
      </c>
      <c r="AU527" s="3">
        <v>0</v>
      </c>
      <c r="AV527" s="3">
        <v>0</v>
      </c>
      <c r="AW527" s="3">
        <v>0</v>
      </c>
      <c r="AX527" s="3">
        <v>0</v>
      </c>
      <c r="AY527" s="3">
        <v>0</v>
      </c>
      <c r="AZ527" s="3">
        <v>0</v>
      </c>
      <c r="BA527" s="3">
        <v>0</v>
      </c>
      <c r="BC527" s="17" t="s">
        <v>3500</v>
      </c>
      <c r="BD527" s="3">
        <v>0</v>
      </c>
      <c r="BE527" s="3">
        <v>0</v>
      </c>
      <c r="BF527" s="3">
        <v>0</v>
      </c>
      <c r="BG527" s="3">
        <v>0</v>
      </c>
      <c r="BH527" s="3">
        <v>0</v>
      </c>
      <c r="BI527" s="3">
        <v>0</v>
      </c>
      <c r="BJ527" s="3">
        <v>0</v>
      </c>
      <c r="BK527" s="3">
        <v>0</v>
      </c>
      <c r="BL527" s="3">
        <v>0</v>
      </c>
      <c r="BM527" s="3">
        <v>0</v>
      </c>
      <c r="BN527" s="3">
        <v>0</v>
      </c>
      <c r="BO527" s="3">
        <v>0</v>
      </c>
      <c r="BP527" s="3">
        <v>0</v>
      </c>
      <c r="BQ527" s="3">
        <v>0</v>
      </c>
      <c r="BR527" s="3">
        <v>0</v>
      </c>
      <c r="BS527" s="3">
        <v>0</v>
      </c>
      <c r="BT527" s="3">
        <v>0</v>
      </c>
      <c r="BU527" s="3">
        <v>0</v>
      </c>
      <c r="BV527" s="3">
        <v>0</v>
      </c>
      <c r="BW527" s="3">
        <v>0</v>
      </c>
      <c r="BY527" s="17" t="s">
        <v>3501</v>
      </c>
      <c r="BZ527" s="3">
        <v>0</v>
      </c>
      <c r="CA527" s="3">
        <v>0</v>
      </c>
      <c r="CB527" s="3">
        <v>0</v>
      </c>
      <c r="CC527" s="3">
        <v>0</v>
      </c>
      <c r="CD527" s="3">
        <v>0</v>
      </c>
      <c r="CE527" s="3">
        <v>0</v>
      </c>
      <c r="CF527" s="3">
        <v>0</v>
      </c>
      <c r="CG527" s="3">
        <v>0</v>
      </c>
      <c r="CH527" s="3">
        <v>0</v>
      </c>
      <c r="CI527" s="3">
        <v>0</v>
      </c>
      <c r="CJ527" s="3">
        <v>0</v>
      </c>
      <c r="CK527" s="3">
        <v>0</v>
      </c>
      <c r="CL527" s="3">
        <v>0</v>
      </c>
      <c r="CM527" s="3">
        <v>0</v>
      </c>
      <c r="CN527" s="3">
        <v>0</v>
      </c>
      <c r="CO527" s="3">
        <v>0</v>
      </c>
      <c r="CP527" s="3">
        <v>0</v>
      </c>
      <c r="CQ527" s="3">
        <v>0</v>
      </c>
      <c r="CR527" s="3">
        <v>0</v>
      </c>
      <c r="CS527" s="3">
        <v>0</v>
      </c>
      <c r="CU527" s="17" t="s">
        <v>3502</v>
      </c>
      <c r="CV527" s="3">
        <v>0</v>
      </c>
      <c r="CW527" s="3">
        <v>0</v>
      </c>
      <c r="CX527" s="3">
        <v>0</v>
      </c>
      <c r="CY527" s="3">
        <v>0</v>
      </c>
      <c r="CZ527" s="3">
        <v>0</v>
      </c>
      <c r="DA527" s="3">
        <v>0</v>
      </c>
      <c r="DB527" s="3">
        <v>0</v>
      </c>
      <c r="DC527" s="3">
        <v>0</v>
      </c>
      <c r="DD527" s="3">
        <v>0</v>
      </c>
      <c r="DE527" s="3">
        <v>0</v>
      </c>
      <c r="DF527" s="3">
        <v>0</v>
      </c>
      <c r="DG527" s="3">
        <v>0</v>
      </c>
      <c r="DH527" s="3">
        <v>0</v>
      </c>
      <c r="DI527" s="3">
        <v>0</v>
      </c>
      <c r="DJ527" s="3">
        <v>0</v>
      </c>
      <c r="DK527" s="3">
        <v>0</v>
      </c>
      <c r="DL527" s="3">
        <v>0</v>
      </c>
      <c r="DM527" s="3">
        <v>0</v>
      </c>
      <c r="DN527" s="3">
        <v>0</v>
      </c>
      <c r="DO527" s="3">
        <v>0</v>
      </c>
    </row>
    <row r="528" spans="1:119" x14ac:dyDescent="0.45">
      <c r="A528" s="16" t="s">
        <v>3503</v>
      </c>
      <c r="B528" s="3" t="s">
        <v>89</v>
      </c>
      <c r="C528" s="16" t="s">
        <v>3504</v>
      </c>
      <c r="H528" s="3" t="s">
        <v>3505</v>
      </c>
      <c r="I528" s="3" t="s">
        <v>2363</v>
      </c>
      <c r="K528" s="17" t="s">
        <v>3506</v>
      </c>
      <c r="L528" s="3">
        <v>0</v>
      </c>
      <c r="M528" s="3">
        <v>0</v>
      </c>
      <c r="N528" s="3">
        <v>0</v>
      </c>
      <c r="O528" s="3">
        <v>0</v>
      </c>
      <c r="P528" s="3">
        <v>0</v>
      </c>
      <c r="Q528" s="3">
        <v>0</v>
      </c>
      <c r="R528" s="3">
        <v>0</v>
      </c>
      <c r="S528" s="3">
        <v>0</v>
      </c>
      <c r="T528" s="3">
        <v>0</v>
      </c>
      <c r="U528" s="3">
        <v>0</v>
      </c>
      <c r="V528" s="3">
        <v>0</v>
      </c>
      <c r="W528" s="3">
        <v>0</v>
      </c>
      <c r="X528" s="3">
        <v>0</v>
      </c>
      <c r="Y528" s="3">
        <v>0</v>
      </c>
      <c r="Z528" s="3">
        <v>0</v>
      </c>
      <c r="AA528" s="3">
        <v>0</v>
      </c>
      <c r="AB528" s="3">
        <v>0</v>
      </c>
      <c r="AC528" s="3">
        <v>0</v>
      </c>
      <c r="AD528" s="3">
        <v>0</v>
      </c>
      <c r="AE528" s="3">
        <v>0</v>
      </c>
      <c r="AG528" s="17" t="s">
        <v>3507</v>
      </c>
      <c r="AH528" s="3">
        <v>0</v>
      </c>
      <c r="AI528" s="3">
        <v>0</v>
      </c>
      <c r="AJ528" s="3">
        <v>0</v>
      </c>
      <c r="AK528" s="3">
        <v>0</v>
      </c>
      <c r="AL528" s="3">
        <v>0</v>
      </c>
      <c r="AM528" s="3">
        <v>0</v>
      </c>
      <c r="AN528" s="3">
        <v>0</v>
      </c>
      <c r="AO528" s="3">
        <v>0</v>
      </c>
      <c r="AP528" s="3">
        <v>0</v>
      </c>
      <c r="AQ528" s="3">
        <v>0</v>
      </c>
      <c r="AR528" s="3">
        <v>0</v>
      </c>
      <c r="AS528" s="3">
        <v>0</v>
      </c>
      <c r="AT528" s="3">
        <v>0</v>
      </c>
      <c r="AU528" s="3">
        <v>0</v>
      </c>
      <c r="AV528" s="3">
        <v>0</v>
      </c>
      <c r="AW528" s="3">
        <v>0</v>
      </c>
      <c r="AX528" s="3">
        <v>0</v>
      </c>
      <c r="AY528" s="3">
        <v>0</v>
      </c>
      <c r="AZ528" s="3">
        <v>0</v>
      </c>
      <c r="BA528" s="3">
        <v>0</v>
      </c>
      <c r="BC528" s="17" t="s">
        <v>3508</v>
      </c>
      <c r="BD528" s="3">
        <v>0</v>
      </c>
      <c r="BE528" s="3">
        <v>0</v>
      </c>
      <c r="BF528" s="3">
        <v>0</v>
      </c>
      <c r="BG528" s="3">
        <v>0</v>
      </c>
      <c r="BH528" s="3">
        <v>0</v>
      </c>
      <c r="BI528" s="3">
        <v>0</v>
      </c>
      <c r="BJ528" s="3">
        <v>0</v>
      </c>
      <c r="BK528" s="3">
        <v>0</v>
      </c>
      <c r="BL528" s="3">
        <v>0</v>
      </c>
      <c r="BM528" s="3">
        <v>0</v>
      </c>
      <c r="BN528" s="3">
        <v>0</v>
      </c>
      <c r="BO528" s="3">
        <v>0</v>
      </c>
      <c r="BP528" s="3">
        <v>0</v>
      </c>
      <c r="BQ528" s="3">
        <v>0</v>
      </c>
      <c r="BR528" s="3">
        <v>0</v>
      </c>
      <c r="BS528" s="3">
        <v>0</v>
      </c>
      <c r="BT528" s="3">
        <v>0</v>
      </c>
      <c r="BU528" s="3">
        <v>0</v>
      </c>
      <c r="BV528" s="3">
        <v>0</v>
      </c>
      <c r="BW528" s="3">
        <v>0</v>
      </c>
      <c r="BY528" s="17" t="s">
        <v>3509</v>
      </c>
      <c r="BZ528" s="3">
        <v>0</v>
      </c>
      <c r="CA528" s="3">
        <v>0</v>
      </c>
      <c r="CB528" s="3">
        <v>0</v>
      </c>
      <c r="CC528" s="3">
        <v>0</v>
      </c>
      <c r="CD528" s="3">
        <v>0</v>
      </c>
      <c r="CE528" s="3">
        <v>0</v>
      </c>
      <c r="CF528" s="3">
        <v>0</v>
      </c>
      <c r="CG528" s="3">
        <v>0</v>
      </c>
      <c r="CH528" s="3">
        <v>0</v>
      </c>
      <c r="CI528" s="3">
        <v>0</v>
      </c>
      <c r="CJ528" s="3">
        <v>0</v>
      </c>
      <c r="CK528" s="3">
        <v>0</v>
      </c>
      <c r="CL528" s="3">
        <v>0</v>
      </c>
      <c r="CM528" s="3">
        <v>0</v>
      </c>
      <c r="CN528" s="3">
        <v>0</v>
      </c>
      <c r="CO528" s="3">
        <v>0</v>
      </c>
      <c r="CP528" s="3">
        <v>0</v>
      </c>
      <c r="CQ528" s="3">
        <v>0</v>
      </c>
      <c r="CR528" s="3">
        <v>0</v>
      </c>
      <c r="CS528" s="3">
        <v>0</v>
      </c>
      <c r="CU528" s="17" t="s">
        <v>3510</v>
      </c>
      <c r="CV528" s="3">
        <v>0</v>
      </c>
      <c r="CW528" s="3">
        <v>0</v>
      </c>
      <c r="CX528" s="3">
        <v>0</v>
      </c>
      <c r="CY528" s="3">
        <v>0</v>
      </c>
      <c r="CZ528" s="3">
        <v>0</v>
      </c>
      <c r="DA528" s="3">
        <v>0</v>
      </c>
      <c r="DB528" s="3">
        <v>0</v>
      </c>
      <c r="DC528" s="3">
        <v>0</v>
      </c>
      <c r="DD528" s="3">
        <v>0</v>
      </c>
      <c r="DE528" s="3">
        <v>0</v>
      </c>
      <c r="DF528" s="3">
        <v>0</v>
      </c>
      <c r="DG528" s="3">
        <v>0</v>
      </c>
      <c r="DH528" s="3">
        <v>0</v>
      </c>
      <c r="DI528" s="3">
        <v>0</v>
      </c>
      <c r="DJ528" s="3">
        <v>0</v>
      </c>
      <c r="DK528" s="3">
        <v>0</v>
      </c>
      <c r="DL528" s="3">
        <v>0</v>
      </c>
      <c r="DM528" s="3">
        <v>0</v>
      </c>
      <c r="DN528" s="3">
        <v>0</v>
      </c>
      <c r="DO528" s="3">
        <v>0</v>
      </c>
    </row>
    <row r="529" spans="1:119" x14ac:dyDescent="0.45">
      <c r="A529" s="16" t="s">
        <v>3511</v>
      </c>
      <c r="B529" s="3" t="s">
        <v>89</v>
      </c>
      <c r="C529" s="16"/>
      <c r="H529" s="3" t="s">
        <v>3512</v>
      </c>
      <c r="I529" s="3" t="s">
        <v>2363</v>
      </c>
      <c r="K529" s="17" t="s">
        <v>3513</v>
      </c>
      <c r="L529" s="3">
        <v>0</v>
      </c>
      <c r="M529" s="3">
        <v>0</v>
      </c>
      <c r="N529" s="3">
        <v>0</v>
      </c>
      <c r="O529" s="3">
        <v>0</v>
      </c>
      <c r="P529" s="3">
        <v>0</v>
      </c>
      <c r="Q529" s="3">
        <v>0</v>
      </c>
      <c r="R529" s="3">
        <v>0</v>
      </c>
      <c r="S529" s="3">
        <v>0</v>
      </c>
      <c r="T529" s="3">
        <v>0</v>
      </c>
      <c r="U529" s="3">
        <v>0</v>
      </c>
      <c r="V529" s="3">
        <v>0</v>
      </c>
      <c r="W529" s="3">
        <v>0</v>
      </c>
      <c r="X529" s="3">
        <v>0</v>
      </c>
      <c r="Y529" s="3">
        <v>0</v>
      </c>
      <c r="Z529" s="3">
        <v>0</v>
      </c>
      <c r="AA529" s="3">
        <v>0</v>
      </c>
      <c r="AB529" s="3">
        <v>0</v>
      </c>
      <c r="AC529" s="3">
        <v>0</v>
      </c>
      <c r="AD529" s="3">
        <v>0</v>
      </c>
      <c r="AE529" s="3">
        <v>0</v>
      </c>
      <c r="AG529" s="17" t="s">
        <v>3514</v>
      </c>
      <c r="AH529" s="3">
        <v>0</v>
      </c>
      <c r="AI529" s="3">
        <v>0</v>
      </c>
      <c r="AJ529" s="3">
        <v>0</v>
      </c>
      <c r="AK529" s="3">
        <v>0</v>
      </c>
      <c r="AL529" s="3">
        <v>0</v>
      </c>
      <c r="AM529" s="3">
        <v>0</v>
      </c>
      <c r="AN529" s="3">
        <v>0</v>
      </c>
      <c r="AO529" s="3">
        <v>0</v>
      </c>
      <c r="AP529" s="3">
        <v>0</v>
      </c>
      <c r="AQ529" s="3">
        <v>0</v>
      </c>
      <c r="AR529" s="3">
        <v>0</v>
      </c>
      <c r="AS529" s="3">
        <v>0</v>
      </c>
      <c r="AT529" s="3">
        <v>0</v>
      </c>
      <c r="AU529" s="3">
        <v>0</v>
      </c>
      <c r="AV529" s="3">
        <v>0</v>
      </c>
      <c r="AW529" s="3">
        <v>0</v>
      </c>
      <c r="AX529" s="3">
        <v>0</v>
      </c>
      <c r="AY529" s="3">
        <v>0</v>
      </c>
      <c r="AZ529" s="3">
        <v>0</v>
      </c>
      <c r="BA529" s="3">
        <v>0</v>
      </c>
      <c r="BC529" s="17" t="s">
        <v>3515</v>
      </c>
      <c r="BD529" s="3">
        <v>0</v>
      </c>
      <c r="BE529" s="3">
        <v>0</v>
      </c>
      <c r="BF529" s="3">
        <v>0</v>
      </c>
      <c r="BG529" s="3">
        <v>0</v>
      </c>
      <c r="BH529" s="3">
        <v>0</v>
      </c>
      <c r="BI529" s="3">
        <v>0</v>
      </c>
      <c r="BJ529" s="3">
        <v>0</v>
      </c>
      <c r="BK529" s="3">
        <v>0</v>
      </c>
      <c r="BL529" s="3">
        <v>0</v>
      </c>
      <c r="BM529" s="3">
        <v>0</v>
      </c>
      <c r="BN529" s="3">
        <v>0</v>
      </c>
      <c r="BO529" s="3">
        <v>0</v>
      </c>
      <c r="BP529" s="3">
        <v>0</v>
      </c>
      <c r="BQ529" s="3">
        <v>0</v>
      </c>
      <c r="BR529" s="3">
        <v>0</v>
      </c>
      <c r="BS529" s="3">
        <v>0</v>
      </c>
      <c r="BT529" s="3">
        <v>0</v>
      </c>
      <c r="BU529" s="3">
        <v>0</v>
      </c>
      <c r="BV529" s="3">
        <v>0</v>
      </c>
      <c r="BW529" s="3">
        <v>0</v>
      </c>
      <c r="BY529" s="17" t="s">
        <v>3516</v>
      </c>
      <c r="BZ529" s="3">
        <v>0</v>
      </c>
      <c r="CA529" s="3">
        <v>0</v>
      </c>
      <c r="CB529" s="3">
        <v>0</v>
      </c>
      <c r="CC529" s="3">
        <v>0</v>
      </c>
      <c r="CD529" s="3">
        <v>0</v>
      </c>
      <c r="CE529" s="3">
        <v>0</v>
      </c>
      <c r="CF529" s="3">
        <v>0</v>
      </c>
      <c r="CG529" s="3">
        <v>0</v>
      </c>
      <c r="CH529" s="3">
        <v>0</v>
      </c>
      <c r="CI529" s="3">
        <v>0</v>
      </c>
      <c r="CJ529" s="3">
        <v>0</v>
      </c>
      <c r="CK529" s="3">
        <v>0</v>
      </c>
      <c r="CL529" s="3">
        <v>0</v>
      </c>
      <c r="CM529" s="3">
        <v>0</v>
      </c>
      <c r="CN529" s="3">
        <v>0</v>
      </c>
      <c r="CO529" s="3">
        <v>0</v>
      </c>
      <c r="CP529" s="3">
        <v>0</v>
      </c>
      <c r="CQ529" s="3">
        <v>0</v>
      </c>
      <c r="CR529" s="3">
        <v>0</v>
      </c>
      <c r="CS529" s="3">
        <v>0</v>
      </c>
      <c r="CU529" s="17" t="s">
        <v>3517</v>
      </c>
      <c r="CV529" s="3">
        <v>0</v>
      </c>
      <c r="CW529" s="3">
        <v>0</v>
      </c>
      <c r="CX529" s="3">
        <v>0</v>
      </c>
      <c r="CY529" s="3">
        <v>0</v>
      </c>
      <c r="CZ529" s="3">
        <v>0</v>
      </c>
      <c r="DA529" s="3">
        <v>0</v>
      </c>
      <c r="DB529" s="3">
        <v>0</v>
      </c>
      <c r="DC529" s="3">
        <v>0</v>
      </c>
      <c r="DD529" s="3">
        <v>0</v>
      </c>
      <c r="DE529" s="3">
        <v>0</v>
      </c>
      <c r="DF529" s="3">
        <v>0</v>
      </c>
      <c r="DG529" s="3">
        <v>0</v>
      </c>
      <c r="DH529" s="3">
        <v>0</v>
      </c>
      <c r="DI529" s="3">
        <v>0</v>
      </c>
      <c r="DJ529" s="3">
        <v>0</v>
      </c>
      <c r="DK529" s="3">
        <v>0</v>
      </c>
      <c r="DL529" s="3">
        <v>0</v>
      </c>
      <c r="DM529" s="3">
        <v>0</v>
      </c>
      <c r="DN529" s="3">
        <v>0</v>
      </c>
      <c r="DO529" s="3">
        <v>0</v>
      </c>
    </row>
    <row r="530" spans="1:119" x14ac:dyDescent="0.45">
      <c r="A530" s="11"/>
      <c r="B530" s="3" t="s">
        <v>89</v>
      </c>
      <c r="C530" s="16"/>
      <c r="H530" s="11" t="s">
        <v>3518</v>
      </c>
      <c r="I530" s="11" t="s">
        <v>2363</v>
      </c>
    </row>
    <row r="531" spans="1:119" x14ac:dyDescent="0.45">
      <c r="A531" s="16" t="s">
        <v>3519</v>
      </c>
      <c r="B531" s="3" t="s">
        <v>89</v>
      </c>
      <c r="C531" s="16" t="s">
        <v>3520</v>
      </c>
      <c r="H531" s="3" t="s">
        <v>3521</v>
      </c>
      <c r="I531" s="3" t="s">
        <v>2363</v>
      </c>
      <c r="K531" s="17" t="s">
        <v>3522</v>
      </c>
      <c r="L531" s="3">
        <v>1414.958997504533</v>
      </c>
      <c r="M531" s="3">
        <v>1314.1975954780421</v>
      </c>
      <c r="N531" s="3">
        <v>1577.5842914447319</v>
      </c>
      <c r="O531" s="3">
        <v>1707.829101460514</v>
      </c>
      <c r="P531" s="3">
        <v>1679.1337436442629</v>
      </c>
      <c r="Q531" s="3">
        <v>1700.470923898303</v>
      </c>
      <c r="R531" s="3">
        <v>1746.5945960560989</v>
      </c>
      <c r="S531" s="3">
        <v>1791.353845141989</v>
      </c>
      <c r="T531" s="3">
        <v>1834.0532963942601</v>
      </c>
      <c r="U531" s="3">
        <v>1876.8270969716859</v>
      </c>
      <c r="V531" s="3">
        <v>1912.3593017073561</v>
      </c>
      <c r="W531" s="3">
        <v>1947.981167611161</v>
      </c>
      <c r="X531" s="3">
        <v>1983.6825413282279</v>
      </c>
      <c r="Y531" s="3">
        <v>2019.45335898286</v>
      </c>
      <c r="Z531" s="3">
        <v>2055.2836376557029</v>
      </c>
      <c r="AA531" s="3">
        <v>2091.1634659460219</v>
      </c>
      <c r="AB531" s="3">
        <v>2127.082993666013</v>
      </c>
      <c r="AC531" s="3">
        <v>2163.0324207111298</v>
      </c>
      <c r="AD531" s="3">
        <v>2199.001985147343</v>
      </c>
      <c r="AE531" s="3">
        <v>2234.981950553286</v>
      </c>
      <c r="AG531" s="17" t="s">
        <v>3523</v>
      </c>
      <c r="AH531" s="3">
        <v>1414.958997504533</v>
      </c>
      <c r="AI531" s="3">
        <v>1314.1975954780421</v>
      </c>
      <c r="AJ531" s="3">
        <v>1577.5842914447319</v>
      </c>
      <c r="AK531" s="3">
        <v>1707.829101460514</v>
      </c>
      <c r="AL531" s="3">
        <v>1679.1337436442629</v>
      </c>
      <c r="AM531" s="3">
        <v>1479.148040052258</v>
      </c>
      <c r="AN531" s="3">
        <v>1518.118451578913</v>
      </c>
      <c r="AO531" s="3">
        <v>1556.1962427715659</v>
      </c>
      <c r="AP531" s="3">
        <v>1590.8355264624811</v>
      </c>
      <c r="AQ531" s="3">
        <v>1626.7046577479221</v>
      </c>
      <c r="AR531" s="3">
        <v>1657.072701012914</v>
      </c>
      <c r="AS531" s="3">
        <v>1688.511424721489</v>
      </c>
      <c r="AT531" s="3">
        <v>1720.503633948985</v>
      </c>
      <c r="AU531" s="3">
        <v>1752.338934608259</v>
      </c>
      <c r="AV531" s="3">
        <v>1784.4412109536399</v>
      </c>
      <c r="AW531" s="3">
        <v>1817.0814123103819</v>
      </c>
      <c r="AX531" s="3">
        <v>1849.317452259623</v>
      </c>
      <c r="AY531" s="3">
        <v>1881.3445721106691</v>
      </c>
      <c r="AZ531" s="3">
        <v>1912.82391693763</v>
      </c>
      <c r="BA531" s="3">
        <v>1944.1507777090469</v>
      </c>
      <c r="BC531" s="17" t="s">
        <v>3524</v>
      </c>
      <c r="BD531" s="3">
        <v>1414.958997504533</v>
      </c>
      <c r="BE531" s="3">
        <v>1314.1975954780421</v>
      </c>
      <c r="BF531" s="3">
        <v>1577.5842914447319</v>
      </c>
      <c r="BG531" s="3">
        <v>1707.829101460514</v>
      </c>
      <c r="BH531" s="3">
        <v>1679.1337436442629</v>
      </c>
      <c r="BI531" s="3">
        <v>1553.855185221656</v>
      </c>
      <c r="BJ531" s="3">
        <v>1440.678540467751</v>
      </c>
      <c r="BK531" s="3">
        <v>1353.6192985840071</v>
      </c>
      <c r="BL531" s="3">
        <v>1282.726998748034</v>
      </c>
      <c r="BM531" s="3">
        <v>1239.206032432279</v>
      </c>
      <c r="BN531" s="3">
        <v>1199.913607858565</v>
      </c>
      <c r="BO531" s="3">
        <v>1166.5714055967089</v>
      </c>
      <c r="BP531" s="3">
        <v>1138.247104331582</v>
      </c>
      <c r="BQ531" s="3">
        <v>1113.918599692164</v>
      </c>
      <c r="BR531" s="3">
        <v>1092.9113334126271</v>
      </c>
      <c r="BS531" s="3">
        <v>1074.8213481937801</v>
      </c>
      <c r="BT531" s="3">
        <v>1059.066948033043</v>
      </c>
      <c r="BU531" s="3">
        <v>1045.2198768278699</v>
      </c>
      <c r="BV531" s="3">
        <v>1032.7950332957639</v>
      </c>
      <c r="BW531" s="3">
        <v>1021.542603044947</v>
      </c>
      <c r="BY531" s="17" t="s">
        <v>3525</v>
      </c>
      <c r="BZ531" s="3">
        <v>1414.958997504533</v>
      </c>
      <c r="CA531" s="3">
        <v>1314.1975954780421</v>
      </c>
      <c r="CB531" s="3">
        <v>1577.5842914447319</v>
      </c>
      <c r="CC531" s="3">
        <v>1707.829101460514</v>
      </c>
      <c r="CD531" s="3">
        <v>1679.1337436442629</v>
      </c>
      <c r="CE531" s="3">
        <v>1534.54843834547</v>
      </c>
      <c r="CF531" s="3">
        <v>1526.38435133752</v>
      </c>
      <c r="CG531" s="3">
        <v>1520.0371643294261</v>
      </c>
      <c r="CH531" s="3">
        <v>1512.908834737525</v>
      </c>
      <c r="CI531" s="3">
        <v>1509.644318946637</v>
      </c>
      <c r="CJ531" s="3">
        <v>1503.1652310904501</v>
      </c>
      <c r="CK531" s="3">
        <v>1498.741547502869</v>
      </c>
      <c r="CL531" s="3">
        <v>1495.881590747098</v>
      </c>
      <c r="CM531" s="3">
        <v>1493.9062518676519</v>
      </c>
      <c r="CN531" s="3">
        <v>1507.466223557567</v>
      </c>
      <c r="CO531" s="3">
        <v>1521.0561126088701</v>
      </c>
      <c r="CP531" s="3">
        <v>1534.1720049957551</v>
      </c>
      <c r="CQ531" s="3">
        <v>1547.075050840338</v>
      </c>
      <c r="CR531" s="3">
        <v>1559.386925736886</v>
      </c>
      <c r="CS531" s="3">
        <v>1571.5098668048749</v>
      </c>
      <c r="CU531" s="17" t="s">
        <v>3526</v>
      </c>
      <c r="CV531" s="3">
        <v>1414.958997504533</v>
      </c>
      <c r="CW531" s="3">
        <v>1314.1975954780421</v>
      </c>
      <c r="CX531" s="3">
        <v>1577.5842914447319</v>
      </c>
      <c r="CY531" s="3">
        <v>1707.829101460514</v>
      </c>
      <c r="CZ531" s="3">
        <v>1679.1337436442629</v>
      </c>
      <c r="DA531" s="3">
        <v>1258.8527558932581</v>
      </c>
      <c r="DB531" s="3">
        <v>1291.146586230326</v>
      </c>
      <c r="DC531" s="3">
        <v>1323.002633719281</v>
      </c>
      <c r="DD531" s="3">
        <v>1350.3485625407411</v>
      </c>
      <c r="DE531" s="3">
        <v>1379.998793358588</v>
      </c>
      <c r="DF531" s="3">
        <v>1405.280638614171</v>
      </c>
      <c r="DG531" s="3">
        <v>1432.5587790571569</v>
      </c>
      <c r="DH531" s="3">
        <v>1460.6365743742349</v>
      </c>
      <c r="DI531" s="3">
        <v>1488.42102740223</v>
      </c>
      <c r="DJ531" s="3">
        <v>1516.6228884294601</v>
      </c>
      <c r="DK531" s="3">
        <v>1545.759061154376</v>
      </c>
      <c r="DL531" s="3">
        <v>1574.1059479286</v>
      </c>
      <c r="DM531" s="3">
        <v>1602.102481760835</v>
      </c>
      <c r="DN531" s="3">
        <v>1629.0983759695459</v>
      </c>
      <c r="DO531" s="3">
        <v>1655.847338890811</v>
      </c>
    </row>
    <row r="532" spans="1:119" x14ac:dyDescent="0.45">
      <c r="A532" s="16" t="s">
        <v>3527</v>
      </c>
      <c r="B532" s="3" t="s">
        <v>89</v>
      </c>
      <c r="C532" s="16" t="s">
        <v>3528</v>
      </c>
      <c r="H532" s="3" t="s">
        <v>3529</v>
      </c>
      <c r="I532" s="3" t="s">
        <v>2363</v>
      </c>
      <c r="K532" s="17" t="s">
        <v>3530</v>
      </c>
      <c r="L532" s="3">
        <v>1674.298650585562</v>
      </c>
      <c r="M532" s="3">
        <v>1326.0811747905279</v>
      </c>
      <c r="N532" s="3">
        <v>1529.296357551106</v>
      </c>
      <c r="O532" s="3">
        <v>1589.7301424074749</v>
      </c>
      <c r="P532" s="3">
        <v>1649.43111990887</v>
      </c>
      <c r="Q532" s="3">
        <v>1720.5650155669371</v>
      </c>
      <c r="R532" s="3">
        <v>1806.0026267855319</v>
      </c>
      <c r="S532" s="3">
        <v>1889.1012851500061</v>
      </c>
      <c r="T532" s="3">
        <v>1967.9660436254219</v>
      </c>
      <c r="U532" s="3">
        <v>2048.538373413413</v>
      </c>
      <c r="V532" s="3">
        <v>2131.112411212413</v>
      </c>
      <c r="W532" s="3">
        <v>2215.6883828875239</v>
      </c>
      <c r="X532" s="3">
        <v>2302.265016882835</v>
      </c>
      <c r="Y532" s="3">
        <v>2390.8395216166059</v>
      </c>
      <c r="Z532" s="3">
        <v>2481.4075597913852</v>
      </c>
      <c r="AA532" s="3">
        <v>2573.963219365115</v>
      </c>
      <c r="AB532" s="3">
        <v>2668.49898093918</v>
      </c>
      <c r="AC532" s="3">
        <v>2765.0056813291062</v>
      </c>
      <c r="AD532" s="3">
        <v>2863.4724730930711</v>
      </c>
      <c r="AE532" s="3">
        <v>2963.8867798027932</v>
      </c>
      <c r="AG532" s="17" t="s">
        <v>3531</v>
      </c>
      <c r="AH532" s="3">
        <v>1674.298650585562</v>
      </c>
      <c r="AI532" s="3">
        <v>1326.0811747905279</v>
      </c>
      <c r="AJ532" s="3">
        <v>1529.296357551106</v>
      </c>
      <c r="AK532" s="3">
        <v>1589.7301424074749</v>
      </c>
      <c r="AL532" s="3">
        <v>1649.43111990887</v>
      </c>
      <c r="AM532" s="3">
        <v>1475.442044518406</v>
      </c>
      <c r="AN532" s="3">
        <v>1548.7073598221591</v>
      </c>
      <c r="AO532" s="3">
        <v>1620.90817905364</v>
      </c>
      <c r="AP532" s="3">
        <v>1686.3754071780611</v>
      </c>
      <c r="AQ532" s="3">
        <v>1755.812447464456</v>
      </c>
      <c r="AR532" s="3">
        <v>1825.6420409939551</v>
      </c>
      <c r="AS532" s="3">
        <v>1899.381961892233</v>
      </c>
      <c r="AT532" s="3">
        <v>1976.001592997867</v>
      </c>
      <c r="AU532" s="3">
        <v>2053.9228309068772</v>
      </c>
      <c r="AV532" s="3">
        <v>2134.1463109261331</v>
      </c>
      <c r="AW532" s="3">
        <v>2217.3807464394872</v>
      </c>
      <c r="AX532" s="3">
        <v>2301.3688821154542</v>
      </c>
      <c r="AY532" s="3">
        <v>2386.556878037502</v>
      </c>
      <c r="AZ532" s="3">
        <v>2472.0479242812362</v>
      </c>
      <c r="BA532" s="3">
        <v>2558.8132190180709</v>
      </c>
      <c r="BC532" s="17" t="s">
        <v>3532</v>
      </c>
      <c r="BD532" s="3">
        <v>1674.298650585562</v>
      </c>
      <c r="BE532" s="3">
        <v>1326.0811747905279</v>
      </c>
      <c r="BF532" s="3">
        <v>1529.296357551106</v>
      </c>
      <c r="BG532" s="3">
        <v>1589.7301424074749</v>
      </c>
      <c r="BH532" s="3">
        <v>1649.43111990887</v>
      </c>
      <c r="BI532" s="3">
        <v>1567.4138121402741</v>
      </c>
      <c r="BJ532" s="3">
        <v>1476.510926794753</v>
      </c>
      <c r="BK532" s="3">
        <v>1405.968253006718</v>
      </c>
      <c r="BL532" s="3">
        <v>1346.698182418362</v>
      </c>
      <c r="BM532" s="3">
        <v>1312.1045997692131</v>
      </c>
      <c r="BN532" s="3">
        <v>1284.1223166943539</v>
      </c>
      <c r="BO532" s="3">
        <v>1262.304230253354</v>
      </c>
      <c r="BP532" s="3">
        <v>1246.002564311199</v>
      </c>
      <c r="BQ532" s="3">
        <v>1234.035741406896</v>
      </c>
      <c r="BR532" s="3">
        <v>1225.730805237816</v>
      </c>
      <c r="BS532" s="3">
        <v>1220.8415724006991</v>
      </c>
      <c r="BT532" s="3">
        <v>1218.586265981146</v>
      </c>
      <c r="BU532" s="3">
        <v>1218.413503053258</v>
      </c>
      <c r="BV532" s="3">
        <v>1219.541805541551</v>
      </c>
      <c r="BW532" s="3">
        <v>1221.6594410778191</v>
      </c>
      <c r="BY532" s="17" t="s">
        <v>3533</v>
      </c>
      <c r="BZ532" s="3">
        <v>1674.298650585562</v>
      </c>
      <c r="CA532" s="3">
        <v>1326.0811747905279</v>
      </c>
      <c r="CB532" s="3">
        <v>1529.296357551106</v>
      </c>
      <c r="CC532" s="3">
        <v>1589.7301424074749</v>
      </c>
      <c r="CD532" s="3">
        <v>1649.43111990887</v>
      </c>
      <c r="CE532" s="3">
        <v>1590.1498525383679</v>
      </c>
      <c r="CF532" s="3">
        <v>1628.0692604738049</v>
      </c>
      <c r="CG532" s="3">
        <v>1664.9727712197689</v>
      </c>
      <c r="CH532" s="3">
        <v>1695.64836892478</v>
      </c>
      <c r="CI532" s="3">
        <v>1731.438966857897</v>
      </c>
      <c r="CJ532" s="3">
        <v>1767.234100796996</v>
      </c>
      <c r="CK532" s="3">
        <v>1806.327083268324</v>
      </c>
      <c r="CL532" s="3">
        <v>1847.0631868379601</v>
      </c>
      <c r="CM532" s="3">
        <v>1888.606768613696</v>
      </c>
      <c r="CN532" s="3">
        <v>1947.22391187996</v>
      </c>
      <c r="CO532" s="3">
        <v>2007.312762130372</v>
      </c>
      <c r="CP532" s="3">
        <v>2067.3066099191979</v>
      </c>
      <c r="CQ532" s="3">
        <v>2127.8740044848601</v>
      </c>
      <c r="CR532" s="3">
        <v>2188.0629456184752</v>
      </c>
      <c r="CS532" s="3">
        <v>2248.962106968213</v>
      </c>
      <c r="CU532" s="17" t="s">
        <v>3534</v>
      </c>
      <c r="CV532" s="3">
        <v>1674.298650585562</v>
      </c>
      <c r="CW532" s="3">
        <v>1326.0811747905279</v>
      </c>
      <c r="CX532" s="3">
        <v>1529.296357551106</v>
      </c>
      <c r="CY532" s="3">
        <v>1589.7301424074749</v>
      </c>
      <c r="CZ532" s="3">
        <v>1649.43111990887</v>
      </c>
      <c r="DA532" s="3">
        <v>1227.55066127899</v>
      </c>
      <c r="DB532" s="3">
        <v>1288.5062412525881</v>
      </c>
      <c r="DC532" s="3">
        <v>1349.469792652086</v>
      </c>
      <c r="DD532" s="3">
        <v>1401.8231409763771</v>
      </c>
      <c r="DE532" s="3">
        <v>1460.104617123045</v>
      </c>
      <c r="DF532" s="3">
        <v>1517.1359030565061</v>
      </c>
      <c r="DG532" s="3">
        <v>1579.774360521312</v>
      </c>
      <c r="DH532" s="3">
        <v>1645.607666748007</v>
      </c>
      <c r="DI532" s="3">
        <v>1712.2428164717089</v>
      </c>
      <c r="DJ532" s="3">
        <v>1781.3151873854961</v>
      </c>
      <c r="DK532" s="3">
        <v>1854.133327716906</v>
      </c>
      <c r="DL532" s="3">
        <v>1926.62449610868</v>
      </c>
      <c r="DM532" s="3">
        <v>1999.7768835650991</v>
      </c>
      <c r="DN532" s="3">
        <v>2071.893264374472</v>
      </c>
      <c r="DO532" s="3">
        <v>2144.7918244478378</v>
      </c>
    </row>
    <row r="533" spans="1:119" x14ac:dyDescent="0.45">
      <c r="A533" s="16" t="s">
        <v>3535</v>
      </c>
      <c r="B533" s="3" t="s">
        <v>89</v>
      </c>
      <c r="C533" s="16" t="s">
        <v>3536</v>
      </c>
      <c r="H533" s="3" t="s">
        <v>3537</v>
      </c>
      <c r="I533" s="3" t="s">
        <v>2363</v>
      </c>
      <c r="K533" s="17" t="s">
        <v>3538</v>
      </c>
      <c r="L533" s="3">
        <v>0</v>
      </c>
      <c r="M533" s="3">
        <v>0</v>
      </c>
      <c r="N533" s="3">
        <v>0</v>
      </c>
      <c r="O533" s="3">
        <v>0</v>
      </c>
      <c r="P533" s="3">
        <v>0</v>
      </c>
      <c r="Q533" s="3">
        <v>0</v>
      </c>
      <c r="R533" s="3">
        <v>0</v>
      </c>
      <c r="S533" s="3">
        <v>0</v>
      </c>
      <c r="T533" s="3">
        <v>0</v>
      </c>
      <c r="U533" s="3">
        <v>0</v>
      </c>
      <c r="V533" s="3">
        <v>0</v>
      </c>
      <c r="W533" s="3">
        <v>0</v>
      </c>
      <c r="X533" s="3">
        <v>0</v>
      </c>
      <c r="Y533" s="3">
        <v>0</v>
      </c>
      <c r="Z533" s="3">
        <v>0</v>
      </c>
      <c r="AA533" s="3">
        <v>0</v>
      </c>
      <c r="AB533" s="3">
        <v>0</v>
      </c>
      <c r="AC533" s="3">
        <v>0</v>
      </c>
      <c r="AD533" s="3">
        <v>0</v>
      </c>
      <c r="AE533" s="3">
        <v>0</v>
      </c>
      <c r="AG533" s="17" t="s">
        <v>3539</v>
      </c>
      <c r="AH533" s="3">
        <v>0</v>
      </c>
      <c r="AI533" s="3">
        <v>0</v>
      </c>
      <c r="AJ533" s="3">
        <v>0</v>
      </c>
      <c r="AK533" s="3">
        <v>0</v>
      </c>
      <c r="AL533" s="3">
        <v>0</v>
      </c>
      <c r="AM533" s="3">
        <v>0</v>
      </c>
      <c r="AN533" s="3">
        <v>0</v>
      </c>
      <c r="AO533" s="3">
        <v>0</v>
      </c>
      <c r="AP533" s="3">
        <v>0</v>
      </c>
      <c r="AQ533" s="3">
        <v>0</v>
      </c>
      <c r="AR533" s="3">
        <v>0</v>
      </c>
      <c r="AS533" s="3">
        <v>0</v>
      </c>
      <c r="AT533" s="3">
        <v>0</v>
      </c>
      <c r="AU533" s="3">
        <v>0</v>
      </c>
      <c r="AV533" s="3">
        <v>0</v>
      </c>
      <c r="AW533" s="3">
        <v>0</v>
      </c>
      <c r="AX533" s="3">
        <v>0</v>
      </c>
      <c r="AY533" s="3">
        <v>0</v>
      </c>
      <c r="AZ533" s="3">
        <v>0</v>
      </c>
      <c r="BA533" s="3">
        <v>0</v>
      </c>
      <c r="BC533" s="17" t="s">
        <v>3540</v>
      </c>
      <c r="BD533" s="3">
        <v>0</v>
      </c>
      <c r="BE533" s="3">
        <v>0</v>
      </c>
      <c r="BF533" s="3">
        <v>0</v>
      </c>
      <c r="BG533" s="3">
        <v>0</v>
      </c>
      <c r="BH533" s="3">
        <v>0</v>
      </c>
      <c r="BI533" s="3">
        <v>0</v>
      </c>
      <c r="BJ533" s="3">
        <v>0</v>
      </c>
      <c r="BK533" s="3">
        <v>0</v>
      </c>
      <c r="BL533" s="3">
        <v>0</v>
      </c>
      <c r="BM533" s="3">
        <v>0</v>
      </c>
      <c r="BN533" s="3">
        <v>0</v>
      </c>
      <c r="BO533" s="3">
        <v>0</v>
      </c>
      <c r="BP533" s="3">
        <v>0</v>
      </c>
      <c r="BQ533" s="3">
        <v>0</v>
      </c>
      <c r="BR533" s="3">
        <v>0</v>
      </c>
      <c r="BS533" s="3">
        <v>0</v>
      </c>
      <c r="BT533" s="3">
        <v>0</v>
      </c>
      <c r="BU533" s="3">
        <v>0</v>
      </c>
      <c r="BV533" s="3">
        <v>0</v>
      </c>
      <c r="BW533" s="3">
        <v>0</v>
      </c>
      <c r="BY533" s="17" t="s">
        <v>3541</v>
      </c>
      <c r="BZ533" s="3">
        <v>0</v>
      </c>
      <c r="CA533" s="3">
        <v>0</v>
      </c>
      <c r="CB533" s="3">
        <v>0</v>
      </c>
      <c r="CC533" s="3">
        <v>0</v>
      </c>
      <c r="CD533" s="3">
        <v>0</v>
      </c>
      <c r="CE533" s="3">
        <v>0</v>
      </c>
      <c r="CF533" s="3">
        <v>0</v>
      </c>
      <c r="CG533" s="3">
        <v>0</v>
      </c>
      <c r="CH533" s="3">
        <v>0</v>
      </c>
      <c r="CI533" s="3">
        <v>0</v>
      </c>
      <c r="CJ533" s="3">
        <v>0</v>
      </c>
      <c r="CK533" s="3">
        <v>0</v>
      </c>
      <c r="CL533" s="3">
        <v>0</v>
      </c>
      <c r="CM533" s="3">
        <v>0</v>
      </c>
      <c r="CN533" s="3">
        <v>0</v>
      </c>
      <c r="CO533" s="3">
        <v>0</v>
      </c>
      <c r="CP533" s="3">
        <v>0</v>
      </c>
      <c r="CQ533" s="3">
        <v>0</v>
      </c>
      <c r="CR533" s="3">
        <v>0</v>
      </c>
      <c r="CS533" s="3">
        <v>0</v>
      </c>
      <c r="CU533" s="17" t="s">
        <v>3542</v>
      </c>
      <c r="CV533" s="3">
        <v>0</v>
      </c>
      <c r="CW533" s="3">
        <v>0</v>
      </c>
      <c r="CX533" s="3">
        <v>0</v>
      </c>
      <c r="CY533" s="3">
        <v>0</v>
      </c>
      <c r="CZ533" s="3">
        <v>0</v>
      </c>
      <c r="DA533" s="3">
        <v>0</v>
      </c>
      <c r="DB533" s="3">
        <v>0</v>
      </c>
      <c r="DC533" s="3">
        <v>0</v>
      </c>
      <c r="DD533" s="3">
        <v>0</v>
      </c>
      <c r="DE533" s="3">
        <v>0</v>
      </c>
      <c r="DF533" s="3">
        <v>0</v>
      </c>
      <c r="DG533" s="3">
        <v>0</v>
      </c>
      <c r="DH533" s="3">
        <v>0</v>
      </c>
      <c r="DI533" s="3">
        <v>0</v>
      </c>
      <c r="DJ533" s="3">
        <v>0</v>
      </c>
      <c r="DK533" s="3">
        <v>0</v>
      </c>
      <c r="DL533" s="3">
        <v>0</v>
      </c>
      <c r="DM533" s="3">
        <v>0</v>
      </c>
      <c r="DN533" s="3">
        <v>0</v>
      </c>
      <c r="DO533" s="3">
        <v>0</v>
      </c>
    </row>
    <row r="534" spans="1:119" x14ac:dyDescent="0.45">
      <c r="A534" s="16" t="s">
        <v>3543</v>
      </c>
      <c r="B534" s="3" t="s">
        <v>89</v>
      </c>
      <c r="C534" s="16" t="s">
        <v>3544</v>
      </c>
      <c r="H534" s="3" t="s">
        <v>3545</v>
      </c>
      <c r="I534" s="3" t="s">
        <v>2363</v>
      </c>
      <c r="K534" s="17" t="s">
        <v>3546</v>
      </c>
      <c r="L534" s="3">
        <v>0</v>
      </c>
      <c r="M534" s="3">
        <v>0</v>
      </c>
      <c r="N534" s="3">
        <v>0</v>
      </c>
      <c r="O534" s="3">
        <v>0</v>
      </c>
      <c r="P534" s="3">
        <v>0</v>
      </c>
      <c r="Q534" s="3">
        <v>0</v>
      </c>
      <c r="R534" s="3">
        <v>0</v>
      </c>
      <c r="S534" s="3">
        <v>0</v>
      </c>
      <c r="T534" s="3">
        <v>0</v>
      </c>
      <c r="U534" s="3">
        <v>0</v>
      </c>
      <c r="V534" s="3">
        <v>0</v>
      </c>
      <c r="W534" s="3">
        <v>0</v>
      </c>
      <c r="X534" s="3">
        <v>0</v>
      </c>
      <c r="Y534" s="3">
        <v>0</v>
      </c>
      <c r="Z534" s="3">
        <v>0</v>
      </c>
      <c r="AA534" s="3">
        <v>0</v>
      </c>
      <c r="AB534" s="3">
        <v>0</v>
      </c>
      <c r="AC534" s="3">
        <v>0</v>
      </c>
      <c r="AD534" s="3">
        <v>0</v>
      </c>
      <c r="AE534" s="3">
        <v>0</v>
      </c>
      <c r="AG534" s="17" t="s">
        <v>3547</v>
      </c>
      <c r="AH534" s="3">
        <v>0</v>
      </c>
      <c r="AI534" s="3">
        <v>0</v>
      </c>
      <c r="AJ534" s="3">
        <v>0</v>
      </c>
      <c r="AK534" s="3">
        <v>0</v>
      </c>
      <c r="AL534" s="3">
        <v>0</v>
      </c>
      <c r="AM534" s="3">
        <v>0</v>
      </c>
      <c r="AN534" s="3">
        <v>0</v>
      </c>
      <c r="AO534" s="3">
        <v>0</v>
      </c>
      <c r="AP534" s="3">
        <v>0</v>
      </c>
      <c r="AQ534" s="3">
        <v>0</v>
      </c>
      <c r="AR534" s="3">
        <v>0</v>
      </c>
      <c r="AS534" s="3">
        <v>0</v>
      </c>
      <c r="AT534" s="3">
        <v>0</v>
      </c>
      <c r="AU534" s="3">
        <v>0</v>
      </c>
      <c r="AV534" s="3">
        <v>0</v>
      </c>
      <c r="AW534" s="3">
        <v>0</v>
      </c>
      <c r="AX534" s="3">
        <v>0</v>
      </c>
      <c r="AY534" s="3">
        <v>0</v>
      </c>
      <c r="AZ534" s="3">
        <v>0</v>
      </c>
      <c r="BA534" s="3">
        <v>0</v>
      </c>
      <c r="BC534" s="17" t="s">
        <v>3548</v>
      </c>
      <c r="BD534" s="3">
        <v>0</v>
      </c>
      <c r="BE534" s="3">
        <v>0</v>
      </c>
      <c r="BF534" s="3">
        <v>0</v>
      </c>
      <c r="BG534" s="3">
        <v>0</v>
      </c>
      <c r="BH534" s="3">
        <v>0</v>
      </c>
      <c r="BI534" s="3">
        <v>0</v>
      </c>
      <c r="BJ534" s="3">
        <v>0</v>
      </c>
      <c r="BK534" s="3">
        <v>0</v>
      </c>
      <c r="BL534" s="3">
        <v>0</v>
      </c>
      <c r="BM534" s="3">
        <v>0</v>
      </c>
      <c r="BN534" s="3">
        <v>0</v>
      </c>
      <c r="BO534" s="3">
        <v>0</v>
      </c>
      <c r="BP534" s="3">
        <v>0</v>
      </c>
      <c r="BQ534" s="3">
        <v>0</v>
      </c>
      <c r="BR534" s="3">
        <v>0</v>
      </c>
      <c r="BS534" s="3">
        <v>0</v>
      </c>
      <c r="BT534" s="3">
        <v>0</v>
      </c>
      <c r="BU534" s="3">
        <v>0</v>
      </c>
      <c r="BV534" s="3">
        <v>0</v>
      </c>
      <c r="BW534" s="3">
        <v>0</v>
      </c>
      <c r="BY534" s="17" t="s">
        <v>3549</v>
      </c>
      <c r="BZ534" s="3">
        <v>0</v>
      </c>
      <c r="CA534" s="3">
        <v>0</v>
      </c>
      <c r="CB534" s="3">
        <v>0</v>
      </c>
      <c r="CC534" s="3">
        <v>0</v>
      </c>
      <c r="CD534" s="3">
        <v>0</v>
      </c>
      <c r="CE534" s="3">
        <v>0</v>
      </c>
      <c r="CF534" s="3">
        <v>0</v>
      </c>
      <c r="CG534" s="3">
        <v>0</v>
      </c>
      <c r="CH534" s="3">
        <v>0</v>
      </c>
      <c r="CI534" s="3">
        <v>0</v>
      </c>
      <c r="CJ534" s="3">
        <v>0</v>
      </c>
      <c r="CK534" s="3">
        <v>0</v>
      </c>
      <c r="CL534" s="3">
        <v>0</v>
      </c>
      <c r="CM534" s="3">
        <v>0</v>
      </c>
      <c r="CN534" s="3">
        <v>0</v>
      </c>
      <c r="CO534" s="3">
        <v>0</v>
      </c>
      <c r="CP534" s="3">
        <v>0</v>
      </c>
      <c r="CQ534" s="3">
        <v>0</v>
      </c>
      <c r="CR534" s="3">
        <v>0</v>
      </c>
      <c r="CS534" s="3">
        <v>0</v>
      </c>
      <c r="CU534" s="17" t="s">
        <v>3550</v>
      </c>
      <c r="CV534" s="3">
        <v>0</v>
      </c>
      <c r="CW534" s="3">
        <v>0</v>
      </c>
      <c r="CX534" s="3">
        <v>0</v>
      </c>
      <c r="CY534" s="3">
        <v>0</v>
      </c>
      <c r="CZ534" s="3">
        <v>0</v>
      </c>
      <c r="DA534" s="3">
        <v>0</v>
      </c>
      <c r="DB534" s="3">
        <v>0</v>
      </c>
      <c r="DC534" s="3">
        <v>0</v>
      </c>
      <c r="DD534" s="3">
        <v>0</v>
      </c>
      <c r="DE534" s="3">
        <v>0</v>
      </c>
      <c r="DF534" s="3">
        <v>0</v>
      </c>
      <c r="DG534" s="3">
        <v>0</v>
      </c>
      <c r="DH534" s="3">
        <v>0</v>
      </c>
      <c r="DI534" s="3">
        <v>0</v>
      </c>
      <c r="DJ534" s="3">
        <v>0</v>
      </c>
      <c r="DK534" s="3">
        <v>0</v>
      </c>
      <c r="DL534" s="3">
        <v>0</v>
      </c>
      <c r="DM534" s="3">
        <v>0</v>
      </c>
      <c r="DN534" s="3">
        <v>0</v>
      </c>
      <c r="DO534" s="3">
        <v>0</v>
      </c>
    </row>
    <row r="535" spans="1:119" x14ac:dyDescent="0.45">
      <c r="A535" s="16" t="s">
        <v>3551</v>
      </c>
      <c r="B535" s="3" t="s">
        <v>89</v>
      </c>
      <c r="C535" s="16" t="s">
        <v>3552</v>
      </c>
      <c r="H535" s="3" t="s">
        <v>3553</v>
      </c>
      <c r="I535" s="3" t="s">
        <v>2363</v>
      </c>
      <c r="K535" s="17" t="s">
        <v>3554</v>
      </c>
      <c r="L535" s="3">
        <v>0</v>
      </c>
      <c r="M535" s="3">
        <v>0</v>
      </c>
      <c r="N535" s="3">
        <v>0</v>
      </c>
      <c r="O535" s="3">
        <v>0</v>
      </c>
      <c r="P535" s="3">
        <v>0</v>
      </c>
      <c r="Q535" s="3">
        <v>0</v>
      </c>
      <c r="R535" s="3">
        <v>0</v>
      </c>
      <c r="S535" s="3">
        <v>0</v>
      </c>
      <c r="T535" s="3">
        <v>0</v>
      </c>
      <c r="U535" s="3">
        <v>0</v>
      </c>
      <c r="V535" s="3">
        <v>0</v>
      </c>
      <c r="W535" s="3">
        <v>0</v>
      </c>
      <c r="X535" s="3">
        <v>0</v>
      </c>
      <c r="Y535" s="3">
        <v>0</v>
      </c>
      <c r="Z535" s="3">
        <v>0</v>
      </c>
      <c r="AA535" s="3">
        <v>0</v>
      </c>
      <c r="AB535" s="3">
        <v>0</v>
      </c>
      <c r="AC535" s="3">
        <v>0</v>
      </c>
      <c r="AD535" s="3">
        <v>0</v>
      </c>
      <c r="AE535" s="3">
        <v>0</v>
      </c>
      <c r="AG535" s="17" t="s">
        <v>3555</v>
      </c>
      <c r="AH535" s="3">
        <v>0</v>
      </c>
      <c r="AI535" s="3">
        <v>0</v>
      </c>
      <c r="AJ535" s="3">
        <v>0</v>
      </c>
      <c r="AK535" s="3">
        <v>0</v>
      </c>
      <c r="AL535" s="3">
        <v>0</v>
      </c>
      <c r="AM535" s="3">
        <v>0</v>
      </c>
      <c r="AN535" s="3">
        <v>0</v>
      </c>
      <c r="AO535" s="3">
        <v>0</v>
      </c>
      <c r="AP535" s="3">
        <v>0</v>
      </c>
      <c r="AQ535" s="3">
        <v>0</v>
      </c>
      <c r="AR535" s="3">
        <v>0</v>
      </c>
      <c r="AS535" s="3">
        <v>0</v>
      </c>
      <c r="AT535" s="3">
        <v>0</v>
      </c>
      <c r="AU535" s="3">
        <v>0</v>
      </c>
      <c r="AV535" s="3">
        <v>0</v>
      </c>
      <c r="AW535" s="3">
        <v>0</v>
      </c>
      <c r="AX535" s="3">
        <v>0</v>
      </c>
      <c r="AY535" s="3">
        <v>0</v>
      </c>
      <c r="AZ535" s="3">
        <v>0</v>
      </c>
      <c r="BA535" s="3">
        <v>0</v>
      </c>
      <c r="BC535" s="17" t="s">
        <v>3556</v>
      </c>
      <c r="BD535" s="3">
        <v>0</v>
      </c>
      <c r="BE535" s="3">
        <v>0</v>
      </c>
      <c r="BF535" s="3">
        <v>0</v>
      </c>
      <c r="BG535" s="3">
        <v>0</v>
      </c>
      <c r="BH535" s="3">
        <v>0</v>
      </c>
      <c r="BI535" s="3">
        <v>0</v>
      </c>
      <c r="BJ535" s="3">
        <v>0</v>
      </c>
      <c r="BK535" s="3">
        <v>0</v>
      </c>
      <c r="BL535" s="3">
        <v>0</v>
      </c>
      <c r="BM535" s="3">
        <v>0</v>
      </c>
      <c r="BN535" s="3">
        <v>0</v>
      </c>
      <c r="BO535" s="3">
        <v>0</v>
      </c>
      <c r="BP535" s="3">
        <v>0</v>
      </c>
      <c r="BQ535" s="3">
        <v>0</v>
      </c>
      <c r="BR535" s="3">
        <v>0</v>
      </c>
      <c r="BS535" s="3">
        <v>0</v>
      </c>
      <c r="BT535" s="3">
        <v>0</v>
      </c>
      <c r="BU535" s="3">
        <v>0</v>
      </c>
      <c r="BV535" s="3">
        <v>0</v>
      </c>
      <c r="BW535" s="3">
        <v>0</v>
      </c>
      <c r="BY535" s="17" t="s">
        <v>3557</v>
      </c>
      <c r="BZ535" s="3">
        <v>0</v>
      </c>
      <c r="CA535" s="3">
        <v>0</v>
      </c>
      <c r="CB535" s="3">
        <v>0</v>
      </c>
      <c r="CC535" s="3">
        <v>0</v>
      </c>
      <c r="CD535" s="3">
        <v>0</v>
      </c>
      <c r="CE535" s="3">
        <v>0</v>
      </c>
      <c r="CF535" s="3">
        <v>0</v>
      </c>
      <c r="CG535" s="3">
        <v>0</v>
      </c>
      <c r="CH535" s="3">
        <v>0</v>
      </c>
      <c r="CI535" s="3">
        <v>0</v>
      </c>
      <c r="CJ535" s="3">
        <v>0</v>
      </c>
      <c r="CK535" s="3">
        <v>0</v>
      </c>
      <c r="CL535" s="3">
        <v>0</v>
      </c>
      <c r="CM535" s="3">
        <v>0</v>
      </c>
      <c r="CN535" s="3">
        <v>0</v>
      </c>
      <c r="CO535" s="3">
        <v>0</v>
      </c>
      <c r="CP535" s="3">
        <v>0</v>
      </c>
      <c r="CQ535" s="3">
        <v>0</v>
      </c>
      <c r="CR535" s="3">
        <v>0</v>
      </c>
      <c r="CS535" s="3">
        <v>0</v>
      </c>
      <c r="CU535" s="17" t="s">
        <v>3558</v>
      </c>
      <c r="CV535" s="3">
        <v>0</v>
      </c>
      <c r="CW535" s="3">
        <v>0</v>
      </c>
      <c r="CX535" s="3">
        <v>0</v>
      </c>
      <c r="CY535" s="3">
        <v>0</v>
      </c>
      <c r="CZ535" s="3">
        <v>0</v>
      </c>
      <c r="DA535" s="3">
        <v>0</v>
      </c>
      <c r="DB535" s="3">
        <v>0</v>
      </c>
      <c r="DC535" s="3">
        <v>0</v>
      </c>
      <c r="DD535" s="3">
        <v>0</v>
      </c>
      <c r="DE535" s="3">
        <v>0</v>
      </c>
      <c r="DF535" s="3">
        <v>0</v>
      </c>
      <c r="DG535" s="3">
        <v>0</v>
      </c>
      <c r="DH535" s="3">
        <v>0</v>
      </c>
      <c r="DI535" s="3">
        <v>0</v>
      </c>
      <c r="DJ535" s="3">
        <v>0</v>
      </c>
      <c r="DK535" s="3">
        <v>0</v>
      </c>
      <c r="DL535" s="3">
        <v>0</v>
      </c>
      <c r="DM535" s="3">
        <v>0</v>
      </c>
      <c r="DN535" s="3">
        <v>0</v>
      </c>
      <c r="DO535" s="3">
        <v>0</v>
      </c>
    </row>
    <row r="536" spans="1:119" x14ac:dyDescent="0.45">
      <c r="A536" s="16" t="s">
        <v>3559</v>
      </c>
      <c r="B536" s="3" t="s">
        <v>89</v>
      </c>
      <c r="C536" s="16" t="s">
        <v>3560</v>
      </c>
      <c r="H536" s="3" t="s">
        <v>3561</v>
      </c>
      <c r="I536" s="3" t="s">
        <v>2363</v>
      </c>
      <c r="K536" s="17" t="s">
        <v>3562</v>
      </c>
      <c r="L536" s="3">
        <v>0</v>
      </c>
      <c r="M536" s="3">
        <v>0</v>
      </c>
      <c r="N536" s="3">
        <v>0</v>
      </c>
      <c r="O536" s="3">
        <v>0</v>
      </c>
      <c r="P536" s="3">
        <v>0</v>
      </c>
      <c r="Q536" s="3">
        <v>0</v>
      </c>
      <c r="R536" s="3">
        <v>0</v>
      </c>
      <c r="S536" s="3">
        <v>0</v>
      </c>
      <c r="T536" s="3">
        <v>0</v>
      </c>
      <c r="U536" s="3">
        <v>0</v>
      </c>
      <c r="V536" s="3">
        <v>0</v>
      </c>
      <c r="W536" s="3">
        <v>0</v>
      </c>
      <c r="X536" s="3">
        <v>0</v>
      </c>
      <c r="Y536" s="3">
        <v>0</v>
      </c>
      <c r="Z536" s="3">
        <v>0</v>
      </c>
      <c r="AA536" s="3">
        <v>0</v>
      </c>
      <c r="AB536" s="3">
        <v>0</v>
      </c>
      <c r="AC536" s="3">
        <v>0</v>
      </c>
      <c r="AD536" s="3">
        <v>0</v>
      </c>
      <c r="AE536" s="3">
        <v>0</v>
      </c>
      <c r="AG536" s="17" t="s">
        <v>3563</v>
      </c>
      <c r="AH536" s="3">
        <v>0</v>
      </c>
      <c r="AI536" s="3">
        <v>0</v>
      </c>
      <c r="AJ536" s="3">
        <v>0</v>
      </c>
      <c r="AK536" s="3">
        <v>0</v>
      </c>
      <c r="AL536" s="3">
        <v>0</v>
      </c>
      <c r="AM536" s="3">
        <v>0</v>
      </c>
      <c r="AN536" s="3">
        <v>0</v>
      </c>
      <c r="AO536" s="3">
        <v>0</v>
      </c>
      <c r="AP536" s="3">
        <v>0</v>
      </c>
      <c r="AQ536" s="3">
        <v>0</v>
      </c>
      <c r="AR536" s="3">
        <v>0</v>
      </c>
      <c r="AS536" s="3">
        <v>0</v>
      </c>
      <c r="AT536" s="3">
        <v>0</v>
      </c>
      <c r="AU536" s="3">
        <v>0</v>
      </c>
      <c r="AV536" s="3">
        <v>0</v>
      </c>
      <c r="AW536" s="3">
        <v>0</v>
      </c>
      <c r="AX536" s="3">
        <v>0</v>
      </c>
      <c r="AY536" s="3">
        <v>0</v>
      </c>
      <c r="AZ536" s="3">
        <v>0</v>
      </c>
      <c r="BA536" s="3">
        <v>0</v>
      </c>
      <c r="BC536" s="17" t="s">
        <v>3564</v>
      </c>
      <c r="BD536" s="3">
        <v>0</v>
      </c>
      <c r="BE536" s="3">
        <v>0</v>
      </c>
      <c r="BF536" s="3">
        <v>0</v>
      </c>
      <c r="BG536" s="3">
        <v>0</v>
      </c>
      <c r="BH536" s="3">
        <v>0</v>
      </c>
      <c r="BI536" s="3">
        <v>0</v>
      </c>
      <c r="BJ536" s="3">
        <v>0</v>
      </c>
      <c r="BK536" s="3">
        <v>0</v>
      </c>
      <c r="BL536" s="3">
        <v>0</v>
      </c>
      <c r="BM536" s="3">
        <v>0</v>
      </c>
      <c r="BN536" s="3">
        <v>0</v>
      </c>
      <c r="BO536" s="3">
        <v>0</v>
      </c>
      <c r="BP536" s="3">
        <v>0</v>
      </c>
      <c r="BQ536" s="3">
        <v>0</v>
      </c>
      <c r="BR536" s="3">
        <v>0</v>
      </c>
      <c r="BS536" s="3">
        <v>0</v>
      </c>
      <c r="BT536" s="3">
        <v>0</v>
      </c>
      <c r="BU536" s="3">
        <v>0</v>
      </c>
      <c r="BV536" s="3">
        <v>0</v>
      </c>
      <c r="BW536" s="3">
        <v>0</v>
      </c>
      <c r="BY536" s="17" t="s">
        <v>3565</v>
      </c>
      <c r="BZ536" s="3">
        <v>0</v>
      </c>
      <c r="CA536" s="3">
        <v>0</v>
      </c>
      <c r="CB536" s="3">
        <v>0</v>
      </c>
      <c r="CC536" s="3">
        <v>0</v>
      </c>
      <c r="CD536" s="3">
        <v>0</v>
      </c>
      <c r="CE536" s="3">
        <v>0</v>
      </c>
      <c r="CF536" s="3">
        <v>0</v>
      </c>
      <c r="CG536" s="3">
        <v>0</v>
      </c>
      <c r="CH536" s="3">
        <v>0</v>
      </c>
      <c r="CI536" s="3">
        <v>0</v>
      </c>
      <c r="CJ536" s="3">
        <v>0</v>
      </c>
      <c r="CK536" s="3">
        <v>0</v>
      </c>
      <c r="CL536" s="3">
        <v>0</v>
      </c>
      <c r="CM536" s="3">
        <v>0</v>
      </c>
      <c r="CN536" s="3">
        <v>0</v>
      </c>
      <c r="CO536" s="3">
        <v>0</v>
      </c>
      <c r="CP536" s="3">
        <v>0</v>
      </c>
      <c r="CQ536" s="3">
        <v>0</v>
      </c>
      <c r="CR536" s="3">
        <v>0</v>
      </c>
      <c r="CS536" s="3">
        <v>0</v>
      </c>
      <c r="CU536" s="17" t="s">
        <v>3566</v>
      </c>
      <c r="CV536" s="3">
        <v>0</v>
      </c>
      <c r="CW536" s="3">
        <v>0</v>
      </c>
      <c r="CX536" s="3">
        <v>0</v>
      </c>
      <c r="CY536" s="3">
        <v>0</v>
      </c>
      <c r="CZ536" s="3">
        <v>0</v>
      </c>
      <c r="DA536" s="3">
        <v>0</v>
      </c>
      <c r="DB536" s="3">
        <v>0</v>
      </c>
      <c r="DC536" s="3">
        <v>0</v>
      </c>
      <c r="DD536" s="3">
        <v>0</v>
      </c>
      <c r="DE536" s="3">
        <v>0</v>
      </c>
      <c r="DF536" s="3">
        <v>0</v>
      </c>
      <c r="DG536" s="3">
        <v>0</v>
      </c>
      <c r="DH536" s="3">
        <v>0</v>
      </c>
      <c r="DI536" s="3">
        <v>0</v>
      </c>
      <c r="DJ536" s="3">
        <v>0</v>
      </c>
      <c r="DK536" s="3">
        <v>0</v>
      </c>
      <c r="DL536" s="3">
        <v>0</v>
      </c>
      <c r="DM536" s="3">
        <v>0</v>
      </c>
      <c r="DN536" s="3">
        <v>0</v>
      </c>
      <c r="DO536" s="3">
        <v>0</v>
      </c>
    </row>
    <row r="537" spans="1:119" x14ac:dyDescent="0.45">
      <c r="A537" s="16" t="s">
        <v>3567</v>
      </c>
      <c r="B537" s="3" t="s">
        <v>89</v>
      </c>
      <c r="C537" s="16" t="s">
        <v>3568</v>
      </c>
      <c r="H537" s="3" t="s">
        <v>3569</v>
      </c>
      <c r="I537" s="3" t="s">
        <v>2363</v>
      </c>
      <c r="K537" s="17" t="s">
        <v>3570</v>
      </c>
      <c r="L537" s="3">
        <v>0</v>
      </c>
      <c r="M537" s="3">
        <v>0</v>
      </c>
      <c r="N537" s="3">
        <v>0</v>
      </c>
      <c r="O537" s="3">
        <v>0</v>
      </c>
      <c r="P537" s="3">
        <v>0</v>
      </c>
      <c r="Q537" s="3">
        <v>0</v>
      </c>
      <c r="R537" s="3">
        <v>0</v>
      </c>
      <c r="S537" s="3">
        <v>0</v>
      </c>
      <c r="T537" s="3">
        <v>0</v>
      </c>
      <c r="U537" s="3">
        <v>0</v>
      </c>
      <c r="V537" s="3">
        <v>0</v>
      </c>
      <c r="W537" s="3">
        <v>0</v>
      </c>
      <c r="X537" s="3">
        <v>0</v>
      </c>
      <c r="Y537" s="3">
        <v>0</v>
      </c>
      <c r="Z537" s="3">
        <v>0</v>
      </c>
      <c r="AA537" s="3">
        <v>0</v>
      </c>
      <c r="AB537" s="3">
        <v>0</v>
      </c>
      <c r="AC537" s="3">
        <v>0</v>
      </c>
      <c r="AD537" s="3">
        <v>0</v>
      </c>
      <c r="AE537" s="3">
        <v>0</v>
      </c>
      <c r="AG537" s="17" t="s">
        <v>3571</v>
      </c>
      <c r="AH537" s="3">
        <v>0</v>
      </c>
      <c r="AI537" s="3">
        <v>0</v>
      </c>
      <c r="AJ537" s="3">
        <v>0</v>
      </c>
      <c r="AK537" s="3">
        <v>0</v>
      </c>
      <c r="AL537" s="3">
        <v>0</v>
      </c>
      <c r="AM537" s="3">
        <v>0</v>
      </c>
      <c r="AN537" s="3">
        <v>0</v>
      </c>
      <c r="AO537" s="3">
        <v>0</v>
      </c>
      <c r="AP537" s="3">
        <v>0</v>
      </c>
      <c r="AQ537" s="3">
        <v>0</v>
      </c>
      <c r="AR537" s="3">
        <v>0</v>
      </c>
      <c r="AS537" s="3">
        <v>0</v>
      </c>
      <c r="AT537" s="3">
        <v>0</v>
      </c>
      <c r="AU537" s="3">
        <v>0</v>
      </c>
      <c r="AV537" s="3">
        <v>0</v>
      </c>
      <c r="AW537" s="3">
        <v>0</v>
      </c>
      <c r="AX537" s="3">
        <v>0</v>
      </c>
      <c r="AY537" s="3">
        <v>0</v>
      </c>
      <c r="AZ537" s="3">
        <v>0</v>
      </c>
      <c r="BA537" s="3">
        <v>0</v>
      </c>
      <c r="BC537" s="17" t="s">
        <v>3572</v>
      </c>
      <c r="BD537" s="3">
        <v>0</v>
      </c>
      <c r="BE537" s="3">
        <v>0</v>
      </c>
      <c r="BF537" s="3">
        <v>0</v>
      </c>
      <c r="BG537" s="3">
        <v>0</v>
      </c>
      <c r="BH537" s="3">
        <v>0</v>
      </c>
      <c r="BI537" s="3">
        <v>0</v>
      </c>
      <c r="BJ537" s="3">
        <v>0</v>
      </c>
      <c r="BK537" s="3">
        <v>0</v>
      </c>
      <c r="BL537" s="3">
        <v>0</v>
      </c>
      <c r="BM537" s="3">
        <v>0</v>
      </c>
      <c r="BN537" s="3">
        <v>0</v>
      </c>
      <c r="BO537" s="3">
        <v>0</v>
      </c>
      <c r="BP537" s="3">
        <v>0</v>
      </c>
      <c r="BQ537" s="3">
        <v>0</v>
      </c>
      <c r="BR537" s="3">
        <v>0</v>
      </c>
      <c r="BS537" s="3">
        <v>0</v>
      </c>
      <c r="BT537" s="3">
        <v>0</v>
      </c>
      <c r="BU537" s="3">
        <v>0</v>
      </c>
      <c r="BV537" s="3">
        <v>0</v>
      </c>
      <c r="BW537" s="3">
        <v>0</v>
      </c>
      <c r="BY537" s="17" t="s">
        <v>3573</v>
      </c>
      <c r="BZ537" s="3">
        <v>0</v>
      </c>
      <c r="CA537" s="3">
        <v>0</v>
      </c>
      <c r="CB537" s="3">
        <v>0</v>
      </c>
      <c r="CC537" s="3">
        <v>0</v>
      </c>
      <c r="CD537" s="3">
        <v>0</v>
      </c>
      <c r="CE537" s="3">
        <v>0</v>
      </c>
      <c r="CF537" s="3">
        <v>0</v>
      </c>
      <c r="CG537" s="3">
        <v>0</v>
      </c>
      <c r="CH537" s="3">
        <v>0</v>
      </c>
      <c r="CI537" s="3">
        <v>0</v>
      </c>
      <c r="CJ537" s="3">
        <v>0</v>
      </c>
      <c r="CK537" s="3">
        <v>0</v>
      </c>
      <c r="CL537" s="3">
        <v>0</v>
      </c>
      <c r="CM537" s="3">
        <v>0</v>
      </c>
      <c r="CN537" s="3">
        <v>0</v>
      </c>
      <c r="CO537" s="3">
        <v>0</v>
      </c>
      <c r="CP537" s="3">
        <v>0</v>
      </c>
      <c r="CQ537" s="3">
        <v>0</v>
      </c>
      <c r="CR537" s="3">
        <v>0</v>
      </c>
      <c r="CS537" s="3">
        <v>0</v>
      </c>
      <c r="CU537" s="17" t="s">
        <v>3574</v>
      </c>
      <c r="CV537" s="3">
        <v>0</v>
      </c>
      <c r="CW537" s="3">
        <v>0</v>
      </c>
      <c r="CX537" s="3">
        <v>0</v>
      </c>
      <c r="CY537" s="3">
        <v>0</v>
      </c>
      <c r="CZ537" s="3">
        <v>0</v>
      </c>
      <c r="DA537" s="3">
        <v>0</v>
      </c>
      <c r="DB537" s="3">
        <v>0</v>
      </c>
      <c r="DC537" s="3">
        <v>0</v>
      </c>
      <c r="DD537" s="3">
        <v>0</v>
      </c>
      <c r="DE537" s="3">
        <v>0</v>
      </c>
      <c r="DF537" s="3">
        <v>0</v>
      </c>
      <c r="DG537" s="3">
        <v>0</v>
      </c>
      <c r="DH537" s="3">
        <v>0</v>
      </c>
      <c r="DI537" s="3">
        <v>0</v>
      </c>
      <c r="DJ537" s="3">
        <v>0</v>
      </c>
      <c r="DK537" s="3">
        <v>0</v>
      </c>
      <c r="DL537" s="3">
        <v>0</v>
      </c>
      <c r="DM537" s="3">
        <v>0</v>
      </c>
      <c r="DN537" s="3">
        <v>0</v>
      </c>
      <c r="DO537" s="3">
        <v>0</v>
      </c>
    </row>
    <row r="538" spans="1:119" x14ac:dyDescent="0.45">
      <c r="A538" s="16" t="s">
        <v>3575</v>
      </c>
      <c r="B538" s="3" t="s">
        <v>89</v>
      </c>
      <c r="C538" s="16" t="s">
        <v>3576</v>
      </c>
      <c r="H538" s="3" t="s">
        <v>3577</v>
      </c>
      <c r="I538" s="3" t="s">
        <v>2363</v>
      </c>
      <c r="K538" s="17" t="s">
        <v>3578</v>
      </c>
      <c r="L538" s="3">
        <v>0</v>
      </c>
      <c r="M538" s="3">
        <v>0</v>
      </c>
      <c r="N538" s="3">
        <v>0</v>
      </c>
      <c r="O538" s="3">
        <v>0</v>
      </c>
      <c r="P538" s="3">
        <v>0</v>
      </c>
      <c r="Q538" s="3">
        <v>0</v>
      </c>
      <c r="R538" s="3">
        <v>0</v>
      </c>
      <c r="S538" s="3">
        <v>0</v>
      </c>
      <c r="T538" s="3">
        <v>0</v>
      </c>
      <c r="U538" s="3">
        <v>0</v>
      </c>
      <c r="V538" s="3">
        <v>0</v>
      </c>
      <c r="W538" s="3">
        <v>0</v>
      </c>
      <c r="X538" s="3">
        <v>0</v>
      </c>
      <c r="Y538" s="3">
        <v>0</v>
      </c>
      <c r="Z538" s="3">
        <v>0</v>
      </c>
      <c r="AA538" s="3">
        <v>0</v>
      </c>
      <c r="AB538" s="3">
        <v>0</v>
      </c>
      <c r="AC538" s="3">
        <v>0</v>
      </c>
      <c r="AD538" s="3">
        <v>0</v>
      </c>
      <c r="AE538" s="3">
        <v>0</v>
      </c>
      <c r="AG538" s="17" t="s">
        <v>3579</v>
      </c>
      <c r="AH538" s="3">
        <v>0</v>
      </c>
      <c r="AI538" s="3">
        <v>0</v>
      </c>
      <c r="AJ538" s="3">
        <v>0</v>
      </c>
      <c r="AK538" s="3">
        <v>0</v>
      </c>
      <c r="AL538" s="3">
        <v>0</v>
      </c>
      <c r="AM538" s="3">
        <v>0</v>
      </c>
      <c r="AN538" s="3">
        <v>0</v>
      </c>
      <c r="AO538" s="3">
        <v>0</v>
      </c>
      <c r="AP538" s="3">
        <v>0</v>
      </c>
      <c r="AQ538" s="3">
        <v>0</v>
      </c>
      <c r="AR538" s="3">
        <v>0</v>
      </c>
      <c r="AS538" s="3">
        <v>0</v>
      </c>
      <c r="AT538" s="3">
        <v>0</v>
      </c>
      <c r="AU538" s="3">
        <v>0</v>
      </c>
      <c r="AV538" s="3">
        <v>0</v>
      </c>
      <c r="AW538" s="3">
        <v>0</v>
      </c>
      <c r="AX538" s="3">
        <v>0</v>
      </c>
      <c r="AY538" s="3">
        <v>0</v>
      </c>
      <c r="AZ538" s="3">
        <v>0</v>
      </c>
      <c r="BA538" s="3">
        <v>0</v>
      </c>
      <c r="BC538" s="17" t="s">
        <v>3580</v>
      </c>
      <c r="BD538" s="3">
        <v>0</v>
      </c>
      <c r="BE538" s="3">
        <v>0</v>
      </c>
      <c r="BF538" s="3">
        <v>0</v>
      </c>
      <c r="BG538" s="3">
        <v>0</v>
      </c>
      <c r="BH538" s="3">
        <v>0</v>
      </c>
      <c r="BI538" s="3">
        <v>0</v>
      </c>
      <c r="BJ538" s="3">
        <v>0</v>
      </c>
      <c r="BK538" s="3">
        <v>0</v>
      </c>
      <c r="BL538" s="3">
        <v>0</v>
      </c>
      <c r="BM538" s="3">
        <v>0</v>
      </c>
      <c r="BN538" s="3">
        <v>0</v>
      </c>
      <c r="BO538" s="3">
        <v>0</v>
      </c>
      <c r="BP538" s="3">
        <v>0</v>
      </c>
      <c r="BQ538" s="3">
        <v>0</v>
      </c>
      <c r="BR538" s="3">
        <v>0</v>
      </c>
      <c r="BS538" s="3">
        <v>0</v>
      </c>
      <c r="BT538" s="3">
        <v>0</v>
      </c>
      <c r="BU538" s="3">
        <v>0</v>
      </c>
      <c r="BV538" s="3">
        <v>0</v>
      </c>
      <c r="BW538" s="3">
        <v>0</v>
      </c>
      <c r="BY538" s="17" t="s">
        <v>3581</v>
      </c>
      <c r="BZ538" s="3">
        <v>0</v>
      </c>
      <c r="CA538" s="3">
        <v>0</v>
      </c>
      <c r="CB538" s="3">
        <v>0</v>
      </c>
      <c r="CC538" s="3">
        <v>0</v>
      </c>
      <c r="CD538" s="3">
        <v>0</v>
      </c>
      <c r="CE538" s="3">
        <v>0</v>
      </c>
      <c r="CF538" s="3">
        <v>0</v>
      </c>
      <c r="CG538" s="3">
        <v>0</v>
      </c>
      <c r="CH538" s="3">
        <v>0</v>
      </c>
      <c r="CI538" s="3">
        <v>0</v>
      </c>
      <c r="CJ538" s="3">
        <v>0</v>
      </c>
      <c r="CK538" s="3">
        <v>0</v>
      </c>
      <c r="CL538" s="3">
        <v>0</v>
      </c>
      <c r="CM538" s="3">
        <v>0</v>
      </c>
      <c r="CN538" s="3">
        <v>0</v>
      </c>
      <c r="CO538" s="3">
        <v>0</v>
      </c>
      <c r="CP538" s="3">
        <v>0</v>
      </c>
      <c r="CQ538" s="3">
        <v>0</v>
      </c>
      <c r="CR538" s="3">
        <v>0</v>
      </c>
      <c r="CS538" s="3">
        <v>0</v>
      </c>
      <c r="CU538" s="17" t="s">
        <v>3582</v>
      </c>
      <c r="CV538" s="3">
        <v>0</v>
      </c>
      <c r="CW538" s="3">
        <v>0</v>
      </c>
      <c r="CX538" s="3">
        <v>0</v>
      </c>
      <c r="CY538" s="3">
        <v>0</v>
      </c>
      <c r="CZ538" s="3">
        <v>0</v>
      </c>
      <c r="DA538" s="3">
        <v>0</v>
      </c>
      <c r="DB538" s="3">
        <v>0</v>
      </c>
      <c r="DC538" s="3">
        <v>0</v>
      </c>
      <c r="DD538" s="3">
        <v>0</v>
      </c>
      <c r="DE538" s="3">
        <v>0</v>
      </c>
      <c r="DF538" s="3">
        <v>0</v>
      </c>
      <c r="DG538" s="3">
        <v>0</v>
      </c>
      <c r="DH538" s="3">
        <v>0</v>
      </c>
      <c r="DI538" s="3">
        <v>0</v>
      </c>
      <c r="DJ538" s="3">
        <v>0</v>
      </c>
      <c r="DK538" s="3">
        <v>0</v>
      </c>
      <c r="DL538" s="3">
        <v>0</v>
      </c>
      <c r="DM538" s="3">
        <v>0</v>
      </c>
      <c r="DN538" s="3">
        <v>0</v>
      </c>
      <c r="DO538" s="3">
        <v>0</v>
      </c>
    </row>
    <row r="539" spans="1:119" x14ac:dyDescent="0.45">
      <c r="A539" s="11"/>
      <c r="B539" s="3" t="s">
        <v>89</v>
      </c>
      <c r="C539" s="16" t="s">
        <v>3583</v>
      </c>
      <c r="H539" s="11" t="s">
        <v>3584</v>
      </c>
      <c r="I539" s="11" t="s">
        <v>2363</v>
      </c>
    </row>
    <row r="540" spans="1:119" x14ac:dyDescent="0.45">
      <c r="A540" s="16" t="s">
        <v>3585</v>
      </c>
      <c r="B540" s="3" t="s">
        <v>89</v>
      </c>
      <c r="C540" s="16" t="s">
        <v>3586</v>
      </c>
      <c r="H540" s="3" t="s">
        <v>3587</v>
      </c>
      <c r="I540" s="3" t="s">
        <v>2363</v>
      </c>
      <c r="K540" s="17" t="s">
        <v>3588</v>
      </c>
      <c r="L540" s="3">
        <v>0</v>
      </c>
      <c r="M540" s="3">
        <v>0</v>
      </c>
      <c r="N540" s="3">
        <v>0</v>
      </c>
      <c r="O540" s="3">
        <v>0</v>
      </c>
      <c r="P540" s="3">
        <v>0</v>
      </c>
      <c r="Q540" s="3">
        <v>0</v>
      </c>
      <c r="R540" s="3">
        <v>0</v>
      </c>
      <c r="S540" s="3">
        <v>0</v>
      </c>
      <c r="T540" s="3">
        <v>0</v>
      </c>
      <c r="U540" s="3">
        <v>0</v>
      </c>
      <c r="V540" s="3">
        <v>0</v>
      </c>
      <c r="W540" s="3">
        <v>0</v>
      </c>
      <c r="X540" s="3">
        <v>0</v>
      </c>
      <c r="Y540" s="3">
        <v>0</v>
      </c>
      <c r="Z540" s="3">
        <v>0</v>
      </c>
      <c r="AA540" s="3">
        <v>0</v>
      </c>
      <c r="AB540" s="3">
        <v>0</v>
      </c>
      <c r="AC540" s="3">
        <v>0</v>
      </c>
      <c r="AD540" s="3">
        <v>0</v>
      </c>
      <c r="AE540" s="3">
        <v>0</v>
      </c>
      <c r="AG540" s="17" t="s">
        <v>3589</v>
      </c>
      <c r="AH540" s="3">
        <v>0</v>
      </c>
      <c r="AI540" s="3">
        <v>0</v>
      </c>
      <c r="AJ540" s="3">
        <v>0</v>
      </c>
      <c r="AK540" s="3">
        <v>0</v>
      </c>
      <c r="AL540" s="3">
        <v>0</v>
      </c>
      <c r="AM540" s="3">
        <v>0</v>
      </c>
      <c r="AN540" s="3">
        <v>0</v>
      </c>
      <c r="AO540" s="3">
        <v>0</v>
      </c>
      <c r="AP540" s="3">
        <v>0</v>
      </c>
      <c r="AQ540" s="3">
        <v>0</v>
      </c>
      <c r="AR540" s="3">
        <v>0</v>
      </c>
      <c r="AS540" s="3">
        <v>0</v>
      </c>
      <c r="AT540" s="3">
        <v>0</v>
      </c>
      <c r="AU540" s="3">
        <v>0</v>
      </c>
      <c r="AV540" s="3">
        <v>0</v>
      </c>
      <c r="AW540" s="3">
        <v>0</v>
      </c>
      <c r="AX540" s="3">
        <v>0</v>
      </c>
      <c r="AY540" s="3">
        <v>0</v>
      </c>
      <c r="AZ540" s="3">
        <v>0</v>
      </c>
      <c r="BA540" s="3">
        <v>0</v>
      </c>
      <c r="BC540" s="17" t="s">
        <v>3590</v>
      </c>
      <c r="BD540" s="3">
        <v>0</v>
      </c>
      <c r="BE540" s="3">
        <v>0</v>
      </c>
      <c r="BF540" s="3">
        <v>0</v>
      </c>
      <c r="BG540" s="3">
        <v>0</v>
      </c>
      <c r="BH540" s="3">
        <v>0</v>
      </c>
      <c r="BI540" s="3">
        <v>0</v>
      </c>
      <c r="BJ540" s="3">
        <v>0</v>
      </c>
      <c r="BK540" s="3">
        <v>0</v>
      </c>
      <c r="BL540" s="3">
        <v>0</v>
      </c>
      <c r="BM540" s="3">
        <v>0</v>
      </c>
      <c r="BN540" s="3">
        <v>0</v>
      </c>
      <c r="BO540" s="3">
        <v>0</v>
      </c>
      <c r="BP540" s="3">
        <v>0</v>
      </c>
      <c r="BQ540" s="3">
        <v>0</v>
      </c>
      <c r="BR540" s="3">
        <v>0</v>
      </c>
      <c r="BS540" s="3">
        <v>0</v>
      </c>
      <c r="BT540" s="3">
        <v>0</v>
      </c>
      <c r="BU540" s="3">
        <v>0</v>
      </c>
      <c r="BV540" s="3">
        <v>0</v>
      </c>
      <c r="BW540" s="3">
        <v>0</v>
      </c>
      <c r="BY540" s="17" t="s">
        <v>3591</v>
      </c>
      <c r="BZ540" s="3">
        <v>0</v>
      </c>
      <c r="CA540" s="3">
        <v>0</v>
      </c>
      <c r="CB540" s="3">
        <v>0</v>
      </c>
      <c r="CC540" s="3">
        <v>0</v>
      </c>
      <c r="CD540" s="3">
        <v>0</v>
      </c>
      <c r="CE540" s="3">
        <v>0</v>
      </c>
      <c r="CF540" s="3">
        <v>0</v>
      </c>
      <c r="CG540" s="3">
        <v>0</v>
      </c>
      <c r="CH540" s="3">
        <v>0</v>
      </c>
      <c r="CI540" s="3">
        <v>0</v>
      </c>
      <c r="CJ540" s="3">
        <v>0</v>
      </c>
      <c r="CK540" s="3">
        <v>0</v>
      </c>
      <c r="CL540" s="3">
        <v>0</v>
      </c>
      <c r="CM540" s="3">
        <v>0</v>
      </c>
      <c r="CN540" s="3">
        <v>0</v>
      </c>
      <c r="CO540" s="3">
        <v>0</v>
      </c>
      <c r="CP540" s="3">
        <v>0</v>
      </c>
      <c r="CQ540" s="3">
        <v>0</v>
      </c>
      <c r="CR540" s="3">
        <v>0</v>
      </c>
      <c r="CS540" s="3">
        <v>0</v>
      </c>
      <c r="CU540" s="17" t="s">
        <v>3592</v>
      </c>
      <c r="CV540" s="3">
        <v>0</v>
      </c>
      <c r="CW540" s="3">
        <v>0</v>
      </c>
      <c r="CX540" s="3">
        <v>0</v>
      </c>
      <c r="CY540" s="3">
        <v>0</v>
      </c>
      <c r="CZ540" s="3">
        <v>0</v>
      </c>
      <c r="DA540" s="3">
        <v>0</v>
      </c>
      <c r="DB540" s="3">
        <v>0</v>
      </c>
      <c r="DC540" s="3">
        <v>0</v>
      </c>
      <c r="DD540" s="3">
        <v>0</v>
      </c>
      <c r="DE540" s="3">
        <v>0</v>
      </c>
      <c r="DF540" s="3">
        <v>0</v>
      </c>
      <c r="DG540" s="3">
        <v>0</v>
      </c>
      <c r="DH540" s="3">
        <v>0</v>
      </c>
      <c r="DI540" s="3">
        <v>0</v>
      </c>
      <c r="DJ540" s="3">
        <v>0</v>
      </c>
      <c r="DK540" s="3">
        <v>0</v>
      </c>
      <c r="DL540" s="3">
        <v>0</v>
      </c>
      <c r="DM540" s="3">
        <v>0</v>
      </c>
      <c r="DN540" s="3">
        <v>0</v>
      </c>
      <c r="DO540" s="3">
        <v>0</v>
      </c>
    </row>
    <row r="541" spans="1:119" x14ac:dyDescent="0.45">
      <c r="A541" s="16" t="s">
        <v>3593</v>
      </c>
      <c r="B541" s="3" t="s">
        <v>89</v>
      </c>
      <c r="C541" s="16" t="s">
        <v>3594</v>
      </c>
      <c r="H541" s="3" t="s">
        <v>3595</v>
      </c>
      <c r="I541" s="3" t="s">
        <v>2363</v>
      </c>
      <c r="K541" s="17" t="s">
        <v>3596</v>
      </c>
      <c r="L541" s="3">
        <v>941.23114304867192</v>
      </c>
      <c r="M541" s="3">
        <v>745.47566498180731</v>
      </c>
      <c r="N541" s="3">
        <v>859.71601194003244</v>
      </c>
      <c r="O541" s="3">
        <v>893.68973602995175</v>
      </c>
      <c r="P541" s="3">
        <v>927.25150189239741</v>
      </c>
      <c r="Q541" s="3">
        <v>967.24044764967357</v>
      </c>
      <c r="R541" s="3">
        <v>1015.270433481951</v>
      </c>
      <c r="S541" s="3">
        <v>1061.985543221095</v>
      </c>
      <c r="T541" s="3">
        <v>1106.3205050512991</v>
      </c>
      <c r="U541" s="3">
        <v>1151.615402731544</v>
      </c>
      <c r="V541" s="3">
        <v>1198.0355894506311</v>
      </c>
      <c r="W541" s="3">
        <v>1245.5811921818861</v>
      </c>
      <c r="X541" s="3">
        <v>1294.251496101806</v>
      </c>
      <c r="Y541" s="3">
        <v>1344.0449318824419</v>
      </c>
      <c r="Z541" s="3">
        <v>1394.9590612494519</v>
      </c>
      <c r="AA541" s="3">
        <v>1446.990560663095</v>
      </c>
      <c r="AB541" s="3">
        <v>1500.13520298495</v>
      </c>
      <c r="AC541" s="3">
        <v>1554.3878369986589</v>
      </c>
      <c r="AD541" s="3">
        <v>1609.742364658297</v>
      </c>
      <c r="AE541" s="3">
        <v>1666.191715943253</v>
      </c>
      <c r="AG541" s="17" t="s">
        <v>3597</v>
      </c>
      <c r="AH541" s="3">
        <v>941.23114304867192</v>
      </c>
      <c r="AI541" s="3">
        <v>745.47566498180731</v>
      </c>
      <c r="AJ541" s="3">
        <v>859.71601194003244</v>
      </c>
      <c r="AK541" s="3">
        <v>893.68973602995175</v>
      </c>
      <c r="AL541" s="3">
        <v>927.25150189239741</v>
      </c>
      <c r="AM541" s="3">
        <v>829.44103286378424</v>
      </c>
      <c r="AN541" s="3">
        <v>870.62818692680298</v>
      </c>
      <c r="AO541" s="3">
        <v>911.21691916434645</v>
      </c>
      <c r="AP541" s="3">
        <v>948.02026600944248</v>
      </c>
      <c r="AQ541" s="3">
        <v>987.05530003746514</v>
      </c>
      <c r="AR541" s="3">
        <v>1026.3110135348199</v>
      </c>
      <c r="AS541" s="3">
        <v>1067.764973980366</v>
      </c>
      <c r="AT541" s="3">
        <v>1110.8378050671629</v>
      </c>
      <c r="AU541" s="3">
        <v>1154.642353197936</v>
      </c>
      <c r="AV541" s="3">
        <v>1199.7411399475161</v>
      </c>
      <c r="AW541" s="3">
        <v>1246.532578769883</v>
      </c>
      <c r="AX541" s="3">
        <v>1293.7477210129759</v>
      </c>
      <c r="AY541" s="3">
        <v>1341.6373820048741</v>
      </c>
      <c r="AZ541" s="3">
        <v>1389.697407107489</v>
      </c>
      <c r="BA541" s="3">
        <v>1438.4737693852369</v>
      </c>
      <c r="BC541" s="17" t="s">
        <v>3598</v>
      </c>
      <c r="BD541" s="3">
        <v>941.23114304867192</v>
      </c>
      <c r="BE541" s="3">
        <v>745.47566498180731</v>
      </c>
      <c r="BF541" s="3">
        <v>859.71601194003244</v>
      </c>
      <c r="BG541" s="3">
        <v>893.68973602995175</v>
      </c>
      <c r="BH541" s="3">
        <v>927.25150189239741</v>
      </c>
      <c r="BI541" s="3">
        <v>881.14428899234997</v>
      </c>
      <c r="BJ541" s="3">
        <v>830.04192045716445</v>
      </c>
      <c r="BK541" s="3">
        <v>790.38533860421967</v>
      </c>
      <c r="BL541" s="3">
        <v>757.06581328002278</v>
      </c>
      <c r="BM541" s="3">
        <v>737.61853168087725</v>
      </c>
      <c r="BN541" s="3">
        <v>721.88788752462096</v>
      </c>
      <c r="BO541" s="3">
        <v>709.62253544253292</v>
      </c>
      <c r="BP541" s="3">
        <v>700.45831873426164</v>
      </c>
      <c r="BQ541" s="3">
        <v>693.73099658242279</v>
      </c>
      <c r="BR541" s="3">
        <v>689.06225689214409</v>
      </c>
      <c r="BS541" s="3">
        <v>686.31370411137107</v>
      </c>
      <c r="BT541" s="3">
        <v>685.04585106827233</v>
      </c>
      <c r="BU541" s="3">
        <v>684.9487298957531</v>
      </c>
      <c r="BV541" s="3">
        <v>685.58302141858849</v>
      </c>
      <c r="BW541" s="3">
        <v>686.77348078834586</v>
      </c>
      <c r="BY541" s="17" t="s">
        <v>3599</v>
      </c>
      <c r="BZ541" s="3">
        <v>941.23114304867192</v>
      </c>
      <c r="CA541" s="3">
        <v>745.47566498180731</v>
      </c>
      <c r="CB541" s="3">
        <v>859.71601194003244</v>
      </c>
      <c r="CC541" s="3">
        <v>893.68973602995175</v>
      </c>
      <c r="CD541" s="3">
        <v>927.25150189239741</v>
      </c>
      <c r="CE541" s="3">
        <v>801.74490966756525</v>
      </c>
      <c r="CF541" s="3">
        <v>841.55603188436407</v>
      </c>
      <c r="CG541" s="3">
        <v>880.71357230691956</v>
      </c>
      <c r="CH541" s="3">
        <v>916.35852716236252</v>
      </c>
      <c r="CI541" s="3">
        <v>954.33371873040733</v>
      </c>
      <c r="CJ541" s="3">
        <v>992.22414494425061</v>
      </c>
      <c r="CK541" s="3">
        <v>1032.3876505536521</v>
      </c>
      <c r="CL541" s="3">
        <v>1073.5917364113261</v>
      </c>
      <c r="CM541" s="3">
        <v>1115.578049284894</v>
      </c>
      <c r="CN541" s="3">
        <v>1158.7866783974</v>
      </c>
      <c r="CO541" s="3">
        <v>1203.45117295828</v>
      </c>
      <c r="CP541" s="3">
        <v>1248.54676724972</v>
      </c>
      <c r="CQ541" s="3">
        <v>1294.4829555608051</v>
      </c>
      <c r="CR541" s="3">
        <v>1340.739724448729</v>
      </c>
      <c r="CS541" s="3">
        <v>1387.993683104635</v>
      </c>
      <c r="CU541" s="17" t="s">
        <v>3600</v>
      </c>
      <c r="CV541" s="3">
        <v>941.23114304867192</v>
      </c>
      <c r="CW541" s="3">
        <v>745.47566498180731</v>
      </c>
      <c r="CX541" s="3">
        <v>859.71601194003244</v>
      </c>
      <c r="CY541" s="3">
        <v>893.68973602995175</v>
      </c>
      <c r="CZ541" s="3">
        <v>927.25150189239741</v>
      </c>
      <c r="DA541" s="3">
        <v>690.08531522240003</v>
      </c>
      <c r="DB541" s="3">
        <v>724.35237396587968</v>
      </c>
      <c r="DC541" s="3">
        <v>758.62391396143983</v>
      </c>
      <c r="DD541" s="3">
        <v>788.05510407108034</v>
      </c>
      <c r="DE541" s="3">
        <v>820.81887676653537</v>
      </c>
      <c r="DF541" s="3">
        <v>852.87983699601011</v>
      </c>
      <c r="DG541" s="3">
        <v>888.0929496015691</v>
      </c>
      <c r="DH541" s="3">
        <v>925.10209253359847</v>
      </c>
      <c r="DI541" s="3">
        <v>962.56200335639278</v>
      </c>
      <c r="DJ541" s="3">
        <v>1001.392033235189</v>
      </c>
      <c r="DK541" s="3">
        <v>1042.3278014357079</v>
      </c>
      <c r="DL541" s="3">
        <v>1083.0797576428399</v>
      </c>
      <c r="DM541" s="3">
        <v>1124.203427687168</v>
      </c>
      <c r="DN541" s="3">
        <v>1164.7446916474539</v>
      </c>
      <c r="DO541" s="3">
        <v>1205.725668966202</v>
      </c>
    </row>
    <row r="542" spans="1:119" x14ac:dyDescent="0.45">
      <c r="A542" s="16" t="s">
        <v>3601</v>
      </c>
      <c r="B542" s="3" t="s">
        <v>89</v>
      </c>
      <c r="C542" s="16" t="s">
        <v>3602</v>
      </c>
      <c r="H542" s="3" t="s">
        <v>3603</v>
      </c>
      <c r="I542" s="3" t="s">
        <v>2363</v>
      </c>
      <c r="K542" s="17" t="s">
        <v>3604</v>
      </c>
      <c r="L542" s="3">
        <v>0</v>
      </c>
      <c r="M542" s="3">
        <v>0</v>
      </c>
      <c r="N542" s="3">
        <v>0</v>
      </c>
      <c r="O542" s="3">
        <v>0</v>
      </c>
      <c r="P542" s="3">
        <v>0</v>
      </c>
      <c r="Q542" s="3">
        <v>0</v>
      </c>
      <c r="R542" s="3">
        <v>0</v>
      </c>
      <c r="S542" s="3">
        <v>0</v>
      </c>
      <c r="T542" s="3">
        <v>0</v>
      </c>
      <c r="U542" s="3">
        <v>0</v>
      </c>
      <c r="V542" s="3">
        <v>0</v>
      </c>
      <c r="W542" s="3">
        <v>0</v>
      </c>
      <c r="X542" s="3">
        <v>0</v>
      </c>
      <c r="Y542" s="3">
        <v>0</v>
      </c>
      <c r="Z542" s="3">
        <v>0</v>
      </c>
      <c r="AA542" s="3">
        <v>0</v>
      </c>
      <c r="AB542" s="3">
        <v>0</v>
      </c>
      <c r="AC542" s="3">
        <v>0</v>
      </c>
      <c r="AD542" s="3">
        <v>0</v>
      </c>
      <c r="AE542" s="3">
        <v>0</v>
      </c>
      <c r="AG542" s="17" t="s">
        <v>3605</v>
      </c>
      <c r="AH542" s="3">
        <v>0</v>
      </c>
      <c r="AI542" s="3">
        <v>0</v>
      </c>
      <c r="AJ542" s="3">
        <v>0</v>
      </c>
      <c r="AK542" s="3">
        <v>0</v>
      </c>
      <c r="AL542" s="3">
        <v>0</v>
      </c>
      <c r="AM542" s="3">
        <v>0</v>
      </c>
      <c r="AN542" s="3">
        <v>0</v>
      </c>
      <c r="AO542" s="3">
        <v>0</v>
      </c>
      <c r="AP542" s="3">
        <v>0</v>
      </c>
      <c r="AQ542" s="3">
        <v>0</v>
      </c>
      <c r="AR542" s="3">
        <v>0</v>
      </c>
      <c r="AS542" s="3">
        <v>0</v>
      </c>
      <c r="AT542" s="3">
        <v>0</v>
      </c>
      <c r="AU542" s="3">
        <v>0</v>
      </c>
      <c r="AV542" s="3">
        <v>0</v>
      </c>
      <c r="AW542" s="3">
        <v>0</v>
      </c>
      <c r="AX542" s="3">
        <v>0</v>
      </c>
      <c r="AY542" s="3">
        <v>0</v>
      </c>
      <c r="AZ542" s="3">
        <v>0</v>
      </c>
      <c r="BA542" s="3">
        <v>0</v>
      </c>
      <c r="BC542" s="17" t="s">
        <v>3606</v>
      </c>
      <c r="BD542" s="3">
        <v>0</v>
      </c>
      <c r="BE542" s="3">
        <v>0</v>
      </c>
      <c r="BF542" s="3">
        <v>0</v>
      </c>
      <c r="BG542" s="3">
        <v>0</v>
      </c>
      <c r="BH542" s="3">
        <v>0</v>
      </c>
      <c r="BI542" s="3">
        <v>0</v>
      </c>
      <c r="BJ542" s="3">
        <v>0</v>
      </c>
      <c r="BK542" s="3">
        <v>0</v>
      </c>
      <c r="BL542" s="3">
        <v>0</v>
      </c>
      <c r="BM542" s="3">
        <v>0</v>
      </c>
      <c r="BN542" s="3">
        <v>0</v>
      </c>
      <c r="BO542" s="3">
        <v>0</v>
      </c>
      <c r="BP542" s="3">
        <v>0</v>
      </c>
      <c r="BQ542" s="3">
        <v>0</v>
      </c>
      <c r="BR542" s="3">
        <v>0</v>
      </c>
      <c r="BS542" s="3">
        <v>0</v>
      </c>
      <c r="BT542" s="3">
        <v>0</v>
      </c>
      <c r="BU542" s="3">
        <v>0</v>
      </c>
      <c r="BV542" s="3">
        <v>0</v>
      </c>
      <c r="BW542" s="3">
        <v>0</v>
      </c>
      <c r="BY542" s="17" t="s">
        <v>3607</v>
      </c>
      <c r="BZ542" s="3">
        <v>0</v>
      </c>
      <c r="CA542" s="3">
        <v>0</v>
      </c>
      <c r="CB542" s="3">
        <v>0</v>
      </c>
      <c r="CC542" s="3">
        <v>0</v>
      </c>
      <c r="CD542" s="3">
        <v>0</v>
      </c>
      <c r="CE542" s="3">
        <v>0</v>
      </c>
      <c r="CF542" s="3">
        <v>0</v>
      </c>
      <c r="CG542" s="3">
        <v>0</v>
      </c>
      <c r="CH542" s="3">
        <v>0</v>
      </c>
      <c r="CI542" s="3">
        <v>0</v>
      </c>
      <c r="CJ542" s="3">
        <v>0</v>
      </c>
      <c r="CK542" s="3">
        <v>0</v>
      </c>
      <c r="CL542" s="3">
        <v>0</v>
      </c>
      <c r="CM542" s="3">
        <v>0</v>
      </c>
      <c r="CN542" s="3">
        <v>0</v>
      </c>
      <c r="CO542" s="3">
        <v>0</v>
      </c>
      <c r="CP542" s="3">
        <v>0</v>
      </c>
      <c r="CQ542" s="3">
        <v>0</v>
      </c>
      <c r="CR542" s="3">
        <v>0</v>
      </c>
      <c r="CS542" s="3">
        <v>0</v>
      </c>
      <c r="CU542" s="17" t="s">
        <v>3608</v>
      </c>
      <c r="CV542" s="3">
        <v>0</v>
      </c>
      <c r="CW542" s="3">
        <v>0</v>
      </c>
      <c r="CX542" s="3">
        <v>0</v>
      </c>
      <c r="CY542" s="3">
        <v>0</v>
      </c>
      <c r="CZ542" s="3">
        <v>0</v>
      </c>
      <c r="DA542" s="3">
        <v>0</v>
      </c>
      <c r="DB542" s="3">
        <v>0</v>
      </c>
      <c r="DC542" s="3">
        <v>0</v>
      </c>
      <c r="DD542" s="3">
        <v>0</v>
      </c>
      <c r="DE542" s="3">
        <v>0</v>
      </c>
      <c r="DF542" s="3">
        <v>0</v>
      </c>
      <c r="DG542" s="3">
        <v>0</v>
      </c>
      <c r="DH542" s="3">
        <v>0</v>
      </c>
      <c r="DI542" s="3">
        <v>0</v>
      </c>
      <c r="DJ542" s="3">
        <v>0</v>
      </c>
      <c r="DK542" s="3">
        <v>0</v>
      </c>
      <c r="DL542" s="3">
        <v>0</v>
      </c>
      <c r="DM542" s="3">
        <v>0</v>
      </c>
      <c r="DN542" s="3">
        <v>0</v>
      </c>
      <c r="DO542" s="3">
        <v>0</v>
      </c>
    </row>
    <row r="543" spans="1:119" x14ac:dyDescent="0.45">
      <c r="A543" s="16" t="s">
        <v>3609</v>
      </c>
      <c r="B543" s="3" t="s">
        <v>89</v>
      </c>
      <c r="C543" s="16" t="s">
        <v>3610</v>
      </c>
      <c r="H543" s="3" t="s">
        <v>3611</v>
      </c>
      <c r="I543" s="3" t="s">
        <v>2363</v>
      </c>
      <c r="K543" s="17" t="s">
        <v>3612</v>
      </c>
      <c r="L543" s="3">
        <v>3591.4354862567761</v>
      </c>
      <c r="M543" s="3">
        <v>4287.7136762541641</v>
      </c>
      <c r="N543" s="3">
        <v>5414.3633041850999</v>
      </c>
      <c r="O543" s="3">
        <v>5525.7826170515073</v>
      </c>
      <c r="P543" s="3">
        <v>5634.166907541553</v>
      </c>
      <c r="Q543" s="3">
        <v>5760.0822559571197</v>
      </c>
      <c r="R543" s="3">
        <v>5907.2160505381571</v>
      </c>
      <c r="S543" s="3">
        <v>6047.5826563347664</v>
      </c>
      <c r="T543" s="3">
        <v>6178.6488871622787</v>
      </c>
      <c r="U543" s="3">
        <v>6310.1152697704183</v>
      </c>
      <c r="V543" s="3">
        <v>6442.418675841197</v>
      </c>
      <c r="W543" s="3">
        <v>6575.5279955126252</v>
      </c>
      <c r="X543" s="3">
        <v>6709.4121826867686</v>
      </c>
      <c r="Y543" s="3">
        <v>6844.0402313486911</v>
      </c>
      <c r="Z543" s="3">
        <v>6979.3811483166164</v>
      </c>
      <c r="AA543" s="3">
        <v>7115.403922545097</v>
      </c>
      <c r="AB543" s="3">
        <v>7252.0774910952377</v>
      </c>
      <c r="AC543" s="3">
        <v>7389.3707018782798</v>
      </c>
      <c r="AD543" s="3">
        <v>7527.2522732703064</v>
      </c>
      <c r="AE543" s="3">
        <v>7665.690750687666</v>
      </c>
      <c r="AG543" s="17" t="s">
        <v>3613</v>
      </c>
      <c r="AH543" s="3">
        <v>3591.4354862567761</v>
      </c>
      <c r="AI543" s="3">
        <v>4287.7136762541641</v>
      </c>
      <c r="AJ543" s="3">
        <v>5414.3633041850999</v>
      </c>
      <c r="AK543" s="3">
        <v>5525.7826170515073</v>
      </c>
      <c r="AL543" s="3">
        <v>5634.166907541553</v>
      </c>
      <c r="AM543" s="3">
        <v>4708.1437083732844</v>
      </c>
      <c r="AN543" s="3">
        <v>4828.4066457563413</v>
      </c>
      <c r="AO543" s="3">
        <v>4944.5740999730378</v>
      </c>
      <c r="AP543" s="3">
        <v>5048.4416124731724</v>
      </c>
      <c r="AQ543" s="3">
        <v>5156.4379308516336</v>
      </c>
      <c r="AR543" s="3">
        <v>5263.1902836941663</v>
      </c>
      <c r="AS543" s="3">
        <v>5373.7559268831337</v>
      </c>
      <c r="AT543" s="3">
        <v>5486.5071889643277</v>
      </c>
      <c r="AU543" s="3">
        <v>5599.1859862846459</v>
      </c>
      <c r="AV543" s="3">
        <v>5713.1477055377854</v>
      </c>
      <c r="AW543" s="3">
        <v>5829.2679443207981</v>
      </c>
      <c r="AX543" s="3">
        <v>5944.5300301342986</v>
      </c>
      <c r="AY543" s="3">
        <v>6059.5563238283557</v>
      </c>
      <c r="AZ543" s="3">
        <v>6173.2504947661992</v>
      </c>
      <c r="BA543" s="3">
        <v>6286.8815022240342</v>
      </c>
      <c r="BC543" s="17" t="s">
        <v>3614</v>
      </c>
      <c r="BD543" s="3">
        <v>3591.4354862567761</v>
      </c>
      <c r="BE543" s="3">
        <v>4287.7136762541641</v>
      </c>
      <c r="BF543" s="3">
        <v>5414.3633041850999</v>
      </c>
      <c r="BG543" s="3">
        <v>5525.7826170515073</v>
      </c>
      <c r="BH543" s="3">
        <v>5634.166907541553</v>
      </c>
      <c r="BI543" s="3">
        <v>5097.0218664710228</v>
      </c>
      <c r="BJ543" s="3">
        <v>4529.513432060945</v>
      </c>
      <c r="BK543" s="3">
        <v>4089.5673139935898</v>
      </c>
      <c r="BL543" s="3">
        <v>3733.855900682177</v>
      </c>
      <c r="BM543" s="3">
        <v>3489.6759561630511</v>
      </c>
      <c r="BN543" s="3">
        <v>3282.469429641234</v>
      </c>
      <c r="BO543" s="3">
        <v>3105.5552324505461</v>
      </c>
      <c r="BP543" s="3">
        <v>2953.484831816007</v>
      </c>
      <c r="BQ543" s="3">
        <v>2821.2948481358931</v>
      </c>
      <c r="BR543" s="3">
        <v>2705.4831071170101</v>
      </c>
      <c r="BS543" s="3">
        <v>2603.620382293142</v>
      </c>
      <c r="BT543" s="3">
        <v>2513.145452470309</v>
      </c>
      <c r="BU543" s="3">
        <v>2432.1264647262092</v>
      </c>
      <c r="BV543" s="3">
        <v>2358.7021044755588</v>
      </c>
      <c r="BW543" s="3">
        <v>2291.71595289265</v>
      </c>
      <c r="BY543" s="17" t="s">
        <v>3615</v>
      </c>
      <c r="BZ543" s="3">
        <v>3591.4354862567761</v>
      </c>
      <c r="CA543" s="3">
        <v>4287.7136762541641</v>
      </c>
      <c r="CB543" s="3">
        <v>5414.3633041850999</v>
      </c>
      <c r="CC543" s="3">
        <v>5525.7826170515073</v>
      </c>
      <c r="CD543" s="3">
        <v>5634.166907541553</v>
      </c>
      <c r="CE543" s="3">
        <v>4501.2315410005831</v>
      </c>
      <c r="CF543" s="3">
        <v>4616.2071705931467</v>
      </c>
      <c r="CG543" s="3">
        <v>4727.0657403241776</v>
      </c>
      <c r="CH543" s="3">
        <v>4826.5580654091846</v>
      </c>
      <c r="CI543" s="3">
        <v>4930.4377712354189</v>
      </c>
      <c r="CJ543" s="3">
        <v>5032.3491796439339</v>
      </c>
      <c r="CK543" s="3">
        <v>5138.2803686138468</v>
      </c>
      <c r="CL543" s="3">
        <v>5245.0121939709306</v>
      </c>
      <c r="CM543" s="3">
        <v>5351.8930643971826</v>
      </c>
      <c r="CN543" s="3">
        <v>5459.9632424756492</v>
      </c>
      <c r="CO543" s="3">
        <v>5569.7119369334432</v>
      </c>
      <c r="CP543" s="3">
        <v>5678.7327309551429</v>
      </c>
      <c r="CQ543" s="3">
        <v>5787.989239222813</v>
      </c>
      <c r="CR543" s="3">
        <v>5896.3371767765966</v>
      </c>
      <c r="CS543" s="3">
        <v>6005.294933486156</v>
      </c>
      <c r="CU543" s="17" t="s">
        <v>3616</v>
      </c>
      <c r="CV543" s="3">
        <v>3591.4354862567761</v>
      </c>
      <c r="CW543" s="3">
        <v>4287.7136762541641</v>
      </c>
      <c r="CX543" s="3">
        <v>5414.3633041850999</v>
      </c>
      <c r="CY543" s="3">
        <v>5525.7826170515073</v>
      </c>
      <c r="CZ543" s="3">
        <v>5634.166907541553</v>
      </c>
      <c r="DA543" s="3">
        <v>3685.589053910177</v>
      </c>
      <c r="DB543" s="3">
        <v>3779.7318067268429</v>
      </c>
      <c r="DC543" s="3">
        <v>3871.9508044768681</v>
      </c>
      <c r="DD543" s="3">
        <v>3950.2573001632909</v>
      </c>
      <c r="DE543" s="3">
        <v>4035.5365392510712</v>
      </c>
      <c r="DF543" s="3">
        <v>4117.6749915610644</v>
      </c>
      <c r="DG543" s="3">
        <v>4205.9865265160943</v>
      </c>
      <c r="DH543" s="3">
        <v>4296.9868295700071</v>
      </c>
      <c r="DI543" s="3">
        <v>4387.4691206295638</v>
      </c>
      <c r="DJ543" s="3">
        <v>4479.5285276873128</v>
      </c>
      <c r="DK543" s="3">
        <v>4574.7032372556632</v>
      </c>
      <c r="DL543" s="3">
        <v>4667.8996400348778</v>
      </c>
      <c r="DM543" s="3">
        <v>4760.409005022826</v>
      </c>
      <c r="DN543" s="3">
        <v>4850.2900488411569</v>
      </c>
      <c r="DO543" s="3">
        <v>4939.7744413049104</v>
      </c>
    </row>
    <row r="544" spans="1:119" x14ac:dyDescent="0.45">
      <c r="A544" s="16" t="s">
        <v>3617</v>
      </c>
      <c r="B544" s="3" t="s">
        <v>89</v>
      </c>
      <c r="C544" s="16" t="s">
        <v>3618</v>
      </c>
      <c r="H544" s="3" t="s">
        <v>3619</v>
      </c>
      <c r="I544" s="3" t="s">
        <v>2363</v>
      </c>
      <c r="K544" s="17" t="s">
        <v>3620</v>
      </c>
      <c r="L544" s="3">
        <v>17.31914402473063</v>
      </c>
      <c r="M544" s="3">
        <v>19.841643625891109</v>
      </c>
      <c r="N544" s="3">
        <v>19.911744655640881</v>
      </c>
      <c r="O544" s="3">
        <v>20.559077825954539</v>
      </c>
      <c r="P544" s="3">
        <v>21.195377856199741</v>
      </c>
      <c r="Q544" s="3">
        <v>21.94520281384823</v>
      </c>
      <c r="R544" s="3">
        <v>22.835280094554491</v>
      </c>
      <c r="S544" s="3">
        <v>23.695438394776389</v>
      </c>
      <c r="T544" s="3">
        <v>24.507755911121201</v>
      </c>
      <c r="U544" s="3">
        <v>25.332243919803741</v>
      </c>
      <c r="V544" s="3">
        <v>26.17172675206222</v>
      </c>
      <c r="W544" s="3">
        <v>27.026085580854119</v>
      </c>
      <c r="X544" s="3">
        <v>27.895192781679981</v>
      </c>
      <c r="Y544" s="3">
        <v>28.778911860838729</v>
      </c>
      <c r="Z544" s="3">
        <v>29.677097350884349</v>
      </c>
      <c r="AA544" s="3">
        <v>30.589594672285092</v>
      </c>
      <c r="AB544" s="3">
        <v>31.51623996035902</v>
      </c>
      <c r="AC544" s="3">
        <v>32.456859856625933</v>
      </c>
      <c r="AD544" s="3">
        <v>33.411271263772022</v>
      </c>
      <c r="AE544" s="3">
        <v>34.379281063476597</v>
      </c>
      <c r="AG544" s="17" t="s">
        <v>3621</v>
      </c>
      <c r="AH544" s="3">
        <v>17.31914402473063</v>
      </c>
      <c r="AI544" s="3">
        <v>19.841643625891109</v>
      </c>
      <c r="AJ544" s="3">
        <v>19.911744655640881</v>
      </c>
      <c r="AK544" s="3">
        <v>20.559077825954539</v>
      </c>
      <c r="AL544" s="3">
        <v>21.195377856199741</v>
      </c>
      <c r="AM544" s="3">
        <v>18.23381442696823</v>
      </c>
      <c r="AN544" s="3">
        <v>18.97335832274381</v>
      </c>
      <c r="AO544" s="3">
        <v>19.697193999263948</v>
      </c>
      <c r="AP544" s="3">
        <v>20.35119670324692</v>
      </c>
      <c r="AQ544" s="3">
        <v>21.039623073012638</v>
      </c>
      <c r="AR544" s="3">
        <v>21.727855845771209</v>
      </c>
      <c r="AS544" s="3">
        <v>22.44931679812651</v>
      </c>
      <c r="AT544" s="3">
        <v>23.193806303909099</v>
      </c>
      <c r="AU544" s="3">
        <v>23.946299174338851</v>
      </c>
      <c r="AV544" s="3">
        <v>24.716067388824129</v>
      </c>
      <c r="AW544" s="3">
        <v>25.5094531587389</v>
      </c>
      <c r="AX544" s="3">
        <v>26.305516455145149</v>
      </c>
      <c r="AY544" s="3">
        <v>27.108418854646722</v>
      </c>
      <c r="AZ544" s="3">
        <v>27.910086159238549</v>
      </c>
      <c r="BA544" s="3">
        <v>28.719405748538641</v>
      </c>
      <c r="BC544" s="17" t="s">
        <v>3622</v>
      </c>
      <c r="BD544" s="3">
        <v>17.31914402473063</v>
      </c>
      <c r="BE544" s="3">
        <v>19.841643625891109</v>
      </c>
      <c r="BF544" s="3">
        <v>19.911744655640881</v>
      </c>
      <c r="BG544" s="3">
        <v>20.559077825954539</v>
      </c>
      <c r="BH544" s="3">
        <v>21.195377856199741</v>
      </c>
      <c r="BI544" s="3">
        <v>19.542180707672919</v>
      </c>
      <c r="BJ544" s="3">
        <v>17.906637698237649</v>
      </c>
      <c r="BK544" s="3">
        <v>16.72181029670045</v>
      </c>
      <c r="BL544" s="3">
        <v>15.79326555968758</v>
      </c>
      <c r="BM544" s="3">
        <v>15.23787884952576</v>
      </c>
      <c r="BN544" s="3">
        <v>14.79049785594707</v>
      </c>
      <c r="BO544" s="3">
        <v>14.43410319346904</v>
      </c>
      <c r="BP544" s="3">
        <v>14.15391332270803</v>
      </c>
      <c r="BQ544" s="3">
        <v>13.93295401743992</v>
      </c>
      <c r="BR544" s="3">
        <v>13.760676590635869</v>
      </c>
      <c r="BS544" s="3">
        <v>13.63154667905167</v>
      </c>
      <c r="BT544" s="3">
        <v>13.53605209452971</v>
      </c>
      <c r="BU544" s="3">
        <v>13.4673783615108</v>
      </c>
      <c r="BV544" s="3">
        <v>13.417152263794801</v>
      </c>
      <c r="BW544" s="3">
        <v>13.381513697608719</v>
      </c>
      <c r="BY544" s="17" t="s">
        <v>3623</v>
      </c>
      <c r="BZ544" s="3">
        <v>17.31914402473063</v>
      </c>
      <c r="CA544" s="3">
        <v>19.841643625891109</v>
      </c>
      <c r="CB544" s="3">
        <v>19.911744655640881</v>
      </c>
      <c r="CC544" s="3">
        <v>20.559077825954539</v>
      </c>
      <c r="CD544" s="3">
        <v>21.195377856199741</v>
      </c>
      <c r="CE544" s="3">
        <v>17.536330729948041</v>
      </c>
      <c r="CF544" s="3">
        <v>18.247572621955271</v>
      </c>
      <c r="CG544" s="3">
        <v>18.94241446111462</v>
      </c>
      <c r="CH544" s="3">
        <v>19.572614228625731</v>
      </c>
      <c r="CI544" s="3">
        <v>20.238840292514389</v>
      </c>
      <c r="CJ544" s="3">
        <v>20.899801130897519</v>
      </c>
      <c r="CK544" s="3">
        <v>21.59521210565601</v>
      </c>
      <c r="CL544" s="3">
        <v>22.304036841135421</v>
      </c>
      <c r="CM544" s="3">
        <v>23.021892753040511</v>
      </c>
      <c r="CN544" s="3">
        <v>23.755969868351201</v>
      </c>
      <c r="CO544" s="3">
        <v>24.509906966441338</v>
      </c>
      <c r="CP544" s="3">
        <v>25.266881713165951</v>
      </c>
      <c r="CQ544" s="3">
        <v>26.033572994572701</v>
      </c>
      <c r="CR544" s="3">
        <v>26.801629682452031</v>
      </c>
      <c r="CS544" s="3">
        <v>27.58192191655391</v>
      </c>
      <c r="CU544" s="17" t="s">
        <v>3624</v>
      </c>
      <c r="CV544" s="3">
        <v>17.31914402473063</v>
      </c>
      <c r="CW544" s="3">
        <v>19.841643625891109</v>
      </c>
      <c r="CX544" s="3">
        <v>19.911744655640881</v>
      </c>
      <c r="CY544" s="3">
        <v>20.559077825954539</v>
      </c>
      <c r="CZ544" s="3">
        <v>21.195377856199741</v>
      </c>
      <c r="DA544" s="3">
        <v>14.85779455031726</v>
      </c>
      <c r="DB544" s="3">
        <v>15.46040771479514</v>
      </c>
      <c r="DC544" s="3">
        <v>16.058728954839381</v>
      </c>
      <c r="DD544" s="3">
        <v>16.571587961699649</v>
      </c>
      <c r="DE544" s="3">
        <v>17.13742780859214</v>
      </c>
      <c r="DF544" s="3">
        <v>17.68833522197674</v>
      </c>
      <c r="DG544" s="3">
        <v>18.288257695759931</v>
      </c>
      <c r="DH544" s="3">
        <v>18.91412426088041</v>
      </c>
      <c r="DI544" s="3">
        <v>19.543682158086899</v>
      </c>
      <c r="DJ544" s="3">
        <v>20.191827982507341</v>
      </c>
      <c r="DK544" s="3">
        <v>20.87010826188904</v>
      </c>
      <c r="DL544" s="3">
        <v>21.541627332939111</v>
      </c>
      <c r="DM544" s="3">
        <v>22.21544380257486</v>
      </c>
      <c r="DN544" s="3">
        <v>22.876657696125068</v>
      </c>
      <c r="DO544" s="3">
        <v>23.54158502140649</v>
      </c>
    </row>
    <row r="545" spans="1:119" x14ac:dyDescent="0.45">
      <c r="A545" s="16" t="s">
        <v>3625</v>
      </c>
      <c r="B545" s="3" t="s">
        <v>89</v>
      </c>
      <c r="C545" s="16" t="s">
        <v>3626</v>
      </c>
      <c r="H545" s="3" t="s">
        <v>3627</v>
      </c>
      <c r="I545" s="3" t="s">
        <v>2363</v>
      </c>
      <c r="K545" s="17" t="s">
        <v>3628</v>
      </c>
      <c r="L545" s="3">
        <v>3.9319855091792562</v>
      </c>
      <c r="M545" s="3">
        <v>4.2209787675690347</v>
      </c>
      <c r="N545" s="3">
        <v>4.5889967369122511</v>
      </c>
      <c r="O545" s="3">
        <v>4.7381855627855742</v>
      </c>
      <c r="P545" s="3">
        <v>4.8848316158056022</v>
      </c>
      <c r="Q545" s="3">
        <v>5.0576413993485776</v>
      </c>
      <c r="R545" s="3">
        <v>5.2627746916542133</v>
      </c>
      <c r="S545" s="3">
        <v>5.4610126512710782</v>
      </c>
      <c r="T545" s="3">
        <v>5.6482248969236446</v>
      </c>
      <c r="U545" s="3">
        <v>5.8382420374053874</v>
      </c>
      <c r="V545" s="3">
        <v>6.0317149873930536</v>
      </c>
      <c r="W545" s="3">
        <v>6.2286163611944456</v>
      </c>
      <c r="X545" s="3">
        <v>6.4289167455953153</v>
      </c>
      <c r="Y545" s="3">
        <v>6.6325846833246063</v>
      </c>
      <c r="Z545" s="3">
        <v>6.8395866489606822</v>
      </c>
      <c r="AA545" s="3">
        <v>7.0498870170483574</v>
      </c>
      <c r="AB545" s="3">
        <v>7.2634480222133018</v>
      </c>
      <c r="AC545" s="3">
        <v>7.4802297110755456</v>
      </c>
      <c r="AD545" s="3">
        <v>7.700189885776985</v>
      </c>
      <c r="AE545" s="3">
        <v>7.9232840389497943</v>
      </c>
      <c r="AG545" s="17" t="s">
        <v>3629</v>
      </c>
      <c r="AH545" s="3">
        <v>3.9319855091792562</v>
      </c>
      <c r="AI545" s="3">
        <v>4.2209787675690347</v>
      </c>
      <c r="AJ545" s="3">
        <v>4.5889967369122511</v>
      </c>
      <c r="AK545" s="3">
        <v>4.7381855627855742</v>
      </c>
      <c r="AL545" s="3">
        <v>4.8848316158056022</v>
      </c>
      <c r="AM545" s="3">
        <v>4.5229514561861892</v>
      </c>
      <c r="AN545" s="3">
        <v>4.7063975010995653</v>
      </c>
      <c r="AO545" s="3">
        <v>4.8859470758892556</v>
      </c>
      <c r="AP545" s="3">
        <v>5.0481743758421658</v>
      </c>
      <c r="AQ545" s="3">
        <v>5.2189405676381924</v>
      </c>
      <c r="AR545" s="3">
        <v>5.389658737125508</v>
      </c>
      <c r="AS545" s="3">
        <v>5.568619254580959</v>
      </c>
      <c r="AT545" s="3">
        <v>5.7532920726455323</v>
      </c>
      <c r="AU545" s="3">
        <v>5.9399501489198041</v>
      </c>
      <c r="AV545" s="3">
        <v>6.1308934252472538</v>
      </c>
      <c r="AW545" s="3">
        <v>6.3276951058679556</v>
      </c>
      <c r="AX545" s="3">
        <v>6.5251609548332548</v>
      </c>
      <c r="AY545" s="3">
        <v>6.7243232634958883</v>
      </c>
      <c r="AZ545" s="3">
        <v>6.9231792032227766</v>
      </c>
      <c r="BA545" s="3">
        <v>7.1239333147448756</v>
      </c>
      <c r="BC545" s="17" t="s">
        <v>3630</v>
      </c>
      <c r="BD545" s="3">
        <v>3.9319855091792562</v>
      </c>
      <c r="BE545" s="3">
        <v>4.2209787675690347</v>
      </c>
      <c r="BF545" s="3">
        <v>4.5889967369122511</v>
      </c>
      <c r="BG545" s="3">
        <v>4.7381855627855742</v>
      </c>
      <c r="BH545" s="3">
        <v>4.8848316158056022</v>
      </c>
      <c r="BI545" s="3">
        <v>4.7226479636963159</v>
      </c>
      <c r="BJ545" s="3">
        <v>4.5319507970980659</v>
      </c>
      <c r="BK545" s="3">
        <v>4.3785975587697852</v>
      </c>
      <c r="BL545" s="3">
        <v>4.2452696043560856</v>
      </c>
      <c r="BM545" s="3">
        <v>4.1720598290404229</v>
      </c>
      <c r="BN545" s="3">
        <v>4.1123239403911036</v>
      </c>
      <c r="BO545" s="3">
        <v>4.0659400178843743</v>
      </c>
      <c r="BP545" s="3">
        <v>4.031976163655246</v>
      </c>
      <c r="BQ545" s="3">
        <v>4.0078964122049774</v>
      </c>
      <c r="BR545" s="3">
        <v>3.9923175004524851</v>
      </c>
      <c r="BS545" s="3">
        <v>3.9848622493145842</v>
      </c>
      <c r="BT545" s="3">
        <v>3.9836821106743581</v>
      </c>
      <c r="BU545" s="3">
        <v>3.9874724449850869</v>
      </c>
      <c r="BV545" s="3">
        <v>3.9942869548162778</v>
      </c>
      <c r="BW545" s="3">
        <v>4.0033825123454543</v>
      </c>
      <c r="BY545" s="17" t="s">
        <v>3631</v>
      </c>
      <c r="BZ545" s="3">
        <v>3.9319855091792562</v>
      </c>
      <c r="CA545" s="3">
        <v>4.2209787675690347</v>
      </c>
      <c r="CB545" s="3">
        <v>4.5889967369122511</v>
      </c>
      <c r="CC545" s="3">
        <v>4.7381855627855742</v>
      </c>
      <c r="CD545" s="3">
        <v>4.8848316158056022</v>
      </c>
      <c r="CE545" s="3">
        <v>4.4107006207373143</v>
      </c>
      <c r="CF545" s="3">
        <v>4.589590669224668</v>
      </c>
      <c r="CG545" s="3">
        <v>4.7643558112883122</v>
      </c>
      <c r="CH545" s="3">
        <v>4.9228623169282182</v>
      </c>
      <c r="CI545" s="3">
        <v>5.0904300800365379</v>
      </c>
      <c r="CJ545" s="3">
        <v>5.2566735448202433</v>
      </c>
      <c r="CK545" s="3">
        <v>5.4315818346597284</v>
      </c>
      <c r="CL545" s="3">
        <v>5.6098639250763851</v>
      </c>
      <c r="CM545" s="3">
        <v>5.7904175177862056</v>
      </c>
      <c r="CN545" s="3">
        <v>5.9750510330882696</v>
      </c>
      <c r="CO545" s="3">
        <v>6.1646796890341786</v>
      </c>
      <c r="CP545" s="3">
        <v>6.3550723679062084</v>
      </c>
      <c r="CQ545" s="3">
        <v>6.5479089289229089</v>
      </c>
      <c r="CR545" s="3">
        <v>6.7410889140725638</v>
      </c>
      <c r="CS545" s="3">
        <v>6.9373463577937944</v>
      </c>
      <c r="CU545" s="17" t="s">
        <v>3632</v>
      </c>
      <c r="CV545" s="3">
        <v>3.9319855091792562</v>
      </c>
      <c r="CW545" s="3">
        <v>4.2209787675690347</v>
      </c>
      <c r="CX545" s="3">
        <v>4.5889967369122511</v>
      </c>
      <c r="CY545" s="3">
        <v>4.7381855627855742</v>
      </c>
      <c r="CZ545" s="3">
        <v>4.8848316158056022</v>
      </c>
      <c r="DA545" s="3">
        <v>3.9406346608343288</v>
      </c>
      <c r="DB545" s="3">
        <v>4.100461768079251</v>
      </c>
      <c r="DC545" s="3">
        <v>4.2591505565698284</v>
      </c>
      <c r="DD545" s="3">
        <v>4.3951727617302483</v>
      </c>
      <c r="DE545" s="3">
        <v>4.5452467249684947</v>
      </c>
      <c r="DF545" s="3">
        <v>4.6913602575484417</v>
      </c>
      <c r="DG545" s="3">
        <v>4.8504737306818431</v>
      </c>
      <c r="DH545" s="3">
        <v>5.0164681837090894</v>
      </c>
      <c r="DI545" s="3">
        <v>5.183441664351335</v>
      </c>
      <c r="DJ545" s="3">
        <v>5.3553450980902069</v>
      </c>
      <c r="DK545" s="3">
        <v>5.5352408941748834</v>
      </c>
      <c r="DL545" s="3">
        <v>5.7133434596552117</v>
      </c>
      <c r="DM545" s="3">
        <v>5.8920553489800627</v>
      </c>
      <c r="DN545" s="3">
        <v>6.0674247403338768</v>
      </c>
      <c r="DO545" s="3">
        <v>6.2437790206455457</v>
      </c>
    </row>
    <row r="546" spans="1:119" x14ac:dyDescent="0.45">
      <c r="A546" s="16" t="s">
        <v>3633</v>
      </c>
      <c r="B546" s="3" t="s">
        <v>89</v>
      </c>
      <c r="C546" s="16" t="s">
        <v>3634</v>
      </c>
      <c r="H546" s="3" t="s">
        <v>3635</v>
      </c>
      <c r="I546" s="3" t="s">
        <v>2363</v>
      </c>
      <c r="K546" s="17" t="s">
        <v>3636</v>
      </c>
      <c r="L546" s="3">
        <v>2274.796728917107</v>
      </c>
      <c r="M546" s="3">
        <v>1974.2440484447841</v>
      </c>
      <c r="N546" s="3">
        <v>2262.8831091293828</v>
      </c>
      <c r="O546" s="3">
        <v>2336.4497062515989</v>
      </c>
      <c r="P546" s="3">
        <v>2408.762435029611</v>
      </c>
      <c r="Q546" s="3">
        <v>2493.9767776605931</v>
      </c>
      <c r="R546" s="3">
        <v>2595.1301863228232</v>
      </c>
      <c r="S546" s="3">
        <v>2692.8834330830541</v>
      </c>
      <c r="T546" s="3">
        <v>2785.1997829949578</v>
      </c>
      <c r="U546" s="3">
        <v>2878.8992563858492</v>
      </c>
      <c r="V546" s="3">
        <v>2974.3028262073231</v>
      </c>
      <c r="W546" s="3">
        <v>3071.3969882832239</v>
      </c>
      <c r="X546" s="3">
        <v>3170.1672386447071</v>
      </c>
      <c r="Y546" s="3">
        <v>3270.5980653767679</v>
      </c>
      <c r="Z546" s="3">
        <v>3372.6729367373509</v>
      </c>
      <c r="AA546" s="3">
        <v>3476.3742854355201</v>
      </c>
      <c r="AB546" s="3">
        <v>3581.683488963437</v>
      </c>
      <c r="AC546" s="3">
        <v>3688.5808458844158</v>
      </c>
      <c r="AD546" s="3">
        <v>3797.0455479857178</v>
      </c>
      <c r="AE546" s="3">
        <v>3907.0556482107959</v>
      </c>
      <c r="AG546" s="17" t="s">
        <v>3637</v>
      </c>
      <c r="AH546" s="3">
        <v>2274.796728917107</v>
      </c>
      <c r="AI546" s="3">
        <v>1974.2440484447841</v>
      </c>
      <c r="AJ546" s="3">
        <v>2262.8831091293828</v>
      </c>
      <c r="AK546" s="3">
        <v>2336.4497062515989</v>
      </c>
      <c r="AL546" s="3">
        <v>2408.762435029611</v>
      </c>
      <c r="AM546" s="3">
        <v>2043.790185335554</v>
      </c>
      <c r="AN546" s="3">
        <v>2126.684116381351</v>
      </c>
      <c r="AO546" s="3">
        <v>2207.817345930926</v>
      </c>
      <c r="AP546" s="3">
        <v>2281.1231434061051</v>
      </c>
      <c r="AQ546" s="3">
        <v>2358.287417699275</v>
      </c>
      <c r="AR546" s="3">
        <v>2435.4299921081629</v>
      </c>
      <c r="AS546" s="3">
        <v>2516.2970437847321</v>
      </c>
      <c r="AT546" s="3">
        <v>2599.745317929352</v>
      </c>
      <c r="AU546" s="3">
        <v>2684.0906725055529</v>
      </c>
      <c r="AV546" s="3">
        <v>2770.3723843245261</v>
      </c>
      <c r="AW546" s="3">
        <v>2859.3013386160869</v>
      </c>
      <c r="AX546" s="3">
        <v>2948.530411261172</v>
      </c>
      <c r="AY546" s="3">
        <v>3038.5260646915731</v>
      </c>
      <c r="AZ546" s="3">
        <v>3128.3832789125258</v>
      </c>
      <c r="BA546" s="3">
        <v>3219.0982217477949</v>
      </c>
      <c r="BC546" s="17" t="s">
        <v>3638</v>
      </c>
      <c r="BD546" s="3">
        <v>2274.796728917107</v>
      </c>
      <c r="BE546" s="3">
        <v>1974.2440484447841</v>
      </c>
      <c r="BF546" s="3">
        <v>2262.8831091293828</v>
      </c>
      <c r="BG546" s="3">
        <v>2336.4497062515989</v>
      </c>
      <c r="BH546" s="3">
        <v>2408.762435029611</v>
      </c>
      <c r="BI546" s="3">
        <v>2200.750755144637</v>
      </c>
      <c r="BJ546" s="3">
        <v>2000.2499716711791</v>
      </c>
      <c r="BK546" s="3">
        <v>1857.5341781834791</v>
      </c>
      <c r="BL546" s="3">
        <v>1747.2774671791201</v>
      </c>
      <c r="BM546" s="3">
        <v>1681.195462983346</v>
      </c>
      <c r="BN546" s="3">
        <v>1628.200384541786</v>
      </c>
      <c r="BO546" s="3">
        <v>1586.04039642354</v>
      </c>
      <c r="BP546" s="3">
        <v>1552.8445037567481</v>
      </c>
      <c r="BQ546" s="3">
        <v>1526.584665641401</v>
      </c>
      <c r="BR546" s="3">
        <v>1505.9913384728229</v>
      </c>
      <c r="BS546" s="3">
        <v>1490.377699308769</v>
      </c>
      <c r="BT546" s="3">
        <v>1478.644439296211</v>
      </c>
      <c r="BU546" s="3">
        <v>1470.0037597247319</v>
      </c>
      <c r="BV546" s="3">
        <v>1463.509440407136</v>
      </c>
      <c r="BW546" s="3">
        <v>1458.716270715254</v>
      </c>
      <c r="BY546" s="17" t="s">
        <v>3639</v>
      </c>
      <c r="BZ546" s="3">
        <v>2274.796728917107</v>
      </c>
      <c r="CA546" s="3">
        <v>1974.2440484447841</v>
      </c>
      <c r="CB546" s="3">
        <v>2262.8831091293828</v>
      </c>
      <c r="CC546" s="3">
        <v>2336.4497062515989</v>
      </c>
      <c r="CD546" s="3">
        <v>2408.762435029611</v>
      </c>
      <c r="CE546" s="3">
        <v>1960.899045088087</v>
      </c>
      <c r="CF546" s="3">
        <v>2040.4295676552649</v>
      </c>
      <c r="CG546" s="3">
        <v>2118.1262488981652</v>
      </c>
      <c r="CH546" s="3">
        <v>2188.594703294777</v>
      </c>
      <c r="CI546" s="3">
        <v>2263.0915905062529</v>
      </c>
      <c r="CJ546" s="3">
        <v>2336.99972424216</v>
      </c>
      <c r="CK546" s="3">
        <v>2414.760045791008</v>
      </c>
      <c r="CL546" s="3">
        <v>2494.0202837701381</v>
      </c>
      <c r="CM546" s="3">
        <v>2574.2903809667878</v>
      </c>
      <c r="CN546" s="3">
        <v>2656.3743206803279</v>
      </c>
      <c r="CO546" s="3">
        <v>2740.678988427991</v>
      </c>
      <c r="CP546" s="3">
        <v>2825.323323714912</v>
      </c>
      <c r="CQ546" s="3">
        <v>2911.05415445366</v>
      </c>
      <c r="CR546" s="3">
        <v>2996.9376638963772</v>
      </c>
      <c r="CS546" s="3">
        <v>3084.189342728313</v>
      </c>
      <c r="CU546" s="17" t="s">
        <v>3640</v>
      </c>
      <c r="CV546" s="3">
        <v>2274.796728917107</v>
      </c>
      <c r="CW546" s="3">
        <v>1974.2440484447841</v>
      </c>
      <c r="CX546" s="3">
        <v>2262.8831091293828</v>
      </c>
      <c r="CY546" s="3">
        <v>2336.4497062515989</v>
      </c>
      <c r="CZ546" s="3">
        <v>2408.762435029611</v>
      </c>
      <c r="DA546" s="3">
        <v>1647.0958885792311</v>
      </c>
      <c r="DB546" s="3">
        <v>1713.8999934720409</v>
      </c>
      <c r="DC546" s="3">
        <v>1780.228306950132</v>
      </c>
      <c r="DD546" s="3">
        <v>1837.0825028241979</v>
      </c>
      <c r="DE546" s="3">
        <v>1899.810014788012</v>
      </c>
      <c r="DF546" s="3">
        <v>1960.8821565854109</v>
      </c>
      <c r="DG546" s="3">
        <v>2027.387978609547</v>
      </c>
      <c r="DH546" s="3">
        <v>2096.7698941231879</v>
      </c>
      <c r="DI546" s="3">
        <v>2166.5610209690799</v>
      </c>
      <c r="DJ546" s="3">
        <v>2238.4127563654288</v>
      </c>
      <c r="DK546" s="3">
        <v>2313.6051179026999</v>
      </c>
      <c r="DL546" s="3">
        <v>2388.047949729681</v>
      </c>
      <c r="DM546" s="3">
        <v>2462.745465100179</v>
      </c>
      <c r="DN546" s="3">
        <v>2536.0458921487379</v>
      </c>
      <c r="DO546" s="3">
        <v>2609.7579804378861</v>
      </c>
    </row>
    <row r="547" spans="1:119" x14ac:dyDescent="0.45">
      <c r="A547" s="16" t="s">
        <v>3641</v>
      </c>
      <c r="B547" s="3" t="s">
        <v>89</v>
      </c>
      <c r="C547" s="16" t="s">
        <v>3642</v>
      </c>
      <c r="H547" s="3" t="s">
        <v>3643</v>
      </c>
      <c r="I547" s="3" t="s">
        <v>2363</v>
      </c>
      <c r="K547" s="17" t="s">
        <v>3644</v>
      </c>
      <c r="L547" s="3">
        <v>0</v>
      </c>
      <c r="M547" s="3">
        <v>0</v>
      </c>
      <c r="N547" s="3">
        <v>0</v>
      </c>
      <c r="O547" s="3">
        <v>0</v>
      </c>
      <c r="P547" s="3">
        <v>0</v>
      </c>
      <c r="Q547" s="3">
        <v>0</v>
      </c>
      <c r="R547" s="3">
        <v>0</v>
      </c>
      <c r="S547" s="3">
        <v>0</v>
      </c>
      <c r="T547" s="3">
        <v>0</v>
      </c>
      <c r="U547" s="3">
        <v>0</v>
      </c>
      <c r="V547" s="3">
        <v>0</v>
      </c>
      <c r="W547" s="3">
        <v>0</v>
      </c>
      <c r="X547" s="3">
        <v>0</v>
      </c>
      <c r="Y547" s="3">
        <v>0</v>
      </c>
      <c r="Z547" s="3">
        <v>0</v>
      </c>
      <c r="AA547" s="3">
        <v>0</v>
      </c>
      <c r="AB547" s="3">
        <v>0</v>
      </c>
      <c r="AC547" s="3">
        <v>0</v>
      </c>
      <c r="AD547" s="3">
        <v>0</v>
      </c>
      <c r="AE547" s="3">
        <v>0</v>
      </c>
      <c r="AG547" s="17" t="s">
        <v>3645</v>
      </c>
      <c r="AH547" s="3">
        <v>0</v>
      </c>
      <c r="AI547" s="3">
        <v>0</v>
      </c>
      <c r="AJ547" s="3">
        <v>0</v>
      </c>
      <c r="AK547" s="3">
        <v>0</v>
      </c>
      <c r="AL547" s="3">
        <v>0</v>
      </c>
      <c r="AM547" s="3">
        <v>0</v>
      </c>
      <c r="AN547" s="3">
        <v>0</v>
      </c>
      <c r="AO547" s="3">
        <v>0</v>
      </c>
      <c r="AP547" s="3">
        <v>0</v>
      </c>
      <c r="AQ547" s="3">
        <v>0</v>
      </c>
      <c r="AR547" s="3">
        <v>0</v>
      </c>
      <c r="AS547" s="3">
        <v>0</v>
      </c>
      <c r="AT547" s="3">
        <v>0</v>
      </c>
      <c r="AU547" s="3">
        <v>0</v>
      </c>
      <c r="AV547" s="3">
        <v>0</v>
      </c>
      <c r="AW547" s="3">
        <v>0</v>
      </c>
      <c r="AX547" s="3">
        <v>0</v>
      </c>
      <c r="AY547" s="3">
        <v>0</v>
      </c>
      <c r="AZ547" s="3">
        <v>0</v>
      </c>
      <c r="BA547" s="3">
        <v>0</v>
      </c>
      <c r="BC547" s="17" t="s">
        <v>3646</v>
      </c>
      <c r="BD547" s="3">
        <v>0</v>
      </c>
      <c r="BE547" s="3">
        <v>0</v>
      </c>
      <c r="BF547" s="3">
        <v>0</v>
      </c>
      <c r="BG547" s="3">
        <v>0</v>
      </c>
      <c r="BH547" s="3">
        <v>0</v>
      </c>
      <c r="BI547" s="3">
        <v>0</v>
      </c>
      <c r="BJ547" s="3">
        <v>0</v>
      </c>
      <c r="BK547" s="3">
        <v>0</v>
      </c>
      <c r="BL547" s="3">
        <v>0</v>
      </c>
      <c r="BM547" s="3">
        <v>0</v>
      </c>
      <c r="BN547" s="3">
        <v>0</v>
      </c>
      <c r="BO547" s="3">
        <v>0</v>
      </c>
      <c r="BP547" s="3">
        <v>0</v>
      </c>
      <c r="BQ547" s="3">
        <v>0</v>
      </c>
      <c r="BR547" s="3">
        <v>0</v>
      </c>
      <c r="BS547" s="3">
        <v>0</v>
      </c>
      <c r="BT547" s="3">
        <v>0</v>
      </c>
      <c r="BU547" s="3">
        <v>0</v>
      </c>
      <c r="BV547" s="3">
        <v>0</v>
      </c>
      <c r="BW547" s="3">
        <v>0</v>
      </c>
      <c r="BY547" s="17" t="s">
        <v>3647</v>
      </c>
      <c r="BZ547" s="3">
        <v>0</v>
      </c>
      <c r="CA547" s="3">
        <v>0</v>
      </c>
      <c r="CB547" s="3">
        <v>0</v>
      </c>
      <c r="CC547" s="3">
        <v>0</v>
      </c>
      <c r="CD547" s="3">
        <v>0</v>
      </c>
      <c r="CE547" s="3">
        <v>0</v>
      </c>
      <c r="CF547" s="3">
        <v>0</v>
      </c>
      <c r="CG547" s="3">
        <v>0</v>
      </c>
      <c r="CH547" s="3">
        <v>0</v>
      </c>
      <c r="CI547" s="3">
        <v>0</v>
      </c>
      <c r="CJ547" s="3">
        <v>0</v>
      </c>
      <c r="CK547" s="3">
        <v>0</v>
      </c>
      <c r="CL547" s="3">
        <v>0</v>
      </c>
      <c r="CM547" s="3">
        <v>0</v>
      </c>
      <c r="CN547" s="3">
        <v>0</v>
      </c>
      <c r="CO547" s="3">
        <v>0</v>
      </c>
      <c r="CP547" s="3">
        <v>0</v>
      </c>
      <c r="CQ547" s="3">
        <v>0</v>
      </c>
      <c r="CR547" s="3">
        <v>0</v>
      </c>
      <c r="CS547" s="3">
        <v>0</v>
      </c>
      <c r="CU547" s="17" t="s">
        <v>3648</v>
      </c>
      <c r="CV547" s="3">
        <v>0</v>
      </c>
      <c r="CW547" s="3">
        <v>0</v>
      </c>
      <c r="CX547" s="3">
        <v>0</v>
      </c>
      <c r="CY547" s="3">
        <v>0</v>
      </c>
      <c r="CZ547" s="3">
        <v>0</v>
      </c>
      <c r="DA547" s="3">
        <v>0</v>
      </c>
      <c r="DB547" s="3">
        <v>0</v>
      </c>
      <c r="DC547" s="3">
        <v>0</v>
      </c>
      <c r="DD547" s="3">
        <v>0</v>
      </c>
      <c r="DE547" s="3">
        <v>0</v>
      </c>
      <c r="DF547" s="3">
        <v>0</v>
      </c>
      <c r="DG547" s="3">
        <v>0</v>
      </c>
      <c r="DH547" s="3">
        <v>0</v>
      </c>
      <c r="DI547" s="3">
        <v>0</v>
      </c>
      <c r="DJ547" s="3">
        <v>0</v>
      </c>
      <c r="DK547" s="3">
        <v>0</v>
      </c>
      <c r="DL547" s="3">
        <v>0</v>
      </c>
      <c r="DM547" s="3">
        <v>0</v>
      </c>
      <c r="DN547" s="3">
        <v>0</v>
      </c>
      <c r="DO547" s="3">
        <v>0</v>
      </c>
    </row>
    <row r="548" spans="1:119" x14ac:dyDescent="0.45">
      <c r="A548" s="11"/>
      <c r="B548" s="3" t="s">
        <v>89</v>
      </c>
      <c r="C548" s="16" t="s">
        <v>3649</v>
      </c>
      <c r="H548" s="11" t="s">
        <v>3650</v>
      </c>
      <c r="I548" s="11" t="s">
        <v>2363</v>
      </c>
    </row>
    <row r="549" spans="1:119" x14ac:dyDescent="0.45">
      <c r="A549" s="16" t="s">
        <v>3651</v>
      </c>
      <c r="B549" s="3" t="s">
        <v>89</v>
      </c>
      <c r="C549" s="16" t="s">
        <v>3652</v>
      </c>
      <c r="H549" s="3" t="s">
        <v>3653</v>
      </c>
      <c r="I549" s="3" t="s">
        <v>2363</v>
      </c>
      <c r="K549" s="17" t="s">
        <v>3654</v>
      </c>
      <c r="L549" s="3">
        <v>0</v>
      </c>
      <c r="M549" s="3">
        <v>0</v>
      </c>
      <c r="N549" s="3">
        <v>0</v>
      </c>
      <c r="O549" s="3">
        <v>0</v>
      </c>
      <c r="P549" s="3">
        <v>0</v>
      </c>
      <c r="Q549" s="3">
        <v>0</v>
      </c>
      <c r="R549" s="3">
        <v>0</v>
      </c>
      <c r="S549" s="3">
        <v>0</v>
      </c>
      <c r="T549" s="3">
        <v>0</v>
      </c>
      <c r="U549" s="3">
        <v>0</v>
      </c>
      <c r="V549" s="3">
        <v>0</v>
      </c>
      <c r="W549" s="3">
        <v>0</v>
      </c>
      <c r="X549" s="3">
        <v>0</v>
      </c>
      <c r="Y549" s="3">
        <v>0</v>
      </c>
      <c r="Z549" s="3">
        <v>0</v>
      </c>
      <c r="AA549" s="3">
        <v>0</v>
      </c>
      <c r="AB549" s="3">
        <v>0</v>
      </c>
      <c r="AC549" s="3">
        <v>0</v>
      </c>
      <c r="AD549" s="3">
        <v>0</v>
      </c>
      <c r="AE549" s="3">
        <v>0</v>
      </c>
      <c r="AG549" s="17" t="s">
        <v>3655</v>
      </c>
      <c r="AH549" s="3">
        <v>0</v>
      </c>
      <c r="AI549" s="3">
        <v>0</v>
      </c>
      <c r="AJ549" s="3">
        <v>0</v>
      </c>
      <c r="AK549" s="3">
        <v>0</v>
      </c>
      <c r="AL549" s="3">
        <v>0</v>
      </c>
      <c r="AM549" s="3">
        <v>0</v>
      </c>
      <c r="AN549" s="3">
        <v>0</v>
      </c>
      <c r="AO549" s="3">
        <v>0</v>
      </c>
      <c r="AP549" s="3">
        <v>0</v>
      </c>
      <c r="AQ549" s="3">
        <v>0</v>
      </c>
      <c r="AR549" s="3">
        <v>0</v>
      </c>
      <c r="AS549" s="3">
        <v>0</v>
      </c>
      <c r="AT549" s="3">
        <v>0</v>
      </c>
      <c r="AU549" s="3">
        <v>0</v>
      </c>
      <c r="AV549" s="3">
        <v>0</v>
      </c>
      <c r="AW549" s="3">
        <v>0</v>
      </c>
      <c r="AX549" s="3">
        <v>0</v>
      </c>
      <c r="AY549" s="3">
        <v>0</v>
      </c>
      <c r="AZ549" s="3">
        <v>0</v>
      </c>
      <c r="BA549" s="3">
        <v>0</v>
      </c>
      <c r="BC549" s="17" t="s">
        <v>3656</v>
      </c>
      <c r="BD549" s="3">
        <v>0</v>
      </c>
      <c r="BE549" s="3">
        <v>0</v>
      </c>
      <c r="BF549" s="3">
        <v>0</v>
      </c>
      <c r="BG549" s="3">
        <v>0</v>
      </c>
      <c r="BH549" s="3">
        <v>0</v>
      </c>
      <c r="BI549" s="3">
        <v>0</v>
      </c>
      <c r="BJ549" s="3">
        <v>0</v>
      </c>
      <c r="BK549" s="3">
        <v>0</v>
      </c>
      <c r="BL549" s="3">
        <v>0</v>
      </c>
      <c r="BM549" s="3">
        <v>0</v>
      </c>
      <c r="BN549" s="3">
        <v>0</v>
      </c>
      <c r="BO549" s="3">
        <v>0</v>
      </c>
      <c r="BP549" s="3">
        <v>0</v>
      </c>
      <c r="BQ549" s="3">
        <v>0</v>
      </c>
      <c r="BR549" s="3">
        <v>0</v>
      </c>
      <c r="BS549" s="3">
        <v>0</v>
      </c>
      <c r="BT549" s="3">
        <v>0</v>
      </c>
      <c r="BU549" s="3">
        <v>0</v>
      </c>
      <c r="BV549" s="3">
        <v>0</v>
      </c>
      <c r="BW549" s="3">
        <v>0</v>
      </c>
      <c r="BY549" s="17" t="s">
        <v>3657</v>
      </c>
      <c r="BZ549" s="3">
        <v>0</v>
      </c>
      <c r="CA549" s="3">
        <v>0</v>
      </c>
      <c r="CB549" s="3">
        <v>0</v>
      </c>
      <c r="CC549" s="3">
        <v>0</v>
      </c>
      <c r="CD549" s="3">
        <v>0</v>
      </c>
      <c r="CE549" s="3">
        <v>0</v>
      </c>
      <c r="CF549" s="3">
        <v>0</v>
      </c>
      <c r="CG549" s="3">
        <v>0</v>
      </c>
      <c r="CH549" s="3">
        <v>0</v>
      </c>
      <c r="CI549" s="3">
        <v>0</v>
      </c>
      <c r="CJ549" s="3">
        <v>0</v>
      </c>
      <c r="CK549" s="3">
        <v>0</v>
      </c>
      <c r="CL549" s="3">
        <v>0</v>
      </c>
      <c r="CM549" s="3">
        <v>0</v>
      </c>
      <c r="CN549" s="3">
        <v>0</v>
      </c>
      <c r="CO549" s="3">
        <v>0</v>
      </c>
      <c r="CP549" s="3">
        <v>0</v>
      </c>
      <c r="CQ549" s="3">
        <v>0</v>
      </c>
      <c r="CR549" s="3">
        <v>0</v>
      </c>
      <c r="CS549" s="3">
        <v>0</v>
      </c>
      <c r="CU549" s="17" t="s">
        <v>3658</v>
      </c>
      <c r="CV549" s="3">
        <v>0</v>
      </c>
      <c r="CW549" s="3">
        <v>0</v>
      </c>
      <c r="CX549" s="3">
        <v>0</v>
      </c>
      <c r="CY549" s="3">
        <v>0</v>
      </c>
      <c r="CZ549" s="3">
        <v>0</v>
      </c>
      <c r="DA549" s="3">
        <v>0</v>
      </c>
      <c r="DB549" s="3">
        <v>0</v>
      </c>
      <c r="DC549" s="3">
        <v>0</v>
      </c>
      <c r="DD549" s="3">
        <v>0</v>
      </c>
      <c r="DE549" s="3">
        <v>0</v>
      </c>
      <c r="DF549" s="3">
        <v>0</v>
      </c>
      <c r="DG549" s="3">
        <v>0</v>
      </c>
      <c r="DH549" s="3">
        <v>0</v>
      </c>
      <c r="DI549" s="3">
        <v>0</v>
      </c>
      <c r="DJ549" s="3">
        <v>0</v>
      </c>
      <c r="DK549" s="3">
        <v>0</v>
      </c>
      <c r="DL549" s="3">
        <v>0</v>
      </c>
      <c r="DM549" s="3">
        <v>0</v>
      </c>
      <c r="DN549" s="3">
        <v>0</v>
      </c>
      <c r="DO549" s="3">
        <v>0</v>
      </c>
    </row>
    <row r="550" spans="1:119" x14ac:dyDescent="0.45">
      <c r="A550" s="16" t="s">
        <v>3659</v>
      </c>
      <c r="B550" s="3" t="s">
        <v>89</v>
      </c>
      <c r="C550" s="16" t="s">
        <v>3660</v>
      </c>
      <c r="H550" s="3" t="s">
        <v>3661</v>
      </c>
      <c r="I550" s="3" t="s">
        <v>2363</v>
      </c>
      <c r="K550" s="17" t="s">
        <v>3662</v>
      </c>
      <c r="L550" s="3">
        <v>0</v>
      </c>
      <c r="M550" s="3">
        <v>0</v>
      </c>
      <c r="N550" s="3">
        <v>0</v>
      </c>
      <c r="O550" s="3">
        <v>0</v>
      </c>
      <c r="P550" s="3">
        <v>0</v>
      </c>
      <c r="Q550" s="3">
        <v>0</v>
      </c>
      <c r="R550" s="3">
        <v>0</v>
      </c>
      <c r="S550" s="3">
        <v>0</v>
      </c>
      <c r="T550" s="3">
        <v>0</v>
      </c>
      <c r="U550" s="3">
        <v>0</v>
      </c>
      <c r="V550" s="3">
        <v>0</v>
      </c>
      <c r="W550" s="3">
        <v>0</v>
      </c>
      <c r="X550" s="3">
        <v>0</v>
      </c>
      <c r="Y550" s="3">
        <v>0</v>
      </c>
      <c r="Z550" s="3">
        <v>0</v>
      </c>
      <c r="AA550" s="3">
        <v>0</v>
      </c>
      <c r="AB550" s="3">
        <v>0</v>
      </c>
      <c r="AC550" s="3">
        <v>0</v>
      </c>
      <c r="AD550" s="3">
        <v>0</v>
      </c>
      <c r="AE550" s="3">
        <v>0</v>
      </c>
      <c r="AG550" s="17" t="s">
        <v>3663</v>
      </c>
      <c r="AH550" s="3">
        <v>0</v>
      </c>
      <c r="AI550" s="3">
        <v>0</v>
      </c>
      <c r="AJ550" s="3">
        <v>0</v>
      </c>
      <c r="AK550" s="3">
        <v>0</v>
      </c>
      <c r="AL550" s="3">
        <v>0</v>
      </c>
      <c r="AM550" s="3">
        <v>0</v>
      </c>
      <c r="AN550" s="3">
        <v>0</v>
      </c>
      <c r="AO550" s="3">
        <v>0</v>
      </c>
      <c r="AP550" s="3">
        <v>0</v>
      </c>
      <c r="AQ550" s="3">
        <v>0</v>
      </c>
      <c r="AR550" s="3">
        <v>0</v>
      </c>
      <c r="AS550" s="3">
        <v>0</v>
      </c>
      <c r="AT550" s="3">
        <v>0</v>
      </c>
      <c r="AU550" s="3">
        <v>0</v>
      </c>
      <c r="AV550" s="3">
        <v>0</v>
      </c>
      <c r="AW550" s="3">
        <v>0</v>
      </c>
      <c r="AX550" s="3">
        <v>0</v>
      </c>
      <c r="AY550" s="3">
        <v>0</v>
      </c>
      <c r="AZ550" s="3">
        <v>0</v>
      </c>
      <c r="BA550" s="3">
        <v>0</v>
      </c>
      <c r="BC550" s="17" t="s">
        <v>3664</v>
      </c>
      <c r="BD550" s="3">
        <v>0</v>
      </c>
      <c r="BE550" s="3">
        <v>0</v>
      </c>
      <c r="BF550" s="3">
        <v>0</v>
      </c>
      <c r="BG550" s="3">
        <v>0</v>
      </c>
      <c r="BH550" s="3">
        <v>0</v>
      </c>
      <c r="BI550" s="3">
        <v>0</v>
      </c>
      <c r="BJ550" s="3">
        <v>0</v>
      </c>
      <c r="BK550" s="3">
        <v>0</v>
      </c>
      <c r="BL550" s="3">
        <v>0</v>
      </c>
      <c r="BM550" s="3">
        <v>0</v>
      </c>
      <c r="BN550" s="3">
        <v>0</v>
      </c>
      <c r="BO550" s="3">
        <v>0</v>
      </c>
      <c r="BP550" s="3">
        <v>0</v>
      </c>
      <c r="BQ550" s="3">
        <v>0</v>
      </c>
      <c r="BR550" s="3">
        <v>0</v>
      </c>
      <c r="BS550" s="3">
        <v>0</v>
      </c>
      <c r="BT550" s="3">
        <v>0</v>
      </c>
      <c r="BU550" s="3">
        <v>0</v>
      </c>
      <c r="BV550" s="3">
        <v>0</v>
      </c>
      <c r="BW550" s="3">
        <v>0</v>
      </c>
      <c r="BY550" s="17" t="s">
        <v>3665</v>
      </c>
      <c r="BZ550" s="3">
        <v>0</v>
      </c>
      <c r="CA550" s="3">
        <v>0</v>
      </c>
      <c r="CB550" s="3">
        <v>0</v>
      </c>
      <c r="CC550" s="3">
        <v>0</v>
      </c>
      <c r="CD550" s="3">
        <v>0</v>
      </c>
      <c r="CE550" s="3">
        <v>0</v>
      </c>
      <c r="CF550" s="3">
        <v>0</v>
      </c>
      <c r="CG550" s="3">
        <v>0</v>
      </c>
      <c r="CH550" s="3">
        <v>0</v>
      </c>
      <c r="CI550" s="3">
        <v>0</v>
      </c>
      <c r="CJ550" s="3">
        <v>0</v>
      </c>
      <c r="CK550" s="3">
        <v>0</v>
      </c>
      <c r="CL550" s="3">
        <v>0</v>
      </c>
      <c r="CM550" s="3">
        <v>0</v>
      </c>
      <c r="CN550" s="3">
        <v>0</v>
      </c>
      <c r="CO550" s="3">
        <v>0</v>
      </c>
      <c r="CP550" s="3">
        <v>0</v>
      </c>
      <c r="CQ550" s="3">
        <v>0</v>
      </c>
      <c r="CR550" s="3">
        <v>0</v>
      </c>
      <c r="CS550" s="3">
        <v>0</v>
      </c>
      <c r="CU550" s="17" t="s">
        <v>3666</v>
      </c>
      <c r="CV550" s="3">
        <v>0</v>
      </c>
      <c r="CW550" s="3">
        <v>0</v>
      </c>
      <c r="CX550" s="3">
        <v>0</v>
      </c>
      <c r="CY550" s="3">
        <v>0</v>
      </c>
      <c r="CZ550" s="3">
        <v>0</v>
      </c>
      <c r="DA550" s="3">
        <v>0</v>
      </c>
      <c r="DB550" s="3">
        <v>0</v>
      </c>
      <c r="DC550" s="3">
        <v>0</v>
      </c>
      <c r="DD550" s="3">
        <v>0</v>
      </c>
      <c r="DE550" s="3">
        <v>0</v>
      </c>
      <c r="DF550" s="3">
        <v>0</v>
      </c>
      <c r="DG550" s="3">
        <v>0</v>
      </c>
      <c r="DH550" s="3">
        <v>0</v>
      </c>
      <c r="DI550" s="3">
        <v>0</v>
      </c>
      <c r="DJ550" s="3">
        <v>0</v>
      </c>
      <c r="DK550" s="3">
        <v>0</v>
      </c>
      <c r="DL550" s="3">
        <v>0</v>
      </c>
      <c r="DM550" s="3">
        <v>0</v>
      </c>
      <c r="DN550" s="3">
        <v>0</v>
      </c>
      <c r="DO550" s="3">
        <v>0</v>
      </c>
    </row>
    <row r="551" spans="1:119" x14ac:dyDescent="0.45">
      <c r="A551" s="16" t="s">
        <v>3667</v>
      </c>
      <c r="B551" s="3" t="s">
        <v>89</v>
      </c>
      <c r="C551" s="16" t="s">
        <v>3668</v>
      </c>
      <c r="H551" s="3" t="s">
        <v>3669</v>
      </c>
      <c r="I551" s="3" t="s">
        <v>2363</v>
      </c>
      <c r="K551" s="17" t="s">
        <v>3670</v>
      </c>
      <c r="L551" s="3">
        <v>0</v>
      </c>
      <c r="M551" s="3">
        <v>0</v>
      </c>
      <c r="N551" s="3">
        <v>0</v>
      </c>
      <c r="O551" s="3">
        <v>0</v>
      </c>
      <c r="P551" s="3">
        <v>0</v>
      </c>
      <c r="Q551" s="3">
        <v>0</v>
      </c>
      <c r="R551" s="3">
        <v>0</v>
      </c>
      <c r="S551" s="3">
        <v>0</v>
      </c>
      <c r="T551" s="3">
        <v>0</v>
      </c>
      <c r="U551" s="3">
        <v>0</v>
      </c>
      <c r="V551" s="3">
        <v>0</v>
      </c>
      <c r="W551" s="3">
        <v>0</v>
      </c>
      <c r="X551" s="3">
        <v>0</v>
      </c>
      <c r="Y551" s="3">
        <v>0</v>
      </c>
      <c r="Z551" s="3">
        <v>0</v>
      </c>
      <c r="AA551" s="3">
        <v>0</v>
      </c>
      <c r="AB551" s="3">
        <v>0</v>
      </c>
      <c r="AC551" s="3">
        <v>0</v>
      </c>
      <c r="AD551" s="3">
        <v>0</v>
      </c>
      <c r="AE551" s="3">
        <v>0</v>
      </c>
      <c r="AG551" s="17" t="s">
        <v>3671</v>
      </c>
      <c r="AH551" s="3">
        <v>0</v>
      </c>
      <c r="AI551" s="3">
        <v>0</v>
      </c>
      <c r="AJ551" s="3">
        <v>0</v>
      </c>
      <c r="AK551" s="3">
        <v>0</v>
      </c>
      <c r="AL551" s="3">
        <v>0</v>
      </c>
      <c r="AM551" s="3">
        <v>0</v>
      </c>
      <c r="AN551" s="3">
        <v>0</v>
      </c>
      <c r="AO551" s="3">
        <v>0</v>
      </c>
      <c r="AP551" s="3">
        <v>0</v>
      </c>
      <c r="AQ551" s="3">
        <v>0</v>
      </c>
      <c r="AR551" s="3">
        <v>0</v>
      </c>
      <c r="AS551" s="3">
        <v>0</v>
      </c>
      <c r="AT551" s="3">
        <v>0</v>
      </c>
      <c r="AU551" s="3">
        <v>0</v>
      </c>
      <c r="AV551" s="3">
        <v>0</v>
      </c>
      <c r="AW551" s="3">
        <v>0</v>
      </c>
      <c r="AX551" s="3">
        <v>0</v>
      </c>
      <c r="AY551" s="3">
        <v>0</v>
      </c>
      <c r="AZ551" s="3">
        <v>0</v>
      </c>
      <c r="BA551" s="3">
        <v>0</v>
      </c>
      <c r="BC551" s="17" t="s">
        <v>3672</v>
      </c>
      <c r="BD551" s="3">
        <v>0</v>
      </c>
      <c r="BE551" s="3">
        <v>0</v>
      </c>
      <c r="BF551" s="3">
        <v>0</v>
      </c>
      <c r="BG551" s="3">
        <v>0</v>
      </c>
      <c r="BH551" s="3">
        <v>0</v>
      </c>
      <c r="BI551" s="3">
        <v>0</v>
      </c>
      <c r="BJ551" s="3">
        <v>0</v>
      </c>
      <c r="BK551" s="3">
        <v>0</v>
      </c>
      <c r="BL551" s="3">
        <v>0</v>
      </c>
      <c r="BM551" s="3">
        <v>0</v>
      </c>
      <c r="BN551" s="3">
        <v>0</v>
      </c>
      <c r="BO551" s="3">
        <v>0</v>
      </c>
      <c r="BP551" s="3">
        <v>0</v>
      </c>
      <c r="BQ551" s="3">
        <v>0</v>
      </c>
      <c r="BR551" s="3">
        <v>0</v>
      </c>
      <c r="BS551" s="3">
        <v>0</v>
      </c>
      <c r="BT551" s="3">
        <v>0</v>
      </c>
      <c r="BU551" s="3">
        <v>0</v>
      </c>
      <c r="BV551" s="3">
        <v>0</v>
      </c>
      <c r="BW551" s="3">
        <v>0</v>
      </c>
      <c r="BY551" s="17" t="s">
        <v>3673</v>
      </c>
      <c r="BZ551" s="3">
        <v>0</v>
      </c>
      <c r="CA551" s="3">
        <v>0</v>
      </c>
      <c r="CB551" s="3">
        <v>0</v>
      </c>
      <c r="CC551" s="3">
        <v>0</v>
      </c>
      <c r="CD551" s="3">
        <v>0</v>
      </c>
      <c r="CE551" s="3">
        <v>0</v>
      </c>
      <c r="CF551" s="3">
        <v>0</v>
      </c>
      <c r="CG551" s="3">
        <v>0</v>
      </c>
      <c r="CH551" s="3">
        <v>0</v>
      </c>
      <c r="CI551" s="3">
        <v>0</v>
      </c>
      <c r="CJ551" s="3">
        <v>0</v>
      </c>
      <c r="CK551" s="3">
        <v>0</v>
      </c>
      <c r="CL551" s="3">
        <v>0</v>
      </c>
      <c r="CM551" s="3">
        <v>0</v>
      </c>
      <c r="CN551" s="3">
        <v>0</v>
      </c>
      <c r="CO551" s="3">
        <v>0</v>
      </c>
      <c r="CP551" s="3">
        <v>0</v>
      </c>
      <c r="CQ551" s="3">
        <v>0</v>
      </c>
      <c r="CR551" s="3">
        <v>0</v>
      </c>
      <c r="CS551" s="3">
        <v>0</v>
      </c>
      <c r="CU551" s="17" t="s">
        <v>3674</v>
      </c>
      <c r="CV551" s="3">
        <v>0</v>
      </c>
      <c r="CW551" s="3">
        <v>0</v>
      </c>
      <c r="CX551" s="3">
        <v>0</v>
      </c>
      <c r="CY551" s="3">
        <v>0</v>
      </c>
      <c r="CZ551" s="3">
        <v>0</v>
      </c>
      <c r="DA551" s="3">
        <v>0</v>
      </c>
      <c r="DB551" s="3">
        <v>0</v>
      </c>
      <c r="DC551" s="3">
        <v>0</v>
      </c>
      <c r="DD551" s="3">
        <v>0</v>
      </c>
      <c r="DE551" s="3">
        <v>0</v>
      </c>
      <c r="DF551" s="3">
        <v>0</v>
      </c>
      <c r="DG551" s="3">
        <v>0</v>
      </c>
      <c r="DH551" s="3">
        <v>0</v>
      </c>
      <c r="DI551" s="3">
        <v>0</v>
      </c>
      <c r="DJ551" s="3">
        <v>0</v>
      </c>
      <c r="DK551" s="3">
        <v>0</v>
      </c>
      <c r="DL551" s="3">
        <v>0</v>
      </c>
      <c r="DM551" s="3">
        <v>0</v>
      </c>
      <c r="DN551" s="3">
        <v>0</v>
      </c>
      <c r="DO551" s="3">
        <v>0</v>
      </c>
    </row>
    <row r="552" spans="1:119" x14ac:dyDescent="0.45">
      <c r="A552" s="16" t="s">
        <v>3675</v>
      </c>
      <c r="B552" s="3" t="s">
        <v>89</v>
      </c>
      <c r="C552" s="16" t="s">
        <v>3676</v>
      </c>
      <c r="H552" s="3" t="s">
        <v>3677</v>
      </c>
      <c r="I552" s="3" t="s">
        <v>2363</v>
      </c>
      <c r="K552" s="17" t="s">
        <v>3678</v>
      </c>
      <c r="L552" s="3">
        <v>0</v>
      </c>
      <c r="M552" s="3">
        <v>0</v>
      </c>
      <c r="N552" s="3">
        <v>0</v>
      </c>
      <c r="O552" s="3">
        <v>0</v>
      </c>
      <c r="P552" s="3">
        <v>0</v>
      </c>
      <c r="Q552" s="3">
        <v>0</v>
      </c>
      <c r="R552" s="3">
        <v>0</v>
      </c>
      <c r="S552" s="3">
        <v>0</v>
      </c>
      <c r="T552" s="3">
        <v>0</v>
      </c>
      <c r="U552" s="3">
        <v>0</v>
      </c>
      <c r="V552" s="3">
        <v>0</v>
      </c>
      <c r="W552" s="3">
        <v>0</v>
      </c>
      <c r="X552" s="3">
        <v>0</v>
      </c>
      <c r="Y552" s="3">
        <v>0</v>
      </c>
      <c r="Z552" s="3">
        <v>0</v>
      </c>
      <c r="AA552" s="3">
        <v>0</v>
      </c>
      <c r="AB552" s="3">
        <v>0</v>
      </c>
      <c r="AC552" s="3">
        <v>0</v>
      </c>
      <c r="AD552" s="3">
        <v>0</v>
      </c>
      <c r="AE552" s="3">
        <v>0</v>
      </c>
      <c r="AG552" s="17" t="s">
        <v>3679</v>
      </c>
      <c r="AH552" s="3">
        <v>0</v>
      </c>
      <c r="AI552" s="3">
        <v>0</v>
      </c>
      <c r="AJ552" s="3">
        <v>0</v>
      </c>
      <c r="AK552" s="3">
        <v>0</v>
      </c>
      <c r="AL552" s="3">
        <v>0</v>
      </c>
      <c r="AM552" s="3">
        <v>0</v>
      </c>
      <c r="AN552" s="3">
        <v>0</v>
      </c>
      <c r="AO552" s="3">
        <v>0</v>
      </c>
      <c r="AP552" s="3">
        <v>0</v>
      </c>
      <c r="AQ552" s="3">
        <v>0</v>
      </c>
      <c r="AR552" s="3">
        <v>0</v>
      </c>
      <c r="AS552" s="3">
        <v>0</v>
      </c>
      <c r="AT552" s="3">
        <v>0</v>
      </c>
      <c r="AU552" s="3">
        <v>0</v>
      </c>
      <c r="AV552" s="3">
        <v>0</v>
      </c>
      <c r="AW552" s="3">
        <v>0</v>
      </c>
      <c r="AX552" s="3">
        <v>0</v>
      </c>
      <c r="AY552" s="3">
        <v>0</v>
      </c>
      <c r="AZ552" s="3">
        <v>0</v>
      </c>
      <c r="BA552" s="3">
        <v>0</v>
      </c>
      <c r="BC552" s="17" t="s">
        <v>3680</v>
      </c>
      <c r="BD552" s="3">
        <v>0</v>
      </c>
      <c r="BE552" s="3">
        <v>0</v>
      </c>
      <c r="BF552" s="3">
        <v>0</v>
      </c>
      <c r="BG552" s="3">
        <v>0</v>
      </c>
      <c r="BH552" s="3">
        <v>0</v>
      </c>
      <c r="BI552" s="3">
        <v>0</v>
      </c>
      <c r="BJ552" s="3">
        <v>0</v>
      </c>
      <c r="BK552" s="3">
        <v>0</v>
      </c>
      <c r="BL552" s="3">
        <v>0</v>
      </c>
      <c r="BM552" s="3">
        <v>0</v>
      </c>
      <c r="BN552" s="3">
        <v>0</v>
      </c>
      <c r="BO552" s="3">
        <v>0</v>
      </c>
      <c r="BP552" s="3">
        <v>0</v>
      </c>
      <c r="BQ552" s="3">
        <v>0</v>
      </c>
      <c r="BR552" s="3">
        <v>0</v>
      </c>
      <c r="BS552" s="3">
        <v>0</v>
      </c>
      <c r="BT552" s="3">
        <v>0</v>
      </c>
      <c r="BU552" s="3">
        <v>0</v>
      </c>
      <c r="BV552" s="3">
        <v>0</v>
      </c>
      <c r="BW552" s="3">
        <v>0</v>
      </c>
      <c r="BY552" s="17" t="s">
        <v>3681</v>
      </c>
      <c r="BZ552" s="3">
        <v>0</v>
      </c>
      <c r="CA552" s="3">
        <v>0</v>
      </c>
      <c r="CB552" s="3">
        <v>0</v>
      </c>
      <c r="CC552" s="3">
        <v>0</v>
      </c>
      <c r="CD552" s="3">
        <v>0</v>
      </c>
      <c r="CE552" s="3">
        <v>0</v>
      </c>
      <c r="CF552" s="3">
        <v>0</v>
      </c>
      <c r="CG552" s="3">
        <v>0</v>
      </c>
      <c r="CH552" s="3">
        <v>0</v>
      </c>
      <c r="CI552" s="3">
        <v>0</v>
      </c>
      <c r="CJ552" s="3">
        <v>0</v>
      </c>
      <c r="CK552" s="3">
        <v>0</v>
      </c>
      <c r="CL552" s="3">
        <v>0</v>
      </c>
      <c r="CM552" s="3">
        <v>0</v>
      </c>
      <c r="CN552" s="3">
        <v>0</v>
      </c>
      <c r="CO552" s="3">
        <v>0</v>
      </c>
      <c r="CP552" s="3">
        <v>0</v>
      </c>
      <c r="CQ552" s="3">
        <v>0</v>
      </c>
      <c r="CR552" s="3">
        <v>0</v>
      </c>
      <c r="CS552" s="3">
        <v>0</v>
      </c>
      <c r="CU552" s="17" t="s">
        <v>3682</v>
      </c>
      <c r="CV552" s="3">
        <v>0</v>
      </c>
      <c r="CW552" s="3">
        <v>0</v>
      </c>
      <c r="CX552" s="3">
        <v>0</v>
      </c>
      <c r="CY552" s="3">
        <v>0</v>
      </c>
      <c r="CZ552" s="3">
        <v>0</v>
      </c>
      <c r="DA552" s="3">
        <v>0</v>
      </c>
      <c r="DB552" s="3">
        <v>0</v>
      </c>
      <c r="DC552" s="3">
        <v>0</v>
      </c>
      <c r="DD552" s="3">
        <v>0</v>
      </c>
      <c r="DE552" s="3">
        <v>0</v>
      </c>
      <c r="DF552" s="3">
        <v>0</v>
      </c>
      <c r="DG552" s="3">
        <v>0</v>
      </c>
      <c r="DH552" s="3">
        <v>0</v>
      </c>
      <c r="DI552" s="3">
        <v>0</v>
      </c>
      <c r="DJ552" s="3">
        <v>0</v>
      </c>
      <c r="DK552" s="3">
        <v>0</v>
      </c>
      <c r="DL552" s="3">
        <v>0</v>
      </c>
      <c r="DM552" s="3">
        <v>0</v>
      </c>
      <c r="DN552" s="3">
        <v>0</v>
      </c>
      <c r="DO552" s="3">
        <v>0</v>
      </c>
    </row>
    <row r="553" spans="1:119" x14ac:dyDescent="0.45">
      <c r="A553" s="16" t="s">
        <v>3683</v>
      </c>
      <c r="B553" s="3" t="s">
        <v>89</v>
      </c>
      <c r="C553" s="16" t="s">
        <v>3684</v>
      </c>
      <c r="H553" s="3" t="s">
        <v>3685</v>
      </c>
      <c r="I553" s="3" t="s">
        <v>2363</v>
      </c>
      <c r="K553" s="17" t="s">
        <v>3686</v>
      </c>
      <c r="L553" s="3">
        <v>0</v>
      </c>
      <c r="M553" s="3">
        <v>0</v>
      </c>
      <c r="N553" s="3">
        <v>0</v>
      </c>
      <c r="O553" s="3">
        <v>0</v>
      </c>
      <c r="P553" s="3">
        <v>0</v>
      </c>
      <c r="Q553" s="3">
        <v>0</v>
      </c>
      <c r="R553" s="3">
        <v>0</v>
      </c>
      <c r="S553" s="3">
        <v>0</v>
      </c>
      <c r="T553" s="3">
        <v>0</v>
      </c>
      <c r="U553" s="3">
        <v>0</v>
      </c>
      <c r="V553" s="3">
        <v>0</v>
      </c>
      <c r="W553" s="3">
        <v>0</v>
      </c>
      <c r="X553" s="3">
        <v>0</v>
      </c>
      <c r="Y553" s="3">
        <v>0</v>
      </c>
      <c r="Z553" s="3">
        <v>0</v>
      </c>
      <c r="AA553" s="3">
        <v>0</v>
      </c>
      <c r="AB553" s="3">
        <v>0</v>
      </c>
      <c r="AC553" s="3">
        <v>0</v>
      </c>
      <c r="AD553" s="3">
        <v>0</v>
      </c>
      <c r="AE553" s="3">
        <v>0</v>
      </c>
      <c r="AG553" s="17" t="s">
        <v>3687</v>
      </c>
      <c r="AH553" s="3">
        <v>0</v>
      </c>
      <c r="AI553" s="3">
        <v>0</v>
      </c>
      <c r="AJ553" s="3">
        <v>0</v>
      </c>
      <c r="AK553" s="3">
        <v>0</v>
      </c>
      <c r="AL553" s="3">
        <v>0</v>
      </c>
      <c r="AM553" s="3">
        <v>0</v>
      </c>
      <c r="AN553" s="3">
        <v>0</v>
      </c>
      <c r="AO553" s="3">
        <v>0</v>
      </c>
      <c r="AP553" s="3">
        <v>0</v>
      </c>
      <c r="AQ553" s="3">
        <v>0</v>
      </c>
      <c r="AR553" s="3">
        <v>0</v>
      </c>
      <c r="AS553" s="3">
        <v>0</v>
      </c>
      <c r="AT553" s="3">
        <v>0</v>
      </c>
      <c r="AU553" s="3">
        <v>0</v>
      </c>
      <c r="AV553" s="3">
        <v>0</v>
      </c>
      <c r="AW553" s="3">
        <v>0</v>
      </c>
      <c r="AX553" s="3">
        <v>0</v>
      </c>
      <c r="AY553" s="3">
        <v>0</v>
      </c>
      <c r="AZ553" s="3">
        <v>0</v>
      </c>
      <c r="BA553" s="3">
        <v>0</v>
      </c>
      <c r="BC553" s="17" t="s">
        <v>3688</v>
      </c>
      <c r="BD553" s="3">
        <v>0</v>
      </c>
      <c r="BE553" s="3">
        <v>0</v>
      </c>
      <c r="BF553" s="3">
        <v>0</v>
      </c>
      <c r="BG553" s="3">
        <v>0</v>
      </c>
      <c r="BH553" s="3">
        <v>0</v>
      </c>
      <c r="BI553" s="3">
        <v>0</v>
      </c>
      <c r="BJ553" s="3">
        <v>0</v>
      </c>
      <c r="BK553" s="3">
        <v>0</v>
      </c>
      <c r="BL553" s="3">
        <v>0</v>
      </c>
      <c r="BM553" s="3">
        <v>0</v>
      </c>
      <c r="BN553" s="3">
        <v>0</v>
      </c>
      <c r="BO553" s="3">
        <v>0</v>
      </c>
      <c r="BP553" s="3">
        <v>0</v>
      </c>
      <c r="BQ553" s="3">
        <v>0</v>
      </c>
      <c r="BR553" s="3">
        <v>0</v>
      </c>
      <c r="BS553" s="3">
        <v>0</v>
      </c>
      <c r="BT553" s="3">
        <v>0</v>
      </c>
      <c r="BU553" s="3">
        <v>0</v>
      </c>
      <c r="BV553" s="3">
        <v>0</v>
      </c>
      <c r="BW553" s="3">
        <v>0</v>
      </c>
      <c r="BY553" s="17" t="s">
        <v>3689</v>
      </c>
      <c r="BZ553" s="3">
        <v>0</v>
      </c>
      <c r="CA553" s="3">
        <v>0</v>
      </c>
      <c r="CB553" s="3">
        <v>0</v>
      </c>
      <c r="CC553" s="3">
        <v>0</v>
      </c>
      <c r="CD553" s="3">
        <v>0</v>
      </c>
      <c r="CE553" s="3">
        <v>0</v>
      </c>
      <c r="CF553" s="3">
        <v>0</v>
      </c>
      <c r="CG553" s="3">
        <v>0</v>
      </c>
      <c r="CH553" s="3">
        <v>0</v>
      </c>
      <c r="CI553" s="3">
        <v>0</v>
      </c>
      <c r="CJ553" s="3">
        <v>0</v>
      </c>
      <c r="CK553" s="3">
        <v>0</v>
      </c>
      <c r="CL553" s="3">
        <v>0</v>
      </c>
      <c r="CM553" s="3">
        <v>0</v>
      </c>
      <c r="CN553" s="3">
        <v>0</v>
      </c>
      <c r="CO553" s="3">
        <v>0</v>
      </c>
      <c r="CP553" s="3">
        <v>0</v>
      </c>
      <c r="CQ553" s="3">
        <v>0</v>
      </c>
      <c r="CR553" s="3">
        <v>0</v>
      </c>
      <c r="CS553" s="3">
        <v>0</v>
      </c>
      <c r="CU553" s="17" t="s">
        <v>3690</v>
      </c>
      <c r="CV553" s="3">
        <v>0</v>
      </c>
      <c r="CW553" s="3">
        <v>0</v>
      </c>
      <c r="CX553" s="3">
        <v>0</v>
      </c>
      <c r="CY553" s="3">
        <v>0</v>
      </c>
      <c r="CZ553" s="3">
        <v>0</v>
      </c>
      <c r="DA553" s="3">
        <v>0</v>
      </c>
      <c r="DB553" s="3">
        <v>0</v>
      </c>
      <c r="DC553" s="3">
        <v>0</v>
      </c>
      <c r="DD553" s="3">
        <v>0</v>
      </c>
      <c r="DE553" s="3">
        <v>0</v>
      </c>
      <c r="DF553" s="3">
        <v>0</v>
      </c>
      <c r="DG553" s="3">
        <v>0</v>
      </c>
      <c r="DH553" s="3">
        <v>0</v>
      </c>
      <c r="DI553" s="3">
        <v>0</v>
      </c>
      <c r="DJ553" s="3">
        <v>0</v>
      </c>
      <c r="DK553" s="3">
        <v>0</v>
      </c>
      <c r="DL553" s="3">
        <v>0</v>
      </c>
      <c r="DM553" s="3">
        <v>0</v>
      </c>
      <c r="DN553" s="3">
        <v>0</v>
      </c>
      <c r="DO553" s="3">
        <v>0</v>
      </c>
    </row>
    <row r="554" spans="1:119" x14ac:dyDescent="0.45">
      <c r="A554" s="16" t="s">
        <v>3691</v>
      </c>
      <c r="B554" s="3" t="s">
        <v>89</v>
      </c>
      <c r="C554" s="16" t="s">
        <v>3692</v>
      </c>
      <c r="H554" s="3" t="s">
        <v>3693</v>
      </c>
      <c r="I554" s="3" t="s">
        <v>2363</v>
      </c>
      <c r="K554" s="17" t="s">
        <v>3694</v>
      </c>
      <c r="L554" s="3">
        <v>0</v>
      </c>
      <c r="M554" s="3">
        <v>0</v>
      </c>
      <c r="N554" s="3">
        <v>0</v>
      </c>
      <c r="O554" s="3">
        <v>0</v>
      </c>
      <c r="P554" s="3">
        <v>0</v>
      </c>
      <c r="Q554" s="3">
        <v>0</v>
      </c>
      <c r="R554" s="3">
        <v>0</v>
      </c>
      <c r="S554" s="3">
        <v>0</v>
      </c>
      <c r="T554" s="3">
        <v>0</v>
      </c>
      <c r="U554" s="3">
        <v>0</v>
      </c>
      <c r="V554" s="3">
        <v>0</v>
      </c>
      <c r="W554" s="3">
        <v>0</v>
      </c>
      <c r="X554" s="3">
        <v>0</v>
      </c>
      <c r="Y554" s="3">
        <v>0</v>
      </c>
      <c r="Z554" s="3">
        <v>0</v>
      </c>
      <c r="AA554" s="3">
        <v>0</v>
      </c>
      <c r="AB554" s="3">
        <v>0</v>
      </c>
      <c r="AC554" s="3">
        <v>0</v>
      </c>
      <c r="AD554" s="3">
        <v>0</v>
      </c>
      <c r="AE554" s="3">
        <v>0</v>
      </c>
      <c r="AG554" s="17" t="s">
        <v>3695</v>
      </c>
      <c r="AH554" s="3">
        <v>0</v>
      </c>
      <c r="AI554" s="3">
        <v>0</v>
      </c>
      <c r="AJ554" s="3">
        <v>0</v>
      </c>
      <c r="AK554" s="3">
        <v>0</v>
      </c>
      <c r="AL554" s="3">
        <v>0</v>
      </c>
      <c r="AM554" s="3">
        <v>0</v>
      </c>
      <c r="AN554" s="3">
        <v>0</v>
      </c>
      <c r="AO554" s="3">
        <v>0</v>
      </c>
      <c r="AP554" s="3">
        <v>0</v>
      </c>
      <c r="AQ554" s="3">
        <v>0</v>
      </c>
      <c r="AR554" s="3">
        <v>0</v>
      </c>
      <c r="AS554" s="3">
        <v>0</v>
      </c>
      <c r="AT554" s="3">
        <v>0</v>
      </c>
      <c r="AU554" s="3">
        <v>0</v>
      </c>
      <c r="AV554" s="3">
        <v>0</v>
      </c>
      <c r="AW554" s="3">
        <v>0</v>
      </c>
      <c r="AX554" s="3">
        <v>0</v>
      </c>
      <c r="AY554" s="3">
        <v>0</v>
      </c>
      <c r="AZ554" s="3">
        <v>0</v>
      </c>
      <c r="BA554" s="3">
        <v>0</v>
      </c>
      <c r="BC554" s="17" t="s">
        <v>3696</v>
      </c>
      <c r="BD554" s="3">
        <v>0</v>
      </c>
      <c r="BE554" s="3">
        <v>0</v>
      </c>
      <c r="BF554" s="3">
        <v>0</v>
      </c>
      <c r="BG554" s="3">
        <v>0</v>
      </c>
      <c r="BH554" s="3">
        <v>0</v>
      </c>
      <c r="BI554" s="3">
        <v>0</v>
      </c>
      <c r="BJ554" s="3">
        <v>0</v>
      </c>
      <c r="BK554" s="3">
        <v>0</v>
      </c>
      <c r="BL554" s="3">
        <v>0</v>
      </c>
      <c r="BM554" s="3">
        <v>0</v>
      </c>
      <c r="BN554" s="3">
        <v>0</v>
      </c>
      <c r="BO554" s="3">
        <v>0</v>
      </c>
      <c r="BP554" s="3">
        <v>0</v>
      </c>
      <c r="BQ554" s="3">
        <v>0</v>
      </c>
      <c r="BR554" s="3">
        <v>0</v>
      </c>
      <c r="BS554" s="3">
        <v>0</v>
      </c>
      <c r="BT554" s="3">
        <v>0</v>
      </c>
      <c r="BU554" s="3">
        <v>0</v>
      </c>
      <c r="BV554" s="3">
        <v>0</v>
      </c>
      <c r="BW554" s="3">
        <v>0</v>
      </c>
      <c r="BY554" s="17" t="s">
        <v>3697</v>
      </c>
      <c r="BZ554" s="3">
        <v>0</v>
      </c>
      <c r="CA554" s="3">
        <v>0</v>
      </c>
      <c r="CB554" s="3">
        <v>0</v>
      </c>
      <c r="CC554" s="3">
        <v>0</v>
      </c>
      <c r="CD554" s="3">
        <v>0</v>
      </c>
      <c r="CE554" s="3">
        <v>0</v>
      </c>
      <c r="CF554" s="3">
        <v>0</v>
      </c>
      <c r="CG554" s="3">
        <v>0</v>
      </c>
      <c r="CH554" s="3">
        <v>0</v>
      </c>
      <c r="CI554" s="3">
        <v>0</v>
      </c>
      <c r="CJ554" s="3">
        <v>0</v>
      </c>
      <c r="CK554" s="3">
        <v>0</v>
      </c>
      <c r="CL554" s="3">
        <v>0</v>
      </c>
      <c r="CM554" s="3">
        <v>0</v>
      </c>
      <c r="CN554" s="3">
        <v>0</v>
      </c>
      <c r="CO554" s="3">
        <v>0</v>
      </c>
      <c r="CP554" s="3">
        <v>0</v>
      </c>
      <c r="CQ554" s="3">
        <v>0</v>
      </c>
      <c r="CR554" s="3">
        <v>0</v>
      </c>
      <c r="CS554" s="3">
        <v>0</v>
      </c>
      <c r="CU554" s="17" t="s">
        <v>3698</v>
      </c>
      <c r="CV554" s="3">
        <v>0</v>
      </c>
      <c r="CW554" s="3">
        <v>0</v>
      </c>
      <c r="CX554" s="3">
        <v>0</v>
      </c>
      <c r="CY554" s="3">
        <v>0</v>
      </c>
      <c r="CZ554" s="3">
        <v>0</v>
      </c>
      <c r="DA554" s="3">
        <v>0</v>
      </c>
      <c r="DB554" s="3">
        <v>0</v>
      </c>
      <c r="DC554" s="3">
        <v>0</v>
      </c>
      <c r="DD554" s="3">
        <v>0</v>
      </c>
      <c r="DE554" s="3">
        <v>0</v>
      </c>
      <c r="DF554" s="3">
        <v>0</v>
      </c>
      <c r="DG554" s="3">
        <v>0</v>
      </c>
      <c r="DH554" s="3">
        <v>0</v>
      </c>
      <c r="DI554" s="3">
        <v>0</v>
      </c>
      <c r="DJ554" s="3">
        <v>0</v>
      </c>
      <c r="DK554" s="3">
        <v>0</v>
      </c>
      <c r="DL554" s="3">
        <v>0</v>
      </c>
      <c r="DM554" s="3">
        <v>0</v>
      </c>
      <c r="DN554" s="3">
        <v>0</v>
      </c>
      <c r="DO554" s="3">
        <v>0</v>
      </c>
    </row>
    <row r="555" spans="1:119" x14ac:dyDescent="0.45">
      <c r="A555" s="16" t="s">
        <v>3699</v>
      </c>
      <c r="B555" s="3" t="s">
        <v>89</v>
      </c>
      <c r="C555" s="16" t="s">
        <v>3700</v>
      </c>
      <c r="H555" s="3" t="s">
        <v>3701</v>
      </c>
      <c r="I555" s="3" t="s">
        <v>2363</v>
      </c>
      <c r="K555" s="17" t="s">
        <v>3702</v>
      </c>
      <c r="L555" s="3">
        <v>0</v>
      </c>
      <c r="M555" s="3">
        <v>0</v>
      </c>
      <c r="N555" s="3">
        <v>0</v>
      </c>
      <c r="O555" s="3">
        <v>0</v>
      </c>
      <c r="P555" s="3">
        <v>0</v>
      </c>
      <c r="Q555" s="3">
        <v>0</v>
      </c>
      <c r="R555" s="3">
        <v>0</v>
      </c>
      <c r="S555" s="3">
        <v>0</v>
      </c>
      <c r="T555" s="3">
        <v>0</v>
      </c>
      <c r="U555" s="3">
        <v>0</v>
      </c>
      <c r="V555" s="3">
        <v>0</v>
      </c>
      <c r="W555" s="3">
        <v>0</v>
      </c>
      <c r="X555" s="3">
        <v>0</v>
      </c>
      <c r="Y555" s="3">
        <v>0</v>
      </c>
      <c r="Z555" s="3">
        <v>0</v>
      </c>
      <c r="AA555" s="3">
        <v>0</v>
      </c>
      <c r="AB555" s="3">
        <v>0</v>
      </c>
      <c r="AC555" s="3">
        <v>0</v>
      </c>
      <c r="AD555" s="3">
        <v>0</v>
      </c>
      <c r="AE555" s="3">
        <v>0</v>
      </c>
      <c r="AG555" s="17" t="s">
        <v>3703</v>
      </c>
      <c r="AH555" s="3">
        <v>0</v>
      </c>
      <c r="AI555" s="3">
        <v>0</v>
      </c>
      <c r="AJ555" s="3">
        <v>0</v>
      </c>
      <c r="AK555" s="3">
        <v>0</v>
      </c>
      <c r="AL555" s="3">
        <v>0</v>
      </c>
      <c r="AM555" s="3">
        <v>0</v>
      </c>
      <c r="AN555" s="3">
        <v>0</v>
      </c>
      <c r="AO555" s="3">
        <v>0</v>
      </c>
      <c r="AP555" s="3">
        <v>0</v>
      </c>
      <c r="AQ555" s="3">
        <v>0</v>
      </c>
      <c r="AR555" s="3">
        <v>0</v>
      </c>
      <c r="AS555" s="3">
        <v>0</v>
      </c>
      <c r="AT555" s="3">
        <v>0</v>
      </c>
      <c r="AU555" s="3">
        <v>0</v>
      </c>
      <c r="AV555" s="3">
        <v>0</v>
      </c>
      <c r="AW555" s="3">
        <v>0</v>
      </c>
      <c r="AX555" s="3">
        <v>0</v>
      </c>
      <c r="AY555" s="3">
        <v>0</v>
      </c>
      <c r="AZ555" s="3">
        <v>0</v>
      </c>
      <c r="BA555" s="3">
        <v>0</v>
      </c>
      <c r="BC555" s="17" t="s">
        <v>3704</v>
      </c>
      <c r="BD555" s="3">
        <v>0</v>
      </c>
      <c r="BE555" s="3">
        <v>0</v>
      </c>
      <c r="BF555" s="3">
        <v>0</v>
      </c>
      <c r="BG555" s="3">
        <v>0</v>
      </c>
      <c r="BH555" s="3">
        <v>0</v>
      </c>
      <c r="BI555" s="3">
        <v>0</v>
      </c>
      <c r="BJ555" s="3">
        <v>0</v>
      </c>
      <c r="BK555" s="3">
        <v>0</v>
      </c>
      <c r="BL555" s="3">
        <v>0</v>
      </c>
      <c r="BM555" s="3">
        <v>0</v>
      </c>
      <c r="BN555" s="3">
        <v>0</v>
      </c>
      <c r="BO555" s="3">
        <v>0</v>
      </c>
      <c r="BP555" s="3">
        <v>0</v>
      </c>
      <c r="BQ555" s="3">
        <v>0</v>
      </c>
      <c r="BR555" s="3">
        <v>0</v>
      </c>
      <c r="BS555" s="3">
        <v>0</v>
      </c>
      <c r="BT555" s="3">
        <v>0</v>
      </c>
      <c r="BU555" s="3">
        <v>0</v>
      </c>
      <c r="BV555" s="3">
        <v>0</v>
      </c>
      <c r="BW555" s="3">
        <v>0</v>
      </c>
      <c r="BY555" s="17" t="s">
        <v>3705</v>
      </c>
      <c r="BZ555" s="3">
        <v>0</v>
      </c>
      <c r="CA555" s="3">
        <v>0</v>
      </c>
      <c r="CB555" s="3">
        <v>0</v>
      </c>
      <c r="CC555" s="3">
        <v>0</v>
      </c>
      <c r="CD555" s="3">
        <v>0</v>
      </c>
      <c r="CE555" s="3">
        <v>0</v>
      </c>
      <c r="CF555" s="3">
        <v>0</v>
      </c>
      <c r="CG555" s="3">
        <v>0</v>
      </c>
      <c r="CH555" s="3">
        <v>0</v>
      </c>
      <c r="CI555" s="3">
        <v>0</v>
      </c>
      <c r="CJ555" s="3">
        <v>0</v>
      </c>
      <c r="CK555" s="3">
        <v>0</v>
      </c>
      <c r="CL555" s="3">
        <v>0</v>
      </c>
      <c r="CM555" s="3">
        <v>0</v>
      </c>
      <c r="CN555" s="3">
        <v>0</v>
      </c>
      <c r="CO555" s="3">
        <v>0</v>
      </c>
      <c r="CP555" s="3">
        <v>0</v>
      </c>
      <c r="CQ555" s="3">
        <v>0</v>
      </c>
      <c r="CR555" s="3">
        <v>0</v>
      </c>
      <c r="CS555" s="3">
        <v>0</v>
      </c>
      <c r="CU555" s="17" t="s">
        <v>3706</v>
      </c>
      <c r="CV555" s="3">
        <v>0</v>
      </c>
      <c r="CW555" s="3">
        <v>0</v>
      </c>
      <c r="CX555" s="3">
        <v>0</v>
      </c>
      <c r="CY555" s="3">
        <v>0</v>
      </c>
      <c r="CZ555" s="3">
        <v>0</v>
      </c>
      <c r="DA555" s="3">
        <v>0</v>
      </c>
      <c r="DB555" s="3">
        <v>0</v>
      </c>
      <c r="DC555" s="3">
        <v>0</v>
      </c>
      <c r="DD555" s="3">
        <v>0</v>
      </c>
      <c r="DE555" s="3">
        <v>0</v>
      </c>
      <c r="DF555" s="3">
        <v>0</v>
      </c>
      <c r="DG555" s="3">
        <v>0</v>
      </c>
      <c r="DH555" s="3">
        <v>0</v>
      </c>
      <c r="DI555" s="3">
        <v>0</v>
      </c>
      <c r="DJ555" s="3">
        <v>0</v>
      </c>
      <c r="DK555" s="3">
        <v>0</v>
      </c>
      <c r="DL555" s="3">
        <v>0</v>
      </c>
      <c r="DM555" s="3">
        <v>0</v>
      </c>
      <c r="DN555" s="3">
        <v>0</v>
      </c>
      <c r="DO555" s="3">
        <v>0</v>
      </c>
    </row>
    <row r="556" spans="1:119" x14ac:dyDescent="0.45">
      <c r="A556" s="16" t="s">
        <v>3707</v>
      </c>
      <c r="B556" s="3" t="s">
        <v>89</v>
      </c>
      <c r="C556" s="16" t="s">
        <v>3708</v>
      </c>
      <c r="H556" s="3" t="s">
        <v>3709</v>
      </c>
      <c r="I556" s="3" t="s">
        <v>2363</v>
      </c>
      <c r="K556" s="17" t="s">
        <v>3710</v>
      </c>
      <c r="L556" s="3">
        <v>0</v>
      </c>
      <c r="M556" s="3">
        <v>0</v>
      </c>
      <c r="N556" s="3">
        <v>0</v>
      </c>
      <c r="O556" s="3">
        <v>0</v>
      </c>
      <c r="P556" s="3">
        <v>0</v>
      </c>
      <c r="Q556" s="3">
        <v>0</v>
      </c>
      <c r="R556" s="3">
        <v>0</v>
      </c>
      <c r="S556" s="3">
        <v>0</v>
      </c>
      <c r="T556" s="3">
        <v>0</v>
      </c>
      <c r="U556" s="3">
        <v>0</v>
      </c>
      <c r="V556" s="3">
        <v>0</v>
      </c>
      <c r="W556" s="3">
        <v>0</v>
      </c>
      <c r="X556" s="3">
        <v>0</v>
      </c>
      <c r="Y556" s="3">
        <v>0</v>
      </c>
      <c r="Z556" s="3">
        <v>0</v>
      </c>
      <c r="AA556" s="3">
        <v>0</v>
      </c>
      <c r="AB556" s="3">
        <v>0</v>
      </c>
      <c r="AC556" s="3">
        <v>0</v>
      </c>
      <c r="AD556" s="3">
        <v>0</v>
      </c>
      <c r="AE556" s="3">
        <v>0</v>
      </c>
      <c r="AG556" s="17" t="s">
        <v>3711</v>
      </c>
      <c r="AH556" s="3">
        <v>0</v>
      </c>
      <c r="AI556" s="3">
        <v>0</v>
      </c>
      <c r="AJ556" s="3">
        <v>0</v>
      </c>
      <c r="AK556" s="3">
        <v>0</v>
      </c>
      <c r="AL556" s="3">
        <v>0</v>
      </c>
      <c r="AM556" s="3">
        <v>0</v>
      </c>
      <c r="AN556" s="3">
        <v>0</v>
      </c>
      <c r="AO556" s="3">
        <v>0</v>
      </c>
      <c r="AP556" s="3">
        <v>0</v>
      </c>
      <c r="AQ556" s="3">
        <v>0</v>
      </c>
      <c r="AR556" s="3">
        <v>0</v>
      </c>
      <c r="AS556" s="3">
        <v>0</v>
      </c>
      <c r="AT556" s="3">
        <v>0</v>
      </c>
      <c r="AU556" s="3">
        <v>0</v>
      </c>
      <c r="AV556" s="3">
        <v>0</v>
      </c>
      <c r="AW556" s="3">
        <v>0</v>
      </c>
      <c r="AX556" s="3">
        <v>0</v>
      </c>
      <c r="AY556" s="3">
        <v>0</v>
      </c>
      <c r="AZ556" s="3">
        <v>0</v>
      </c>
      <c r="BA556" s="3">
        <v>0</v>
      </c>
      <c r="BC556" s="17" t="s">
        <v>3712</v>
      </c>
      <c r="BD556" s="3">
        <v>0</v>
      </c>
      <c r="BE556" s="3">
        <v>0</v>
      </c>
      <c r="BF556" s="3">
        <v>0</v>
      </c>
      <c r="BG556" s="3">
        <v>0</v>
      </c>
      <c r="BH556" s="3">
        <v>0</v>
      </c>
      <c r="BI556" s="3">
        <v>0</v>
      </c>
      <c r="BJ556" s="3">
        <v>0</v>
      </c>
      <c r="BK556" s="3">
        <v>0</v>
      </c>
      <c r="BL556" s="3">
        <v>0</v>
      </c>
      <c r="BM556" s="3">
        <v>0</v>
      </c>
      <c r="BN556" s="3">
        <v>0</v>
      </c>
      <c r="BO556" s="3">
        <v>0</v>
      </c>
      <c r="BP556" s="3">
        <v>0</v>
      </c>
      <c r="BQ556" s="3">
        <v>0</v>
      </c>
      <c r="BR556" s="3">
        <v>0</v>
      </c>
      <c r="BS556" s="3">
        <v>0</v>
      </c>
      <c r="BT556" s="3">
        <v>0</v>
      </c>
      <c r="BU556" s="3">
        <v>0</v>
      </c>
      <c r="BV556" s="3">
        <v>0</v>
      </c>
      <c r="BW556" s="3">
        <v>0</v>
      </c>
      <c r="BY556" s="17" t="s">
        <v>3713</v>
      </c>
      <c r="BZ556" s="3">
        <v>0</v>
      </c>
      <c r="CA556" s="3">
        <v>0</v>
      </c>
      <c r="CB556" s="3">
        <v>0</v>
      </c>
      <c r="CC556" s="3">
        <v>0</v>
      </c>
      <c r="CD556" s="3">
        <v>0</v>
      </c>
      <c r="CE556" s="3">
        <v>0</v>
      </c>
      <c r="CF556" s="3">
        <v>0</v>
      </c>
      <c r="CG556" s="3">
        <v>0</v>
      </c>
      <c r="CH556" s="3">
        <v>0</v>
      </c>
      <c r="CI556" s="3">
        <v>0</v>
      </c>
      <c r="CJ556" s="3">
        <v>0</v>
      </c>
      <c r="CK556" s="3">
        <v>0</v>
      </c>
      <c r="CL556" s="3">
        <v>0</v>
      </c>
      <c r="CM556" s="3">
        <v>0</v>
      </c>
      <c r="CN556" s="3">
        <v>0</v>
      </c>
      <c r="CO556" s="3">
        <v>0</v>
      </c>
      <c r="CP556" s="3">
        <v>0</v>
      </c>
      <c r="CQ556" s="3">
        <v>0</v>
      </c>
      <c r="CR556" s="3">
        <v>0</v>
      </c>
      <c r="CS556" s="3">
        <v>0</v>
      </c>
      <c r="CU556" s="17" t="s">
        <v>3714</v>
      </c>
      <c r="CV556" s="3">
        <v>0</v>
      </c>
      <c r="CW556" s="3">
        <v>0</v>
      </c>
      <c r="CX556" s="3">
        <v>0</v>
      </c>
      <c r="CY556" s="3">
        <v>0</v>
      </c>
      <c r="CZ556" s="3">
        <v>0</v>
      </c>
      <c r="DA556" s="3">
        <v>0</v>
      </c>
      <c r="DB556" s="3">
        <v>0</v>
      </c>
      <c r="DC556" s="3">
        <v>0</v>
      </c>
      <c r="DD556" s="3">
        <v>0</v>
      </c>
      <c r="DE556" s="3">
        <v>0</v>
      </c>
      <c r="DF556" s="3">
        <v>0</v>
      </c>
      <c r="DG556" s="3">
        <v>0</v>
      </c>
      <c r="DH556" s="3">
        <v>0</v>
      </c>
      <c r="DI556" s="3">
        <v>0</v>
      </c>
      <c r="DJ556" s="3">
        <v>0</v>
      </c>
      <c r="DK556" s="3">
        <v>0</v>
      </c>
      <c r="DL556" s="3">
        <v>0</v>
      </c>
      <c r="DM556" s="3">
        <v>0</v>
      </c>
      <c r="DN556" s="3">
        <v>0</v>
      </c>
      <c r="DO556" s="3">
        <v>0</v>
      </c>
    </row>
    <row r="557" spans="1:119" x14ac:dyDescent="0.45">
      <c r="A557" s="11"/>
      <c r="B557" s="3" t="s">
        <v>89</v>
      </c>
      <c r="C557" s="16" t="s">
        <v>3715</v>
      </c>
      <c r="H557" s="11" t="s">
        <v>3716</v>
      </c>
      <c r="I557" s="11" t="s">
        <v>2363</v>
      </c>
    </row>
    <row r="558" spans="1:119" x14ac:dyDescent="0.45">
      <c r="A558" s="16" t="s">
        <v>3717</v>
      </c>
      <c r="B558" s="3" t="s">
        <v>89</v>
      </c>
      <c r="C558" s="16" t="s">
        <v>3718</v>
      </c>
      <c r="H558" s="3" t="s">
        <v>3719</v>
      </c>
      <c r="I558" s="3" t="s">
        <v>2363</v>
      </c>
      <c r="K558" s="17" t="s">
        <v>3720</v>
      </c>
      <c r="L558" s="3">
        <v>0</v>
      </c>
      <c r="M558" s="3">
        <v>0</v>
      </c>
      <c r="N558" s="3">
        <v>0</v>
      </c>
      <c r="O558" s="3">
        <v>0</v>
      </c>
      <c r="P558" s="3">
        <v>0</v>
      </c>
      <c r="Q558" s="3">
        <v>0</v>
      </c>
      <c r="R558" s="3">
        <v>0</v>
      </c>
      <c r="S558" s="3">
        <v>0</v>
      </c>
      <c r="T558" s="3">
        <v>0</v>
      </c>
      <c r="U558" s="3">
        <v>0</v>
      </c>
      <c r="V558" s="3">
        <v>0</v>
      </c>
      <c r="W558" s="3">
        <v>0</v>
      </c>
      <c r="X558" s="3">
        <v>0</v>
      </c>
      <c r="Y558" s="3">
        <v>0</v>
      </c>
      <c r="Z558" s="3">
        <v>0</v>
      </c>
      <c r="AA558" s="3">
        <v>0</v>
      </c>
      <c r="AB558" s="3">
        <v>0</v>
      </c>
      <c r="AC558" s="3">
        <v>0</v>
      </c>
      <c r="AD558" s="3">
        <v>0</v>
      </c>
      <c r="AE558" s="3">
        <v>0</v>
      </c>
      <c r="AG558" s="17" t="s">
        <v>3721</v>
      </c>
      <c r="AH558" s="3">
        <v>0</v>
      </c>
      <c r="AI558" s="3">
        <v>0</v>
      </c>
      <c r="AJ558" s="3">
        <v>0</v>
      </c>
      <c r="AK558" s="3">
        <v>0</v>
      </c>
      <c r="AL558" s="3">
        <v>0</v>
      </c>
      <c r="AM558" s="3">
        <v>0</v>
      </c>
      <c r="AN558" s="3">
        <v>0</v>
      </c>
      <c r="AO558" s="3">
        <v>0</v>
      </c>
      <c r="AP558" s="3">
        <v>0</v>
      </c>
      <c r="AQ558" s="3">
        <v>0</v>
      </c>
      <c r="AR558" s="3">
        <v>0</v>
      </c>
      <c r="AS558" s="3">
        <v>0</v>
      </c>
      <c r="AT558" s="3">
        <v>0</v>
      </c>
      <c r="AU558" s="3">
        <v>0</v>
      </c>
      <c r="AV558" s="3">
        <v>0</v>
      </c>
      <c r="AW558" s="3">
        <v>0</v>
      </c>
      <c r="AX558" s="3">
        <v>0</v>
      </c>
      <c r="AY558" s="3">
        <v>0</v>
      </c>
      <c r="AZ558" s="3">
        <v>0</v>
      </c>
      <c r="BA558" s="3">
        <v>0</v>
      </c>
      <c r="BC558" s="17" t="s">
        <v>3722</v>
      </c>
      <c r="BD558" s="3">
        <v>0</v>
      </c>
      <c r="BE558" s="3">
        <v>0</v>
      </c>
      <c r="BF558" s="3">
        <v>0</v>
      </c>
      <c r="BG558" s="3">
        <v>0</v>
      </c>
      <c r="BH558" s="3">
        <v>0</v>
      </c>
      <c r="BI558" s="3">
        <v>0</v>
      </c>
      <c r="BJ558" s="3">
        <v>0</v>
      </c>
      <c r="BK558" s="3">
        <v>0</v>
      </c>
      <c r="BL558" s="3">
        <v>0</v>
      </c>
      <c r="BM558" s="3">
        <v>0</v>
      </c>
      <c r="BN558" s="3">
        <v>0</v>
      </c>
      <c r="BO558" s="3">
        <v>0</v>
      </c>
      <c r="BP558" s="3">
        <v>0</v>
      </c>
      <c r="BQ558" s="3">
        <v>0</v>
      </c>
      <c r="BR558" s="3">
        <v>0</v>
      </c>
      <c r="BS558" s="3">
        <v>0</v>
      </c>
      <c r="BT558" s="3">
        <v>0</v>
      </c>
      <c r="BU558" s="3">
        <v>0</v>
      </c>
      <c r="BV558" s="3">
        <v>0</v>
      </c>
      <c r="BW558" s="3">
        <v>0</v>
      </c>
      <c r="BY558" s="17" t="s">
        <v>3723</v>
      </c>
      <c r="BZ558" s="3">
        <v>0</v>
      </c>
      <c r="CA558" s="3">
        <v>0</v>
      </c>
      <c r="CB558" s="3">
        <v>0</v>
      </c>
      <c r="CC558" s="3">
        <v>0</v>
      </c>
      <c r="CD558" s="3">
        <v>0</v>
      </c>
      <c r="CE558" s="3">
        <v>0</v>
      </c>
      <c r="CF558" s="3">
        <v>0</v>
      </c>
      <c r="CG558" s="3">
        <v>0</v>
      </c>
      <c r="CH558" s="3">
        <v>0</v>
      </c>
      <c r="CI558" s="3">
        <v>0</v>
      </c>
      <c r="CJ558" s="3">
        <v>0</v>
      </c>
      <c r="CK558" s="3">
        <v>0</v>
      </c>
      <c r="CL558" s="3">
        <v>0</v>
      </c>
      <c r="CM558" s="3">
        <v>0</v>
      </c>
      <c r="CN558" s="3">
        <v>0</v>
      </c>
      <c r="CO558" s="3">
        <v>0</v>
      </c>
      <c r="CP558" s="3">
        <v>0</v>
      </c>
      <c r="CQ558" s="3">
        <v>0</v>
      </c>
      <c r="CR558" s="3">
        <v>0</v>
      </c>
      <c r="CS558" s="3">
        <v>0</v>
      </c>
      <c r="CU558" s="17" t="s">
        <v>3724</v>
      </c>
      <c r="CV558" s="3">
        <v>0</v>
      </c>
      <c r="CW558" s="3">
        <v>0</v>
      </c>
      <c r="CX558" s="3">
        <v>0</v>
      </c>
      <c r="CY558" s="3">
        <v>0</v>
      </c>
      <c r="CZ558" s="3">
        <v>0</v>
      </c>
      <c r="DA558" s="3">
        <v>0</v>
      </c>
      <c r="DB558" s="3">
        <v>0</v>
      </c>
      <c r="DC558" s="3">
        <v>0</v>
      </c>
      <c r="DD558" s="3">
        <v>0</v>
      </c>
      <c r="DE558" s="3">
        <v>0</v>
      </c>
      <c r="DF558" s="3">
        <v>0</v>
      </c>
      <c r="DG558" s="3">
        <v>0</v>
      </c>
      <c r="DH558" s="3">
        <v>0</v>
      </c>
      <c r="DI558" s="3">
        <v>0</v>
      </c>
      <c r="DJ558" s="3">
        <v>0</v>
      </c>
      <c r="DK558" s="3">
        <v>0</v>
      </c>
      <c r="DL558" s="3">
        <v>0</v>
      </c>
      <c r="DM558" s="3">
        <v>0</v>
      </c>
      <c r="DN558" s="3">
        <v>0</v>
      </c>
      <c r="DO558" s="3">
        <v>0</v>
      </c>
    </row>
    <row r="559" spans="1:119" x14ac:dyDescent="0.45">
      <c r="A559" s="16" t="s">
        <v>3725</v>
      </c>
      <c r="B559" s="3" t="s">
        <v>89</v>
      </c>
      <c r="C559" s="16" t="s">
        <v>3726</v>
      </c>
      <c r="H559" s="3" t="s">
        <v>3727</v>
      </c>
      <c r="I559" s="3" t="s">
        <v>2363</v>
      </c>
      <c r="K559" s="17" t="s">
        <v>3728</v>
      </c>
      <c r="L559" s="3">
        <v>6750.9380054165649</v>
      </c>
      <c r="M559" s="3">
        <v>5346.8906506195226</v>
      </c>
      <c r="N559" s="3">
        <v>6166.2743968205104</v>
      </c>
      <c r="O559" s="3">
        <v>6409.9494035795169</v>
      </c>
      <c r="P559" s="3">
        <v>6650.6696584956471</v>
      </c>
      <c r="Q559" s="3">
        <v>6937.488571897642</v>
      </c>
      <c r="R559" s="3">
        <v>7281.9814832822967</v>
      </c>
      <c r="S559" s="3">
        <v>7617.0435050761107</v>
      </c>
      <c r="T559" s="3">
        <v>7935.0340231318251</v>
      </c>
      <c r="U559" s="3">
        <v>8259.9096378618888</v>
      </c>
      <c r="V559" s="3">
        <v>8592.8563375698595</v>
      </c>
      <c r="W559" s="3">
        <v>8933.8750329662034</v>
      </c>
      <c r="X559" s="3">
        <v>9282.9605970115263</v>
      </c>
      <c r="Y559" s="3">
        <v>9640.1017737717393</v>
      </c>
      <c r="Z559" s="3">
        <v>10005.281074833891</v>
      </c>
      <c r="AA559" s="3">
        <v>10378.47466225879</v>
      </c>
      <c r="AB559" s="3">
        <v>10759.65221708639</v>
      </c>
      <c r="AC559" s="3">
        <v>11148.77679244924</v>
      </c>
      <c r="AD559" s="3">
        <v>11545.80465038743</v>
      </c>
      <c r="AE559" s="3">
        <v>11950.68508149638</v>
      </c>
      <c r="AG559" s="17" t="s">
        <v>3729</v>
      </c>
      <c r="AH559" s="3">
        <v>6750.9380054165649</v>
      </c>
      <c r="AI559" s="3">
        <v>5346.8906506195226</v>
      </c>
      <c r="AJ559" s="3">
        <v>6166.2743968205104</v>
      </c>
      <c r="AK559" s="3">
        <v>6409.9494035795169</v>
      </c>
      <c r="AL559" s="3">
        <v>6650.6696584956471</v>
      </c>
      <c r="AM559" s="3">
        <v>5949.1284721786324</v>
      </c>
      <c r="AN559" s="3">
        <v>6244.5414807180259</v>
      </c>
      <c r="AO559" s="3">
        <v>6535.6623356512546</v>
      </c>
      <c r="AP559" s="3">
        <v>6799.6326842505669</v>
      </c>
      <c r="AQ559" s="3">
        <v>7079.6097087133876</v>
      </c>
      <c r="AR559" s="3">
        <v>7361.1695467364416</v>
      </c>
      <c r="AS559" s="3">
        <v>7658.4962120446262</v>
      </c>
      <c r="AT559" s="3">
        <v>7967.434154156158</v>
      </c>
      <c r="AU559" s="3">
        <v>8281.6203038284784</v>
      </c>
      <c r="AV559" s="3">
        <v>8605.0893217359826</v>
      </c>
      <c r="AW559" s="3">
        <v>8940.6988104433749</v>
      </c>
      <c r="AX559" s="3">
        <v>9279.347292863562</v>
      </c>
      <c r="AY559" s="3">
        <v>9622.8337306471021</v>
      </c>
      <c r="AZ559" s="3">
        <v>9967.5420973460768</v>
      </c>
      <c r="BA559" s="3">
        <v>10317.388360188859</v>
      </c>
      <c r="BC559" s="17" t="s">
        <v>3730</v>
      </c>
      <c r="BD559" s="3">
        <v>6750.9380054165649</v>
      </c>
      <c r="BE559" s="3">
        <v>5346.8906506195226</v>
      </c>
      <c r="BF559" s="3">
        <v>6166.2743968205104</v>
      </c>
      <c r="BG559" s="3">
        <v>6409.9494035795169</v>
      </c>
      <c r="BH559" s="3">
        <v>6650.6696584956471</v>
      </c>
      <c r="BI559" s="3">
        <v>6319.9677494166917</v>
      </c>
      <c r="BJ559" s="3">
        <v>5953.4383113941039</v>
      </c>
      <c r="BK559" s="3">
        <v>5669.0032631350659</v>
      </c>
      <c r="BL559" s="3">
        <v>5430.020467575433</v>
      </c>
      <c r="BM559" s="3">
        <v>5290.5357156956052</v>
      </c>
      <c r="BN559" s="3">
        <v>5177.7083785760733</v>
      </c>
      <c r="BO559" s="3">
        <v>5089.7356928736172</v>
      </c>
      <c r="BP559" s="3">
        <v>5024.0057610469321</v>
      </c>
      <c r="BQ559" s="3">
        <v>4975.7543457331249</v>
      </c>
      <c r="BR559" s="3">
        <v>4942.2680204608751</v>
      </c>
      <c r="BS559" s="3">
        <v>4922.5541493627388</v>
      </c>
      <c r="BT559" s="3">
        <v>4913.4605304816059</v>
      </c>
      <c r="BU559" s="3">
        <v>4912.7639332434746</v>
      </c>
      <c r="BV559" s="3">
        <v>4917.3133606393367</v>
      </c>
      <c r="BW559" s="3">
        <v>4925.8518768821887</v>
      </c>
      <c r="BY559" s="17" t="s">
        <v>3731</v>
      </c>
      <c r="BZ559" s="3">
        <v>6750.9380054165649</v>
      </c>
      <c r="CA559" s="3">
        <v>5346.8906506195226</v>
      </c>
      <c r="CB559" s="3">
        <v>6166.2743968205104</v>
      </c>
      <c r="CC559" s="3">
        <v>6409.9494035795169</v>
      </c>
      <c r="CD559" s="3">
        <v>6650.6696584956471</v>
      </c>
      <c r="CE559" s="3">
        <v>5750.4792752529574</v>
      </c>
      <c r="CF559" s="3">
        <v>6036.0227573153352</v>
      </c>
      <c r="CG559" s="3">
        <v>6316.8784533785029</v>
      </c>
      <c r="CH559" s="3">
        <v>6572.5402875752961</v>
      </c>
      <c r="CI559" s="3">
        <v>6844.9156397011348</v>
      </c>
      <c r="CJ559" s="3">
        <v>7116.6830161395483</v>
      </c>
      <c r="CK559" s="3">
        <v>7404.7539522233628</v>
      </c>
      <c r="CL559" s="3">
        <v>7700.2884032977599</v>
      </c>
      <c r="CM559" s="3">
        <v>8001.4333424328879</v>
      </c>
      <c r="CN559" s="3">
        <v>8311.3452897710795</v>
      </c>
      <c r="CO559" s="3">
        <v>8631.6993665041464</v>
      </c>
      <c r="CP559" s="3">
        <v>8955.1454866493496</v>
      </c>
      <c r="CQ559" s="3">
        <v>9284.6207295623881</v>
      </c>
      <c r="CR559" s="3">
        <v>9616.3953222323471</v>
      </c>
      <c r="CS559" s="3">
        <v>9955.3222136261702</v>
      </c>
      <c r="CU559" s="17" t="s">
        <v>3732</v>
      </c>
      <c r="CV559" s="3">
        <v>6750.9380054165649</v>
      </c>
      <c r="CW559" s="3">
        <v>5346.8906506195226</v>
      </c>
      <c r="CX559" s="3">
        <v>6166.2743968205104</v>
      </c>
      <c r="CY559" s="3">
        <v>6409.9494035795169</v>
      </c>
      <c r="CZ559" s="3">
        <v>6650.6696584956471</v>
      </c>
      <c r="DA559" s="3">
        <v>4949.6058602832127</v>
      </c>
      <c r="DB559" s="3">
        <v>5195.3847966408639</v>
      </c>
      <c r="DC559" s="3">
        <v>5441.1958745773454</v>
      </c>
      <c r="DD559" s="3">
        <v>5652.2897608381172</v>
      </c>
      <c r="DE559" s="3">
        <v>5887.2864456844654</v>
      </c>
      <c r="DF559" s="3">
        <v>6117.2422397546134</v>
      </c>
      <c r="DG559" s="3">
        <v>6369.8067048528419</v>
      </c>
      <c r="DH559" s="3">
        <v>6635.2531166220824</v>
      </c>
      <c r="DI559" s="3">
        <v>6903.9326407971976</v>
      </c>
      <c r="DJ559" s="3">
        <v>7182.439282227645</v>
      </c>
      <c r="DK559" s="3">
        <v>7476.049236984014</v>
      </c>
      <c r="DL559" s="3">
        <v>7768.3408084918328</v>
      </c>
      <c r="DM559" s="3">
        <v>8063.2984807648072</v>
      </c>
      <c r="DN559" s="3">
        <v>8354.0788716161169</v>
      </c>
      <c r="DO559" s="3">
        <v>8648.013086737963</v>
      </c>
    </row>
    <row r="560" spans="1:119" x14ac:dyDescent="0.45">
      <c r="A560" s="16" t="s">
        <v>3733</v>
      </c>
      <c r="B560" s="3" t="s">
        <v>89</v>
      </c>
      <c r="C560" s="16" t="s">
        <v>3734</v>
      </c>
      <c r="H560" s="3" t="s">
        <v>3735</v>
      </c>
      <c r="I560" s="3" t="s">
        <v>2363</v>
      </c>
      <c r="K560" s="17" t="s">
        <v>3736</v>
      </c>
      <c r="L560" s="3">
        <v>0</v>
      </c>
      <c r="M560" s="3">
        <v>0</v>
      </c>
      <c r="N560" s="3">
        <v>0</v>
      </c>
      <c r="O560" s="3">
        <v>0</v>
      </c>
      <c r="P560" s="3">
        <v>0</v>
      </c>
      <c r="Q560" s="3">
        <v>0</v>
      </c>
      <c r="R560" s="3">
        <v>0</v>
      </c>
      <c r="S560" s="3">
        <v>0</v>
      </c>
      <c r="T560" s="3">
        <v>0</v>
      </c>
      <c r="U560" s="3">
        <v>0</v>
      </c>
      <c r="V560" s="3">
        <v>0</v>
      </c>
      <c r="W560" s="3">
        <v>0</v>
      </c>
      <c r="X560" s="3">
        <v>0</v>
      </c>
      <c r="Y560" s="3">
        <v>0</v>
      </c>
      <c r="Z560" s="3">
        <v>0</v>
      </c>
      <c r="AA560" s="3">
        <v>0</v>
      </c>
      <c r="AB560" s="3">
        <v>0</v>
      </c>
      <c r="AC560" s="3">
        <v>0</v>
      </c>
      <c r="AD560" s="3">
        <v>0</v>
      </c>
      <c r="AE560" s="3">
        <v>0</v>
      </c>
      <c r="AG560" s="17" t="s">
        <v>3737</v>
      </c>
      <c r="AH560" s="3">
        <v>0</v>
      </c>
      <c r="AI560" s="3">
        <v>0</v>
      </c>
      <c r="AJ560" s="3">
        <v>0</v>
      </c>
      <c r="AK560" s="3">
        <v>0</v>
      </c>
      <c r="AL560" s="3">
        <v>0</v>
      </c>
      <c r="AM560" s="3">
        <v>0</v>
      </c>
      <c r="AN560" s="3">
        <v>0</v>
      </c>
      <c r="AO560" s="3">
        <v>0</v>
      </c>
      <c r="AP560" s="3">
        <v>0</v>
      </c>
      <c r="AQ560" s="3">
        <v>0</v>
      </c>
      <c r="AR560" s="3">
        <v>0</v>
      </c>
      <c r="AS560" s="3">
        <v>0</v>
      </c>
      <c r="AT560" s="3">
        <v>0</v>
      </c>
      <c r="AU560" s="3">
        <v>0</v>
      </c>
      <c r="AV560" s="3">
        <v>0</v>
      </c>
      <c r="AW560" s="3">
        <v>0</v>
      </c>
      <c r="AX560" s="3">
        <v>0</v>
      </c>
      <c r="AY560" s="3">
        <v>0</v>
      </c>
      <c r="AZ560" s="3">
        <v>0</v>
      </c>
      <c r="BA560" s="3">
        <v>0</v>
      </c>
      <c r="BC560" s="17" t="s">
        <v>3738</v>
      </c>
      <c r="BD560" s="3">
        <v>0</v>
      </c>
      <c r="BE560" s="3">
        <v>0</v>
      </c>
      <c r="BF560" s="3">
        <v>0</v>
      </c>
      <c r="BG560" s="3">
        <v>0</v>
      </c>
      <c r="BH560" s="3">
        <v>0</v>
      </c>
      <c r="BI560" s="3">
        <v>0</v>
      </c>
      <c r="BJ560" s="3">
        <v>0</v>
      </c>
      <c r="BK560" s="3">
        <v>0</v>
      </c>
      <c r="BL560" s="3">
        <v>0</v>
      </c>
      <c r="BM560" s="3">
        <v>0</v>
      </c>
      <c r="BN560" s="3">
        <v>0</v>
      </c>
      <c r="BO560" s="3">
        <v>0</v>
      </c>
      <c r="BP560" s="3">
        <v>0</v>
      </c>
      <c r="BQ560" s="3">
        <v>0</v>
      </c>
      <c r="BR560" s="3">
        <v>0</v>
      </c>
      <c r="BS560" s="3">
        <v>0</v>
      </c>
      <c r="BT560" s="3">
        <v>0</v>
      </c>
      <c r="BU560" s="3">
        <v>0</v>
      </c>
      <c r="BV560" s="3">
        <v>0</v>
      </c>
      <c r="BW560" s="3">
        <v>0</v>
      </c>
      <c r="BY560" s="17" t="s">
        <v>3739</v>
      </c>
      <c r="BZ560" s="3">
        <v>0</v>
      </c>
      <c r="CA560" s="3">
        <v>0</v>
      </c>
      <c r="CB560" s="3">
        <v>0</v>
      </c>
      <c r="CC560" s="3">
        <v>0</v>
      </c>
      <c r="CD560" s="3">
        <v>0</v>
      </c>
      <c r="CE560" s="3">
        <v>0</v>
      </c>
      <c r="CF560" s="3">
        <v>0</v>
      </c>
      <c r="CG560" s="3">
        <v>0</v>
      </c>
      <c r="CH560" s="3">
        <v>0</v>
      </c>
      <c r="CI560" s="3">
        <v>0</v>
      </c>
      <c r="CJ560" s="3">
        <v>0</v>
      </c>
      <c r="CK560" s="3">
        <v>0</v>
      </c>
      <c r="CL560" s="3">
        <v>0</v>
      </c>
      <c r="CM560" s="3">
        <v>0</v>
      </c>
      <c r="CN560" s="3">
        <v>0</v>
      </c>
      <c r="CO560" s="3">
        <v>0</v>
      </c>
      <c r="CP560" s="3">
        <v>0</v>
      </c>
      <c r="CQ560" s="3">
        <v>0</v>
      </c>
      <c r="CR560" s="3">
        <v>0</v>
      </c>
      <c r="CS560" s="3">
        <v>0</v>
      </c>
      <c r="CU560" s="17" t="s">
        <v>3740</v>
      </c>
      <c r="CV560" s="3">
        <v>0</v>
      </c>
      <c r="CW560" s="3">
        <v>0</v>
      </c>
      <c r="CX560" s="3">
        <v>0</v>
      </c>
      <c r="CY560" s="3">
        <v>0</v>
      </c>
      <c r="CZ560" s="3">
        <v>0</v>
      </c>
      <c r="DA560" s="3">
        <v>0</v>
      </c>
      <c r="DB560" s="3">
        <v>0</v>
      </c>
      <c r="DC560" s="3">
        <v>0</v>
      </c>
      <c r="DD560" s="3">
        <v>0</v>
      </c>
      <c r="DE560" s="3">
        <v>0</v>
      </c>
      <c r="DF560" s="3">
        <v>0</v>
      </c>
      <c r="DG560" s="3">
        <v>0</v>
      </c>
      <c r="DH560" s="3">
        <v>0</v>
      </c>
      <c r="DI560" s="3">
        <v>0</v>
      </c>
      <c r="DJ560" s="3">
        <v>0</v>
      </c>
      <c r="DK560" s="3">
        <v>0</v>
      </c>
      <c r="DL560" s="3">
        <v>0</v>
      </c>
      <c r="DM560" s="3">
        <v>0</v>
      </c>
      <c r="DN560" s="3">
        <v>0</v>
      </c>
      <c r="DO560" s="3">
        <v>0</v>
      </c>
    </row>
    <row r="561" spans="1:119" x14ac:dyDescent="0.45">
      <c r="A561" s="16" t="s">
        <v>3741</v>
      </c>
      <c r="B561" s="3" t="s">
        <v>89</v>
      </c>
      <c r="C561" s="16" t="s">
        <v>3742</v>
      </c>
      <c r="H561" s="3" t="s">
        <v>3743</v>
      </c>
      <c r="I561" s="3" t="s">
        <v>2363</v>
      </c>
      <c r="K561" s="17" t="s">
        <v>3744</v>
      </c>
      <c r="L561" s="3">
        <v>812.73044773408208</v>
      </c>
      <c r="M561" s="3">
        <v>970.2959914475947</v>
      </c>
      <c r="N561" s="3">
        <v>1225.253225136375</v>
      </c>
      <c r="O561" s="3">
        <v>1250.467061881782</v>
      </c>
      <c r="P561" s="3">
        <v>1274.9940826996119</v>
      </c>
      <c r="Q561" s="3">
        <v>1303.488326264888</v>
      </c>
      <c r="R561" s="3">
        <v>1336.784236828855</v>
      </c>
      <c r="S561" s="3">
        <v>1368.548754056726</v>
      </c>
      <c r="T561" s="3">
        <v>1398.2086259577759</v>
      </c>
      <c r="U561" s="3">
        <v>1427.9590509363011</v>
      </c>
      <c r="V561" s="3">
        <v>1457.898891666872</v>
      </c>
      <c r="W561" s="3">
        <v>1488.021108086494</v>
      </c>
      <c r="X561" s="3">
        <v>1518.318674561777</v>
      </c>
      <c r="Y561" s="3">
        <v>1548.784574529984</v>
      </c>
      <c r="Z561" s="3">
        <v>1579.4117943324841</v>
      </c>
      <c r="AA561" s="3">
        <v>1610.193316268151</v>
      </c>
      <c r="AB561" s="3">
        <v>1641.122110892537</v>
      </c>
      <c r="AC561" s="3">
        <v>1672.1911285868659</v>
      </c>
      <c r="AD561" s="3">
        <v>1703.393290418963</v>
      </c>
      <c r="AE561" s="3">
        <v>1734.721478316417</v>
      </c>
      <c r="AG561" s="17" t="s">
        <v>3745</v>
      </c>
      <c r="AH561" s="3">
        <v>812.73044773408208</v>
      </c>
      <c r="AI561" s="3">
        <v>970.2959914475947</v>
      </c>
      <c r="AJ561" s="3">
        <v>1225.253225136375</v>
      </c>
      <c r="AK561" s="3">
        <v>1250.467061881782</v>
      </c>
      <c r="AL561" s="3">
        <v>1274.9940826996119</v>
      </c>
      <c r="AM561" s="3">
        <v>1065.437972851015</v>
      </c>
      <c r="AN561" s="3">
        <v>1092.653093746037</v>
      </c>
      <c r="AO561" s="3">
        <v>1118.941419803667</v>
      </c>
      <c r="AP561" s="3">
        <v>1142.446308103149</v>
      </c>
      <c r="AQ561" s="3">
        <v>1166.88553206394</v>
      </c>
      <c r="AR561" s="3">
        <v>1191.0432505735389</v>
      </c>
      <c r="AS561" s="3">
        <v>1216.0639045813421</v>
      </c>
      <c r="AT561" s="3">
        <v>1241.5791572051171</v>
      </c>
      <c r="AU561" s="3">
        <v>1267.078011283581</v>
      </c>
      <c r="AV561" s="3">
        <v>1292.8671865221661</v>
      </c>
      <c r="AW561" s="3">
        <v>1319.144827877064</v>
      </c>
      <c r="AX561" s="3">
        <v>1345.228271939596</v>
      </c>
      <c r="AY561" s="3">
        <v>1371.2583569941371</v>
      </c>
      <c r="AZ561" s="3">
        <v>1396.986986898437</v>
      </c>
      <c r="BA561" s="3">
        <v>1422.7013231077549</v>
      </c>
      <c r="BC561" s="17" t="s">
        <v>3746</v>
      </c>
      <c r="BD561" s="3">
        <v>812.73044773408208</v>
      </c>
      <c r="BE561" s="3">
        <v>970.2959914475947</v>
      </c>
      <c r="BF561" s="3">
        <v>1225.253225136375</v>
      </c>
      <c r="BG561" s="3">
        <v>1250.467061881782</v>
      </c>
      <c r="BH561" s="3">
        <v>1274.9940826996119</v>
      </c>
      <c r="BI561" s="3">
        <v>1153.439865340581</v>
      </c>
      <c r="BJ561" s="3">
        <v>1025.014508472568</v>
      </c>
      <c r="BK561" s="3">
        <v>925.45609878262542</v>
      </c>
      <c r="BL561" s="3">
        <v>844.95973533380743</v>
      </c>
      <c r="BM561" s="3">
        <v>789.70258916032765</v>
      </c>
      <c r="BN561" s="3">
        <v>742.8124100890559</v>
      </c>
      <c r="BO561" s="3">
        <v>702.77728896728843</v>
      </c>
      <c r="BP561" s="3">
        <v>668.36424012713633</v>
      </c>
      <c r="BQ561" s="3">
        <v>638.45006652345683</v>
      </c>
      <c r="BR561" s="3">
        <v>612.24223723310217</v>
      </c>
      <c r="BS561" s="3">
        <v>589.19102601956001</v>
      </c>
      <c r="BT561" s="3">
        <v>568.71683665850878</v>
      </c>
      <c r="BU561" s="3">
        <v>550.38249696726348</v>
      </c>
      <c r="BV561" s="3">
        <v>533.76679736484755</v>
      </c>
      <c r="BW561" s="3">
        <v>518.60804394263198</v>
      </c>
      <c r="BY561" s="17" t="s">
        <v>3747</v>
      </c>
      <c r="BZ561" s="3">
        <v>812.73044773408208</v>
      </c>
      <c r="CA561" s="3">
        <v>970.2959914475947</v>
      </c>
      <c r="CB561" s="3">
        <v>1225.253225136375</v>
      </c>
      <c r="CC561" s="3">
        <v>1250.467061881782</v>
      </c>
      <c r="CD561" s="3">
        <v>1274.9940826996119</v>
      </c>
      <c r="CE561" s="3">
        <v>1018.6144063205981</v>
      </c>
      <c r="CF561" s="3">
        <v>1044.6330262498309</v>
      </c>
      <c r="CG561" s="3">
        <v>1069.719968604061</v>
      </c>
      <c r="CH561" s="3">
        <v>1092.2347658827171</v>
      </c>
      <c r="CI561" s="3">
        <v>1115.7424134931809</v>
      </c>
      <c r="CJ561" s="3">
        <v>1138.8046416473589</v>
      </c>
      <c r="CK561" s="3">
        <v>1162.776533379779</v>
      </c>
      <c r="CL561" s="3">
        <v>1186.929606584597</v>
      </c>
      <c r="CM561" s="3">
        <v>1211.1164082153491</v>
      </c>
      <c r="CN561" s="3">
        <v>1235.5723463917459</v>
      </c>
      <c r="CO561" s="3">
        <v>1260.408127495496</v>
      </c>
      <c r="CP561" s="3">
        <v>1285.0791870416419</v>
      </c>
      <c r="CQ561" s="3">
        <v>1309.8035879732579</v>
      </c>
      <c r="CR561" s="3">
        <v>1334.322382237033</v>
      </c>
      <c r="CS561" s="3">
        <v>1358.979176639584</v>
      </c>
      <c r="CU561" s="17" t="s">
        <v>3748</v>
      </c>
      <c r="CV561" s="3">
        <v>812.73044773408208</v>
      </c>
      <c r="CW561" s="3">
        <v>970.2959914475947</v>
      </c>
      <c r="CX561" s="3">
        <v>1225.253225136375</v>
      </c>
      <c r="CY561" s="3">
        <v>1250.467061881782</v>
      </c>
      <c r="CZ561" s="3">
        <v>1274.9940826996119</v>
      </c>
      <c r="DA561" s="3">
        <v>834.03710115651756</v>
      </c>
      <c r="DB561" s="3">
        <v>855.34130721573729</v>
      </c>
      <c r="DC561" s="3">
        <v>876.21017361129714</v>
      </c>
      <c r="DD561" s="3">
        <v>893.93068496205115</v>
      </c>
      <c r="DE561" s="3">
        <v>913.22910600607531</v>
      </c>
      <c r="DF561" s="3">
        <v>931.81677697428279</v>
      </c>
      <c r="DG561" s="3">
        <v>951.80139694552804</v>
      </c>
      <c r="DH561" s="3">
        <v>972.39447660071312</v>
      </c>
      <c r="DI561" s="3">
        <v>992.87033178626302</v>
      </c>
      <c r="DJ561" s="3">
        <v>1013.703083314861</v>
      </c>
      <c r="DK561" s="3">
        <v>1035.240817910525</v>
      </c>
      <c r="DL561" s="3">
        <v>1056.3308679609299</v>
      </c>
      <c r="DM561" s="3">
        <v>1077.265443540517</v>
      </c>
      <c r="DN561" s="3">
        <v>1097.6052383843371</v>
      </c>
      <c r="DO561" s="3">
        <v>1117.855272285984</v>
      </c>
    </row>
    <row r="562" spans="1:119" x14ac:dyDescent="0.45">
      <c r="A562" s="16" t="s">
        <v>3749</v>
      </c>
      <c r="B562" s="3" t="s">
        <v>89</v>
      </c>
      <c r="C562" s="16" t="s">
        <v>3750</v>
      </c>
      <c r="H562" s="3" t="s">
        <v>3751</v>
      </c>
      <c r="I562" s="3" t="s">
        <v>2363</v>
      </c>
      <c r="K562" s="17" t="s">
        <v>3752</v>
      </c>
      <c r="L562" s="3">
        <v>2213.3323391286481</v>
      </c>
      <c r="M562" s="3">
        <v>2535.6998842403032</v>
      </c>
      <c r="N562" s="3">
        <v>2544.6585761900792</v>
      </c>
      <c r="O562" s="3">
        <v>2627.3857270238618</v>
      </c>
      <c r="P562" s="3">
        <v>2708.702877127771</v>
      </c>
      <c r="Q562" s="3">
        <v>2804.5281572385738</v>
      </c>
      <c r="R562" s="3">
        <v>2918.27724477418</v>
      </c>
      <c r="S562" s="3">
        <v>3028.2027803510259</v>
      </c>
      <c r="T562" s="3">
        <v>3132.014413651108</v>
      </c>
      <c r="U562" s="3">
        <v>3237.3813977373352</v>
      </c>
      <c r="V562" s="3">
        <v>3344.6646732922818</v>
      </c>
      <c r="W562" s="3">
        <v>3453.8490545922459</v>
      </c>
      <c r="X562" s="3">
        <v>3564.9182316260899</v>
      </c>
      <c r="Y562" s="3">
        <v>3677.8547609265029</v>
      </c>
      <c r="Z562" s="3">
        <v>3792.6400522096851</v>
      </c>
      <c r="AA562" s="3">
        <v>3909.2543506958332</v>
      </c>
      <c r="AB562" s="3">
        <v>4027.6767149920452</v>
      </c>
      <c r="AC562" s="3">
        <v>4147.8849904277458</v>
      </c>
      <c r="AD562" s="3">
        <v>4269.855777739941</v>
      </c>
      <c r="AE562" s="3">
        <v>4393.5643970123601</v>
      </c>
      <c r="AG562" s="17" t="s">
        <v>3753</v>
      </c>
      <c r="AH562" s="3">
        <v>2213.3323391286481</v>
      </c>
      <c r="AI562" s="3">
        <v>2535.6998842403032</v>
      </c>
      <c r="AJ562" s="3">
        <v>2544.6585761900792</v>
      </c>
      <c r="AK562" s="3">
        <v>2627.3857270238618</v>
      </c>
      <c r="AL562" s="3">
        <v>2708.702877127771</v>
      </c>
      <c r="AM562" s="3">
        <v>2330.224350536686</v>
      </c>
      <c r="AN562" s="3">
        <v>2424.735743154471</v>
      </c>
      <c r="AO562" s="3">
        <v>2517.239674571023</v>
      </c>
      <c r="AP562" s="3">
        <v>2600.8191709096491</v>
      </c>
      <c r="AQ562" s="3">
        <v>2688.7979038733338</v>
      </c>
      <c r="AR562" s="3">
        <v>2776.751895746117</v>
      </c>
      <c r="AS562" s="3">
        <v>2868.9523448552868</v>
      </c>
      <c r="AT562" s="3">
        <v>2964.0957709355571</v>
      </c>
      <c r="AU562" s="3">
        <v>3060.2620019402561</v>
      </c>
      <c r="AV562" s="3">
        <v>3158.635967785262</v>
      </c>
      <c r="AW562" s="3">
        <v>3260.0281832116912</v>
      </c>
      <c r="AX562" s="3">
        <v>3361.762578134058</v>
      </c>
      <c r="AY562" s="3">
        <v>3464.3709890025889</v>
      </c>
      <c r="AZ562" s="3">
        <v>3566.8215586116598</v>
      </c>
      <c r="BA562" s="3">
        <v>3670.2500662290322</v>
      </c>
      <c r="BC562" s="17" t="s">
        <v>3754</v>
      </c>
      <c r="BD562" s="3">
        <v>2213.3323391286481</v>
      </c>
      <c r="BE562" s="3">
        <v>2535.6998842403032</v>
      </c>
      <c r="BF562" s="3">
        <v>2544.6585761900792</v>
      </c>
      <c r="BG562" s="3">
        <v>2627.3857270238618</v>
      </c>
      <c r="BH562" s="3">
        <v>2708.702877127771</v>
      </c>
      <c r="BI562" s="3">
        <v>2497.429461619201</v>
      </c>
      <c r="BJ562" s="3">
        <v>2288.4121897696368</v>
      </c>
      <c r="BK562" s="3">
        <v>2136.9949603520981</v>
      </c>
      <c r="BL562" s="3">
        <v>2018.3298524331601</v>
      </c>
      <c r="BM562" s="3">
        <v>1947.353171104791</v>
      </c>
      <c r="BN562" s="3">
        <v>1890.1792819342129</v>
      </c>
      <c r="BO562" s="3">
        <v>1844.6331607847451</v>
      </c>
      <c r="BP562" s="3">
        <v>1808.8257732391451</v>
      </c>
      <c r="BQ562" s="3">
        <v>1780.5878663724441</v>
      </c>
      <c r="BR562" s="3">
        <v>1758.5713510352671</v>
      </c>
      <c r="BS562" s="3">
        <v>1742.0689529461911</v>
      </c>
      <c r="BT562" s="3">
        <v>1729.8650442638509</v>
      </c>
      <c r="BU562" s="3">
        <v>1721.088756364034</v>
      </c>
      <c r="BV562" s="3">
        <v>1714.6700184527199</v>
      </c>
      <c r="BW562" s="3">
        <v>1710.115521362841</v>
      </c>
      <c r="BY562" s="17" t="s">
        <v>3755</v>
      </c>
      <c r="BZ562" s="3">
        <v>2213.3323391286481</v>
      </c>
      <c r="CA562" s="3">
        <v>2535.6998842403032</v>
      </c>
      <c r="CB562" s="3">
        <v>2544.6585761900792</v>
      </c>
      <c r="CC562" s="3">
        <v>2627.3857270238618</v>
      </c>
      <c r="CD562" s="3">
        <v>2708.702877127771</v>
      </c>
      <c r="CE562" s="3">
        <v>2241.088119529808</v>
      </c>
      <c r="CF562" s="3">
        <v>2331.982604746559</v>
      </c>
      <c r="CG562" s="3">
        <v>2420.7812145967318</v>
      </c>
      <c r="CH562" s="3">
        <v>2501.3187702375849</v>
      </c>
      <c r="CI562" s="3">
        <v>2586.4603736718859</v>
      </c>
      <c r="CJ562" s="3">
        <v>2670.9290977844639</v>
      </c>
      <c r="CK562" s="3">
        <v>2759.8004413808972</v>
      </c>
      <c r="CL562" s="3">
        <v>2850.3860215672298</v>
      </c>
      <c r="CM562" s="3">
        <v>2942.1257578027771</v>
      </c>
      <c r="CN562" s="3">
        <v>3035.9385130065771</v>
      </c>
      <c r="CO562" s="3">
        <v>3132.289311780979</v>
      </c>
      <c r="CP562" s="3">
        <v>3229.0283125327992</v>
      </c>
      <c r="CQ562" s="3">
        <v>3327.00905597153</v>
      </c>
      <c r="CR562" s="3">
        <v>3425.1642940791362</v>
      </c>
      <c r="CS562" s="3">
        <v>3524.883196655529</v>
      </c>
      <c r="CU562" s="17" t="s">
        <v>3756</v>
      </c>
      <c r="CV562" s="3">
        <v>2213.3323391286481</v>
      </c>
      <c r="CW562" s="3">
        <v>2535.6998842403032</v>
      </c>
      <c r="CX562" s="3">
        <v>2544.6585761900792</v>
      </c>
      <c r="CY562" s="3">
        <v>2627.3857270238618</v>
      </c>
      <c r="CZ562" s="3">
        <v>2708.702877127771</v>
      </c>
      <c r="DA562" s="3">
        <v>1898.7795886094921</v>
      </c>
      <c r="DB562" s="3">
        <v>1975.7916628216451</v>
      </c>
      <c r="DC562" s="3">
        <v>2052.2552425393551</v>
      </c>
      <c r="DD562" s="3">
        <v>2117.7970166406808</v>
      </c>
      <c r="DE562" s="3">
        <v>2190.1095760897169</v>
      </c>
      <c r="DF562" s="3">
        <v>2260.5138173252381</v>
      </c>
      <c r="DG562" s="3">
        <v>2337.1820296975311</v>
      </c>
      <c r="DH562" s="3">
        <v>2417.165815650375</v>
      </c>
      <c r="DI562" s="3">
        <v>2497.621342277514</v>
      </c>
      <c r="DJ562" s="3">
        <v>2580.4523477598</v>
      </c>
      <c r="DK562" s="3">
        <v>2667.134442163831</v>
      </c>
      <c r="DL562" s="3">
        <v>2752.9524753284272</v>
      </c>
      <c r="DM562" s="3">
        <v>2839.0641088336811</v>
      </c>
      <c r="DN562" s="3">
        <v>2923.5651726036949</v>
      </c>
      <c r="DO562" s="3">
        <v>3008.5408013134161</v>
      </c>
    </row>
    <row r="563" spans="1:119" x14ac:dyDescent="0.45">
      <c r="A563" s="16" t="s">
        <v>3757</v>
      </c>
      <c r="B563" s="3" t="s">
        <v>89</v>
      </c>
      <c r="C563" s="16" t="s">
        <v>3758</v>
      </c>
      <c r="H563" s="3" t="s">
        <v>3759</v>
      </c>
      <c r="I563" s="3" t="s">
        <v>2363</v>
      </c>
      <c r="K563" s="17" t="s">
        <v>3760</v>
      </c>
      <c r="L563" s="3">
        <v>0</v>
      </c>
      <c r="M563" s="3">
        <v>0</v>
      </c>
      <c r="N563" s="3">
        <v>0</v>
      </c>
      <c r="O563" s="3">
        <v>0</v>
      </c>
      <c r="P563" s="3">
        <v>0</v>
      </c>
      <c r="Q563" s="3">
        <v>0</v>
      </c>
      <c r="R563" s="3">
        <v>0</v>
      </c>
      <c r="S563" s="3">
        <v>0</v>
      </c>
      <c r="T563" s="3">
        <v>0</v>
      </c>
      <c r="U563" s="3">
        <v>0</v>
      </c>
      <c r="V563" s="3">
        <v>0</v>
      </c>
      <c r="W563" s="3">
        <v>0</v>
      </c>
      <c r="X563" s="3">
        <v>0</v>
      </c>
      <c r="Y563" s="3">
        <v>0</v>
      </c>
      <c r="Z563" s="3">
        <v>0</v>
      </c>
      <c r="AA563" s="3">
        <v>0</v>
      </c>
      <c r="AB563" s="3">
        <v>0</v>
      </c>
      <c r="AC563" s="3">
        <v>0</v>
      </c>
      <c r="AD563" s="3">
        <v>0</v>
      </c>
      <c r="AE563" s="3">
        <v>0</v>
      </c>
      <c r="AG563" s="17" t="s">
        <v>3761</v>
      </c>
      <c r="AH563" s="3">
        <v>0</v>
      </c>
      <c r="AI563" s="3">
        <v>0</v>
      </c>
      <c r="AJ563" s="3">
        <v>0</v>
      </c>
      <c r="AK563" s="3">
        <v>0</v>
      </c>
      <c r="AL563" s="3">
        <v>0</v>
      </c>
      <c r="AM563" s="3">
        <v>0</v>
      </c>
      <c r="AN563" s="3">
        <v>0</v>
      </c>
      <c r="AO563" s="3">
        <v>0</v>
      </c>
      <c r="AP563" s="3">
        <v>0</v>
      </c>
      <c r="AQ563" s="3">
        <v>0</v>
      </c>
      <c r="AR563" s="3">
        <v>0</v>
      </c>
      <c r="AS563" s="3">
        <v>0</v>
      </c>
      <c r="AT563" s="3">
        <v>0</v>
      </c>
      <c r="AU563" s="3">
        <v>0</v>
      </c>
      <c r="AV563" s="3">
        <v>0</v>
      </c>
      <c r="AW563" s="3">
        <v>0</v>
      </c>
      <c r="AX563" s="3">
        <v>0</v>
      </c>
      <c r="AY563" s="3">
        <v>0</v>
      </c>
      <c r="AZ563" s="3">
        <v>0</v>
      </c>
      <c r="BA563" s="3">
        <v>0</v>
      </c>
      <c r="BC563" s="17" t="s">
        <v>3762</v>
      </c>
      <c r="BD563" s="3">
        <v>0</v>
      </c>
      <c r="BE563" s="3">
        <v>0</v>
      </c>
      <c r="BF563" s="3">
        <v>0</v>
      </c>
      <c r="BG563" s="3">
        <v>0</v>
      </c>
      <c r="BH563" s="3">
        <v>0</v>
      </c>
      <c r="BI563" s="3">
        <v>0</v>
      </c>
      <c r="BJ563" s="3">
        <v>0</v>
      </c>
      <c r="BK563" s="3">
        <v>0</v>
      </c>
      <c r="BL563" s="3">
        <v>0</v>
      </c>
      <c r="BM563" s="3">
        <v>0</v>
      </c>
      <c r="BN563" s="3">
        <v>0</v>
      </c>
      <c r="BO563" s="3">
        <v>0</v>
      </c>
      <c r="BP563" s="3">
        <v>0</v>
      </c>
      <c r="BQ563" s="3">
        <v>0</v>
      </c>
      <c r="BR563" s="3">
        <v>0</v>
      </c>
      <c r="BS563" s="3">
        <v>0</v>
      </c>
      <c r="BT563" s="3">
        <v>0</v>
      </c>
      <c r="BU563" s="3">
        <v>0</v>
      </c>
      <c r="BV563" s="3">
        <v>0</v>
      </c>
      <c r="BW563" s="3">
        <v>0</v>
      </c>
      <c r="BY563" s="17" t="s">
        <v>3763</v>
      </c>
      <c r="BZ563" s="3">
        <v>0</v>
      </c>
      <c r="CA563" s="3">
        <v>0</v>
      </c>
      <c r="CB563" s="3">
        <v>0</v>
      </c>
      <c r="CC563" s="3">
        <v>0</v>
      </c>
      <c r="CD563" s="3">
        <v>0</v>
      </c>
      <c r="CE563" s="3">
        <v>0</v>
      </c>
      <c r="CF563" s="3">
        <v>0</v>
      </c>
      <c r="CG563" s="3">
        <v>0</v>
      </c>
      <c r="CH563" s="3">
        <v>0</v>
      </c>
      <c r="CI563" s="3">
        <v>0</v>
      </c>
      <c r="CJ563" s="3">
        <v>0</v>
      </c>
      <c r="CK563" s="3">
        <v>0</v>
      </c>
      <c r="CL563" s="3">
        <v>0</v>
      </c>
      <c r="CM563" s="3">
        <v>0</v>
      </c>
      <c r="CN563" s="3">
        <v>0</v>
      </c>
      <c r="CO563" s="3">
        <v>0</v>
      </c>
      <c r="CP563" s="3">
        <v>0</v>
      </c>
      <c r="CQ563" s="3">
        <v>0</v>
      </c>
      <c r="CR563" s="3">
        <v>0</v>
      </c>
      <c r="CS563" s="3">
        <v>0</v>
      </c>
      <c r="CU563" s="17" t="s">
        <v>3764</v>
      </c>
      <c r="CV563" s="3">
        <v>0</v>
      </c>
      <c r="CW563" s="3">
        <v>0</v>
      </c>
      <c r="CX563" s="3">
        <v>0</v>
      </c>
      <c r="CY563" s="3">
        <v>0</v>
      </c>
      <c r="CZ563" s="3">
        <v>0</v>
      </c>
      <c r="DA563" s="3">
        <v>0</v>
      </c>
      <c r="DB563" s="3">
        <v>0</v>
      </c>
      <c r="DC563" s="3">
        <v>0</v>
      </c>
      <c r="DD563" s="3">
        <v>0</v>
      </c>
      <c r="DE563" s="3">
        <v>0</v>
      </c>
      <c r="DF563" s="3">
        <v>0</v>
      </c>
      <c r="DG563" s="3">
        <v>0</v>
      </c>
      <c r="DH563" s="3">
        <v>0</v>
      </c>
      <c r="DI563" s="3">
        <v>0</v>
      </c>
      <c r="DJ563" s="3">
        <v>0</v>
      </c>
      <c r="DK563" s="3">
        <v>0</v>
      </c>
      <c r="DL563" s="3">
        <v>0</v>
      </c>
      <c r="DM563" s="3">
        <v>0</v>
      </c>
      <c r="DN563" s="3">
        <v>0</v>
      </c>
      <c r="DO563" s="3">
        <v>0</v>
      </c>
    </row>
    <row r="564" spans="1:119" x14ac:dyDescent="0.45">
      <c r="A564" s="16" t="s">
        <v>3765</v>
      </c>
      <c r="B564" s="3" t="s">
        <v>89</v>
      </c>
      <c r="C564" s="16" t="s">
        <v>3766</v>
      </c>
      <c r="H564" s="3" t="s">
        <v>3767</v>
      </c>
      <c r="I564" s="3" t="s">
        <v>2363</v>
      </c>
      <c r="K564" s="17" t="s">
        <v>3768</v>
      </c>
      <c r="L564" s="3">
        <v>288.73996307244931</v>
      </c>
      <c r="M564" s="3">
        <v>250.59080945457171</v>
      </c>
      <c r="N564" s="3">
        <v>287.2277672380531</v>
      </c>
      <c r="O564" s="3">
        <v>296.56557587229798</v>
      </c>
      <c r="P564" s="3">
        <v>305.74423098974688</v>
      </c>
      <c r="Q564" s="3">
        <v>316.56048803449221</v>
      </c>
      <c r="R564" s="3">
        <v>329.39989083057782</v>
      </c>
      <c r="S564" s="3">
        <v>341.80771105511161</v>
      </c>
      <c r="T564" s="3">
        <v>353.52542592857873</v>
      </c>
      <c r="U564" s="3">
        <v>365.41870067391079</v>
      </c>
      <c r="V564" s="3">
        <v>377.52827638986741</v>
      </c>
      <c r="W564" s="3">
        <v>389.85243899128449</v>
      </c>
      <c r="X564" s="3">
        <v>402.38934748930541</v>
      </c>
      <c r="Y564" s="3">
        <v>415.13703295646161</v>
      </c>
      <c r="Z564" s="3">
        <v>428.09339701863001</v>
      </c>
      <c r="AA564" s="3">
        <v>441.25620985946182</v>
      </c>
      <c r="AB564" s="3">
        <v>454.62310772392061</v>
      </c>
      <c r="AC564" s="3">
        <v>468.19158990852401</v>
      </c>
      <c r="AD564" s="3">
        <v>481.95901522669863</v>
      </c>
      <c r="AE564" s="3">
        <v>495.92259793841919</v>
      </c>
      <c r="AG564" s="17" t="s">
        <v>3769</v>
      </c>
      <c r="AH564" s="3">
        <v>288.73996307244931</v>
      </c>
      <c r="AI564" s="3">
        <v>250.59080945457171</v>
      </c>
      <c r="AJ564" s="3">
        <v>287.2277672380531</v>
      </c>
      <c r="AK564" s="3">
        <v>296.56557587229798</v>
      </c>
      <c r="AL564" s="3">
        <v>305.74423098974688</v>
      </c>
      <c r="AM564" s="3">
        <v>259.41830104641679</v>
      </c>
      <c r="AN564" s="3">
        <v>269.94002823409721</v>
      </c>
      <c r="AO564" s="3">
        <v>280.2382695698164</v>
      </c>
      <c r="AP564" s="3">
        <v>289.54297490322671</v>
      </c>
      <c r="AQ564" s="3">
        <v>299.33743672335112</v>
      </c>
      <c r="AR564" s="3">
        <v>309.12914417702717</v>
      </c>
      <c r="AS564" s="3">
        <v>319.39359955365592</v>
      </c>
      <c r="AT564" s="3">
        <v>329.9856895143476</v>
      </c>
      <c r="AU564" s="3">
        <v>340.69164589984791</v>
      </c>
      <c r="AV564" s="3">
        <v>351.6433841223207</v>
      </c>
      <c r="AW564" s="3">
        <v>362.9311368484469</v>
      </c>
      <c r="AX564" s="3">
        <v>374.25698359906858</v>
      </c>
      <c r="AY564" s="3">
        <v>385.68013245357969</v>
      </c>
      <c r="AZ564" s="3">
        <v>397.08570921836701</v>
      </c>
      <c r="BA564" s="3">
        <v>408.60015748155053</v>
      </c>
      <c r="BC564" s="17" t="s">
        <v>3770</v>
      </c>
      <c r="BD564" s="3">
        <v>288.73996307244931</v>
      </c>
      <c r="BE564" s="3">
        <v>250.59080945457171</v>
      </c>
      <c r="BF564" s="3">
        <v>287.2277672380531</v>
      </c>
      <c r="BG564" s="3">
        <v>296.56557587229798</v>
      </c>
      <c r="BH564" s="3">
        <v>305.74423098974688</v>
      </c>
      <c r="BI564" s="3">
        <v>279.34130715698018</v>
      </c>
      <c r="BJ564" s="3">
        <v>253.89174145284679</v>
      </c>
      <c r="BK564" s="3">
        <v>235.77682489012159</v>
      </c>
      <c r="BL564" s="3">
        <v>221.7819398706398</v>
      </c>
      <c r="BM564" s="3">
        <v>213.39415066350281</v>
      </c>
      <c r="BN564" s="3">
        <v>206.66748502444949</v>
      </c>
      <c r="BO564" s="3">
        <v>201.3161174681087</v>
      </c>
      <c r="BP564" s="3">
        <v>197.10256260365739</v>
      </c>
      <c r="BQ564" s="3">
        <v>193.7694011869346</v>
      </c>
      <c r="BR564" s="3">
        <v>191.15549004023421</v>
      </c>
      <c r="BS564" s="3">
        <v>189.17365072318819</v>
      </c>
      <c r="BT564" s="3">
        <v>187.68434795618529</v>
      </c>
      <c r="BU564" s="3">
        <v>186.58758644396991</v>
      </c>
      <c r="BV564" s="3">
        <v>185.7632624522451</v>
      </c>
      <c r="BW564" s="3">
        <v>185.15486539318451</v>
      </c>
      <c r="BY564" s="17" t="s">
        <v>3771</v>
      </c>
      <c r="BZ564" s="3">
        <v>288.73996307244931</v>
      </c>
      <c r="CA564" s="3">
        <v>250.59080945457171</v>
      </c>
      <c r="CB564" s="3">
        <v>287.2277672380531</v>
      </c>
      <c r="CC564" s="3">
        <v>296.56557587229798</v>
      </c>
      <c r="CD564" s="3">
        <v>305.74423098974688</v>
      </c>
      <c r="CE564" s="3">
        <v>248.89692809478589</v>
      </c>
      <c r="CF564" s="3">
        <v>258.99173782317467</v>
      </c>
      <c r="CG564" s="3">
        <v>268.85377806076821</v>
      </c>
      <c r="CH564" s="3">
        <v>277.79833941941621</v>
      </c>
      <c r="CI564" s="3">
        <v>287.254229780527</v>
      </c>
      <c r="CJ564" s="3">
        <v>296.63538965929052</v>
      </c>
      <c r="CK564" s="3">
        <v>306.50550776131718</v>
      </c>
      <c r="CL564" s="3">
        <v>316.56601026524942</v>
      </c>
      <c r="CM564" s="3">
        <v>326.75469420599688</v>
      </c>
      <c r="CN564" s="3">
        <v>337.1736091887924</v>
      </c>
      <c r="CO564" s="3">
        <v>347.87440119489099</v>
      </c>
      <c r="CP564" s="3">
        <v>358.61830720387849</v>
      </c>
      <c r="CQ564" s="3">
        <v>369.50012208738252</v>
      </c>
      <c r="CR564" s="3">
        <v>380.40131647973908</v>
      </c>
      <c r="CS564" s="3">
        <v>391.47617262125249</v>
      </c>
      <c r="CU564" s="17" t="s">
        <v>3772</v>
      </c>
      <c r="CV564" s="3">
        <v>288.73996307244931</v>
      </c>
      <c r="CW564" s="3">
        <v>250.59080945457171</v>
      </c>
      <c r="CX564" s="3">
        <v>287.2277672380531</v>
      </c>
      <c r="CY564" s="3">
        <v>296.56557587229798</v>
      </c>
      <c r="CZ564" s="3">
        <v>305.74423098974688</v>
      </c>
      <c r="DA564" s="3">
        <v>209.06589147046381</v>
      </c>
      <c r="DB564" s="3">
        <v>217.54533692360579</v>
      </c>
      <c r="DC564" s="3">
        <v>225.9643901694923</v>
      </c>
      <c r="DD564" s="3">
        <v>233.18089360846389</v>
      </c>
      <c r="DE564" s="3">
        <v>241.14289709555371</v>
      </c>
      <c r="DF564" s="3">
        <v>248.8947844370353</v>
      </c>
      <c r="DG564" s="3">
        <v>257.33636884378501</v>
      </c>
      <c r="DH564" s="3">
        <v>266.1430158152009</v>
      </c>
      <c r="DI564" s="3">
        <v>275.00160398358662</v>
      </c>
      <c r="DJ564" s="3">
        <v>284.12174520820901</v>
      </c>
      <c r="DK564" s="3">
        <v>293.66591212985622</v>
      </c>
      <c r="DL564" s="3">
        <v>303.11494124067411</v>
      </c>
      <c r="DM564" s="3">
        <v>312.59629733526828</v>
      </c>
      <c r="DN564" s="3">
        <v>321.90032100039417</v>
      </c>
      <c r="DO564" s="3">
        <v>331.25659682937072</v>
      </c>
    </row>
    <row r="565" spans="1:119" x14ac:dyDescent="0.45">
      <c r="A565" s="16" t="s">
        <v>3773</v>
      </c>
      <c r="B565" s="3" t="s">
        <v>89</v>
      </c>
      <c r="C565" s="16" t="s">
        <v>3774</v>
      </c>
      <c r="H565" s="3" t="s">
        <v>3775</v>
      </c>
      <c r="I565" s="3" t="s">
        <v>2363</v>
      </c>
      <c r="K565" s="17" t="s">
        <v>3776</v>
      </c>
      <c r="L565" s="3">
        <v>0</v>
      </c>
      <c r="M565" s="3">
        <v>0</v>
      </c>
      <c r="N565" s="3">
        <v>0</v>
      </c>
      <c r="O565" s="3">
        <v>0</v>
      </c>
      <c r="P565" s="3">
        <v>0</v>
      </c>
      <c r="Q565" s="3">
        <v>0</v>
      </c>
      <c r="R565" s="3">
        <v>0</v>
      </c>
      <c r="S565" s="3">
        <v>0</v>
      </c>
      <c r="T565" s="3">
        <v>0</v>
      </c>
      <c r="U565" s="3">
        <v>0</v>
      </c>
      <c r="V565" s="3">
        <v>0</v>
      </c>
      <c r="W565" s="3">
        <v>0</v>
      </c>
      <c r="X565" s="3">
        <v>0</v>
      </c>
      <c r="Y565" s="3">
        <v>0</v>
      </c>
      <c r="Z565" s="3">
        <v>0</v>
      </c>
      <c r="AA565" s="3">
        <v>0</v>
      </c>
      <c r="AB565" s="3">
        <v>0</v>
      </c>
      <c r="AC565" s="3">
        <v>0</v>
      </c>
      <c r="AD565" s="3">
        <v>0</v>
      </c>
      <c r="AE565" s="3">
        <v>0</v>
      </c>
      <c r="AG565" s="17" t="s">
        <v>3777</v>
      </c>
      <c r="AH565" s="3">
        <v>0</v>
      </c>
      <c r="AI565" s="3">
        <v>0</v>
      </c>
      <c r="AJ565" s="3">
        <v>0</v>
      </c>
      <c r="AK565" s="3">
        <v>0</v>
      </c>
      <c r="AL565" s="3">
        <v>0</v>
      </c>
      <c r="AM565" s="3">
        <v>0</v>
      </c>
      <c r="AN565" s="3">
        <v>0</v>
      </c>
      <c r="AO565" s="3">
        <v>0</v>
      </c>
      <c r="AP565" s="3">
        <v>0</v>
      </c>
      <c r="AQ565" s="3">
        <v>0</v>
      </c>
      <c r="AR565" s="3">
        <v>0</v>
      </c>
      <c r="AS565" s="3">
        <v>0</v>
      </c>
      <c r="AT565" s="3">
        <v>0</v>
      </c>
      <c r="AU565" s="3">
        <v>0</v>
      </c>
      <c r="AV565" s="3">
        <v>0</v>
      </c>
      <c r="AW565" s="3">
        <v>0</v>
      </c>
      <c r="AX565" s="3">
        <v>0</v>
      </c>
      <c r="AY565" s="3">
        <v>0</v>
      </c>
      <c r="AZ565" s="3">
        <v>0</v>
      </c>
      <c r="BA565" s="3">
        <v>0</v>
      </c>
      <c r="BC565" s="17" t="s">
        <v>3778</v>
      </c>
      <c r="BD565" s="3">
        <v>0</v>
      </c>
      <c r="BE565" s="3">
        <v>0</v>
      </c>
      <c r="BF565" s="3">
        <v>0</v>
      </c>
      <c r="BG565" s="3">
        <v>0</v>
      </c>
      <c r="BH565" s="3">
        <v>0</v>
      </c>
      <c r="BI565" s="3">
        <v>0</v>
      </c>
      <c r="BJ565" s="3">
        <v>0</v>
      </c>
      <c r="BK565" s="3">
        <v>0</v>
      </c>
      <c r="BL565" s="3">
        <v>0</v>
      </c>
      <c r="BM565" s="3">
        <v>0</v>
      </c>
      <c r="BN565" s="3">
        <v>0</v>
      </c>
      <c r="BO565" s="3">
        <v>0</v>
      </c>
      <c r="BP565" s="3">
        <v>0</v>
      </c>
      <c r="BQ565" s="3">
        <v>0</v>
      </c>
      <c r="BR565" s="3">
        <v>0</v>
      </c>
      <c r="BS565" s="3">
        <v>0</v>
      </c>
      <c r="BT565" s="3">
        <v>0</v>
      </c>
      <c r="BU565" s="3">
        <v>0</v>
      </c>
      <c r="BV565" s="3">
        <v>0</v>
      </c>
      <c r="BW565" s="3">
        <v>0</v>
      </c>
      <c r="BY565" s="17" t="s">
        <v>3779</v>
      </c>
      <c r="BZ565" s="3">
        <v>0</v>
      </c>
      <c r="CA565" s="3">
        <v>0</v>
      </c>
      <c r="CB565" s="3">
        <v>0</v>
      </c>
      <c r="CC565" s="3">
        <v>0</v>
      </c>
      <c r="CD565" s="3">
        <v>0</v>
      </c>
      <c r="CE565" s="3">
        <v>0</v>
      </c>
      <c r="CF565" s="3">
        <v>0</v>
      </c>
      <c r="CG565" s="3">
        <v>0</v>
      </c>
      <c r="CH565" s="3">
        <v>0</v>
      </c>
      <c r="CI565" s="3">
        <v>0</v>
      </c>
      <c r="CJ565" s="3">
        <v>0</v>
      </c>
      <c r="CK565" s="3">
        <v>0</v>
      </c>
      <c r="CL565" s="3">
        <v>0</v>
      </c>
      <c r="CM565" s="3">
        <v>0</v>
      </c>
      <c r="CN565" s="3">
        <v>0</v>
      </c>
      <c r="CO565" s="3">
        <v>0</v>
      </c>
      <c r="CP565" s="3">
        <v>0</v>
      </c>
      <c r="CQ565" s="3">
        <v>0</v>
      </c>
      <c r="CR565" s="3">
        <v>0</v>
      </c>
      <c r="CS565" s="3">
        <v>0</v>
      </c>
      <c r="CU565" s="17" t="s">
        <v>3780</v>
      </c>
      <c r="CV565" s="3">
        <v>0</v>
      </c>
      <c r="CW565" s="3">
        <v>0</v>
      </c>
      <c r="CX565" s="3">
        <v>0</v>
      </c>
      <c r="CY565" s="3">
        <v>0</v>
      </c>
      <c r="CZ565" s="3">
        <v>0</v>
      </c>
      <c r="DA565" s="3">
        <v>0</v>
      </c>
      <c r="DB565" s="3">
        <v>0</v>
      </c>
      <c r="DC565" s="3">
        <v>0</v>
      </c>
      <c r="DD565" s="3">
        <v>0</v>
      </c>
      <c r="DE565" s="3">
        <v>0</v>
      </c>
      <c r="DF565" s="3">
        <v>0</v>
      </c>
      <c r="DG565" s="3">
        <v>0</v>
      </c>
      <c r="DH565" s="3">
        <v>0</v>
      </c>
      <c r="DI565" s="3">
        <v>0</v>
      </c>
      <c r="DJ565" s="3">
        <v>0</v>
      </c>
      <c r="DK565" s="3">
        <v>0</v>
      </c>
      <c r="DL565" s="3">
        <v>0</v>
      </c>
      <c r="DM565" s="3">
        <v>0</v>
      </c>
      <c r="DN565" s="3">
        <v>0</v>
      </c>
      <c r="DO565" s="3">
        <v>0</v>
      </c>
    </row>
    <row r="566" spans="1:119" x14ac:dyDescent="0.45">
      <c r="A566" s="11"/>
      <c r="B566" s="3" t="s">
        <v>89</v>
      </c>
      <c r="C566" s="16" t="s">
        <v>3781</v>
      </c>
      <c r="H566" s="11" t="s">
        <v>3782</v>
      </c>
      <c r="I566" s="11" t="s">
        <v>2363</v>
      </c>
    </row>
    <row r="567" spans="1:119" x14ac:dyDescent="0.45">
      <c r="A567" s="16" t="s">
        <v>3783</v>
      </c>
      <c r="B567" s="3" t="s">
        <v>89</v>
      </c>
      <c r="C567" s="16" t="s">
        <v>3784</v>
      </c>
      <c r="H567" s="3" t="s">
        <v>3785</v>
      </c>
      <c r="I567" s="3" t="s">
        <v>2363</v>
      </c>
      <c r="K567" s="17" t="s">
        <v>3786</v>
      </c>
      <c r="L567" s="20">
        <v>14392.22063055141</v>
      </c>
      <c r="M567" s="20">
        <v>14024.22256596097</v>
      </c>
      <c r="N567" s="20">
        <v>15894.65312924199</v>
      </c>
      <c r="O567" s="20">
        <v>17996.6991561344</v>
      </c>
      <c r="P567" s="20">
        <v>18869.103944966089</v>
      </c>
      <c r="Q567" s="20">
        <v>19611.578909375829</v>
      </c>
      <c r="R567" s="20">
        <v>20392.278224096361</v>
      </c>
      <c r="S567" s="20">
        <v>21215.335596979399</v>
      </c>
      <c r="T567" s="20">
        <v>21857.34474194211</v>
      </c>
      <c r="U567" s="20">
        <v>22525.430940874608</v>
      </c>
      <c r="V567" s="20">
        <v>23184.770056143348</v>
      </c>
      <c r="W567" s="20">
        <v>24339.70277155903</v>
      </c>
      <c r="X567" s="20">
        <v>25513.482966918851</v>
      </c>
      <c r="Y567" s="20">
        <v>26747.907373572809</v>
      </c>
      <c r="Z567" s="20">
        <v>28014.332499758781</v>
      </c>
      <c r="AA567" s="20">
        <v>29313.23468232726</v>
      </c>
      <c r="AB567" s="20">
        <v>30644.01315736803</v>
      </c>
      <c r="AC567" s="20">
        <v>32007.11489993905</v>
      </c>
      <c r="AD567" s="20">
        <v>33404.197316952901</v>
      </c>
      <c r="AE567" s="20">
        <v>34836.110366077577</v>
      </c>
      <c r="AG567" s="17" t="s">
        <v>3787</v>
      </c>
      <c r="AH567" s="20">
        <v>14392.22063055141</v>
      </c>
      <c r="AI567" s="20">
        <v>14024.22256596097</v>
      </c>
      <c r="AJ567" s="20">
        <v>15894.65312924199</v>
      </c>
      <c r="AK567" s="20">
        <v>17996.6991561344</v>
      </c>
      <c r="AL567" s="20">
        <v>18868.79153970068</v>
      </c>
      <c r="AM567" s="20">
        <v>19610.761935415849</v>
      </c>
      <c r="AN567" s="20">
        <v>18671.039701845879</v>
      </c>
      <c r="AO567" s="20">
        <v>19471.298150722771</v>
      </c>
      <c r="AP567" s="20">
        <v>19909.955389207629</v>
      </c>
      <c r="AQ567" s="20">
        <v>20794.048048434339</v>
      </c>
      <c r="AR567" s="20">
        <v>21480.319983958689</v>
      </c>
      <c r="AS567" s="20">
        <v>22630.55761911712</v>
      </c>
      <c r="AT567" s="20">
        <v>23777.433436010451</v>
      </c>
      <c r="AU567" s="20">
        <v>24989.936684035929</v>
      </c>
      <c r="AV567" s="20">
        <v>26239.627741113971</v>
      </c>
      <c r="AW567" s="20">
        <v>27531.324457186311</v>
      </c>
      <c r="AX567" s="20">
        <v>28843.212080472629</v>
      </c>
      <c r="AY567" s="20">
        <v>30181.416468475989</v>
      </c>
      <c r="AZ567" s="20">
        <v>31535.936393726399</v>
      </c>
      <c r="BA567" s="20">
        <v>32919.095607296244</v>
      </c>
      <c r="BC567" s="17" t="s">
        <v>3788</v>
      </c>
      <c r="BD567" s="20">
        <v>14392.22063055141</v>
      </c>
      <c r="BE567" s="20">
        <v>14024.22256596097</v>
      </c>
      <c r="BF567" s="20">
        <v>15894.65312924199</v>
      </c>
      <c r="BG567" s="20">
        <v>17996.6991561344</v>
      </c>
      <c r="BH567" s="20">
        <v>18868.062737457501</v>
      </c>
      <c r="BI567" s="20">
        <v>19608.823433058431</v>
      </c>
      <c r="BJ567" s="20">
        <v>19472.997353311679</v>
      </c>
      <c r="BK567" s="20">
        <v>19205.790037416849</v>
      </c>
      <c r="BL567" s="20">
        <v>18907.38682058276</v>
      </c>
      <c r="BM567" s="20">
        <v>18915.827388058118</v>
      </c>
      <c r="BN567" s="20">
        <v>18911.640885275559</v>
      </c>
      <c r="BO567" s="20">
        <v>19128.464158431481</v>
      </c>
      <c r="BP567" s="20">
        <v>19387.13529543289</v>
      </c>
      <c r="BQ567" s="20">
        <v>19802.882130222781</v>
      </c>
      <c r="BR567" s="20">
        <v>20256.654112449549</v>
      </c>
      <c r="BS567" s="20">
        <v>20854.167944427209</v>
      </c>
      <c r="BT567" s="20">
        <v>21467.146941413768</v>
      </c>
      <c r="BU567" s="20">
        <v>22228.65323725843</v>
      </c>
      <c r="BV567" s="20">
        <v>22958.946574799429</v>
      </c>
      <c r="BW567" s="20">
        <v>23871.672911260561</v>
      </c>
      <c r="BY567" s="17" t="s">
        <v>3789</v>
      </c>
      <c r="BZ567" s="20">
        <v>14392.22063055141</v>
      </c>
      <c r="CA567" s="20">
        <v>14024.22256596097</v>
      </c>
      <c r="CB567" s="20">
        <v>15894.65312924199</v>
      </c>
      <c r="CC567" s="20">
        <v>17996.6991561344</v>
      </c>
      <c r="CD567" s="20">
        <v>18867.315839035022</v>
      </c>
      <c r="CE567" s="20">
        <v>19606.862174664919</v>
      </c>
      <c r="CF567" s="20">
        <v>20385.396796825778</v>
      </c>
      <c r="CG567" s="20">
        <v>21215.436405225639</v>
      </c>
      <c r="CH567" s="20">
        <v>21831.56667137803</v>
      </c>
      <c r="CI567" s="20">
        <v>22508.049399274631</v>
      </c>
      <c r="CJ567" s="20">
        <v>23151.19437866025</v>
      </c>
      <c r="CK567" s="20">
        <v>24342.085973127159</v>
      </c>
      <c r="CL567" s="20">
        <v>25566.079069311509</v>
      </c>
      <c r="CM567" s="20">
        <v>26840.95594550806</v>
      </c>
      <c r="CN567" s="20">
        <v>28218.350027698521</v>
      </c>
      <c r="CO567" s="20">
        <v>29628.40706835363</v>
      </c>
      <c r="CP567" s="20">
        <v>31067.205227376169</v>
      </c>
      <c r="CQ567" s="20">
        <v>32549.747951364719</v>
      </c>
      <c r="CR567" s="20">
        <v>34047.104392154637</v>
      </c>
      <c r="CS567" s="20">
        <v>35581.49162597696</v>
      </c>
      <c r="CU567" s="17" t="s">
        <v>3790</v>
      </c>
      <c r="CV567" s="20">
        <v>14392.22063055141</v>
      </c>
      <c r="CW567" s="20">
        <v>14024.22256596097</v>
      </c>
      <c r="CX567" s="20">
        <v>15894.65312924199</v>
      </c>
      <c r="CY567" s="20">
        <v>17996.6991561344</v>
      </c>
      <c r="CZ567" s="20">
        <v>18868.374578176699</v>
      </c>
      <c r="DA567" s="20">
        <v>19609.658692207449</v>
      </c>
      <c r="DB567" s="20">
        <v>16750.48089602674</v>
      </c>
      <c r="DC567" s="20">
        <v>17548.364012352449</v>
      </c>
      <c r="DD567" s="20">
        <v>17811.303881145861</v>
      </c>
      <c r="DE567" s="20">
        <v>18668.54290359257</v>
      </c>
      <c r="DF567" s="20">
        <v>19480.502848776701</v>
      </c>
      <c r="DG567" s="20">
        <v>20614.41162115999</v>
      </c>
      <c r="DH567" s="20">
        <v>21817.27802634535</v>
      </c>
      <c r="DI567" s="20">
        <v>23154.824426840041</v>
      </c>
      <c r="DJ567" s="20">
        <v>24529.880265460859</v>
      </c>
      <c r="DK567" s="20">
        <v>25994.340376855049</v>
      </c>
      <c r="DL567" s="20">
        <v>27456.2430052788</v>
      </c>
      <c r="DM567" s="20">
        <v>28966.16241757324</v>
      </c>
      <c r="DN567" s="20">
        <v>30454.759625124771</v>
      </c>
      <c r="DO567" s="20">
        <v>31985.440609167661</v>
      </c>
    </row>
    <row r="568" spans="1:119" x14ac:dyDescent="0.45">
      <c r="A568" s="16" t="s">
        <v>3791</v>
      </c>
      <c r="B568" s="3" t="s">
        <v>89</v>
      </c>
      <c r="C568" s="16"/>
      <c r="H568" s="3" t="s">
        <v>3792</v>
      </c>
      <c r="I568" s="3" t="s">
        <v>2363</v>
      </c>
      <c r="K568" s="17" t="s">
        <v>3793</v>
      </c>
      <c r="L568" s="3">
        <v>0</v>
      </c>
      <c r="M568" s="3">
        <v>0</v>
      </c>
      <c r="N568" s="3">
        <v>0</v>
      </c>
      <c r="O568" s="3">
        <v>0</v>
      </c>
      <c r="P568" s="3">
        <v>0</v>
      </c>
      <c r="Q568" s="3">
        <v>0</v>
      </c>
      <c r="R568" s="3">
        <v>0</v>
      </c>
      <c r="S568" s="3">
        <v>0</v>
      </c>
      <c r="T568" s="3">
        <v>0</v>
      </c>
      <c r="U568" s="3">
        <v>0</v>
      </c>
      <c r="V568" s="3">
        <v>0</v>
      </c>
      <c r="W568" s="3">
        <v>0</v>
      </c>
      <c r="X568" s="3">
        <v>0</v>
      </c>
      <c r="Y568" s="3">
        <v>0</v>
      </c>
      <c r="Z568" s="3">
        <v>0</v>
      </c>
      <c r="AA568" s="3">
        <v>0</v>
      </c>
      <c r="AB568" s="3">
        <v>0</v>
      </c>
      <c r="AC568" s="3">
        <v>0</v>
      </c>
      <c r="AD568" s="3">
        <v>0</v>
      </c>
      <c r="AE568" s="3">
        <v>0</v>
      </c>
      <c r="AG568" s="17" t="s">
        <v>3794</v>
      </c>
      <c r="AH568" s="3">
        <v>0</v>
      </c>
      <c r="AI568" s="3">
        <v>0</v>
      </c>
      <c r="AJ568" s="3">
        <v>0</v>
      </c>
      <c r="AK568" s="3">
        <v>0</v>
      </c>
      <c r="AL568" s="3">
        <v>0</v>
      </c>
      <c r="AM568" s="3">
        <v>0</v>
      </c>
      <c r="AN568" s="3">
        <v>0</v>
      </c>
      <c r="AO568" s="3">
        <v>0</v>
      </c>
      <c r="AP568" s="3">
        <v>0</v>
      </c>
      <c r="AQ568" s="3">
        <v>0</v>
      </c>
      <c r="AR568" s="3">
        <v>0</v>
      </c>
      <c r="AS568" s="3">
        <v>0</v>
      </c>
      <c r="AT568" s="3">
        <v>0</v>
      </c>
      <c r="AU568" s="3">
        <v>0</v>
      </c>
      <c r="AV568" s="3">
        <v>0</v>
      </c>
      <c r="AW568" s="3">
        <v>0</v>
      </c>
      <c r="AX568" s="3">
        <v>0</v>
      </c>
      <c r="AY568" s="3">
        <v>0</v>
      </c>
      <c r="AZ568" s="3">
        <v>0</v>
      </c>
      <c r="BA568" s="3">
        <v>0</v>
      </c>
      <c r="BC568" s="17" t="s">
        <v>3795</v>
      </c>
      <c r="BD568" s="3">
        <v>0</v>
      </c>
      <c r="BE568" s="3">
        <v>0</v>
      </c>
      <c r="BF568" s="3">
        <v>0</v>
      </c>
      <c r="BG568" s="3">
        <v>0</v>
      </c>
      <c r="BH568" s="3">
        <v>0</v>
      </c>
      <c r="BI568" s="3">
        <v>0</v>
      </c>
      <c r="BJ568" s="3">
        <v>0</v>
      </c>
      <c r="BK568" s="3">
        <v>0</v>
      </c>
      <c r="BL568" s="3">
        <v>0</v>
      </c>
      <c r="BM568" s="3">
        <v>0</v>
      </c>
      <c r="BN568" s="3">
        <v>0</v>
      </c>
      <c r="BO568" s="3">
        <v>0</v>
      </c>
      <c r="BP568" s="3">
        <v>0</v>
      </c>
      <c r="BQ568" s="3">
        <v>0</v>
      </c>
      <c r="BR568" s="3">
        <v>0</v>
      </c>
      <c r="BS568" s="3">
        <v>0</v>
      </c>
      <c r="BT568" s="3">
        <v>0</v>
      </c>
      <c r="BU568" s="3">
        <v>0</v>
      </c>
      <c r="BV568" s="3">
        <v>0</v>
      </c>
      <c r="BW568" s="3">
        <v>0</v>
      </c>
      <c r="BY568" s="17" t="s">
        <v>3796</v>
      </c>
      <c r="BZ568" s="3">
        <v>0</v>
      </c>
      <c r="CA568" s="3">
        <v>0</v>
      </c>
      <c r="CB568" s="3">
        <v>0</v>
      </c>
      <c r="CC568" s="3">
        <v>0</v>
      </c>
      <c r="CD568" s="3">
        <v>0</v>
      </c>
      <c r="CE568" s="3">
        <v>0</v>
      </c>
      <c r="CF568" s="3">
        <v>0</v>
      </c>
      <c r="CG568" s="3">
        <v>0</v>
      </c>
      <c r="CH568" s="3">
        <v>0</v>
      </c>
      <c r="CI568" s="3">
        <v>0</v>
      </c>
      <c r="CJ568" s="3">
        <v>0</v>
      </c>
      <c r="CK568" s="3">
        <v>0</v>
      </c>
      <c r="CL568" s="3">
        <v>0</v>
      </c>
      <c r="CM568" s="3">
        <v>0</v>
      </c>
      <c r="CN568" s="3">
        <v>0</v>
      </c>
      <c r="CO568" s="3">
        <v>0</v>
      </c>
      <c r="CP568" s="3">
        <v>0</v>
      </c>
      <c r="CQ568" s="3">
        <v>0</v>
      </c>
      <c r="CR568" s="3">
        <v>0</v>
      </c>
      <c r="CS568" s="3">
        <v>0</v>
      </c>
      <c r="CU568" s="17" t="s">
        <v>3797</v>
      </c>
      <c r="CV568" s="3">
        <v>0</v>
      </c>
      <c r="CW568" s="3">
        <v>0</v>
      </c>
      <c r="CX568" s="3">
        <v>0</v>
      </c>
      <c r="CY568" s="3">
        <v>0</v>
      </c>
      <c r="CZ568" s="3">
        <v>0</v>
      </c>
      <c r="DA568" s="3">
        <v>0</v>
      </c>
      <c r="DB568" s="3">
        <v>0</v>
      </c>
      <c r="DC568" s="3">
        <v>0</v>
      </c>
      <c r="DD568" s="3">
        <v>0</v>
      </c>
      <c r="DE568" s="3">
        <v>0</v>
      </c>
      <c r="DF568" s="3">
        <v>0</v>
      </c>
      <c r="DG568" s="3">
        <v>0</v>
      </c>
      <c r="DH568" s="3">
        <v>0</v>
      </c>
      <c r="DI568" s="3">
        <v>0</v>
      </c>
      <c r="DJ568" s="3">
        <v>0</v>
      </c>
      <c r="DK568" s="3">
        <v>0</v>
      </c>
      <c r="DL568" s="3">
        <v>0</v>
      </c>
      <c r="DM568" s="3">
        <v>0</v>
      </c>
      <c r="DN568" s="3">
        <v>0</v>
      </c>
      <c r="DO568" s="3">
        <v>0</v>
      </c>
    </row>
    <row r="569" spans="1:119" x14ac:dyDescent="0.45">
      <c r="A569" s="16" t="s">
        <v>3798</v>
      </c>
      <c r="B569" s="3" t="s">
        <v>89</v>
      </c>
      <c r="C569" s="16"/>
      <c r="H569" s="3" t="s">
        <v>3799</v>
      </c>
      <c r="I569" s="3" t="s">
        <v>2363</v>
      </c>
      <c r="K569" s="17" t="s">
        <v>3800</v>
      </c>
      <c r="L569" s="3">
        <v>43.293249150090787</v>
      </c>
      <c r="M569" s="3">
        <v>40.533742718883083</v>
      </c>
      <c r="N569" s="3">
        <v>46.142505901264229</v>
      </c>
      <c r="O569" s="3">
        <v>51.327060346285514</v>
      </c>
      <c r="P569" s="3">
        <v>54.048364937108573</v>
      </c>
      <c r="Q569" s="3">
        <v>56.740817686071033</v>
      </c>
      <c r="R569" s="3">
        <v>59.800145950119742</v>
      </c>
      <c r="S569" s="3">
        <v>62.918551870679458</v>
      </c>
      <c r="T569" s="3">
        <v>65.593185964882409</v>
      </c>
      <c r="U569" s="3">
        <v>68.357727337154969</v>
      </c>
      <c r="V569" s="3">
        <v>71.149349436218742</v>
      </c>
      <c r="W569" s="3">
        <v>75.070386278176059</v>
      </c>
      <c r="X569" s="3">
        <v>79.081433389450922</v>
      </c>
      <c r="Y569" s="3">
        <v>83.278180666810286</v>
      </c>
      <c r="Z569" s="3">
        <v>87.603697153419631</v>
      </c>
      <c r="AA569" s="3">
        <v>92.059272134486747</v>
      </c>
      <c r="AB569" s="3">
        <v>96.643796589186024</v>
      </c>
      <c r="AC569" s="3">
        <v>101.3583300877138</v>
      </c>
      <c r="AD569" s="3">
        <v>106.2064746575405</v>
      </c>
      <c r="AE569" s="3">
        <v>111.1900197855317</v>
      </c>
      <c r="AG569" s="17" t="s">
        <v>3801</v>
      </c>
      <c r="AH569" s="3">
        <v>43.293249150090787</v>
      </c>
      <c r="AI569" s="3">
        <v>40.533742718883083</v>
      </c>
      <c r="AJ569" s="3">
        <v>46.142505901264229</v>
      </c>
      <c r="AK569" s="3">
        <v>51.327060346285514</v>
      </c>
      <c r="AL569" s="3">
        <v>54.047744826094338</v>
      </c>
      <c r="AM569" s="3">
        <v>56.739176374869487</v>
      </c>
      <c r="AN569" s="3">
        <v>56.16323097627933</v>
      </c>
      <c r="AO569" s="3">
        <v>59.21708815981269</v>
      </c>
      <c r="AP569" s="3">
        <v>61.362650001338928</v>
      </c>
      <c r="AQ569" s="3">
        <v>64.570115030329077</v>
      </c>
      <c r="AR569" s="3">
        <v>67.364118742138302</v>
      </c>
      <c r="AS569" s="3">
        <v>71.285075592525132</v>
      </c>
      <c r="AT569" s="3">
        <v>75.272180612069079</v>
      </c>
      <c r="AU569" s="3">
        <v>79.454259058929878</v>
      </c>
      <c r="AV569" s="3">
        <v>83.790687430157092</v>
      </c>
      <c r="AW569" s="3">
        <v>88.310225701887731</v>
      </c>
      <c r="AX569" s="3">
        <v>92.913127445257032</v>
      </c>
      <c r="AY569" s="3">
        <v>97.6227902433303</v>
      </c>
      <c r="AZ569" s="3">
        <v>102.3949145182079</v>
      </c>
      <c r="BA569" s="3">
        <v>107.2794238884876</v>
      </c>
      <c r="BC569" s="17" t="s">
        <v>3802</v>
      </c>
      <c r="BD569" s="3">
        <v>43.293249150090787</v>
      </c>
      <c r="BE569" s="3">
        <v>40.533742718883083</v>
      </c>
      <c r="BF569" s="3">
        <v>46.142505901264229</v>
      </c>
      <c r="BG569" s="3">
        <v>51.327060346285514</v>
      </c>
      <c r="BH569" s="3">
        <v>54.046298068599711</v>
      </c>
      <c r="BI569" s="3">
        <v>56.735281016787297</v>
      </c>
      <c r="BJ569" s="3">
        <v>57.869873893299477</v>
      </c>
      <c r="BK569" s="3">
        <v>58.633522815034581</v>
      </c>
      <c r="BL569" s="3">
        <v>59.172276361656067</v>
      </c>
      <c r="BM569" s="3">
        <v>60.374437774818453</v>
      </c>
      <c r="BN569" s="3">
        <v>61.541989218725327</v>
      </c>
      <c r="BO569" s="3">
        <v>63.247702338117037</v>
      </c>
      <c r="BP569" s="3">
        <v>65.100867798571969</v>
      </c>
      <c r="BQ569" s="3">
        <v>67.378988638230851</v>
      </c>
      <c r="BR569" s="3">
        <v>69.802728376010649</v>
      </c>
      <c r="BS569" s="3">
        <v>72.647176973278334</v>
      </c>
      <c r="BT569" s="3">
        <v>75.591949186702678</v>
      </c>
      <c r="BU569" s="3">
        <v>78.964043315065339</v>
      </c>
      <c r="BV569" s="3">
        <v>82.298077627648325</v>
      </c>
      <c r="BW569" s="3">
        <v>86.128227037690507</v>
      </c>
      <c r="BY569" s="17" t="s">
        <v>3803</v>
      </c>
      <c r="BZ569" s="3">
        <v>43.293249150090787</v>
      </c>
      <c r="CA569" s="3">
        <v>40.533742718883083</v>
      </c>
      <c r="CB569" s="3">
        <v>46.142505901264229</v>
      </c>
      <c r="CC569" s="3">
        <v>51.327060346285514</v>
      </c>
      <c r="CD569" s="3">
        <v>54.044815420555878</v>
      </c>
      <c r="CE569" s="3">
        <v>56.731339711903424</v>
      </c>
      <c r="CF569" s="3">
        <v>59.786084631102497</v>
      </c>
      <c r="CG569" s="3">
        <v>62.936834006338977</v>
      </c>
      <c r="CH569" s="3">
        <v>65.511102958568429</v>
      </c>
      <c r="CI569" s="3">
        <v>68.310607637850325</v>
      </c>
      <c r="CJ569" s="3">
        <v>71.042759100560971</v>
      </c>
      <c r="CK569" s="3">
        <v>75.07255284382353</v>
      </c>
      <c r="CL569" s="3">
        <v>79.22778490850655</v>
      </c>
      <c r="CM569" s="3">
        <v>83.543112682805329</v>
      </c>
      <c r="CN569" s="3">
        <v>88.152808831861407</v>
      </c>
      <c r="CO569" s="3">
        <v>92.918986478480363</v>
      </c>
      <c r="CP569" s="3">
        <v>97.787654322343116</v>
      </c>
      <c r="CQ569" s="3">
        <v>102.8093443182356</v>
      </c>
      <c r="CR569" s="3">
        <v>107.8972787365575</v>
      </c>
      <c r="CS569" s="3">
        <v>113.1306132306073</v>
      </c>
      <c r="CU569" s="17" t="s">
        <v>3804</v>
      </c>
      <c r="CV569" s="3">
        <v>43.293249150090787</v>
      </c>
      <c r="CW569" s="3">
        <v>40.533742718883083</v>
      </c>
      <c r="CX569" s="3">
        <v>46.142505901264229</v>
      </c>
      <c r="CY569" s="3">
        <v>51.327060346285514</v>
      </c>
      <c r="CZ569" s="3">
        <v>54.046917129146699</v>
      </c>
      <c r="DA569" s="3">
        <v>56.736959594097158</v>
      </c>
      <c r="DB569" s="3">
        <v>51.983120240669187</v>
      </c>
      <c r="DC569" s="3">
        <v>55.01462425837132</v>
      </c>
      <c r="DD569" s="3">
        <v>56.662103150880696</v>
      </c>
      <c r="DE569" s="3">
        <v>59.794390626242233</v>
      </c>
      <c r="DF569" s="3">
        <v>62.811866720402058</v>
      </c>
      <c r="DG569" s="3">
        <v>66.714412080093553</v>
      </c>
      <c r="DH569" s="3">
        <v>70.866315773011422</v>
      </c>
      <c r="DI569" s="3">
        <v>75.371241355926927</v>
      </c>
      <c r="DJ569" s="3">
        <v>80.044789945079586</v>
      </c>
      <c r="DK569" s="3">
        <v>85.045069982156576</v>
      </c>
      <c r="DL569" s="3">
        <v>90.05480548608098</v>
      </c>
      <c r="DM569" s="3">
        <v>95.215601203362255</v>
      </c>
      <c r="DN569" s="3">
        <v>100.31913568896201</v>
      </c>
      <c r="DO569" s="3">
        <v>105.5601274130396</v>
      </c>
    </row>
    <row r="570" spans="1:119" x14ac:dyDescent="0.45">
      <c r="A570" s="16" t="s">
        <v>3805</v>
      </c>
      <c r="B570" s="3" t="s">
        <v>89</v>
      </c>
      <c r="C570" s="16"/>
      <c r="H570" s="3" t="s">
        <v>3806</v>
      </c>
      <c r="I570" s="3" t="s">
        <v>2363</v>
      </c>
      <c r="K570" s="17" t="s">
        <v>3807</v>
      </c>
      <c r="L570" s="3">
        <v>0</v>
      </c>
      <c r="M570" s="3">
        <v>0</v>
      </c>
      <c r="N570" s="3">
        <v>0</v>
      </c>
      <c r="O570" s="3">
        <v>0</v>
      </c>
      <c r="P570" s="3">
        <v>0</v>
      </c>
      <c r="Q570" s="3">
        <v>0</v>
      </c>
      <c r="R570" s="3">
        <v>0</v>
      </c>
      <c r="S570" s="3">
        <v>0</v>
      </c>
      <c r="T570" s="3">
        <v>0</v>
      </c>
      <c r="U570" s="3">
        <v>0</v>
      </c>
      <c r="V570" s="3">
        <v>0</v>
      </c>
      <c r="W570" s="3">
        <v>0</v>
      </c>
      <c r="X570" s="3">
        <v>0</v>
      </c>
      <c r="Y570" s="3">
        <v>0</v>
      </c>
      <c r="Z570" s="3">
        <v>0</v>
      </c>
      <c r="AA570" s="3">
        <v>0</v>
      </c>
      <c r="AB570" s="3">
        <v>0</v>
      </c>
      <c r="AC570" s="3">
        <v>0</v>
      </c>
      <c r="AD570" s="3">
        <v>0</v>
      </c>
      <c r="AE570" s="3">
        <v>0</v>
      </c>
      <c r="AG570" s="17" t="s">
        <v>3808</v>
      </c>
      <c r="AH570" s="3">
        <v>0</v>
      </c>
      <c r="AI570" s="3">
        <v>0</v>
      </c>
      <c r="AJ570" s="3">
        <v>0</v>
      </c>
      <c r="AK570" s="3">
        <v>0</v>
      </c>
      <c r="AL570" s="3">
        <v>0</v>
      </c>
      <c r="AM570" s="3">
        <v>0</v>
      </c>
      <c r="AN570" s="3">
        <v>0</v>
      </c>
      <c r="AO570" s="3">
        <v>0</v>
      </c>
      <c r="AP570" s="3">
        <v>0</v>
      </c>
      <c r="AQ570" s="3">
        <v>0</v>
      </c>
      <c r="AR570" s="3">
        <v>0</v>
      </c>
      <c r="AS570" s="3">
        <v>0</v>
      </c>
      <c r="AT570" s="3">
        <v>0</v>
      </c>
      <c r="AU570" s="3">
        <v>0</v>
      </c>
      <c r="AV570" s="3">
        <v>0</v>
      </c>
      <c r="AW570" s="3">
        <v>0</v>
      </c>
      <c r="AX570" s="3">
        <v>0</v>
      </c>
      <c r="AY570" s="3">
        <v>0</v>
      </c>
      <c r="AZ570" s="3">
        <v>0</v>
      </c>
      <c r="BA570" s="3">
        <v>0</v>
      </c>
      <c r="BC570" s="17" t="s">
        <v>3809</v>
      </c>
      <c r="BD570" s="3">
        <v>0</v>
      </c>
      <c r="BE570" s="3">
        <v>0</v>
      </c>
      <c r="BF570" s="3">
        <v>0</v>
      </c>
      <c r="BG570" s="3">
        <v>0</v>
      </c>
      <c r="BH570" s="3">
        <v>0</v>
      </c>
      <c r="BI570" s="3">
        <v>0</v>
      </c>
      <c r="BJ570" s="3">
        <v>0</v>
      </c>
      <c r="BK570" s="3">
        <v>0</v>
      </c>
      <c r="BL570" s="3">
        <v>0</v>
      </c>
      <c r="BM570" s="3">
        <v>0</v>
      </c>
      <c r="BN570" s="3">
        <v>0</v>
      </c>
      <c r="BO570" s="3">
        <v>0</v>
      </c>
      <c r="BP570" s="3">
        <v>0</v>
      </c>
      <c r="BQ570" s="3">
        <v>0</v>
      </c>
      <c r="BR570" s="3">
        <v>0</v>
      </c>
      <c r="BS570" s="3">
        <v>0</v>
      </c>
      <c r="BT570" s="3">
        <v>0</v>
      </c>
      <c r="BU570" s="3">
        <v>0</v>
      </c>
      <c r="BV570" s="3">
        <v>0</v>
      </c>
      <c r="BW570" s="3">
        <v>0</v>
      </c>
      <c r="BY570" s="17" t="s">
        <v>3810</v>
      </c>
      <c r="BZ570" s="3">
        <v>0</v>
      </c>
      <c r="CA570" s="3">
        <v>0</v>
      </c>
      <c r="CB570" s="3">
        <v>0</v>
      </c>
      <c r="CC570" s="3">
        <v>0</v>
      </c>
      <c r="CD570" s="3">
        <v>0</v>
      </c>
      <c r="CE570" s="3">
        <v>0</v>
      </c>
      <c r="CF570" s="3">
        <v>0</v>
      </c>
      <c r="CG570" s="3">
        <v>0</v>
      </c>
      <c r="CH570" s="3">
        <v>0</v>
      </c>
      <c r="CI570" s="3">
        <v>0</v>
      </c>
      <c r="CJ570" s="3">
        <v>0</v>
      </c>
      <c r="CK570" s="3">
        <v>0</v>
      </c>
      <c r="CL570" s="3">
        <v>0</v>
      </c>
      <c r="CM570" s="3">
        <v>0</v>
      </c>
      <c r="CN570" s="3">
        <v>0</v>
      </c>
      <c r="CO570" s="3">
        <v>0</v>
      </c>
      <c r="CP570" s="3">
        <v>0</v>
      </c>
      <c r="CQ570" s="3">
        <v>0</v>
      </c>
      <c r="CR570" s="3">
        <v>0</v>
      </c>
      <c r="CS570" s="3">
        <v>0</v>
      </c>
      <c r="CU570" s="17" t="s">
        <v>3811</v>
      </c>
      <c r="CV570" s="3">
        <v>0</v>
      </c>
      <c r="CW570" s="3">
        <v>0</v>
      </c>
      <c r="CX570" s="3">
        <v>0</v>
      </c>
      <c r="CY570" s="3">
        <v>0</v>
      </c>
      <c r="CZ570" s="3">
        <v>0</v>
      </c>
      <c r="DA570" s="3">
        <v>0</v>
      </c>
      <c r="DB570" s="3">
        <v>0</v>
      </c>
      <c r="DC570" s="3">
        <v>0</v>
      </c>
      <c r="DD570" s="3">
        <v>0</v>
      </c>
      <c r="DE570" s="3">
        <v>0</v>
      </c>
      <c r="DF570" s="3">
        <v>0</v>
      </c>
      <c r="DG570" s="3">
        <v>0</v>
      </c>
      <c r="DH570" s="3">
        <v>0</v>
      </c>
      <c r="DI570" s="3">
        <v>0</v>
      </c>
      <c r="DJ570" s="3">
        <v>0</v>
      </c>
      <c r="DK570" s="3">
        <v>0</v>
      </c>
      <c r="DL570" s="3">
        <v>0</v>
      </c>
      <c r="DM570" s="3">
        <v>0</v>
      </c>
      <c r="DN570" s="3">
        <v>0</v>
      </c>
      <c r="DO570" s="3">
        <v>0</v>
      </c>
    </row>
    <row r="571" spans="1:119" x14ac:dyDescent="0.45">
      <c r="A571" s="16" t="s">
        <v>3812</v>
      </c>
      <c r="B571" s="3" t="s">
        <v>89</v>
      </c>
      <c r="C571" s="16"/>
      <c r="H571" s="3" t="s">
        <v>3813</v>
      </c>
      <c r="I571" s="3" t="s">
        <v>2363</v>
      </c>
      <c r="K571" s="17" t="s">
        <v>3814</v>
      </c>
      <c r="L571" s="3">
        <v>0</v>
      </c>
      <c r="M571" s="3">
        <v>0</v>
      </c>
      <c r="N571" s="3">
        <v>0</v>
      </c>
      <c r="O571" s="3">
        <v>0</v>
      </c>
      <c r="P571" s="3">
        <v>0</v>
      </c>
      <c r="Q571" s="3">
        <v>0</v>
      </c>
      <c r="R571" s="3">
        <v>0</v>
      </c>
      <c r="S571" s="3">
        <v>0</v>
      </c>
      <c r="T571" s="3">
        <v>0</v>
      </c>
      <c r="U571" s="3">
        <v>0</v>
      </c>
      <c r="V571" s="3">
        <v>0</v>
      </c>
      <c r="W571" s="3">
        <v>0</v>
      </c>
      <c r="X571" s="3">
        <v>0</v>
      </c>
      <c r="Y571" s="3">
        <v>0</v>
      </c>
      <c r="Z571" s="3">
        <v>0</v>
      </c>
      <c r="AA571" s="3">
        <v>0</v>
      </c>
      <c r="AB571" s="3">
        <v>0</v>
      </c>
      <c r="AC571" s="3">
        <v>0</v>
      </c>
      <c r="AD571" s="3">
        <v>0</v>
      </c>
      <c r="AE571" s="3">
        <v>0</v>
      </c>
      <c r="AG571" s="17" t="s">
        <v>3815</v>
      </c>
      <c r="AH571" s="3">
        <v>0</v>
      </c>
      <c r="AI571" s="3">
        <v>0</v>
      </c>
      <c r="AJ571" s="3">
        <v>0</v>
      </c>
      <c r="AK571" s="3">
        <v>0</v>
      </c>
      <c r="AL571" s="3">
        <v>0</v>
      </c>
      <c r="AM571" s="3">
        <v>0</v>
      </c>
      <c r="AN571" s="3">
        <v>0</v>
      </c>
      <c r="AO571" s="3">
        <v>0</v>
      </c>
      <c r="AP571" s="3">
        <v>0</v>
      </c>
      <c r="AQ571" s="3">
        <v>0</v>
      </c>
      <c r="AR571" s="3">
        <v>0</v>
      </c>
      <c r="AS571" s="3">
        <v>0</v>
      </c>
      <c r="AT571" s="3">
        <v>0</v>
      </c>
      <c r="AU571" s="3">
        <v>0</v>
      </c>
      <c r="AV571" s="3">
        <v>0</v>
      </c>
      <c r="AW571" s="3">
        <v>0</v>
      </c>
      <c r="AX571" s="3">
        <v>0</v>
      </c>
      <c r="AY571" s="3">
        <v>0</v>
      </c>
      <c r="AZ571" s="3">
        <v>0</v>
      </c>
      <c r="BA571" s="3">
        <v>0</v>
      </c>
      <c r="BC571" s="17" t="s">
        <v>3816</v>
      </c>
      <c r="BD571" s="3">
        <v>0</v>
      </c>
      <c r="BE571" s="3">
        <v>0</v>
      </c>
      <c r="BF571" s="3">
        <v>0</v>
      </c>
      <c r="BG571" s="3">
        <v>0</v>
      </c>
      <c r="BH571" s="3">
        <v>0</v>
      </c>
      <c r="BI571" s="3">
        <v>0</v>
      </c>
      <c r="BJ571" s="3">
        <v>0</v>
      </c>
      <c r="BK571" s="3">
        <v>0</v>
      </c>
      <c r="BL571" s="3">
        <v>0</v>
      </c>
      <c r="BM571" s="3">
        <v>0</v>
      </c>
      <c r="BN571" s="3">
        <v>0</v>
      </c>
      <c r="BO571" s="3">
        <v>0</v>
      </c>
      <c r="BP571" s="3">
        <v>0</v>
      </c>
      <c r="BQ571" s="3">
        <v>0</v>
      </c>
      <c r="BR571" s="3">
        <v>0</v>
      </c>
      <c r="BS571" s="3">
        <v>0</v>
      </c>
      <c r="BT571" s="3">
        <v>0</v>
      </c>
      <c r="BU571" s="3">
        <v>0</v>
      </c>
      <c r="BV571" s="3">
        <v>0</v>
      </c>
      <c r="BW571" s="3">
        <v>0</v>
      </c>
      <c r="BY571" s="17" t="s">
        <v>3817</v>
      </c>
      <c r="BZ571" s="3">
        <v>0</v>
      </c>
      <c r="CA571" s="3">
        <v>0</v>
      </c>
      <c r="CB571" s="3">
        <v>0</v>
      </c>
      <c r="CC571" s="3">
        <v>0</v>
      </c>
      <c r="CD571" s="3">
        <v>0</v>
      </c>
      <c r="CE571" s="3">
        <v>0</v>
      </c>
      <c r="CF571" s="3">
        <v>0</v>
      </c>
      <c r="CG571" s="3">
        <v>0</v>
      </c>
      <c r="CH571" s="3">
        <v>0</v>
      </c>
      <c r="CI571" s="3">
        <v>0</v>
      </c>
      <c r="CJ571" s="3">
        <v>0</v>
      </c>
      <c r="CK571" s="3">
        <v>0</v>
      </c>
      <c r="CL571" s="3">
        <v>0</v>
      </c>
      <c r="CM571" s="3">
        <v>0</v>
      </c>
      <c r="CN571" s="3">
        <v>0</v>
      </c>
      <c r="CO571" s="3">
        <v>0</v>
      </c>
      <c r="CP571" s="3">
        <v>0</v>
      </c>
      <c r="CQ571" s="3">
        <v>0</v>
      </c>
      <c r="CR571" s="3">
        <v>0</v>
      </c>
      <c r="CS571" s="3">
        <v>0</v>
      </c>
      <c r="CU571" s="17" t="s">
        <v>3818</v>
      </c>
      <c r="CV571" s="3">
        <v>0</v>
      </c>
      <c r="CW571" s="3">
        <v>0</v>
      </c>
      <c r="CX571" s="3">
        <v>0</v>
      </c>
      <c r="CY571" s="3">
        <v>0</v>
      </c>
      <c r="CZ571" s="3">
        <v>0</v>
      </c>
      <c r="DA571" s="3">
        <v>0</v>
      </c>
      <c r="DB571" s="3">
        <v>0</v>
      </c>
      <c r="DC571" s="3">
        <v>0</v>
      </c>
      <c r="DD571" s="3">
        <v>0</v>
      </c>
      <c r="DE571" s="3">
        <v>0</v>
      </c>
      <c r="DF571" s="3">
        <v>0</v>
      </c>
      <c r="DG571" s="3">
        <v>0</v>
      </c>
      <c r="DH571" s="3">
        <v>0</v>
      </c>
      <c r="DI571" s="3">
        <v>0</v>
      </c>
      <c r="DJ571" s="3">
        <v>0</v>
      </c>
      <c r="DK571" s="3">
        <v>0</v>
      </c>
      <c r="DL571" s="3">
        <v>0</v>
      </c>
      <c r="DM571" s="3">
        <v>0</v>
      </c>
      <c r="DN571" s="3">
        <v>0</v>
      </c>
      <c r="DO571" s="3">
        <v>0</v>
      </c>
    </row>
    <row r="572" spans="1:119" x14ac:dyDescent="0.45">
      <c r="A572" s="16" t="s">
        <v>3819</v>
      </c>
      <c r="B572" s="3" t="s">
        <v>89</v>
      </c>
      <c r="C572" s="16"/>
      <c r="H572" s="3" t="s">
        <v>3820</v>
      </c>
      <c r="I572" s="3" t="s">
        <v>2363</v>
      </c>
      <c r="K572" s="17" t="s">
        <v>3821</v>
      </c>
      <c r="L572" s="3">
        <v>5771.9683298815389</v>
      </c>
      <c r="M572" s="3">
        <v>5605.0097691049577</v>
      </c>
      <c r="N572" s="3">
        <v>6612.0687869946851</v>
      </c>
      <c r="O572" s="3">
        <v>7337.1302149280164</v>
      </c>
      <c r="P572" s="3">
        <v>7647.1523991715421</v>
      </c>
      <c r="Q572" s="3">
        <v>7913.1407068484368</v>
      </c>
      <c r="R572" s="3">
        <v>8193.655793613083</v>
      </c>
      <c r="S572" s="3">
        <v>8486.1259363433001</v>
      </c>
      <c r="T572" s="3">
        <v>8713.8836526871328</v>
      </c>
      <c r="U572" s="3">
        <v>8944.336276986096</v>
      </c>
      <c r="V572" s="3">
        <v>9170.0809080284598</v>
      </c>
      <c r="W572" s="3">
        <v>9577.7009786301751</v>
      </c>
      <c r="X572" s="3">
        <v>9980.2593861545902</v>
      </c>
      <c r="Y572" s="3">
        <v>10396.52762987043</v>
      </c>
      <c r="Z572" s="3">
        <v>10820.112552640199</v>
      </c>
      <c r="AA572" s="3">
        <v>11251.05360463565</v>
      </c>
      <c r="AB572" s="3">
        <v>11689.04735819019</v>
      </c>
      <c r="AC572" s="3">
        <v>12134.12729008042</v>
      </c>
      <c r="AD572" s="3">
        <v>12586.7002118696</v>
      </c>
      <c r="AE572" s="3">
        <v>13046.909361259181</v>
      </c>
      <c r="AG572" s="17" t="s">
        <v>3822</v>
      </c>
      <c r="AH572" s="3">
        <v>5771.9683298815389</v>
      </c>
      <c r="AI572" s="3">
        <v>5605.0097691049577</v>
      </c>
      <c r="AJ572" s="3">
        <v>6612.0687869946851</v>
      </c>
      <c r="AK572" s="3">
        <v>7337.1302149280164</v>
      </c>
      <c r="AL572" s="3">
        <v>7647.0502854494753</v>
      </c>
      <c r="AM572" s="3">
        <v>7912.867377739748</v>
      </c>
      <c r="AN572" s="3">
        <v>7541.9278286739163</v>
      </c>
      <c r="AO572" s="3">
        <v>7829.3119591964851</v>
      </c>
      <c r="AP572" s="3">
        <v>7984.0887434981914</v>
      </c>
      <c r="AQ572" s="3">
        <v>8299.1138413326626</v>
      </c>
      <c r="AR572" s="3">
        <v>8538.8335494476523</v>
      </c>
      <c r="AS572" s="3">
        <v>8945.0167595675448</v>
      </c>
      <c r="AT572" s="3">
        <v>9338.5630346031594</v>
      </c>
      <c r="AU572" s="3">
        <v>9751.3273171731416</v>
      </c>
      <c r="AV572" s="3">
        <v>10172.85136850315</v>
      </c>
      <c r="AW572" s="3">
        <v>10605.184881278999</v>
      </c>
      <c r="AX572" s="3">
        <v>11040.56020973902</v>
      </c>
      <c r="AY572" s="3">
        <v>11481.040854816711</v>
      </c>
      <c r="AZ572" s="3">
        <v>11923.16650052671</v>
      </c>
      <c r="BA572" s="3">
        <v>12371.04551683616</v>
      </c>
      <c r="BC572" s="17" t="s">
        <v>3823</v>
      </c>
      <c r="BD572" s="3">
        <v>5771.9683298815389</v>
      </c>
      <c r="BE572" s="3">
        <v>5605.0097691049577</v>
      </c>
      <c r="BF572" s="3">
        <v>6612.0687869946851</v>
      </c>
      <c r="BG572" s="3">
        <v>7337.1302149280164</v>
      </c>
      <c r="BH572" s="3">
        <v>7646.8119629281546</v>
      </c>
      <c r="BI572" s="3">
        <v>7912.2184193986986</v>
      </c>
      <c r="BJ572" s="3">
        <v>7845.0884891045707</v>
      </c>
      <c r="BK572" s="3">
        <v>7729.9036086793258</v>
      </c>
      <c r="BL572" s="3">
        <v>7610.0191150489854</v>
      </c>
      <c r="BM572" s="3">
        <v>7601.8574356089439</v>
      </c>
      <c r="BN572" s="3">
        <v>7590.0529164242998</v>
      </c>
      <c r="BO572" s="3">
        <v>7659.5904849269846</v>
      </c>
      <c r="BP572" s="3">
        <v>7742.5422883169258</v>
      </c>
      <c r="BQ572" s="3">
        <v>7883.4022632765736</v>
      </c>
      <c r="BR572" s="3">
        <v>8036.3238622841136</v>
      </c>
      <c r="BS572" s="3">
        <v>8240.1904742617735</v>
      </c>
      <c r="BT572" s="3">
        <v>8448.1167070443589</v>
      </c>
      <c r="BU572" s="3">
        <v>8707.2623131898872</v>
      </c>
      <c r="BV572" s="3">
        <v>8953.5407357768127</v>
      </c>
      <c r="BW572" s="3">
        <v>9261.6477631205526</v>
      </c>
      <c r="BY572" s="17" t="s">
        <v>3824</v>
      </c>
      <c r="BZ572" s="3">
        <v>5771.9683298815389</v>
      </c>
      <c r="CA572" s="3">
        <v>5605.0097691049577</v>
      </c>
      <c r="CB572" s="3">
        <v>6612.0687869946851</v>
      </c>
      <c r="CC572" s="3">
        <v>7337.1302149280164</v>
      </c>
      <c r="CD572" s="3">
        <v>7646.5677752243619</v>
      </c>
      <c r="CE572" s="3">
        <v>7911.5619232834079</v>
      </c>
      <c r="CF572" s="3">
        <v>8191.3403689459146</v>
      </c>
      <c r="CG572" s="3">
        <v>8486.384564201273</v>
      </c>
      <c r="CH572" s="3">
        <v>8704.4407760757676</v>
      </c>
      <c r="CI572" s="3">
        <v>8937.9237497318954</v>
      </c>
      <c r="CJ572" s="3">
        <v>9157.8940241106575</v>
      </c>
      <c r="CK572" s="3">
        <v>9578.6105783158873</v>
      </c>
      <c r="CL572" s="3">
        <v>9997.863025750723</v>
      </c>
      <c r="CM572" s="3">
        <v>10427.48304024563</v>
      </c>
      <c r="CN572" s="3">
        <v>10886.987907952829</v>
      </c>
      <c r="CO572" s="3">
        <v>11353.56603364339</v>
      </c>
      <c r="CP572" s="3">
        <v>11825.369235891911</v>
      </c>
      <c r="CQ572" s="3">
        <v>12307.22626350586</v>
      </c>
      <c r="CR572" s="3">
        <v>12789.722671083289</v>
      </c>
      <c r="CS572" s="3">
        <v>13280.085686550779</v>
      </c>
      <c r="CU572" s="17" t="s">
        <v>3825</v>
      </c>
      <c r="CV572" s="3">
        <v>5771.9683298815389</v>
      </c>
      <c r="CW572" s="3">
        <v>5605.0097691049577</v>
      </c>
      <c r="CX572" s="3">
        <v>6612.0687869946851</v>
      </c>
      <c r="CY572" s="3">
        <v>7337.1302149280164</v>
      </c>
      <c r="CZ572" s="3">
        <v>7646.9139548538933</v>
      </c>
      <c r="DA572" s="3">
        <v>7912.4981123517064</v>
      </c>
      <c r="DB572" s="3">
        <v>6819.2295128238202</v>
      </c>
      <c r="DC572" s="3">
        <v>7109.6129634700546</v>
      </c>
      <c r="DD572" s="3">
        <v>7202.2334139179748</v>
      </c>
      <c r="DE572" s="3">
        <v>7511.3195445451092</v>
      </c>
      <c r="DF572" s="3">
        <v>7801.6912117364136</v>
      </c>
      <c r="DG572" s="3">
        <v>8204.703492910905</v>
      </c>
      <c r="DH572" s="3">
        <v>8621.9122670248544</v>
      </c>
      <c r="DI572" s="3">
        <v>9083.8476660030228</v>
      </c>
      <c r="DJ572" s="3">
        <v>9552.6698045569192</v>
      </c>
      <c r="DK572" s="3">
        <v>10048.318811502209</v>
      </c>
      <c r="DL572" s="3">
        <v>10537.587715731141</v>
      </c>
      <c r="DM572" s="3">
        <v>11038.84326781016</v>
      </c>
      <c r="DN572" s="3">
        <v>11527.59338474472</v>
      </c>
      <c r="DO572" s="3">
        <v>12026.33046818778</v>
      </c>
    </row>
    <row r="573" spans="1:119" x14ac:dyDescent="0.45">
      <c r="A573" s="16" t="s">
        <v>3826</v>
      </c>
      <c r="B573" s="3" t="s">
        <v>89</v>
      </c>
      <c r="C573" s="16" t="s">
        <v>3827</v>
      </c>
      <c r="H573" s="3" t="s">
        <v>3828</v>
      </c>
      <c r="I573" s="3" t="s">
        <v>2363</v>
      </c>
      <c r="K573" s="17" t="s">
        <v>3829</v>
      </c>
      <c r="L573" s="3">
        <v>1192.529587338073</v>
      </c>
      <c r="M573" s="3">
        <v>1115.885723113852</v>
      </c>
      <c r="N573" s="3">
        <v>1228.211706146878</v>
      </c>
      <c r="O573" s="3">
        <v>1370.904263112084</v>
      </c>
      <c r="P573" s="3">
        <v>1429.0934935648891</v>
      </c>
      <c r="Q573" s="3">
        <v>1478.799346362043</v>
      </c>
      <c r="R573" s="3">
        <v>1531.1114306173199</v>
      </c>
      <c r="S573" s="3">
        <v>1585.727985090947</v>
      </c>
      <c r="T573" s="3">
        <v>1628.4436009147589</v>
      </c>
      <c r="U573" s="3">
        <v>1673.132848455278</v>
      </c>
      <c r="V573" s="3">
        <v>1717.178927791686</v>
      </c>
      <c r="W573" s="3">
        <v>1790.3562944998109</v>
      </c>
      <c r="X573" s="3">
        <v>1864.968803134456</v>
      </c>
      <c r="Y573" s="3">
        <v>1943.0790850166541</v>
      </c>
      <c r="Z573" s="3">
        <v>2022.5748749012751</v>
      </c>
      <c r="AA573" s="3">
        <v>2103.4638029501739</v>
      </c>
      <c r="AB573" s="3">
        <v>2185.6883042569398</v>
      </c>
      <c r="AC573" s="3">
        <v>2269.2548795804</v>
      </c>
      <c r="AD573" s="3">
        <v>2354.241197339571</v>
      </c>
      <c r="AE573" s="3">
        <v>2440.6748868869008</v>
      </c>
      <c r="AG573" s="17" t="s">
        <v>3830</v>
      </c>
      <c r="AH573" s="3">
        <v>1192.529587338073</v>
      </c>
      <c r="AI573" s="3">
        <v>1115.885723113852</v>
      </c>
      <c r="AJ573" s="3">
        <v>1228.211706146878</v>
      </c>
      <c r="AK573" s="3">
        <v>1370.904263112084</v>
      </c>
      <c r="AL573" s="3">
        <v>1429.072640584787</v>
      </c>
      <c r="AM573" s="3">
        <v>1478.7459345164671</v>
      </c>
      <c r="AN573" s="3">
        <v>1425.6589751200211</v>
      </c>
      <c r="AO573" s="3">
        <v>1479.5987838466301</v>
      </c>
      <c r="AP573" s="3">
        <v>1510.117377614107</v>
      </c>
      <c r="AQ573" s="3">
        <v>1568.5133957574781</v>
      </c>
      <c r="AR573" s="3">
        <v>1614.48401561789</v>
      </c>
      <c r="AS573" s="3">
        <v>1688.746510793784</v>
      </c>
      <c r="AT573" s="3">
        <v>1763.1060219936071</v>
      </c>
      <c r="AU573" s="3">
        <v>1840.9412302171099</v>
      </c>
      <c r="AV573" s="3">
        <v>1920.548694505474</v>
      </c>
      <c r="AW573" s="3">
        <v>2002.178275773874</v>
      </c>
      <c r="AX573" s="3">
        <v>2084.386904620887</v>
      </c>
      <c r="AY573" s="3">
        <v>2167.5557511057568</v>
      </c>
      <c r="AZ573" s="3">
        <v>2251.0405388649128</v>
      </c>
      <c r="BA573" s="3">
        <v>2335.6125149865429</v>
      </c>
      <c r="BC573" s="17" t="s">
        <v>3831</v>
      </c>
      <c r="BD573" s="3">
        <v>1192.529587338073</v>
      </c>
      <c r="BE573" s="3">
        <v>1115.885723113852</v>
      </c>
      <c r="BF573" s="3">
        <v>1228.211706146878</v>
      </c>
      <c r="BG573" s="3">
        <v>1370.904263112084</v>
      </c>
      <c r="BH573" s="3">
        <v>1429.0240031407541</v>
      </c>
      <c r="BI573" s="3">
        <v>1478.6192361458479</v>
      </c>
      <c r="BJ573" s="3">
        <v>1475.1720010804199</v>
      </c>
      <c r="BK573" s="3">
        <v>1463.1163262069681</v>
      </c>
      <c r="BL573" s="3">
        <v>1447.839429635231</v>
      </c>
      <c r="BM573" s="3">
        <v>1451.921866928805</v>
      </c>
      <c r="BN573" s="3">
        <v>1455.0286941138529</v>
      </c>
      <c r="BO573" s="3">
        <v>1472.1373219638299</v>
      </c>
      <c r="BP573" s="3">
        <v>1492.118289503137</v>
      </c>
      <c r="BQ573" s="3">
        <v>1521.972226536918</v>
      </c>
      <c r="BR573" s="3">
        <v>1554.329544097463</v>
      </c>
      <c r="BS573" s="3">
        <v>1595.757487350817</v>
      </c>
      <c r="BT573" s="3">
        <v>1638.1062436258869</v>
      </c>
      <c r="BU573" s="3">
        <v>1689.674075320062</v>
      </c>
      <c r="BV573" s="3">
        <v>1739.0819198402489</v>
      </c>
      <c r="BW573" s="3">
        <v>1799.6176641778029</v>
      </c>
      <c r="BY573" s="17" t="s">
        <v>3832</v>
      </c>
      <c r="BZ573" s="3">
        <v>1192.529587338073</v>
      </c>
      <c r="CA573" s="3">
        <v>1115.885723113852</v>
      </c>
      <c r="CB573" s="3">
        <v>1228.211706146878</v>
      </c>
      <c r="CC573" s="3">
        <v>1370.904263112084</v>
      </c>
      <c r="CD573" s="3">
        <v>1428.97415220684</v>
      </c>
      <c r="CE573" s="3">
        <v>1478.491038112079</v>
      </c>
      <c r="CF573" s="3">
        <v>1530.66659906161</v>
      </c>
      <c r="CG573" s="3">
        <v>1585.762837879485</v>
      </c>
      <c r="CH573" s="3">
        <v>1626.80128188599</v>
      </c>
      <c r="CI573" s="3">
        <v>1672.0616646384331</v>
      </c>
      <c r="CJ573" s="3">
        <v>1715.063594990123</v>
      </c>
      <c r="CK573" s="3">
        <v>1790.485548293251</v>
      </c>
      <c r="CL573" s="3">
        <v>1868.286129953709</v>
      </c>
      <c r="CM573" s="3">
        <v>1948.9067562633859</v>
      </c>
      <c r="CN573" s="3">
        <v>2035.1959457216119</v>
      </c>
      <c r="CO573" s="3">
        <v>2122.8175731048309</v>
      </c>
      <c r="CP573" s="3">
        <v>2211.4439730552831</v>
      </c>
      <c r="CQ573" s="3">
        <v>2301.9842864817369</v>
      </c>
      <c r="CR573" s="3">
        <v>2392.6596535034269</v>
      </c>
      <c r="CS573" s="3">
        <v>2484.8284543373888</v>
      </c>
      <c r="CU573" s="17" t="s">
        <v>3833</v>
      </c>
      <c r="CV573" s="3">
        <v>1192.529587338073</v>
      </c>
      <c r="CW573" s="3">
        <v>1115.885723113852</v>
      </c>
      <c r="CX573" s="3">
        <v>1228.211706146878</v>
      </c>
      <c r="CY573" s="3">
        <v>1370.904263112084</v>
      </c>
      <c r="CZ573" s="3">
        <v>1429.04481244255</v>
      </c>
      <c r="DA573" s="3">
        <v>1478.6738214407251</v>
      </c>
      <c r="DB573" s="3">
        <v>1304.190231460095</v>
      </c>
      <c r="DC573" s="3">
        <v>1358.8936840890599</v>
      </c>
      <c r="DD573" s="3">
        <v>1378.3375535304201</v>
      </c>
      <c r="DE573" s="3">
        <v>1436.1493845980469</v>
      </c>
      <c r="DF573" s="3">
        <v>1490.5954747934129</v>
      </c>
      <c r="DG573" s="3">
        <v>1565.3848021796989</v>
      </c>
      <c r="DH573" s="3">
        <v>1644.655282314375</v>
      </c>
      <c r="DI573" s="3">
        <v>1731.440668910001</v>
      </c>
      <c r="DJ573" s="3">
        <v>1819.985540867187</v>
      </c>
      <c r="DK573" s="3">
        <v>1913.28594820635</v>
      </c>
      <c r="DL573" s="3">
        <v>2005.562407873178</v>
      </c>
      <c r="DM573" s="3">
        <v>2099.8323807407269</v>
      </c>
      <c r="DN573" s="3">
        <v>2191.9574042657732</v>
      </c>
      <c r="DO573" s="3">
        <v>2285.732170654544</v>
      </c>
    </row>
    <row r="574" spans="1:119" x14ac:dyDescent="0.45">
      <c r="A574" s="16" t="s">
        <v>3834</v>
      </c>
      <c r="B574" s="3" t="s">
        <v>89</v>
      </c>
      <c r="C574" s="16" t="s">
        <v>3835</v>
      </c>
      <c r="H574" s="3" t="s">
        <v>3836</v>
      </c>
      <c r="I574" s="3" t="s">
        <v>2363</v>
      </c>
      <c r="K574" s="17" t="s">
        <v>3837</v>
      </c>
      <c r="L574" s="3">
        <v>3778.525028349402</v>
      </c>
      <c r="M574" s="3">
        <v>3888.6403359265869</v>
      </c>
      <c r="N574" s="3">
        <v>4294.4320941923152</v>
      </c>
      <c r="O574" s="3">
        <v>5092.0737887040132</v>
      </c>
      <c r="P574" s="3">
        <v>5417.5965095403089</v>
      </c>
      <c r="Q574" s="3">
        <v>5691.3870760924701</v>
      </c>
      <c r="R574" s="3">
        <v>5978.0215296111573</v>
      </c>
      <c r="S574" s="3">
        <v>6285.7273089703858</v>
      </c>
      <c r="T574" s="3">
        <v>6525.4273916164329</v>
      </c>
      <c r="U574" s="3">
        <v>6780.4783238048594</v>
      </c>
      <c r="V574" s="3">
        <v>7034.0510291971377</v>
      </c>
      <c r="W574" s="3">
        <v>7482.9956315212012</v>
      </c>
      <c r="X574" s="3">
        <v>7949.9847225789727</v>
      </c>
      <c r="Y574" s="3">
        <v>8449.648343718105</v>
      </c>
      <c r="Z574" s="3">
        <v>8968.2923063224061</v>
      </c>
      <c r="AA574" s="3">
        <v>9506.3215059658196</v>
      </c>
      <c r="AB574" s="3">
        <v>10063.671341884459</v>
      </c>
      <c r="AC574" s="3">
        <v>10640.72809539881</v>
      </c>
      <c r="AD574" s="3">
        <v>11238.426241979319</v>
      </c>
      <c r="AE574" s="3">
        <v>11857.359538658709</v>
      </c>
      <c r="AG574" s="17" t="s">
        <v>3838</v>
      </c>
      <c r="AH574" s="3">
        <v>3778.525028349402</v>
      </c>
      <c r="AI574" s="3">
        <v>3888.6403359265869</v>
      </c>
      <c r="AJ574" s="3">
        <v>4294.4320941923152</v>
      </c>
      <c r="AK574" s="3">
        <v>5092.0737887040132</v>
      </c>
      <c r="AL574" s="3">
        <v>5417.4707451659478</v>
      </c>
      <c r="AM574" s="3">
        <v>5691.059988156805</v>
      </c>
      <c r="AN574" s="3">
        <v>5336.4615945877231</v>
      </c>
      <c r="AO574" s="3">
        <v>5629.2420626671828</v>
      </c>
      <c r="AP574" s="3">
        <v>5788.1779400174428</v>
      </c>
      <c r="AQ574" s="3">
        <v>6119.0673964468833</v>
      </c>
      <c r="AR574" s="3">
        <v>6377.8516046176392</v>
      </c>
      <c r="AS574" s="3">
        <v>6819.171787767762</v>
      </c>
      <c r="AT574" s="3">
        <v>7269.3105719032737</v>
      </c>
      <c r="AU574" s="3">
        <v>7751.6784904319702</v>
      </c>
      <c r="AV574" s="3">
        <v>8255.1889942479356</v>
      </c>
      <c r="AW574" s="3">
        <v>8781.5761042200356</v>
      </c>
      <c r="AX574" s="3">
        <v>9322.6990029081262</v>
      </c>
      <c r="AY574" s="3">
        <v>9881.0629184795052</v>
      </c>
      <c r="AZ574" s="3">
        <v>10452.7636423155</v>
      </c>
      <c r="BA574" s="3">
        <v>11042.863330896589</v>
      </c>
      <c r="BC574" s="17" t="s">
        <v>3839</v>
      </c>
      <c r="BD574" s="3">
        <v>3778.525028349402</v>
      </c>
      <c r="BE574" s="3">
        <v>3888.6403359265869</v>
      </c>
      <c r="BF574" s="3">
        <v>4294.4320941923152</v>
      </c>
      <c r="BG574" s="3">
        <v>5092.0737887040132</v>
      </c>
      <c r="BH574" s="3">
        <v>5417.1774168354304</v>
      </c>
      <c r="BI574" s="3">
        <v>5690.2841413337983</v>
      </c>
      <c r="BJ574" s="3">
        <v>5634.3241911421992</v>
      </c>
      <c r="BK574" s="3">
        <v>5530.0470587293084</v>
      </c>
      <c r="BL574" s="3">
        <v>5412.4599061173221</v>
      </c>
      <c r="BM574" s="3">
        <v>5411.4333081938958</v>
      </c>
      <c r="BN574" s="3">
        <v>5405.3826952525096</v>
      </c>
      <c r="BO574" s="3">
        <v>5482.1219445215575</v>
      </c>
      <c r="BP574" s="3">
        <v>5575.5898102115816</v>
      </c>
      <c r="BQ574" s="3">
        <v>5728.0739428951347</v>
      </c>
      <c r="BR574" s="3">
        <v>5896.3030171677283</v>
      </c>
      <c r="BS574" s="3">
        <v>6120.4103417425231</v>
      </c>
      <c r="BT574" s="3">
        <v>6352.1177708398354</v>
      </c>
      <c r="BU574" s="3">
        <v>6643.6106021715004</v>
      </c>
      <c r="BV574" s="3">
        <v>6925.4869544604626</v>
      </c>
      <c r="BW574" s="3">
        <v>7282.6957633476331</v>
      </c>
      <c r="BY574" s="17" t="s">
        <v>3840</v>
      </c>
      <c r="BZ574" s="3">
        <v>3778.525028349402</v>
      </c>
      <c r="CA574" s="3">
        <v>3888.6403359265869</v>
      </c>
      <c r="CB574" s="3">
        <v>4294.4320941923152</v>
      </c>
      <c r="CC574" s="3">
        <v>5092.0737887040132</v>
      </c>
      <c r="CD574" s="3">
        <v>5416.8767761715226</v>
      </c>
      <c r="CE574" s="3">
        <v>5689.4991564566744</v>
      </c>
      <c r="CF574" s="3">
        <v>5975.2594767238006</v>
      </c>
      <c r="CG574" s="3">
        <v>6285.4109685168942</v>
      </c>
      <c r="CH574" s="3">
        <v>6515.782552354206</v>
      </c>
      <c r="CI574" s="3">
        <v>6773.8665988400344</v>
      </c>
      <c r="CJ574" s="3">
        <v>7021.2803840815504</v>
      </c>
      <c r="CK574" s="3">
        <v>7483.9469826349023</v>
      </c>
      <c r="CL574" s="3">
        <v>7971.4827592723932</v>
      </c>
      <c r="CM574" s="3">
        <v>8488.0275148211131</v>
      </c>
      <c r="CN574" s="3">
        <v>9054.1014066245898</v>
      </c>
      <c r="CO574" s="3">
        <v>9640.2471280249447</v>
      </c>
      <c r="CP574" s="3">
        <v>10245.763453237039</v>
      </c>
      <c r="CQ574" s="3">
        <v>10877.116397628781</v>
      </c>
      <c r="CR574" s="3">
        <v>11522.03401331402</v>
      </c>
      <c r="CS574" s="3">
        <v>12189.96121840963</v>
      </c>
      <c r="CU574" s="17" t="s">
        <v>3841</v>
      </c>
      <c r="CV574" s="3">
        <v>3778.525028349402</v>
      </c>
      <c r="CW574" s="3">
        <v>3888.6403359265869</v>
      </c>
      <c r="CX574" s="3">
        <v>4294.4320941923152</v>
      </c>
      <c r="CY574" s="3">
        <v>5092.0737887040132</v>
      </c>
      <c r="CZ574" s="3">
        <v>5417.3029152607187</v>
      </c>
      <c r="DA574" s="3">
        <v>5690.618391688251</v>
      </c>
      <c r="DB574" s="3">
        <v>4631.5403694400075</v>
      </c>
      <c r="DC574" s="3">
        <v>4915.8958302792898</v>
      </c>
      <c r="DD574" s="3">
        <v>5006.3306126335019</v>
      </c>
      <c r="DE574" s="3">
        <v>5318.7311964079136</v>
      </c>
      <c r="DF574" s="3">
        <v>5618.224858086337</v>
      </c>
      <c r="DG574" s="3">
        <v>6044.2856808408224</v>
      </c>
      <c r="DH574" s="3">
        <v>6506.8272726959904</v>
      </c>
      <c r="DI574" s="3">
        <v>7028.7311517398812</v>
      </c>
      <c r="DJ574" s="3">
        <v>7574.0093872904872</v>
      </c>
      <c r="DK574" s="3">
        <v>8162.403237813025</v>
      </c>
      <c r="DL574" s="3">
        <v>8758.7303561332865</v>
      </c>
      <c r="DM574" s="3">
        <v>9382.9151630603828</v>
      </c>
      <c r="DN574" s="3">
        <v>10006.9711891199</v>
      </c>
      <c r="DO574" s="3">
        <v>10656.348424626711</v>
      </c>
    </row>
    <row r="575" spans="1:119" x14ac:dyDescent="0.45">
      <c r="A575" s="16" t="s">
        <v>3842</v>
      </c>
      <c r="B575" s="3" t="s">
        <v>89</v>
      </c>
      <c r="C575" s="16" t="s">
        <v>3843</v>
      </c>
      <c r="H575" s="3" t="s">
        <v>3844</v>
      </c>
      <c r="I575" s="3" t="s">
        <v>2363</v>
      </c>
      <c r="K575" s="17" t="s">
        <v>3845</v>
      </c>
      <c r="L575" s="3">
        <v>401.0063671821847</v>
      </c>
      <c r="M575" s="3">
        <v>375.23369211760672</v>
      </c>
      <c r="N575" s="3">
        <v>413.00502699642169</v>
      </c>
      <c r="O575" s="3">
        <v>460.98758818409033</v>
      </c>
      <c r="P575" s="3">
        <v>480.55460954839219</v>
      </c>
      <c r="Q575" s="3">
        <v>497.26896504071323</v>
      </c>
      <c r="R575" s="3">
        <v>514.85970584049676</v>
      </c>
      <c r="S575" s="3">
        <v>533.22536010184308</v>
      </c>
      <c r="T575" s="3">
        <v>547.58914118143207</v>
      </c>
      <c r="U575" s="3">
        <v>562.61658620133358</v>
      </c>
      <c r="V575" s="3">
        <v>577.42775604638348</v>
      </c>
      <c r="W575" s="3">
        <v>602.03476814499777</v>
      </c>
      <c r="X575" s="3">
        <v>627.12436873152512</v>
      </c>
      <c r="Y575" s="3">
        <v>653.39014922848901</v>
      </c>
      <c r="Z575" s="3">
        <v>680.12182804500185</v>
      </c>
      <c r="AA575" s="3">
        <v>707.32197094003493</v>
      </c>
      <c r="AB575" s="3">
        <v>734.97122083075953</v>
      </c>
      <c r="AC575" s="3">
        <v>763.07176369705314</v>
      </c>
      <c r="AD575" s="3">
        <v>791.64971673624621</v>
      </c>
      <c r="AE575" s="3">
        <v>820.71437074193489</v>
      </c>
      <c r="AG575" s="17" t="s">
        <v>3846</v>
      </c>
      <c r="AH575" s="3">
        <v>401.0063671821847</v>
      </c>
      <c r="AI575" s="3">
        <v>375.23369211760672</v>
      </c>
      <c r="AJ575" s="3">
        <v>413.00502699642169</v>
      </c>
      <c r="AK575" s="3">
        <v>460.98758818409033</v>
      </c>
      <c r="AL575" s="3">
        <v>480.54759741394759</v>
      </c>
      <c r="AM575" s="3">
        <v>497.25100448829892</v>
      </c>
      <c r="AN575" s="3">
        <v>479.39970003568908</v>
      </c>
      <c r="AO575" s="3">
        <v>497.53778815830049</v>
      </c>
      <c r="AP575" s="3">
        <v>507.80013346876149</v>
      </c>
      <c r="AQ575" s="3">
        <v>527.43669036614551</v>
      </c>
      <c r="AR575" s="3">
        <v>542.89501648490136</v>
      </c>
      <c r="AS575" s="3">
        <v>567.8669196767064</v>
      </c>
      <c r="AT575" s="3">
        <v>592.87144599478631</v>
      </c>
      <c r="AU575" s="3">
        <v>619.0447287543758</v>
      </c>
      <c r="AV575" s="3">
        <v>645.81395980223613</v>
      </c>
      <c r="AW575" s="3">
        <v>673.26315870396866</v>
      </c>
      <c r="AX575" s="3">
        <v>700.90707123661741</v>
      </c>
      <c r="AY575" s="3">
        <v>728.87387167976271</v>
      </c>
      <c r="AZ575" s="3">
        <v>756.94691222293545</v>
      </c>
      <c r="BA575" s="3">
        <v>785.38553653049212</v>
      </c>
      <c r="BC575" s="17" t="s">
        <v>3847</v>
      </c>
      <c r="BD575" s="3">
        <v>401.0063671821847</v>
      </c>
      <c r="BE575" s="3">
        <v>375.23369211760672</v>
      </c>
      <c r="BF575" s="3">
        <v>413.00502699642169</v>
      </c>
      <c r="BG575" s="3">
        <v>460.98758818409033</v>
      </c>
      <c r="BH575" s="3">
        <v>480.53124232729169</v>
      </c>
      <c r="BI575" s="3">
        <v>497.20840021762149</v>
      </c>
      <c r="BJ575" s="3">
        <v>496.04921454618147</v>
      </c>
      <c r="BK575" s="3">
        <v>491.995308935568</v>
      </c>
      <c r="BL575" s="3">
        <v>486.85821811526807</v>
      </c>
      <c r="BM575" s="3">
        <v>488.23100027994349</v>
      </c>
      <c r="BN575" s="3">
        <v>489.27571857973851</v>
      </c>
      <c r="BO575" s="3">
        <v>495.02875714115919</v>
      </c>
      <c r="BP575" s="3">
        <v>501.74766398489447</v>
      </c>
      <c r="BQ575" s="3">
        <v>511.78650827279591</v>
      </c>
      <c r="BR575" s="3">
        <v>522.6671526647541</v>
      </c>
      <c r="BS575" s="3">
        <v>536.59793408959058</v>
      </c>
      <c r="BT575" s="3">
        <v>550.83835301827867</v>
      </c>
      <c r="BU575" s="3">
        <v>568.17882747753526</v>
      </c>
      <c r="BV575" s="3">
        <v>584.79297311527</v>
      </c>
      <c r="BW575" s="3">
        <v>605.1490457689124</v>
      </c>
      <c r="BY575" s="17" t="s">
        <v>3848</v>
      </c>
      <c r="BZ575" s="3">
        <v>401.0063671821847</v>
      </c>
      <c r="CA575" s="3">
        <v>375.23369211760672</v>
      </c>
      <c r="CB575" s="3">
        <v>413.00502699642169</v>
      </c>
      <c r="CC575" s="3">
        <v>460.98758818409033</v>
      </c>
      <c r="CD575" s="3">
        <v>480.51447918604822</v>
      </c>
      <c r="CE575" s="3">
        <v>497.16529166220482</v>
      </c>
      <c r="CF575" s="3">
        <v>514.71012440615982</v>
      </c>
      <c r="CG575" s="3">
        <v>533.23707988663182</v>
      </c>
      <c r="CH575" s="3">
        <v>547.03688621478523</v>
      </c>
      <c r="CI575" s="3">
        <v>562.25638421092776</v>
      </c>
      <c r="CJ575" s="3">
        <v>576.71644294258908</v>
      </c>
      <c r="CK575" s="3">
        <v>602.07823171579923</v>
      </c>
      <c r="CL575" s="3">
        <v>628.23987076239223</v>
      </c>
      <c r="CM575" s="3">
        <v>655.34979308185507</v>
      </c>
      <c r="CN575" s="3">
        <v>684.36585671594651</v>
      </c>
      <c r="CO575" s="3">
        <v>713.82997304195487</v>
      </c>
      <c r="CP575" s="3">
        <v>743.63195955693675</v>
      </c>
      <c r="CQ575" s="3">
        <v>774.07752883771468</v>
      </c>
      <c r="CR575" s="3">
        <v>804.56851196161665</v>
      </c>
      <c r="CS575" s="3">
        <v>835.56168511421504</v>
      </c>
      <c r="CU575" s="17" t="s">
        <v>3849</v>
      </c>
      <c r="CV575" s="3">
        <v>401.0063671821847</v>
      </c>
      <c r="CW575" s="3">
        <v>375.23369211760672</v>
      </c>
      <c r="CX575" s="3">
        <v>413.00502699642169</v>
      </c>
      <c r="CY575" s="3">
        <v>460.98758818409033</v>
      </c>
      <c r="CZ575" s="3">
        <v>480.53823977423582</v>
      </c>
      <c r="DA575" s="3">
        <v>497.22675536036371</v>
      </c>
      <c r="DB575" s="3">
        <v>438.55397164585582</v>
      </c>
      <c r="DC575" s="3">
        <v>456.94884674495478</v>
      </c>
      <c r="DD575" s="3">
        <v>463.48714611415443</v>
      </c>
      <c r="DE575" s="3">
        <v>482.92726114587231</v>
      </c>
      <c r="DF575" s="3">
        <v>501.23559417872627</v>
      </c>
      <c r="DG575" s="3">
        <v>526.38465278289766</v>
      </c>
      <c r="DH575" s="3">
        <v>553.04056773973332</v>
      </c>
      <c r="DI575" s="3">
        <v>582.22348527295469</v>
      </c>
      <c r="DJ575" s="3">
        <v>611.99805674955894</v>
      </c>
      <c r="DK575" s="3">
        <v>643.37174994840905</v>
      </c>
      <c r="DL575" s="3">
        <v>674.40112503504804</v>
      </c>
      <c r="DM575" s="3">
        <v>706.1008495159823</v>
      </c>
      <c r="DN575" s="3">
        <v>737.07930187691227</v>
      </c>
      <c r="DO575" s="3">
        <v>768.61250558287497</v>
      </c>
    </row>
    <row r="576" spans="1:119" x14ac:dyDescent="0.45">
      <c r="A576" s="16" t="s">
        <v>3850</v>
      </c>
      <c r="B576" s="3" t="s">
        <v>89</v>
      </c>
      <c r="C576" s="16"/>
      <c r="H576" s="3" t="s">
        <v>3851</v>
      </c>
      <c r="I576" s="3" t="s">
        <v>2363</v>
      </c>
      <c r="K576" s="17" t="s">
        <v>3852</v>
      </c>
      <c r="L576" s="3">
        <v>748.82360665689237</v>
      </c>
      <c r="M576" s="3">
        <v>700.69672121448377</v>
      </c>
      <c r="N576" s="3">
        <v>771.22943472461509</v>
      </c>
      <c r="O576" s="3">
        <v>860.83019288130811</v>
      </c>
      <c r="P576" s="3">
        <v>897.36888330786758</v>
      </c>
      <c r="Q576" s="3">
        <v>928.5806170532793</v>
      </c>
      <c r="R576" s="3">
        <v>961.42887844628615</v>
      </c>
      <c r="S576" s="3">
        <v>995.7241829304337</v>
      </c>
      <c r="T576" s="3">
        <v>1022.546545948827</v>
      </c>
      <c r="U576" s="3">
        <v>1050.608209053365</v>
      </c>
      <c r="V576" s="3">
        <v>1078.2660083549381</v>
      </c>
      <c r="W576" s="3">
        <v>1124.2161803639599</v>
      </c>
      <c r="X576" s="3">
        <v>1171.067519241202</v>
      </c>
      <c r="Y576" s="3">
        <v>1220.1152104826199</v>
      </c>
      <c r="Z576" s="3">
        <v>1270.032902024612</v>
      </c>
      <c r="AA576" s="3">
        <v>1320.8253850651311</v>
      </c>
      <c r="AB576" s="3">
        <v>1372.4565129447631</v>
      </c>
      <c r="AC576" s="3">
        <v>1424.930367676837</v>
      </c>
      <c r="AD576" s="3">
        <v>1478.2957194942001</v>
      </c>
      <c r="AE576" s="3">
        <v>1532.569917661448</v>
      </c>
      <c r="AG576" s="17" t="s">
        <v>3853</v>
      </c>
      <c r="AH576" s="3">
        <v>748.82360665689237</v>
      </c>
      <c r="AI576" s="3">
        <v>700.69672121448377</v>
      </c>
      <c r="AJ576" s="3">
        <v>771.22943472461509</v>
      </c>
      <c r="AK576" s="3">
        <v>860.83019288130811</v>
      </c>
      <c r="AL576" s="3">
        <v>897.35578912225128</v>
      </c>
      <c r="AM576" s="3">
        <v>928.54707822014075</v>
      </c>
      <c r="AN576" s="3">
        <v>895.2122504525297</v>
      </c>
      <c r="AO576" s="3">
        <v>929.08260682934952</v>
      </c>
      <c r="AP576" s="3">
        <v>948.24610910024137</v>
      </c>
      <c r="AQ576" s="3">
        <v>984.91464746173313</v>
      </c>
      <c r="AR576" s="3">
        <v>1013.780921078447</v>
      </c>
      <c r="AS576" s="3">
        <v>1060.4124764439471</v>
      </c>
      <c r="AT576" s="3">
        <v>1107.104950959558</v>
      </c>
      <c r="AU576" s="3">
        <v>1155.9799155438041</v>
      </c>
      <c r="AV576" s="3">
        <v>1205.96773065394</v>
      </c>
      <c r="AW576" s="3">
        <v>1257.2252911407529</v>
      </c>
      <c r="AX576" s="3">
        <v>1308.8464522466591</v>
      </c>
      <c r="AY576" s="3">
        <v>1361.0705616084319</v>
      </c>
      <c r="AZ576" s="3">
        <v>1413.4930595779299</v>
      </c>
      <c r="BA576" s="3">
        <v>1466.598234371002</v>
      </c>
      <c r="BC576" s="17" t="s">
        <v>3854</v>
      </c>
      <c r="BD576" s="3">
        <v>748.82360665689237</v>
      </c>
      <c r="BE576" s="3">
        <v>700.69672121448377</v>
      </c>
      <c r="BF576" s="3">
        <v>771.22943472461509</v>
      </c>
      <c r="BG576" s="3">
        <v>860.83019288130811</v>
      </c>
      <c r="BH576" s="3">
        <v>897.32524827307998</v>
      </c>
      <c r="BI576" s="3">
        <v>928.46752067133718</v>
      </c>
      <c r="BJ576" s="3">
        <v>926.30290268441547</v>
      </c>
      <c r="BK576" s="3">
        <v>918.73279789601179</v>
      </c>
      <c r="BL576" s="3">
        <v>909.13999541057569</v>
      </c>
      <c r="BM576" s="3">
        <v>911.70347513517436</v>
      </c>
      <c r="BN576" s="3">
        <v>913.65434122912211</v>
      </c>
      <c r="BO576" s="3">
        <v>924.39734043651902</v>
      </c>
      <c r="BP576" s="3">
        <v>936.94396429905669</v>
      </c>
      <c r="BQ576" s="3">
        <v>955.69010950157917</v>
      </c>
      <c r="BR576" s="3">
        <v>976.00819929548902</v>
      </c>
      <c r="BS576" s="3">
        <v>1002.021995693279</v>
      </c>
      <c r="BT576" s="3">
        <v>1028.6139970557931</v>
      </c>
      <c r="BU576" s="3">
        <v>1060.994920872454</v>
      </c>
      <c r="BV576" s="3">
        <v>1092.0195266546341</v>
      </c>
      <c r="BW576" s="3">
        <v>1130.0316605989931</v>
      </c>
      <c r="BY576" s="17" t="s">
        <v>3855</v>
      </c>
      <c r="BZ576" s="3">
        <v>748.82360665689237</v>
      </c>
      <c r="CA576" s="3">
        <v>700.69672121448377</v>
      </c>
      <c r="CB576" s="3">
        <v>771.22943472461509</v>
      </c>
      <c r="CC576" s="3">
        <v>860.83019288130811</v>
      </c>
      <c r="CD576" s="3">
        <v>897.29394543873082</v>
      </c>
      <c r="CE576" s="3">
        <v>928.38702144093406</v>
      </c>
      <c r="CF576" s="3">
        <v>961.14955592595766</v>
      </c>
      <c r="CG576" s="3">
        <v>995.74606799818559</v>
      </c>
      <c r="CH576" s="3">
        <v>1021.515286622885</v>
      </c>
      <c r="CI576" s="3">
        <v>1049.935581944035</v>
      </c>
      <c r="CJ576" s="3">
        <v>1076.9377300844751</v>
      </c>
      <c r="CK576" s="3">
        <v>1124.2973425362079</v>
      </c>
      <c r="CL576" s="3">
        <v>1173.150564106191</v>
      </c>
      <c r="CM576" s="3">
        <v>1223.7745727724321</v>
      </c>
      <c r="CN576" s="3">
        <v>1277.958035180136</v>
      </c>
      <c r="CO576" s="3">
        <v>1332.978173661319</v>
      </c>
      <c r="CP576" s="3">
        <v>1388.6292377192369</v>
      </c>
      <c r="CQ576" s="3">
        <v>1445.482103063385</v>
      </c>
      <c r="CR576" s="3">
        <v>1502.4197724420389</v>
      </c>
      <c r="CS576" s="3">
        <v>1560.2952118395549</v>
      </c>
      <c r="CU576" s="17" t="s">
        <v>3856</v>
      </c>
      <c r="CV576" s="3">
        <v>748.82360665689237</v>
      </c>
      <c r="CW576" s="3">
        <v>700.69672121448377</v>
      </c>
      <c r="CX576" s="3">
        <v>771.22943472461509</v>
      </c>
      <c r="CY576" s="3">
        <v>860.83019288130811</v>
      </c>
      <c r="CZ576" s="3">
        <v>897.33831503183205</v>
      </c>
      <c r="DA576" s="3">
        <v>928.5017963470217</v>
      </c>
      <c r="DB576" s="3">
        <v>818.93853473991408</v>
      </c>
      <c r="DC576" s="3">
        <v>853.28840507364953</v>
      </c>
      <c r="DD576" s="3">
        <v>865.49776960182464</v>
      </c>
      <c r="DE576" s="3">
        <v>901.79948010624219</v>
      </c>
      <c r="DF576" s="3">
        <v>935.98774517014488</v>
      </c>
      <c r="DG576" s="3">
        <v>982.95011362412356</v>
      </c>
      <c r="DH576" s="3">
        <v>1032.72632669769</v>
      </c>
      <c r="DI576" s="3">
        <v>1087.221365550949</v>
      </c>
      <c r="DJ576" s="3">
        <v>1142.8212358384069</v>
      </c>
      <c r="DK576" s="3">
        <v>1201.407243488097</v>
      </c>
      <c r="DL576" s="3">
        <v>1259.350284961376</v>
      </c>
      <c r="DM576" s="3">
        <v>1318.5451106760979</v>
      </c>
      <c r="DN576" s="3">
        <v>1376.3930610429841</v>
      </c>
      <c r="DO576" s="3">
        <v>1435.276932375175</v>
      </c>
    </row>
    <row r="577" spans="1:119" x14ac:dyDescent="0.45">
      <c r="A577" s="16" t="s">
        <v>3857</v>
      </c>
      <c r="B577" s="3" t="s">
        <v>89</v>
      </c>
      <c r="C577" s="16"/>
      <c r="H577" s="3" t="s">
        <v>3858</v>
      </c>
      <c r="I577" s="3" t="s">
        <v>2363</v>
      </c>
      <c r="K577" s="17" t="s">
        <v>3859</v>
      </c>
      <c r="L577" s="3">
        <v>6.3532719705989056</v>
      </c>
      <c r="M577" s="3">
        <v>5.9449472468651638</v>
      </c>
      <c r="N577" s="3">
        <v>6.54337057082365</v>
      </c>
      <c r="O577" s="3">
        <v>7.3035736150128807</v>
      </c>
      <c r="P577" s="3">
        <v>7.6135801848722853</v>
      </c>
      <c r="Q577" s="3">
        <v>7.8783910580815473</v>
      </c>
      <c r="R577" s="3">
        <v>8.1570867836647807</v>
      </c>
      <c r="S577" s="3">
        <v>8.4480597107537694</v>
      </c>
      <c r="T577" s="3">
        <v>8.6756296826871875</v>
      </c>
      <c r="U577" s="3">
        <v>8.9137142944242385</v>
      </c>
      <c r="V577" s="3">
        <v>9.1483723894803308</v>
      </c>
      <c r="W577" s="3">
        <v>9.5382291424911596</v>
      </c>
      <c r="X577" s="3">
        <v>9.9357316990714821</v>
      </c>
      <c r="Y577" s="3">
        <v>10.351868849685481</v>
      </c>
      <c r="Z577" s="3">
        <v>10.775387376200159</v>
      </c>
      <c r="AA577" s="3">
        <v>11.20632792875449</v>
      </c>
      <c r="AB577" s="3">
        <v>11.64438382690191</v>
      </c>
      <c r="AC577" s="3">
        <v>12.08958970381989</v>
      </c>
      <c r="AD577" s="3">
        <v>12.542359342608471</v>
      </c>
      <c r="AE577" s="3">
        <v>13.00283994027839</v>
      </c>
      <c r="AG577" s="17" t="s">
        <v>3860</v>
      </c>
      <c r="AH577" s="3">
        <v>6.3532719705989056</v>
      </c>
      <c r="AI577" s="3">
        <v>5.9449472468651638</v>
      </c>
      <c r="AJ577" s="3">
        <v>6.54337057082365</v>
      </c>
      <c r="AK577" s="3">
        <v>7.3035736150128807</v>
      </c>
      <c r="AL577" s="3">
        <v>7.6134690893863599</v>
      </c>
      <c r="AM577" s="3">
        <v>7.8781065033124236</v>
      </c>
      <c r="AN577" s="3">
        <v>7.5952825845444032</v>
      </c>
      <c r="AO577" s="3">
        <v>7.8826501086049037</v>
      </c>
      <c r="AP577" s="3">
        <v>8.0452397235072972</v>
      </c>
      <c r="AQ577" s="3">
        <v>8.3563479670293788</v>
      </c>
      <c r="AR577" s="3">
        <v>8.6012591656539374</v>
      </c>
      <c r="AS577" s="3">
        <v>8.9968970048130483</v>
      </c>
      <c r="AT577" s="3">
        <v>9.3930517025826887</v>
      </c>
      <c r="AU577" s="3">
        <v>9.80772338199648</v>
      </c>
      <c r="AV577" s="3">
        <v>10.23183686050788</v>
      </c>
      <c r="AW577" s="3">
        <v>10.666723286933481</v>
      </c>
      <c r="AX577" s="3">
        <v>11.104694623611969</v>
      </c>
      <c r="AY577" s="3">
        <v>11.547781576598039</v>
      </c>
      <c r="AZ577" s="3">
        <v>11.992551725425621</v>
      </c>
      <c r="BA577" s="3">
        <v>12.443113934612461</v>
      </c>
      <c r="BC577" s="17" t="s">
        <v>3861</v>
      </c>
      <c r="BD577" s="3">
        <v>6.3532719705989056</v>
      </c>
      <c r="BE577" s="3">
        <v>5.9449472468651638</v>
      </c>
      <c r="BF577" s="3">
        <v>6.54337057082365</v>
      </c>
      <c r="BG577" s="3">
        <v>7.3035736150128807</v>
      </c>
      <c r="BH577" s="3">
        <v>7.613209970524089</v>
      </c>
      <c r="BI577" s="3">
        <v>7.8774315102428014</v>
      </c>
      <c r="BJ577" s="3">
        <v>7.8590661613660986</v>
      </c>
      <c r="BK577" s="3">
        <v>7.7948388398191986</v>
      </c>
      <c r="BL577" s="3">
        <v>7.7134502689883417</v>
      </c>
      <c r="BM577" s="3">
        <v>7.7351996953374949</v>
      </c>
      <c r="BN577" s="3">
        <v>7.7517515010803777</v>
      </c>
      <c r="BO577" s="3">
        <v>7.8428987287288701</v>
      </c>
      <c r="BP577" s="3">
        <v>7.9493485161058741</v>
      </c>
      <c r="BQ577" s="3">
        <v>8.1083971329138826</v>
      </c>
      <c r="BR577" s="3">
        <v>8.2807826576705903</v>
      </c>
      <c r="BS577" s="3">
        <v>8.5014924777586671</v>
      </c>
      <c r="BT577" s="3">
        <v>8.7271079837292156</v>
      </c>
      <c r="BU577" s="3">
        <v>9.0018386597357374</v>
      </c>
      <c r="BV577" s="3">
        <v>9.2650618762082892</v>
      </c>
      <c r="BW577" s="3">
        <v>9.5875696376950419</v>
      </c>
      <c r="BY577" s="17" t="s">
        <v>3862</v>
      </c>
      <c r="BZ577" s="3">
        <v>6.3532719705989056</v>
      </c>
      <c r="CA577" s="3">
        <v>5.9449472468651638</v>
      </c>
      <c r="CB577" s="3">
        <v>6.54337057082365</v>
      </c>
      <c r="CC577" s="3">
        <v>7.3035736150128807</v>
      </c>
      <c r="CD577" s="3">
        <v>7.6129443867226394</v>
      </c>
      <c r="CE577" s="3">
        <v>7.8767485276289673</v>
      </c>
      <c r="CF577" s="3">
        <v>8.1547169172190852</v>
      </c>
      <c r="CG577" s="3">
        <v>8.4482453910478821</v>
      </c>
      <c r="CH577" s="3">
        <v>8.6668801308412231</v>
      </c>
      <c r="CI577" s="3">
        <v>8.9080074992292388</v>
      </c>
      <c r="CJ577" s="3">
        <v>9.1371028287588576</v>
      </c>
      <c r="CK577" s="3">
        <v>9.5389177497271369</v>
      </c>
      <c r="CL577" s="3">
        <v>9.9534049540765182</v>
      </c>
      <c r="CM577" s="3">
        <v>10.38291611323252</v>
      </c>
      <c r="CN577" s="3">
        <v>10.842626878123779</v>
      </c>
      <c r="CO577" s="3">
        <v>11.309436284936639</v>
      </c>
      <c r="CP577" s="3">
        <v>11.781598677080851</v>
      </c>
      <c r="CQ577" s="3">
        <v>12.26395755656621</v>
      </c>
      <c r="CR577" s="3">
        <v>12.747035942074939</v>
      </c>
      <c r="CS577" s="3">
        <v>13.2380706846252</v>
      </c>
      <c r="CU577" s="17" t="s">
        <v>3863</v>
      </c>
      <c r="CV577" s="3">
        <v>6.3532719705989056</v>
      </c>
      <c r="CW577" s="3">
        <v>5.9449472468651638</v>
      </c>
      <c r="CX577" s="3">
        <v>6.54337057082365</v>
      </c>
      <c r="CY577" s="3">
        <v>7.3035736150128807</v>
      </c>
      <c r="CZ577" s="3">
        <v>7.6133208333112501</v>
      </c>
      <c r="DA577" s="3">
        <v>7.8777223166325347</v>
      </c>
      <c r="DB577" s="3">
        <v>6.9481506621230169</v>
      </c>
      <c r="DC577" s="3">
        <v>7.2395865442786684</v>
      </c>
      <c r="DD577" s="3">
        <v>7.3431749097443184</v>
      </c>
      <c r="DE577" s="3">
        <v>7.6511708620383114</v>
      </c>
      <c r="DF577" s="3">
        <v>7.9412356305939076</v>
      </c>
      <c r="DG577" s="3">
        <v>8.3396801995407177</v>
      </c>
      <c r="DH577" s="3">
        <v>8.7619983750249286</v>
      </c>
      <c r="DI577" s="3">
        <v>9.2243526595390222</v>
      </c>
      <c r="DJ577" s="3">
        <v>9.6960807064729053</v>
      </c>
      <c r="DK577" s="3">
        <v>10.19314414966723</v>
      </c>
      <c r="DL577" s="3">
        <v>10.684752451022661</v>
      </c>
      <c r="DM577" s="3">
        <v>11.186981311964731</v>
      </c>
      <c r="DN577" s="3">
        <v>11.67778282831026</v>
      </c>
      <c r="DO577" s="3">
        <v>12.177373447421949</v>
      </c>
    </row>
    <row r="578" spans="1:119" x14ac:dyDescent="0.45">
      <c r="A578" s="16" t="s">
        <v>3864</v>
      </c>
      <c r="B578" s="3" t="s">
        <v>89</v>
      </c>
      <c r="C578" s="16"/>
      <c r="H578" s="3" t="s">
        <v>3865</v>
      </c>
      <c r="I578" s="3" t="s">
        <v>2363</v>
      </c>
      <c r="K578" s="17" t="s">
        <v>3866</v>
      </c>
      <c r="L578" s="3">
        <v>585.47990294589442</v>
      </c>
      <c r="M578" s="3">
        <v>547.85111564883437</v>
      </c>
      <c r="N578" s="3">
        <v>602.99826364645833</v>
      </c>
      <c r="O578" s="3">
        <v>673.05407214809372</v>
      </c>
      <c r="P578" s="3">
        <v>701.6224408994733</v>
      </c>
      <c r="Q578" s="3">
        <v>726.02584202303024</v>
      </c>
      <c r="R578" s="3">
        <v>751.70878887640185</v>
      </c>
      <c r="S578" s="3">
        <v>778.52312988058281</v>
      </c>
      <c r="T578" s="3">
        <v>799.49463018744234</v>
      </c>
      <c r="U578" s="3">
        <v>821.43509740146908</v>
      </c>
      <c r="V578" s="3">
        <v>843.05979713960392</v>
      </c>
      <c r="W578" s="3">
        <v>878.9866856738696</v>
      </c>
      <c r="X578" s="3">
        <v>915.61816616524447</v>
      </c>
      <c r="Y578" s="3">
        <v>953.96690043652347</v>
      </c>
      <c r="Z578" s="3">
        <v>992.99585857763509</v>
      </c>
      <c r="AA578" s="3">
        <v>1032.7087866645429</v>
      </c>
      <c r="AB578" s="3">
        <v>1073.077422844312</v>
      </c>
      <c r="AC578" s="3">
        <v>1114.1049587053819</v>
      </c>
      <c r="AD578" s="3">
        <v>1155.8295260466721</v>
      </c>
      <c r="AE578" s="3">
        <v>1198.2646896725789</v>
      </c>
      <c r="AG578" s="17" t="s">
        <v>3867</v>
      </c>
      <c r="AH578" s="3">
        <v>585.47990294589442</v>
      </c>
      <c r="AI578" s="3">
        <v>547.85111564883437</v>
      </c>
      <c r="AJ578" s="3">
        <v>602.99826364645833</v>
      </c>
      <c r="AK578" s="3">
        <v>673.05407214809372</v>
      </c>
      <c r="AL578" s="3">
        <v>701.61220299770901</v>
      </c>
      <c r="AM578" s="3">
        <v>725.99961914143807</v>
      </c>
      <c r="AN578" s="3">
        <v>699.93624246287459</v>
      </c>
      <c r="AO578" s="3">
        <v>726.41833088524118</v>
      </c>
      <c r="AP578" s="3">
        <v>741.40162648372791</v>
      </c>
      <c r="AQ578" s="3">
        <v>770.07151895266395</v>
      </c>
      <c r="AR578" s="3">
        <v>792.64108396808263</v>
      </c>
      <c r="AS578" s="3">
        <v>829.10072314999593</v>
      </c>
      <c r="AT578" s="3">
        <v>865.60799295917184</v>
      </c>
      <c r="AU578" s="3">
        <v>903.82167808726354</v>
      </c>
      <c r="AV578" s="3">
        <v>942.90546347942177</v>
      </c>
      <c r="AW578" s="3">
        <v>982.98201992379268</v>
      </c>
      <c r="AX578" s="3">
        <v>1023.342863419594</v>
      </c>
      <c r="AY578" s="3">
        <v>1064.1751318053</v>
      </c>
      <c r="AZ578" s="3">
        <v>1105.1625135471611</v>
      </c>
      <c r="BA578" s="3">
        <v>1146.683657254933</v>
      </c>
      <c r="BC578" s="17" t="s">
        <v>3868</v>
      </c>
      <c r="BD578" s="3">
        <v>585.47990294589442</v>
      </c>
      <c r="BE578" s="3">
        <v>547.85111564883437</v>
      </c>
      <c r="BF578" s="3">
        <v>602.99826364645833</v>
      </c>
      <c r="BG578" s="3">
        <v>673.05407214809372</v>
      </c>
      <c r="BH578" s="3">
        <v>701.58832413858943</v>
      </c>
      <c r="BI578" s="3">
        <v>725.93741577934031</v>
      </c>
      <c r="BJ578" s="3">
        <v>724.24497403787882</v>
      </c>
      <c r="BK578" s="3">
        <v>718.32616461813836</v>
      </c>
      <c r="BL578" s="3">
        <v>710.82587614135468</v>
      </c>
      <c r="BM578" s="3">
        <v>712.83017441269567</v>
      </c>
      <c r="BN578" s="3">
        <v>714.35549076382438</v>
      </c>
      <c r="BO578" s="3">
        <v>722.75507923483326</v>
      </c>
      <c r="BP578" s="3">
        <v>732.56486094581908</v>
      </c>
      <c r="BQ578" s="3">
        <v>747.22183913963204</v>
      </c>
      <c r="BR578" s="3">
        <v>763.10786775148767</v>
      </c>
      <c r="BS578" s="3">
        <v>783.44717710930684</v>
      </c>
      <c r="BT578" s="3">
        <v>804.23856541284783</v>
      </c>
      <c r="BU578" s="3">
        <v>829.55611678935452</v>
      </c>
      <c r="BV578" s="3">
        <v>853.81320887460458</v>
      </c>
      <c r="BW578" s="3">
        <v>883.53361337930301</v>
      </c>
      <c r="BY578" s="17" t="s">
        <v>3869</v>
      </c>
      <c r="BZ578" s="3">
        <v>585.47990294589442</v>
      </c>
      <c r="CA578" s="3">
        <v>547.85111564883437</v>
      </c>
      <c r="CB578" s="3">
        <v>602.99826364645833</v>
      </c>
      <c r="CC578" s="3">
        <v>673.05407214809372</v>
      </c>
      <c r="CD578" s="3">
        <v>701.56384950897871</v>
      </c>
      <c r="CE578" s="3">
        <v>725.87447614818461</v>
      </c>
      <c r="CF578" s="3">
        <v>751.49039602575078</v>
      </c>
      <c r="CG578" s="3">
        <v>778.54024107636963</v>
      </c>
      <c r="CH578" s="3">
        <v>798.68832332866134</v>
      </c>
      <c r="CI578" s="3">
        <v>820.90919296791685</v>
      </c>
      <c r="CJ578" s="3">
        <v>842.02126119340403</v>
      </c>
      <c r="CK578" s="3">
        <v>879.05014363687724</v>
      </c>
      <c r="CL578" s="3">
        <v>917.24682863601072</v>
      </c>
      <c r="CM578" s="3">
        <v>956.82803229619788</v>
      </c>
      <c r="CN578" s="3">
        <v>999.19225269432843</v>
      </c>
      <c r="CO578" s="3">
        <v>1042.2106418739211</v>
      </c>
      <c r="CP578" s="3">
        <v>1085.722330466285</v>
      </c>
      <c r="CQ578" s="3">
        <v>1130.173666919864</v>
      </c>
      <c r="CR578" s="3">
        <v>1174.691308785626</v>
      </c>
      <c r="CS578" s="3">
        <v>1219.9421613765139</v>
      </c>
      <c r="CU578" s="17" t="s">
        <v>3870</v>
      </c>
      <c r="CV578" s="3">
        <v>585.47990294589442</v>
      </c>
      <c r="CW578" s="3">
        <v>547.85111564883437</v>
      </c>
      <c r="CX578" s="3">
        <v>602.99826364645833</v>
      </c>
      <c r="CY578" s="3">
        <v>673.05407214809372</v>
      </c>
      <c r="CZ578" s="3">
        <v>701.59854059621443</v>
      </c>
      <c r="DA578" s="3">
        <v>725.96421477324861</v>
      </c>
      <c r="DB578" s="3">
        <v>640.30039861960415</v>
      </c>
      <c r="DC578" s="3">
        <v>667.15740281981277</v>
      </c>
      <c r="DD578" s="3">
        <v>676.70349284079998</v>
      </c>
      <c r="DE578" s="3">
        <v>705.08657498985781</v>
      </c>
      <c r="DF578" s="3">
        <v>731.81722548425898</v>
      </c>
      <c r="DG578" s="3">
        <v>768.53551625409455</v>
      </c>
      <c r="DH578" s="3">
        <v>807.4538571560779</v>
      </c>
      <c r="DI578" s="3">
        <v>850.06168866032431</v>
      </c>
      <c r="DJ578" s="3">
        <v>893.53335057151287</v>
      </c>
      <c r="DK578" s="3">
        <v>939.33977249491295</v>
      </c>
      <c r="DL578" s="3">
        <v>984.64348086706332</v>
      </c>
      <c r="DM578" s="3">
        <v>1030.92591708603</v>
      </c>
      <c r="DN578" s="3">
        <v>1076.1552769317079</v>
      </c>
      <c r="DO578" s="3">
        <v>1122.1945884146421</v>
      </c>
    </row>
    <row r="579" spans="1:119" x14ac:dyDescent="0.45">
      <c r="A579" s="16" t="s">
        <v>3871</v>
      </c>
      <c r="B579" s="3" t="s">
        <v>89</v>
      </c>
      <c r="C579" s="16" t="s">
        <v>3872</v>
      </c>
      <c r="H579" s="3" t="s">
        <v>3873</v>
      </c>
      <c r="I579" s="3" t="s">
        <v>2363</v>
      </c>
      <c r="K579" s="17" t="s">
        <v>3874</v>
      </c>
      <c r="L579" s="3">
        <v>1165.4020767396671</v>
      </c>
      <c r="M579" s="3">
        <v>1090.5016973405791</v>
      </c>
      <c r="N579" s="3">
        <v>1200.2725032714529</v>
      </c>
      <c r="O579" s="3">
        <v>1339.7191081927961</v>
      </c>
      <c r="P579" s="3">
        <v>1396.5846574702391</v>
      </c>
      <c r="Q579" s="3">
        <v>1445.159807882417</v>
      </c>
      <c r="R579" s="3">
        <v>1496.281903532692</v>
      </c>
      <c r="S579" s="3">
        <v>1549.656047607396</v>
      </c>
      <c r="T579" s="3">
        <v>1591.3999740632621</v>
      </c>
      <c r="U579" s="3">
        <v>1635.072636313854</v>
      </c>
      <c r="V579" s="3">
        <v>1678.116761068419</v>
      </c>
      <c r="W579" s="3">
        <v>1749.629498393746</v>
      </c>
      <c r="X579" s="3">
        <v>1822.5447312205199</v>
      </c>
      <c r="Y579" s="3">
        <v>1898.8781703961699</v>
      </c>
      <c r="Z579" s="3">
        <v>1976.5656002153289</v>
      </c>
      <c r="AA579" s="3">
        <v>2055.6144772699072</v>
      </c>
      <c r="AB579" s="3">
        <v>2135.9685461326221</v>
      </c>
      <c r="AC579" s="3">
        <v>2217.6341596838711</v>
      </c>
      <c r="AD579" s="3">
        <v>2300.6872195514052</v>
      </c>
      <c r="AE579" s="3">
        <v>2385.1547265786949</v>
      </c>
      <c r="AG579" s="17" t="s">
        <v>3875</v>
      </c>
      <c r="AH579" s="3">
        <v>1165.4020767396671</v>
      </c>
      <c r="AI579" s="3">
        <v>1090.5016973405791</v>
      </c>
      <c r="AJ579" s="3">
        <v>1200.2725032714529</v>
      </c>
      <c r="AK579" s="3">
        <v>1339.7191081927961</v>
      </c>
      <c r="AL579" s="3">
        <v>1396.564278851062</v>
      </c>
      <c r="AM579" s="3">
        <v>1445.1076110426759</v>
      </c>
      <c r="AN579" s="3">
        <v>1393.2282670118821</v>
      </c>
      <c r="AO579" s="3">
        <v>1445.9410598653051</v>
      </c>
      <c r="AP579" s="3">
        <v>1475.7654205632921</v>
      </c>
      <c r="AQ579" s="3">
        <v>1532.8330535513519</v>
      </c>
      <c r="AR579" s="3">
        <v>1577.7579396281169</v>
      </c>
      <c r="AS579" s="3">
        <v>1650.331121057553</v>
      </c>
      <c r="AT579" s="3">
        <v>1722.9991116028079</v>
      </c>
      <c r="AU579" s="3">
        <v>1799.063734460186</v>
      </c>
      <c r="AV579" s="3">
        <v>1876.8602983280291</v>
      </c>
      <c r="AW579" s="3">
        <v>1956.6329803173551</v>
      </c>
      <c r="AX579" s="3">
        <v>2036.971537785003</v>
      </c>
      <c r="AY579" s="3">
        <v>2118.2484699824358</v>
      </c>
      <c r="AZ579" s="3">
        <v>2199.8341564624379</v>
      </c>
      <c r="BA579" s="3">
        <v>2282.482300083032</v>
      </c>
      <c r="BC579" s="17" t="s">
        <v>3876</v>
      </c>
      <c r="BD579" s="3">
        <v>1165.4020767396671</v>
      </c>
      <c r="BE579" s="3">
        <v>1090.5016973405791</v>
      </c>
      <c r="BF579" s="3">
        <v>1200.2725032714529</v>
      </c>
      <c r="BG579" s="3">
        <v>1339.7191081927961</v>
      </c>
      <c r="BH579" s="3">
        <v>1396.5167478053879</v>
      </c>
      <c r="BI579" s="3">
        <v>1444.983794790395</v>
      </c>
      <c r="BJ579" s="3">
        <v>1441.614976987536</v>
      </c>
      <c r="BK579" s="3">
        <v>1429.833543064894</v>
      </c>
      <c r="BL579" s="3">
        <v>1414.904163383354</v>
      </c>
      <c r="BM579" s="3">
        <v>1418.8937339152781</v>
      </c>
      <c r="BN579" s="3">
        <v>1421.9298873927009</v>
      </c>
      <c r="BO579" s="3">
        <v>1438.649330363533</v>
      </c>
      <c r="BP579" s="3">
        <v>1458.1757734076459</v>
      </c>
      <c r="BQ579" s="3">
        <v>1487.350596898345</v>
      </c>
      <c r="BR579" s="3">
        <v>1518.971854335618</v>
      </c>
      <c r="BS579" s="3">
        <v>1559.4574000320411</v>
      </c>
      <c r="BT579" s="3">
        <v>1600.84281221328</v>
      </c>
      <c r="BU579" s="3">
        <v>1651.237585464567</v>
      </c>
      <c r="BV579" s="3">
        <v>1699.5215066539649</v>
      </c>
      <c r="BW579" s="3">
        <v>1758.6801916182881</v>
      </c>
      <c r="BY579" s="17" t="s">
        <v>3877</v>
      </c>
      <c r="BZ579" s="3">
        <v>1165.4020767396671</v>
      </c>
      <c r="CA579" s="3">
        <v>1090.5016973405791</v>
      </c>
      <c r="CB579" s="3">
        <v>1200.2725032714529</v>
      </c>
      <c r="CC579" s="3">
        <v>1339.7191081927961</v>
      </c>
      <c r="CD579" s="3">
        <v>1396.4680308741461</v>
      </c>
      <c r="CE579" s="3">
        <v>1444.858512989108</v>
      </c>
      <c r="CF579" s="3">
        <v>1495.847190948343</v>
      </c>
      <c r="CG579" s="3">
        <v>1549.690107569156</v>
      </c>
      <c r="CH579" s="3">
        <v>1589.7950142978041</v>
      </c>
      <c r="CI579" s="3">
        <v>1634.025819649534</v>
      </c>
      <c r="CJ579" s="3">
        <v>1676.049547587</v>
      </c>
      <c r="CK579" s="3">
        <v>1749.755811938418</v>
      </c>
      <c r="CL579" s="3">
        <v>1825.7865959133801</v>
      </c>
      <c r="CM579" s="3">
        <v>1904.5732745223991</v>
      </c>
      <c r="CN579" s="3">
        <v>1988.8995685301379</v>
      </c>
      <c r="CO579" s="3">
        <v>2074.5279903352939</v>
      </c>
      <c r="CP579" s="3">
        <v>2161.1383282697748</v>
      </c>
      <c r="CQ579" s="3">
        <v>2249.619042221183</v>
      </c>
      <c r="CR579" s="3">
        <v>2338.2317375859061</v>
      </c>
      <c r="CS579" s="3">
        <v>2428.3038943214628</v>
      </c>
      <c r="CU579" s="17" t="s">
        <v>3878</v>
      </c>
      <c r="CV579" s="3">
        <v>1165.4020767396671</v>
      </c>
      <c r="CW579" s="3">
        <v>1090.5016973405791</v>
      </c>
      <c r="CX579" s="3">
        <v>1200.2725032714529</v>
      </c>
      <c r="CY579" s="3">
        <v>1339.7191081927961</v>
      </c>
      <c r="CZ579" s="3">
        <v>1396.537083739847</v>
      </c>
      <c r="DA579" s="3">
        <v>1445.037138385961</v>
      </c>
      <c r="DB579" s="3">
        <v>1274.522678804027</v>
      </c>
      <c r="DC579" s="3">
        <v>1327.981744285941</v>
      </c>
      <c r="DD579" s="3">
        <v>1346.983307070976</v>
      </c>
      <c r="DE579" s="3">
        <v>1403.480041996208</v>
      </c>
      <c r="DF579" s="3">
        <v>1456.6875994922609</v>
      </c>
      <c r="DG579" s="3">
        <v>1529.775628820317</v>
      </c>
      <c r="DH579" s="3">
        <v>1607.2428742069201</v>
      </c>
      <c r="DI579" s="3">
        <v>1692.054077923013</v>
      </c>
      <c r="DJ579" s="3">
        <v>1778.584742452595</v>
      </c>
      <c r="DK579" s="3">
        <v>1869.7627640532401</v>
      </c>
      <c r="DL579" s="3">
        <v>1959.9401306122959</v>
      </c>
      <c r="DM579" s="3">
        <v>2052.065662188636</v>
      </c>
      <c r="DN579" s="3">
        <v>2142.0950374559038</v>
      </c>
      <c r="DO579" s="3">
        <v>2233.7366274471369</v>
      </c>
    </row>
    <row r="580" spans="1:119" x14ac:dyDescent="0.45">
      <c r="A580" s="16" t="s">
        <v>3879</v>
      </c>
      <c r="B580" s="3" t="s">
        <v>89</v>
      </c>
      <c r="C580" s="16" t="s">
        <v>3880</v>
      </c>
      <c r="H580" s="3" t="s">
        <v>3881</v>
      </c>
      <c r="I580" s="3" t="s">
        <v>2363</v>
      </c>
      <c r="K580" s="17" t="s">
        <v>3882</v>
      </c>
      <c r="L580" s="3">
        <v>698.83921033706918</v>
      </c>
      <c r="M580" s="3">
        <v>653.92482152832281</v>
      </c>
      <c r="N580" s="3">
        <v>719.74943679707701</v>
      </c>
      <c r="O580" s="3">
        <v>803.36929402270084</v>
      </c>
      <c r="P580" s="3">
        <v>837.46900634139558</v>
      </c>
      <c r="Q580" s="3">
        <v>866.59733932928521</v>
      </c>
      <c r="R580" s="3">
        <v>897.25296082514001</v>
      </c>
      <c r="S580" s="3">
        <v>929.25903447307257</v>
      </c>
      <c r="T580" s="3">
        <v>954.29098969525501</v>
      </c>
      <c r="U580" s="3">
        <v>980.47952102678005</v>
      </c>
      <c r="V580" s="3">
        <v>1006.291146691019</v>
      </c>
      <c r="W580" s="3">
        <v>1049.174118910604</v>
      </c>
      <c r="X580" s="3">
        <v>1092.898104603817</v>
      </c>
      <c r="Y580" s="3">
        <v>1138.671834907321</v>
      </c>
      <c r="Z580" s="3">
        <v>1185.2574925027</v>
      </c>
      <c r="AA580" s="3">
        <v>1232.659548772755</v>
      </c>
      <c r="AB580" s="3">
        <v>1280.844269867888</v>
      </c>
      <c r="AC580" s="3">
        <v>1329.815465324747</v>
      </c>
      <c r="AD580" s="3">
        <v>1379.6186499357441</v>
      </c>
      <c r="AE580" s="3">
        <v>1430.27001489232</v>
      </c>
      <c r="AG580" s="17" t="s">
        <v>3883</v>
      </c>
      <c r="AH580" s="3">
        <v>698.83921033706918</v>
      </c>
      <c r="AI580" s="3">
        <v>653.92482152832281</v>
      </c>
      <c r="AJ580" s="3">
        <v>719.74943679707701</v>
      </c>
      <c r="AK580" s="3">
        <v>803.36929402270084</v>
      </c>
      <c r="AL580" s="3">
        <v>837.45678620002354</v>
      </c>
      <c r="AM580" s="3">
        <v>866.5660392320957</v>
      </c>
      <c r="AN580" s="3">
        <v>835.45632994042069</v>
      </c>
      <c r="AO580" s="3">
        <v>867.06582100586104</v>
      </c>
      <c r="AP580" s="3">
        <v>884.95014873702314</v>
      </c>
      <c r="AQ580" s="3">
        <v>919.17104156806454</v>
      </c>
      <c r="AR580" s="3">
        <v>946.1104752081701</v>
      </c>
      <c r="AS580" s="3">
        <v>989.62934806249143</v>
      </c>
      <c r="AT580" s="3">
        <v>1033.2050736794381</v>
      </c>
      <c r="AU580" s="3">
        <v>1078.8176069271469</v>
      </c>
      <c r="AV580" s="3">
        <v>1125.468707303113</v>
      </c>
      <c r="AW580" s="3">
        <v>1173.3047968387109</v>
      </c>
      <c r="AX580" s="3">
        <v>1221.4802164478619</v>
      </c>
      <c r="AY580" s="3">
        <v>1270.2183371781571</v>
      </c>
      <c r="AZ580" s="3">
        <v>1319.1416039651861</v>
      </c>
      <c r="BA580" s="3">
        <v>1368.7019785143921</v>
      </c>
      <c r="BC580" s="17" t="s">
        <v>3884</v>
      </c>
      <c r="BD580" s="3">
        <v>698.83921033706918</v>
      </c>
      <c r="BE580" s="3">
        <v>653.92482152832281</v>
      </c>
      <c r="BF580" s="3">
        <v>719.74943679707701</v>
      </c>
      <c r="BG580" s="3">
        <v>803.36929402270084</v>
      </c>
      <c r="BH580" s="3">
        <v>837.42828396968764</v>
      </c>
      <c r="BI580" s="3">
        <v>866.49179219435803</v>
      </c>
      <c r="BJ580" s="3">
        <v>864.47166367381726</v>
      </c>
      <c r="BK580" s="3">
        <v>857.40686763177575</v>
      </c>
      <c r="BL580" s="3">
        <v>848.45439010002326</v>
      </c>
      <c r="BM580" s="3">
        <v>850.84675611323098</v>
      </c>
      <c r="BN580" s="3">
        <v>852.66740079970714</v>
      </c>
      <c r="BO580" s="3">
        <v>862.69329877622351</v>
      </c>
      <c r="BP580" s="3">
        <v>874.40242844914735</v>
      </c>
      <c r="BQ580" s="3">
        <v>891.89725793066157</v>
      </c>
      <c r="BR580" s="3">
        <v>910.85910381920814</v>
      </c>
      <c r="BS580" s="3">
        <v>935.13646469684238</v>
      </c>
      <c r="BT580" s="3">
        <v>959.95343503305685</v>
      </c>
      <c r="BU580" s="3">
        <v>990.17291399826604</v>
      </c>
      <c r="BV580" s="3">
        <v>1019.12660991957</v>
      </c>
      <c r="BW580" s="3">
        <v>1054.601412573694</v>
      </c>
      <c r="BY580" s="17" t="s">
        <v>3885</v>
      </c>
      <c r="BZ580" s="3">
        <v>698.83921033706918</v>
      </c>
      <c r="CA580" s="3">
        <v>653.92482152832281</v>
      </c>
      <c r="CB580" s="3">
        <v>719.74943679707701</v>
      </c>
      <c r="CC580" s="3">
        <v>803.36929402270084</v>
      </c>
      <c r="CD580" s="3">
        <v>837.39907061711233</v>
      </c>
      <c r="CE580" s="3">
        <v>866.41666633279658</v>
      </c>
      <c r="CF580" s="3">
        <v>896.99228323992429</v>
      </c>
      <c r="CG580" s="3">
        <v>929.27945870026019</v>
      </c>
      <c r="CH580" s="3">
        <v>953.32856750852454</v>
      </c>
      <c r="CI580" s="3">
        <v>979.8517921547774</v>
      </c>
      <c r="CJ580" s="3">
        <v>1005.051531741134</v>
      </c>
      <c r="CK580" s="3">
        <v>1049.2498634622691</v>
      </c>
      <c r="CL580" s="3">
        <v>1094.8421050541299</v>
      </c>
      <c r="CM580" s="3">
        <v>1142.086932709012</v>
      </c>
      <c r="CN580" s="3">
        <v>1192.6536185689549</v>
      </c>
      <c r="CO580" s="3">
        <v>1244.0011319045541</v>
      </c>
      <c r="CP580" s="3">
        <v>1295.9374561802831</v>
      </c>
      <c r="CQ580" s="3">
        <v>1348.9953608313949</v>
      </c>
      <c r="CR580" s="3">
        <v>1402.132408800082</v>
      </c>
      <c r="CS580" s="3">
        <v>1456.144630112173</v>
      </c>
      <c r="CU580" s="17" t="s">
        <v>3886</v>
      </c>
      <c r="CV580" s="3">
        <v>698.83921033706918</v>
      </c>
      <c r="CW580" s="3">
        <v>653.92482152832281</v>
      </c>
      <c r="CX580" s="3">
        <v>719.74943679707701</v>
      </c>
      <c r="CY580" s="3">
        <v>803.36929402270084</v>
      </c>
      <c r="CZ580" s="3">
        <v>837.44047851495407</v>
      </c>
      <c r="DA580" s="3">
        <v>866.5237799494397</v>
      </c>
      <c r="DB580" s="3">
        <v>764.27392759062172</v>
      </c>
      <c r="DC580" s="3">
        <v>796.33092478703543</v>
      </c>
      <c r="DD580" s="3">
        <v>807.72530737558657</v>
      </c>
      <c r="DE580" s="3">
        <v>841.60385831504175</v>
      </c>
      <c r="DF580" s="3">
        <v>873.51003748414939</v>
      </c>
      <c r="DG580" s="3">
        <v>917.3376414674924</v>
      </c>
      <c r="DH580" s="3">
        <v>963.79126436167439</v>
      </c>
      <c r="DI580" s="3">
        <v>1014.648728764435</v>
      </c>
      <c r="DJ580" s="3">
        <v>1066.537276482635</v>
      </c>
      <c r="DK580" s="3">
        <v>1121.212635216978</v>
      </c>
      <c r="DL580" s="3">
        <v>1175.287946128308</v>
      </c>
      <c r="DM580" s="3">
        <v>1230.5314839799009</v>
      </c>
      <c r="DN580" s="3">
        <v>1284.5180511695969</v>
      </c>
      <c r="DO580" s="3">
        <v>1339.4713910183409</v>
      </c>
    </row>
    <row r="581" spans="1:119" x14ac:dyDescent="0.45">
      <c r="A581" s="16" t="s">
        <v>3887</v>
      </c>
      <c r="B581" s="3" t="s">
        <v>89</v>
      </c>
      <c r="C581" s="16" t="s">
        <v>3888</v>
      </c>
      <c r="H581" s="3" t="s">
        <v>3889</v>
      </c>
      <c r="I581" s="3" t="s">
        <v>2363</v>
      </c>
      <c r="K581" s="17" t="s">
        <v>3890</v>
      </c>
      <c r="L581" s="3">
        <v>0</v>
      </c>
      <c r="M581" s="3">
        <v>0</v>
      </c>
      <c r="N581" s="3">
        <v>0</v>
      </c>
      <c r="O581" s="3">
        <v>0</v>
      </c>
      <c r="P581" s="3">
        <v>0</v>
      </c>
      <c r="Q581" s="3">
        <v>0</v>
      </c>
      <c r="R581" s="3">
        <v>0</v>
      </c>
      <c r="S581" s="3">
        <v>0</v>
      </c>
      <c r="T581" s="3">
        <v>0</v>
      </c>
      <c r="U581" s="3">
        <v>0</v>
      </c>
      <c r="V581" s="3">
        <v>0</v>
      </c>
      <c r="W581" s="3">
        <v>0</v>
      </c>
      <c r="X581" s="3">
        <v>0</v>
      </c>
      <c r="Y581" s="3">
        <v>0</v>
      </c>
      <c r="Z581" s="3">
        <v>0</v>
      </c>
      <c r="AA581" s="3">
        <v>0</v>
      </c>
      <c r="AB581" s="3">
        <v>0</v>
      </c>
      <c r="AC581" s="3">
        <v>0</v>
      </c>
      <c r="AD581" s="3">
        <v>0</v>
      </c>
      <c r="AE581" s="3">
        <v>0</v>
      </c>
      <c r="AG581" s="17" t="s">
        <v>3891</v>
      </c>
      <c r="AH581" s="3">
        <v>0</v>
      </c>
      <c r="AI581" s="3">
        <v>0</v>
      </c>
      <c r="AJ581" s="3">
        <v>0</v>
      </c>
      <c r="AK581" s="3">
        <v>0</v>
      </c>
      <c r="AL581" s="3">
        <v>0</v>
      </c>
      <c r="AM581" s="3">
        <v>0</v>
      </c>
      <c r="AN581" s="3">
        <v>0</v>
      </c>
      <c r="AO581" s="3">
        <v>0</v>
      </c>
      <c r="AP581" s="3">
        <v>0</v>
      </c>
      <c r="AQ581" s="3">
        <v>0</v>
      </c>
      <c r="AR581" s="3">
        <v>0</v>
      </c>
      <c r="AS581" s="3">
        <v>0</v>
      </c>
      <c r="AT581" s="3">
        <v>0</v>
      </c>
      <c r="AU581" s="3">
        <v>0</v>
      </c>
      <c r="AV581" s="3">
        <v>0</v>
      </c>
      <c r="AW581" s="3">
        <v>0</v>
      </c>
      <c r="AX581" s="3">
        <v>0</v>
      </c>
      <c r="AY581" s="3">
        <v>0</v>
      </c>
      <c r="AZ581" s="3">
        <v>0</v>
      </c>
      <c r="BA581" s="3">
        <v>0</v>
      </c>
      <c r="BC581" s="17" t="s">
        <v>3892</v>
      </c>
      <c r="BD581" s="3">
        <v>0</v>
      </c>
      <c r="BE581" s="3">
        <v>0</v>
      </c>
      <c r="BF581" s="3">
        <v>0</v>
      </c>
      <c r="BG581" s="3">
        <v>0</v>
      </c>
      <c r="BH581" s="3">
        <v>0</v>
      </c>
      <c r="BI581" s="3">
        <v>0</v>
      </c>
      <c r="BJ581" s="3">
        <v>0</v>
      </c>
      <c r="BK581" s="3">
        <v>0</v>
      </c>
      <c r="BL581" s="3">
        <v>0</v>
      </c>
      <c r="BM581" s="3">
        <v>0</v>
      </c>
      <c r="BN581" s="3">
        <v>0</v>
      </c>
      <c r="BO581" s="3">
        <v>0</v>
      </c>
      <c r="BP581" s="3">
        <v>0</v>
      </c>
      <c r="BQ581" s="3">
        <v>0</v>
      </c>
      <c r="BR581" s="3">
        <v>0</v>
      </c>
      <c r="BS581" s="3">
        <v>0</v>
      </c>
      <c r="BT581" s="3">
        <v>0</v>
      </c>
      <c r="BU581" s="3">
        <v>0</v>
      </c>
      <c r="BV581" s="3">
        <v>0</v>
      </c>
      <c r="BW581" s="3">
        <v>0</v>
      </c>
      <c r="BY581" s="17" t="s">
        <v>3893</v>
      </c>
      <c r="BZ581" s="3">
        <v>0</v>
      </c>
      <c r="CA581" s="3">
        <v>0</v>
      </c>
      <c r="CB581" s="3">
        <v>0</v>
      </c>
      <c r="CC581" s="3">
        <v>0</v>
      </c>
      <c r="CD581" s="3">
        <v>0</v>
      </c>
      <c r="CE581" s="3">
        <v>0</v>
      </c>
      <c r="CF581" s="3">
        <v>0</v>
      </c>
      <c r="CG581" s="3">
        <v>0</v>
      </c>
      <c r="CH581" s="3">
        <v>0</v>
      </c>
      <c r="CI581" s="3">
        <v>0</v>
      </c>
      <c r="CJ581" s="3">
        <v>0</v>
      </c>
      <c r="CK581" s="3">
        <v>0</v>
      </c>
      <c r="CL581" s="3">
        <v>0</v>
      </c>
      <c r="CM581" s="3">
        <v>0</v>
      </c>
      <c r="CN581" s="3">
        <v>0</v>
      </c>
      <c r="CO581" s="3">
        <v>0</v>
      </c>
      <c r="CP581" s="3">
        <v>0</v>
      </c>
      <c r="CQ581" s="3">
        <v>0</v>
      </c>
      <c r="CR581" s="3">
        <v>0</v>
      </c>
      <c r="CS581" s="3">
        <v>0</v>
      </c>
      <c r="CU581" s="17" t="s">
        <v>3894</v>
      </c>
      <c r="CV581" s="3">
        <v>0</v>
      </c>
      <c r="CW581" s="3">
        <v>0</v>
      </c>
      <c r="CX581" s="3">
        <v>0</v>
      </c>
      <c r="CY581" s="3">
        <v>0</v>
      </c>
      <c r="CZ581" s="3">
        <v>0</v>
      </c>
      <c r="DA581" s="3">
        <v>0</v>
      </c>
      <c r="DB581" s="3">
        <v>0</v>
      </c>
      <c r="DC581" s="3">
        <v>0</v>
      </c>
      <c r="DD581" s="3">
        <v>0</v>
      </c>
      <c r="DE581" s="3">
        <v>0</v>
      </c>
      <c r="DF581" s="3">
        <v>0</v>
      </c>
      <c r="DG581" s="3">
        <v>0</v>
      </c>
      <c r="DH581" s="3">
        <v>0</v>
      </c>
      <c r="DI581" s="3">
        <v>0</v>
      </c>
      <c r="DJ581" s="3">
        <v>0</v>
      </c>
      <c r="DK581" s="3">
        <v>0</v>
      </c>
      <c r="DL581" s="3">
        <v>0</v>
      </c>
      <c r="DM581" s="3">
        <v>0</v>
      </c>
      <c r="DN581" s="3">
        <v>0</v>
      </c>
      <c r="DO581" s="3">
        <v>0</v>
      </c>
    </row>
    <row r="582" spans="1:119" x14ac:dyDescent="0.45">
      <c r="A582" s="11"/>
      <c r="B582" s="3" t="s">
        <v>89</v>
      </c>
      <c r="C582" s="16"/>
      <c r="H582" s="11" t="s">
        <v>3895</v>
      </c>
      <c r="I582" s="11" t="s">
        <v>2363</v>
      </c>
    </row>
    <row r="583" spans="1:119" x14ac:dyDescent="0.45">
      <c r="A583" s="16" t="s">
        <v>3896</v>
      </c>
      <c r="B583" s="3" t="s">
        <v>89</v>
      </c>
      <c r="C583" s="16" t="s">
        <v>3897</v>
      </c>
      <c r="H583" s="3" t="s">
        <v>3898</v>
      </c>
      <c r="I583" s="3" t="s">
        <v>2363</v>
      </c>
      <c r="K583" s="17" t="s">
        <v>3899</v>
      </c>
      <c r="L583" s="3">
        <v>0</v>
      </c>
      <c r="M583" s="3">
        <v>0</v>
      </c>
      <c r="N583" s="3">
        <v>0</v>
      </c>
      <c r="O583" s="3">
        <v>0</v>
      </c>
      <c r="P583" s="3">
        <v>0</v>
      </c>
      <c r="Q583" s="3">
        <v>0</v>
      </c>
      <c r="R583" s="3">
        <v>0</v>
      </c>
      <c r="S583" s="3">
        <v>0</v>
      </c>
      <c r="T583" s="3">
        <v>0</v>
      </c>
      <c r="U583" s="3">
        <v>0</v>
      </c>
      <c r="V583" s="3">
        <v>0</v>
      </c>
      <c r="W583" s="3">
        <v>0</v>
      </c>
      <c r="X583" s="3">
        <v>0</v>
      </c>
      <c r="Y583" s="3">
        <v>0</v>
      </c>
      <c r="Z583" s="3">
        <v>0</v>
      </c>
      <c r="AA583" s="3">
        <v>0</v>
      </c>
      <c r="AB583" s="3">
        <v>0</v>
      </c>
      <c r="AC583" s="3">
        <v>0</v>
      </c>
      <c r="AD583" s="3">
        <v>0</v>
      </c>
      <c r="AE583" s="3">
        <v>0</v>
      </c>
      <c r="AG583" s="17" t="s">
        <v>3900</v>
      </c>
      <c r="AH583" s="3">
        <v>0</v>
      </c>
      <c r="AI583" s="3">
        <v>0</v>
      </c>
      <c r="AJ583" s="3">
        <v>0</v>
      </c>
      <c r="AK583" s="3">
        <v>0</v>
      </c>
      <c r="AL583" s="3">
        <v>0</v>
      </c>
      <c r="AM583" s="3">
        <v>0</v>
      </c>
      <c r="AN583" s="3">
        <v>0</v>
      </c>
      <c r="AO583" s="3">
        <v>0</v>
      </c>
      <c r="AP583" s="3">
        <v>0</v>
      </c>
      <c r="AQ583" s="3">
        <v>0</v>
      </c>
      <c r="AR583" s="3">
        <v>0</v>
      </c>
      <c r="AS583" s="3">
        <v>0</v>
      </c>
      <c r="AT583" s="3">
        <v>0</v>
      </c>
      <c r="AU583" s="3">
        <v>0</v>
      </c>
      <c r="AV583" s="3">
        <v>0</v>
      </c>
      <c r="AW583" s="3">
        <v>0</v>
      </c>
      <c r="AX583" s="3">
        <v>0</v>
      </c>
      <c r="AY583" s="3">
        <v>0</v>
      </c>
      <c r="AZ583" s="3">
        <v>0</v>
      </c>
      <c r="BA583" s="3">
        <v>0</v>
      </c>
      <c r="BC583" s="17" t="s">
        <v>3901</v>
      </c>
      <c r="BD583" s="3">
        <v>0</v>
      </c>
      <c r="BE583" s="3">
        <v>0</v>
      </c>
      <c r="BF583" s="3">
        <v>0</v>
      </c>
      <c r="BG583" s="3">
        <v>0</v>
      </c>
      <c r="BH583" s="3">
        <v>0</v>
      </c>
      <c r="BI583" s="3">
        <v>0</v>
      </c>
      <c r="BJ583" s="3">
        <v>0</v>
      </c>
      <c r="BK583" s="3">
        <v>0</v>
      </c>
      <c r="BL583" s="3">
        <v>0</v>
      </c>
      <c r="BM583" s="3">
        <v>0</v>
      </c>
      <c r="BN583" s="3">
        <v>0</v>
      </c>
      <c r="BO583" s="3">
        <v>0</v>
      </c>
      <c r="BP583" s="3">
        <v>0</v>
      </c>
      <c r="BQ583" s="3">
        <v>0</v>
      </c>
      <c r="BR583" s="3">
        <v>0</v>
      </c>
      <c r="BS583" s="3">
        <v>0</v>
      </c>
      <c r="BT583" s="3">
        <v>0</v>
      </c>
      <c r="BU583" s="3">
        <v>0</v>
      </c>
      <c r="BV583" s="3">
        <v>0</v>
      </c>
      <c r="BW583" s="3">
        <v>0</v>
      </c>
      <c r="BY583" s="17" t="s">
        <v>3902</v>
      </c>
      <c r="BZ583" s="3">
        <v>0</v>
      </c>
      <c r="CA583" s="3">
        <v>0</v>
      </c>
      <c r="CB583" s="3">
        <v>0</v>
      </c>
      <c r="CC583" s="3">
        <v>0</v>
      </c>
      <c r="CD583" s="3">
        <v>0</v>
      </c>
      <c r="CE583" s="3">
        <v>0</v>
      </c>
      <c r="CF583" s="3">
        <v>0</v>
      </c>
      <c r="CG583" s="3">
        <v>0</v>
      </c>
      <c r="CH583" s="3">
        <v>0</v>
      </c>
      <c r="CI583" s="3">
        <v>0</v>
      </c>
      <c r="CJ583" s="3">
        <v>0</v>
      </c>
      <c r="CK583" s="3">
        <v>0</v>
      </c>
      <c r="CL583" s="3">
        <v>0</v>
      </c>
      <c r="CM583" s="3">
        <v>0</v>
      </c>
      <c r="CN583" s="3">
        <v>0</v>
      </c>
      <c r="CO583" s="3">
        <v>0</v>
      </c>
      <c r="CP583" s="3">
        <v>0</v>
      </c>
      <c r="CQ583" s="3">
        <v>0</v>
      </c>
      <c r="CR583" s="3">
        <v>0</v>
      </c>
      <c r="CS583" s="3">
        <v>0</v>
      </c>
      <c r="CU583" s="17" t="s">
        <v>3903</v>
      </c>
      <c r="CV583" s="3">
        <v>0</v>
      </c>
      <c r="CW583" s="3">
        <v>0</v>
      </c>
      <c r="CX583" s="3">
        <v>0</v>
      </c>
      <c r="CY583" s="3">
        <v>0</v>
      </c>
      <c r="CZ583" s="3">
        <v>0</v>
      </c>
      <c r="DA583" s="3">
        <v>0</v>
      </c>
      <c r="DB583" s="3">
        <v>0</v>
      </c>
      <c r="DC583" s="3">
        <v>0</v>
      </c>
      <c r="DD583" s="3">
        <v>0</v>
      </c>
      <c r="DE583" s="3">
        <v>0</v>
      </c>
      <c r="DF583" s="3">
        <v>0</v>
      </c>
      <c r="DG583" s="3">
        <v>0</v>
      </c>
      <c r="DH583" s="3">
        <v>0</v>
      </c>
      <c r="DI583" s="3">
        <v>0</v>
      </c>
      <c r="DJ583" s="3">
        <v>0</v>
      </c>
      <c r="DK583" s="3">
        <v>0</v>
      </c>
      <c r="DL583" s="3">
        <v>0</v>
      </c>
      <c r="DM583" s="3">
        <v>0</v>
      </c>
      <c r="DN583" s="3">
        <v>0</v>
      </c>
      <c r="DO583" s="3">
        <v>0</v>
      </c>
    </row>
    <row r="584" spans="1:119" x14ac:dyDescent="0.45">
      <c r="A584" s="11"/>
      <c r="B584" s="3" t="s">
        <v>89</v>
      </c>
      <c r="C584" s="16" t="s">
        <v>3904</v>
      </c>
      <c r="H584" s="11" t="s">
        <v>3905</v>
      </c>
      <c r="I584" s="11" t="s">
        <v>2363</v>
      </c>
    </row>
    <row r="585" spans="1:119" x14ac:dyDescent="0.45">
      <c r="A585" s="16" t="s">
        <v>3906</v>
      </c>
      <c r="B585" s="3" t="s">
        <v>89</v>
      </c>
      <c r="C585" s="16"/>
      <c r="H585" s="3" t="s">
        <v>3907</v>
      </c>
      <c r="I585" s="3" t="s">
        <v>2363</v>
      </c>
      <c r="K585" s="17" t="s">
        <v>3908</v>
      </c>
      <c r="L585" s="20">
        <v>33221.07773901707</v>
      </c>
      <c r="M585" s="20">
        <v>31499.38159857838</v>
      </c>
      <c r="N585" s="20">
        <v>36237.00609881636</v>
      </c>
      <c r="O585" s="20">
        <v>40500.261657413183</v>
      </c>
      <c r="P585" s="20">
        <v>41638.293094516222</v>
      </c>
      <c r="Q585" s="20">
        <v>42401.977500654692</v>
      </c>
      <c r="R585" s="20">
        <v>43207.744186425887</v>
      </c>
      <c r="S585" s="20">
        <v>44060.716245122399</v>
      </c>
      <c r="T585" s="20">
        <v>44395.526907373824</v>
      </c>
      <c r="U585" s="20">
        <v>43913.113830227361</v>
      </c>
      <c r="V585" s="20">
        <v>43258.303225325908</v>
      </c>
      <c r="W585" s="20">
        <v>43846.620051076978</v>
      </c>
      <c r="X585" s="20">
        <v>44161.577819831728</v>
      </c>
      <c r="Y585" s="20">
        <v>44669.971484569192</v>
      </c>
      <c r="Z585" s="20">
        <v>45175.700922856216</v>
      </c>
      <c r="AA585" s="20">
        <v>45703.337437479051</v>
      </c>
      <c r="AB585" s="20">
        <v>46246.678591103962</v>
      </c>
      <c r="AC585" s="20">
        <v>46806.975602647843</v>
      </c>
      <c r="AD585" s="20">
        <v>47389.373156597612</v>
      </c>
      <c r="AE585" s="20">
        <v>47995.675633219937</v>
      </c>
      <c r="AG585" s="17" t="s">
        <v>3909</v>
      </c>
      <c r="AH585" s="20">
        <v>33221.07773901707</v>
      </c>
      <c r="AI585" s="20">
        <v>31476.91408322132</v>
      </c>
      <c r="AJ585" s="20">
        <v>36215.353794796851</v>
      </c>
      <c r="AK585" s="20">
        <v>40479.396903837463</v>
      </c>
      <c r="AL585" s="20">
        <v>41617.406555441143</v>
      </c>
      <c r="AM585" s="20">
        <v>42380.562189240663</v>
      </c>
      <c r="AN585" s="20">
        <v>38876.292280523798</v>
      </c>
      <c r="AO585" s="20">
        <v>41099.245923306713</v>
      </c>
      <c r="AP585" s="20">
        <v>41026.008974922821</v>
      </c>
      <c r="AQ585" s="20">
        <v>41143.905414490313</v>
      </c>
      <c r="AR585" s="20">
        <v>40526.392194808846</v>
      </c>
      <c r="AS585" s="20">
        <v>41371.850776044608</v>
      </c>
      <c r="AT585" s="20">
        <v>41596.08102958402</v>
      </c>
      <c r="AU585" s="20">
        <v>42170.698431542842</v>
      </c>
      <c r="AV585" s="20">
        <v>42744.949259911962</v>
      </c>
      <c r="AW585" s="20">
        <v>43360.344421135502</v>
      </c>
      <c r="AX585" s="20">
        <v>43954.534130706343</v>
      </c>
      <c r="AY585" s="20">
        <v>44555.989756468509</v>
      </c>
      <c r="AZ585" s="20">
        <v>45134.168897302683</v>
      </c>
      <c r="BA585" s="20">
        <v>45728.04731306756</v>
      </c>
      <c r="BC585" s="17" t="s">
        <v>3910</v>
      </c>
      <c r="BD585" s="20">
        <v>33221.07773901707</v>
      </c>
      <c r="BE585" s="20">
        <v>31421.370708289691</v>
      </c>
      <c r="BF585" s="20">
        <v>36161.827438114073</v>
      </c>
      <c r="BG585" s="20">
        <v>40427.819029383187</v>
      </c>
      <c r="BH585" s="20">
        <v>41565.88523550293</v>
      </c>
      <c r="BI585" s="20">
        <v>42327.829296278927</v>
      </c>
      <c r="BJ585" s="20">
        <v>40839.588233966409</v>
      </c>
      <c r="BK585" s="20">
        <v>38495.705254819099</v>
      </c>
      <c r="BL585" s="20">
        <v>37539.107576556431</v>
      </c>
      <c r="BM585" s="20">
        <v>37214.834000975563</v>
      </c>
      <c r="BN585" s="20">
        <v>35384.692007133257</v>
      </c>
      <c r="BO585" s="20">
        <v>34908.282582880267</v>
      </c>
      <c r="BP585" s="20">
        <v>33474.848460093839</v>
      </c>
      <c r="BQ585" s="20">
        <v>32788.744159956063</v>
      </c>
      <c r="BR585" s="20">
        <v>31556.151546625912</v>
      </c>
      <c r="BS585" s="20">
        <v>30907.188643731359</v>
      </c>
      <c r="BT585" s="20">
        <v>29698.461097610219</v>
      </c>
      <c r="BU585" s="20">
        <v>29168.533607183781</v>
      </c>
      <c r="BV585" s="20">
        <v>27870.013833567889</v>
      </c>
      <c r="BW585" s="20">
        <v>27588.535549215248</v>
      </c>
      <c r="BY585" s="17" t="s">
        <v>3911</v>
      </c>
      <c r="BZ585" s="20">
        <v>33221.07773901707</v>
      </c>
      <c r="CA585" s="20">
        <v>31367.133827554779</v>
      </c>
      <c r="CB585" s="20">
        <v>36109.493587514633</v>
      </c>
      <c r="CC585" s="20">
        <v>40377.324220641407</v>
      </c>
      <c r="CD585" s="20">
        <v>41515.296419654238</v>
      </c>
      <c r="CE585" s="20">
        <v>42275.915913221128</v>
      </c>
      <c r="CF585" s="20">
        <v>43080.389750622773</v>
      </c>
      <c r="CG585" s="20">
        <v>43954.851437424622</v>
      </c>
      <c r="CH585" s="20">
        <v>44228.682948910777</v>
      </c>
      <c r="CI585" s="20">
        <v>43288.306950258608</v>
      </c>
      <c r="CJ585" s="20">
        <v>41659.073856188661</v>
      </c>
      <c r="CK585" s="20">
        <v>41777.696335714652</v>
      </c>
      <c r="CL585" s="20">
        <v>39996.241780126977</v>
      </c>
      <c r="CM585" s="20">
        <v>38750.551094479073</v>
      </c>
      <c r="CN585" s="20">
        <v>37626.984416509658</v>
      </c>
      <c r="CO585" s="20">
        <v>36226.594017482363</v>
      </c>
      <c r="CP585" s="20">
        <v>35048.793734104969</v>
      </c>
      <c r="CQ585" s="20">
        <v>33957.076017136162</v>
      </c>
      <c r="CR585" s="20">
        <v>32788.120281946569</v>
      </c>
      <c r="CS585" s="20">
        <v>31789.535240138572</v>
      </c>
      <c r="CU585" s="17" t="s">
        <v>3912</v>
      </c>
      <c r="CV585" s="20">
        <v>33221.07773901707</v>
      </c>
      <c r="CW585" s="20">
        <v>31445.69518481</v>
      </c>
      <c r="CX585" s="20">
        <v>36185.268308796411</v>
      </c>
      <c r="CY585" s="20">
        <v>40450.406334225248</v>
      </c>
      <c r="CZ585" s="20">
        <v>41588.429181190128</v>
      </c>
      <c r="DA585" s="20">
        <v>42350.887709063463</v>
      </c>
      <c r="DB585" s="20">
        <v>34038.152098564591</v>
      </c>
      <c r="DC585" s="20">
        <v>36256.093428464628</v>
      </c>
      <c r="DD585" s="20">
        <v>35731.616503432437</v>
      </c>
      <c r="DE585" s="20">
        <v>37528.920718328773</v>
      </c>
      <c r="DF585" s="20">
        <v>35750.864920723921</v>
      </c>
      <c r="DG585" s="20">
        <v>35921.081837676247</v>
      </c>
      <c r="DH585" s="20">
        <v>34730.879533177809</v>
      </c>
      <c r="DI585" s="20">
        <v>34318.496543157693</v>
      </c>
      <c r="DJ585" s="20">
        <v>33555.169294374609</v>
      </c>
      <c r="DK585" s="20">
        <v>33187.703492279652</v>
      </c>
      <c r="DL585" s="20">
        <v>32495.815511069879</v>
      </c>
      <c r="DM585" s="20">
        <v>32167.578414313761</v>
      </c>
      <c r="DN585" s="20">
        <v>31559.003388884339</v>
      </c>
      <c r="DO585" s="20">
        <v>31280.884274183729</v>
      </c>
    </row>
    <row r="586" spans="1:119" x14ac:dyDescent="0.45">
      <c r="A586" s="16" t="s">
        <v>2438</v>
      </c>
      <c r="B586" s="3" t="s">
        <v>89</v>
      </c>
      <c r="C586" s="16"/>
      <c r="H586" s="3" t="s">
        <v>2440</v>
      </c>
      <c r="I586" s="3" t="s">
        <v>2363</v>
      </c>
      <c r="K586" s="17" t="s">
        <v>2441</v>
      </c>
      <c r="L586" s="3">
        <v>0</v>
      </c>
      <c r="M586" s="3">
        <v>0</v>
      </c>
      <c r="N586" s="3">
        <v>0</v>
      </c>
      <c r="O586" s="3">
        <v>0</v>
      </c>
      <c r="P586" s="3">
        <v>0</v>
      </c>
      <c r="Q586" s="3">
        <v>0</v>
      </c>
      <c r="R586" s="3">
        <v>0</v>
      </c>
      <c r="S586" s="3">
        <v>0</v>
      </c>
      <c r="T586" s="3">
        <v>0</v>
      </c>
      <c r="U586" s="3">
        <v>0</v>
      </c>
      <c r="V586" s="3">
        <v>0</v>
      </c>
      <c r="W586" s="3">
        <v>0</v>
      </c>
      <c r="X586" s="3">
        <v>0</v>
      </c>
      <c r="Y586" s="3">
        <v>0</v>
      </c>
      <c r="Z586" s="3">
        <v>0</v>
      </c>
      <c r="AA586" s="3">
        <v>0</v>
      </c>
      <c r="AB586" s="3">
        <v>0</v>
      </c>
      <c r="AC586" s="3">
        <v>0</v>
      </c>
      <c r="AD586" s="3">
        <v>0</v>
      </c>
      <c r="AE586" s="3">
        <v>0</v>
      </c>
      <c r="AG586" s="17" t="s">
        <v>2442</v>
      </c>
      <c r="AH586" s="3">
        <v>0</v>
      </c>
      <c r="AI586" s="3">
        <v>0</v>
      </c>
      <c r="AJ586" s="3">
        <v>0</v>
      </c>
      <c r="AK586" s="3">
        <v>0</v>
      </c>
      <c r="AL586" s="3">
        <v>0</v>
      </c>
      <c r="AM586" s="3">
        <v>0</v>
      </c>
      <c r="AN586" s="3">
        <v>0</v>
      </c>
      <c r="AO586" s="3">
        <v>0</v>
      </c>
      <c r="AP586" s="3">
        <v>0</v>
      </c>
      <c r="AQ586" s="3">
        <v>0</v>
      </c>
      <c r="AR586" s="3">
        <v>0</v>
      </c>
      <c r="AS586" s="3">
        <v>0</v>
      </c>
      <c r="AT586" s="3">
        <v>0</v>
      </c>
      <c r="AU586" s="3">
        <v>0</v>
      </c>
      <c r="AV586" s="3">
        <v>0</v>
      </c>
      <c r="AW586" s="3">
        <v>0</v>
      </c>
      <c r="AX586" s="3">
        <v>0</v>
      </c>
      <c r="AY586" s="3">
        <v>0</v>
      </c>
      <c r="AZ586" s="3">
        <v>0</v>
      </c>
      <c r="BA586" s="3">
        <v>0</v>
      </c>
      <c r="BC586" s="17" t="s">
        <v>2443</v>
      </c>
      <c r="BD586" s="3">
        <v>0</v>
      </c>
      <c r="BE586" s="3">
        <v>0</v>
      </c>
      <c r="BF586" s="3">
        <v>0</v>
      </c>
      <c r="BG586" s="3">
        <v>0</v>
      </c>
      <c r="BH586" s="3">
        <v>0</v>
      </c>
      <c r="BI586" s="3">
        <v>0</v>
      </c>
      <c r="BJ586" s="3">
        <v>0</v>
      </c>
      <c r="BK586" s="3">
        <v>0</v>
      </c>
      <c r="BL586" s="3">
        <v>0</v>
      </c>
      <c r="BM586" s="3">
        <v>0</v>
      </c>
      <c r="BN586" s="3">
        <v>0</v>
      </c>
      <c r="BO586" s="3">
        <v>0</v>
      </c>
      <c r="BP586" s="3">
        <v>0</v>
      </c>
      <c r="BQ586" s="3">
        <v>0</v>
      </c>
      <c r="BR586" s="3">
        <v>0</v>
      </c>
      <c r="BS586" s="3">
        <v>0</v>
      </c>
      <c r="BT586" s="3">
        <v>0</v>
      </c>
      <c r="BU586" s="3">
        <v>0</v>
      </c>
      <c r="BV586" s="3">
        <v>0</v>
      </c>
      <c r="BW586" s="3">
        <v>0</v>
      </c>
      <c r="BY586" s="17" t="s">
        <v>2444</v>
      </c>
      <c r="BZ586" s="3">
        <v>0</v>
      </c>
      <c r="CA586" s="3">
        <v>0</v>
      </c>
      <c r="CB586" s="3">
        <v>0</v>
      </c>
      <c r="CC586" s="3">
        <v>0</v>
      </c>
      <c r="CD586" s="3">
        <v>0</v>
      </c>
      <c r="CE586" s="3">
        <v>0</v>
      </c>
      <c r="CF586" s="3">
        <v>0</v>
      </c>
      <c r="CG586" s="3">
        <v>0</v>
      </c>
      <c r="CH586" s="3">
        <v>0</v>
      </c>
      <c r="CI586" s="3">
        <v>0</v>
      </c>
      <c r="CJ586" s="3">
        <v>0</v>
      </c>
      <c r="CK586" s="3">
        <v>0</v>
      </c>
      <c r="CL586" s="3">
        <v>0</v>
      </c>
      <c r="CM586" s="3">
        <v>0</v>
      </c>
      <c r="CN586" s="3">
        <v>0</v>
      </c>
      <c r="CO586" s="3">
        <v>0</v>
      </c>
      <c r="CP586" s="3">
        <v>0</v>
      </c>
      <c r="CQ586" s="3">
        <v>0</v>
      </c>
      <c r="CR586" s="3">
        <v>0</v>
      </c>
      <c r="CS586" s="3">
        <v>0</v>
      </c>
      <c r="CU586" s="17" t="s">
        <v>2445</v>
      </c>
      <c r="CV586" s="3">
        <v>0</v>
      </c>
      <c r="CW586" s="3">
        <v>0</v>
      </c>
      <c r="CX586" s="3">
        <v>0</v>
      </c>
      <c r="CY586" s="3">
        <v>0</v>
      </c>
      <c r="CZ586" s="3">
        <v>0</v>
      </c>
      <c r="DA586" s="3">
        <v>0</v>
      </c>
      <c r="DB586" s="3">
        <v>0</v>
      </c>
      <c r="DC586" s="3">
        <v>0</v>
      </c>
      <c r="DD586" s="3">
        <v>0</v>
      </c>
      <c r="DE586" s="3">
        <v>0</v>
      </c>
      <c r="DF586" s="3">
        <v>0</v>
      </c>
      <c r="DG586" s="3">
        <v>0</v>
      </c>
      <c r="DH586" s="3">
        <v>0</v>
      </c>
      <c r="DI586" s="3">
        <v>0</v>
      </c>
      <c r="DJ586" s="3">
        <v>0</v>
      </c>
      <c r="DK586" s="3">
        <v>0</v>
      </c>
      <c r="DL586" s="3">
        <v>0</v>
      </c>
      <c r="DM586" s="3">
        <v>0</v>
      </c>
      <c r="DN586" s="3">
        <v>0</v>
      </c>
      <c r="DO586" s="3">
        <v>0</v>
      </c>
    </row>
    <row r="587" spans="1:119" x14ac:dyDescent="0.45">
      <c r="A587" s="16" t="s">
        <v>2478</v>
      </c>
      <c r="B587" s="3" t="s">
        <v>89</v>
      </c>
      <c r="C587" s="16"/>
      <c r="H587" s="3" t="s">
        <v>2480</v>
      </c>
      <c r="I587" s="3" t="s">
        <v>2363</v>
      </c>
      <c r="K587" s="17" t="s">
        <v>2481</v>
      </c>
      <c r="L587" s="3">
        <v>28567.571438043051</v>
      </c>
      <c r="M587" s="3">
        <v>26971.086115167931</v>
      </c>
      <c r="N587" s="3">
        <v>31838.090486360499</v>
      </c>
      <c r="O587" s="3">
        <v>35182.434621844463</v>
      </c>
      <c r="P587" s="3">
        <v>35344.980147267168</v>
      </c>
      <c r="Q587" s="3">
        <v>35071.913084866159</v>
      </c>
      <c r="R587" s="3">
        <v>34774.622579097093</v>
      </c>
      <c r="S587" s="3">
        <v>34452.815554540022</v>
      </c>
      <c r="T587" s="3">
        <v>33535.304114003797</v>
      </c>
      <c r="U587" s="3">
        <v>33351.024835243341</v>
      </c>
      <c r="V587" s="3">
        <v>32983.624012966553</v>
      </c>
      <c r="W587" s="3">
        <v>33851.058314650807</v>
      </c>
      <c r="X587" s="3">
        <v>34426.47485757964</v>
      </c>
      <c r="Y587" s="3">
        <v>35193.159193386207</v>
      </c>
      <c r="Z587" s="3">
        <v>35949.268169071991</v>
      </c>
      <c r="AA587" s="3">
        <v>36720.686173395741</v>
      </c>
      <c r="AB587" s="3">
        <v>37501.323201308333</v>
      </c>
      <c r="AC587" s="3">
        <v>38292.665376815807</v>
      </c>
      <c r="AD587" s="3">
        <v>39100.201681504863</v>
      </c>
      <c r="AE587" s="3">
        <v>39925.96248980645</v>
      </c>
      <c r="AG587" s="17" t="s">
        <v>2482</v>
      </c>
      <c r="AH587" s="3">
        <v>28567.571438043051</v>
      </c>
      <c r="AI587" s="3">
        <v>26949.960531409779</v>
      </c>
      <c r="AJ587" s="3">
        <v>31817.741773037069</v>
      </c>
      <c r="AK587" s="3">
        <v>35162.838385831732</v>
      </c>
      <c r="AL587" s="3">
        <v>35325.33030813907</v>
      </c>
      <c r="AM587" s="3">
        <v>35051.705908908953</v>
      </c>
      <c r="AN587" s="3">
        <v>30444.35350507397</v>
      </c>
      <c r="AO587" s="3">
        <v>32908.219684298303</v>
      </c>
      <c r="AP587" s="3">
        <v>31697.921456863271</v>
      </c>
      <c r="AQ587" s="3">
        <v>32075.240235044261</v>
      </c>
      <c r="AR587" s="3">
        <v>31704.882133907409</v>
      </c>
      <c r="AS587" s="3">
        <v>32795.288466604041</v>
      </c>
      <c r="AT587" s="3">
        <v>33250.345979093458</v>
      </c>
      <c r="AU587" s="3">
        <v>34052.321661568618</v>
      </c>
      <c r="AV587" s="3">
        <v>34846.851059651497</v>
      </c>
      <c r="AW587" s="3">
        <v>35676.486418210727</v>
      </c>
      <c r="AX587" s="3">
        <v>36478.984823502818</v>
      </c>
      <c r="AY587" s="3">
        <v>37283.262795574148</v>
      </c>
      <c r="AZ587" s="3">
        <v>38058.866187139247</v>
      </c>
      <c r="BA587" s="3">
        <v>38845.08848200849</v>
      </c>
      <c r="BC587" s="17" t="s">
        <v>2483</v>
      </c>
      <c r="BD587" s="3">
        <v>28567.571438043051</v>
      </c>
      <c r="BE587" s="3">
        <v>26897.088258381678</v>
      </c>
      <c r="BF587" s="3">
        <v>31766.81020106058</v>
      </c>
      <c r="BG587" s="3">
        <v>35113.786487987963</v>
      </c>
      <c r="BH587" s="3">
        <v>35276.273649560957</v>
      </c>
      <c r="BI587" s="3">
        <v>35001.383862436327</v>
      </c>
      <c r="BJ587" s="3">
        <v>32410.01402262253</v>
      </c>
      <c r="BK587" s="3">
        <v>30304.29254394606</v>
      </c>
      <c r="BL587" s="3">
        <v>29581.30434212555</v>
      </c>
      <c r="BM587" s="3">
        <v>29484.125689020071</v>
      </c>
      <c r="BN587" s="3">
        <v>27874.209281963689</v>
      </c>
      <c r="BO587" s="3">
        <v>27612.012736431789</v>
      </c>
      <c r="BP587" s="3">
        <v>26386.529249559651</v>
      </c>
      <c r="BQ587" s="3">
        <v>25902.569148202008</v>
      </c>
      <c r="BR587" s="3">
        <v>24866.324834804818</v>
      </c>
      <c r="BS587" s="3">
        <v>24408.198779959159</v>
      </c>
      <c r="BT587" s="3">
        <v>23384.867083342109</v>
      </c>
      <c r="BU587" s="3">
        <v>23035.12202168729</v>
      </c>
      <c r="BV587" s="3">
        <v>21911.65194036801</v>
      </c>
      <c r="BW587" s="3">
        <v>21800.289776690519</v>
      </c>
      <c r="BY587" s="17" t="s">
        <v>2484</v>
      </c>
      <c r="BZ587" s="3">
        <v>28567.571438043051</v>
      </c>
      <c r="CA587" s="3">
        <v>26845.934912674998</v>
      </c>
      <c r="CB587" s="3">
        <v>31717.47178448856</v>
      </c>
      <c r="CC587" s="3">
        <v>35066.204811562318</v>
      </c>
      <c r="CD587" s="3">
        <v>35228.521421613201</v>
      </c>
      <c r="CE587" s="3">
        <v>34952.236253746669</v>
      </c>
      <c r="CF587" s="3">
        <v>34653.516220625737</v>
      </c>
      <c r="CG587" s="3">
        <v>34353.078741192847</v>
      </c>
      <c r="CH587" s="3">
        <v>33374.48479955666</v>
      </c>
      <c r="CI587" s="3">
        <v>32744.228747581808</v>
      </c>
      <c r="CJ587" s="3">
        <v>31416.255030716169</v>
      </c>
      <c r="CK587" s="3">
        <v>31827.529476684111</v>
      </c>
      <c r="CL587" s="3">
        <v>30330.36540278302</v>
      </c>
      <c r="CM587" s="3">
        <v>29360.842613630652</v>
      </c>
      <c r="CN587" s="3">
        <v>28505.553320828349</v>
      </c>
      <c r="CO587" s="3">
        <v>27365.775238820512</v>
      </c>
      <c r="CP587" s="3">
        <v>26441.141206262029</v>
      </c>
      <c r="CQ587" s="3">
        <v>25595.356418660169</v>
      </c>
      <c r="CR587" s="3">
        <v>24665.306957712739</v>
      </c>
      <c r="CS587" s="3">
        <v>23898.80229659714</v>
      </c>
      <c r="CU587" s="17" t="s">
        <v>2485</v>
      </c>
      <c r="CV587" s="3">
        <v>28567.571438043051</v>
      </c>
      <c r="CW587" s="3">
        <v>26920.350433675201</v>
      </c>
      <c r="CX587" s="3">
        <v>31789.21912197975</v>
      </c>
      <c r="CY587" s="3">
        <v>35135.369000687373</v>
      </c>
      <c r="CZ587" s="3">
        <v>35297.836771668517</v>
      </c>
      <c r="DA587" s="3">
        <v>35023.48222561174</v>
      </c>
      <c r="DB587" s="3">
        <v>25607.63540079011</v>
      </c>
      <c r="DC587" s="3">
        <v>28066.44863634085</v>
      </c>
      <c r="DD587" s="3">
        <v>27773.110688989302</v>
      </c>
      <c r="DE587" s="3">
        <v>29796.916503455679</v>
      </c>
      <c r="DF587" s="3">
        <v>28234.02441949039</v>
      </c>
      <c r="DG587" s="3">
        <v>28615.123361854541</v>
      </c>
      <c r="DH587" s="3">
        <v>27627.65373234648</v>
      </c>
      <c r="DI587" s="3">
        <v>27412.91959910862</v>
      </c>
      <c r="DJ587" s="3">
        <v>26841.23598563121</v>
      </c>
      <c r="DK587" s="3">
        <v>26660.352486887979</v>
      </c>
      <c r="DL587" s="3">
        <v>26149.660533675898</v>
      </c>
      <c r="DM587" s="3">
        <v>25997.969813606021</v>
      </c>
      <c r="DN587" s="3">
        <v>25561.000367582601</v>
      </c>
      <c r="DO587" s="3">
        <v>25450.094064098539</v>
      </c>
    </row>
    <row r="588" spans="1:119" x14ac:dyDescent="0.45">
      <c r="A588" s="16" t="s">
        <v>2654</v>
      </c>
      <c r="B588" s="3" t="s">
        <v>89</v>
      </c>
      <c r="C588" s="16"/>
      <c r="H588" s="3" t="s">
        <v>2656</v>
      </c>
      <c r="I588" s="3" t="s">
        <v>2363</v>
      </c>
      <c r="K588" s="17" t="s">
        <v>2657</v>
      </c>
      <c r="L588" s="3">
        <v>4653.5063009740225</v>
      </c>
      <c r="M588" s="3">
        <v>4528.295483410443</v>
      </c>
      <c r="N588" s="3">
        <v>4398.9156124558594</v>
      </c>
      <c r="O588" s="3">
        <v>5317.8270355687182</v>
      </c>
      <c r="P588" s="3">
        <v>6293.3129472490518</v>
      </c>
      <c r="Q588" s="3">
        <v>7330.0644157885308</v>
      </c>
      <c r="R588" s="3">
        <v>8433.1216073287942</v>
      </c>
      <c r="S588" s="3">
        <v>9607.900690582379</v>
      </c>
      <c r="T588" s="3">
        <v>10860.22279337002</v>
      </c>
      <c r="U588" s="3">
        <v>10562.08899498402</v>
      </c>
      <c r="V588" s="3">
        <v>10274.67921235936</v>
      </c>
      <c r="W588" s="3">
        <v>9995.5617364261634</v>
      </c>
      <c r="X588" s="3">
        <v>9735.1029622520928</v>
      </c>
      <c r="Y588" s="3">
        <v>9476.8122911829778</v>
      </c>
      <c r="Z588" s="3">
        <v>9226.4327537842291</v>
      </c>
      <c r="AA588" s="3">
        <v>8982.651264083308</v>
      </c>
      <c r="AB588" s="3">
        <v>8745.3553897956335</v>
      </c>
      <c r="AC588" s="3">
        <v>8514.3102258320323</v>
      </c>
      <c r="AD588" s="3">
        <v>8289.1714750927476</v>
      </c>
      <c r="AE588" s="3">
        <v>8069.7131434134972</v>
      </c>
      <c r="AG588" s="17" t="s">
        <v>2658</v>
      </c>
      <c r="AH588" s="3">
        <v>4653.5063009740225</v>
      </c>
      <c r="AI588" s="3">
        <v>4526.953551811539</v>
      </c>
      <c r="AJ588" s="3">
        <v>4397.6120217597809</v>
      </c>
      <c r="AK588" s="3">
        <v>5316.5585180057215</v>
      </c>
      <c r="AL588" s="3">
        <v>6292.076247302075</v>
      </c>
      <c r="AM588" s="3">
        <v>7328.8562803317218</v>
      </c>
      <c r="AN588" s="3">
        <v>8431.9387754498348</v>
      </c>
      <c r="AO588" s="3">
        <v>8191.0262390084117</v>
      </c>
      <c r="AP588" s="3">
        <v>9328.0875180595485</v>
      </c>
      <c r="AQ588" s="3">
        <v>9068.665179446054</v>
      </c>
      <c r="AR588" s="3">
        <v>8821.5100609014389</v>
      </c>
      <c r="AS588" s="3">
        <v>8576.5623094405655</v>
      </c>
      <c r="AT588" s="3">
        <v>8345.7350504905626</v>
      </c>
      <c r="AU588" s="3">
        <v>8118.3767699742266</v>
      </c>
      <c r="AV588" s="3">
        <v>7898.0982002604633</v>
      </c>
      <c r="AW588" s="3">
        <v>7683.8580029247687</v>
      </c>
      <c r="AX588" s="3">
        <v>7475.5493072035188</v>
      </c>
      <c r="AY588" s="3">
        <v>7272.7269608943598</v>
      </c>
      <c r="AZ588" s="3">
        <v>7075.3027101634352</v>
      </c>
      <c r="BA588" s="3">
        <v>6882.9588310590671</v>
      </c>
      <c r="BC588" s="17" t="s">
        <v>2659</v>
      </c>
      <c r="BD588" s="3">
        <v>4653.5063009740225</v>
      </c>
      <c r="BE588" s="3">
        <v>4524.2824499080116</v>
      </c>
      <c r="BF588" s="3">
        <v>4395.0172370534974</v>
      </c>
      <c r="BG588" s="3">
        <v>5314.032541395226</v>
      </c>
      <c r="BH588" s="3">
        <v>6289.6115859419751</v>
      </c>
      <c r="BI588" s="3">
        <v>7326.4454338425949</v>
      </c>
      <c r="BJ588" s="3">
        <v>8429.574211343881</v>
      </c>
      <c r="BK588" s="3">
        <v>8191.412710873039</v>
      </c>
      <c r="BL588" s="3">
        <v>7957.8032344308804</v>
      </c>
      <c r="BM588" s="3">
        <v>7730.7083119554882</v>
      </c>
      <c r="BN588" s="3">
        <v>7510.4827251695742</v>
      </c>
      <c r="BO588" s="3">
        <v>7296.2698464484811</v>
      </c>
      <c r="BP588" s="3">
        <v>7088.3192105341914</v>
      </c>
      <c r="BQ588" s="3">
        <v>6886.1750117540423</v>
      </c>
      <c r="BR588" s="3">
        <v>6689.8267118210888</v>
      </c>
      <c r="BS588" s="3">
        <v>6498.9898637721972</v>
      </c>
      <c r="BT588" s="3">
        <v>6313.5940142681093</v>
      </c>
      <c r="BU588" s="3">
        <v>6133.4115854964921</v>
      </c>
      <c r="BV588" s="3">
        <v>5958.3618931998772</v>
      </c>
      <c r="BW588" s="3">
        <v>5788.245772524725</v>
      </c>
      <c r="BY588" s="17" t="s">
        <v>2660</v>
      </c>
      <c r="BZ588" s="3">
        <v>4653.5063009740225</v>
      </c>
      <c r="CA588" s="3">
        <v>4521.1989148797784</v>
      </c>
      <c r="CB588" s="3">
        <v>4392.0218030260694</v>
      </c>
      <c r="CC588" s="3">
        <v>5311.1194090790868</v>
      </c>
      <c r="CD588" s="3">
        <v>6286.7749980410354</v>
      </c>
      <c r="CE588" s="3">
        <v>7323.6796594744574</v>
      </c>
      <c r="CF588" s="3">
        <v>8426.8735299970267</v>
      </c>
      <c r="CG588" s="3">
        <v>9601.7726962317665</v>
      </c>
      <c r="CH588" s="3">
        <v>10854.198149354121</v>
      </c>
      <c r="CI588" s="3">
        <v>10544.07820267681</v>
      </c>
      <c r="CJ588" s="3">
        <v>10242.818825472499</v>
      </c>
      <c r="CK588" s="3">
        <v>9950.1668590305417</v>
      </c>
      <c r="CL588" s="3">
        <v>9665.8763773439568</v>
      </c>
      <c r="CM588" s="3">
        <v>9389.7084808484142</v>
      </c>
      <c r="CN588" s="3">
        <v>9121.4310956813169</v>
      </c>
      <c r="CO588" s="3">
        <v>8860.818778661851</v>
      </c>
      <c r="CP588" s="3">
        <v>8607.6525278429399</v>
      </c>
      <c r="CQ588" s="3">
        <v>8361.7195984760001</v>
      </c>
      <c r="CR588" s="3">
        <v>8122.8133242338272</v>
      </c>
      <c r="CS588" s="3">
        <v>7890.732943541434</v>
      </c>
      <c r="CU588" s="17" t="s">
        <v>2661</v>
      </c>
      <c r="CV588" s="3">
        <v>4653.5063009740225</v>
      </c>
      <c r="CW588" s="3">
        <v>4525.3447511347986</v>
      </c>
      <c r="CX588" s="3">
        <v>4396.0491868166619</v>
      </c>
      <c r="CY588" s="3">
        <v>5315.0373335378736</v>
      </c>
      <c r="CZ588" s="3">
        <v>6290.5924095216087</v>
      </c>
      <c r="DA588" s="3">
        <v>7327.4054834517174</v>
      </c>
      <c r="DB588" s="3">
        <v>8430.5166977744848</v>
      </c>
      <c r="DC588" s="3">
        <v>8189.6447921237841</v>
      </c>
      <c r="DD588" s="3">
        <v>7958.5058144431359</v>
      </c>
      <c r="DE588" s="3">
        <v>7732.0042148730909</v>
      </c>
      <c r="DF588" s="3">
        <v>7516.8405012335334</v>
      </c>
      <c r="DG588" s="3">
        <v>7305.9584758217179</v>
      </c>
      <c r="DH588" s="3">
        <v>7103.2258008313356</v>
      </c>
      <c r="DI588" s="3">
        <v>6905.5769440490694</v>
      </c>
      <c r="DJ588" s="3">
        <v>6713.9333087434043</v>
      </c>
      <c r="DK588" s="3">
        <v>6527.3510053916698</v>
      </c>
      <c r="DL588" s="3">
        <v>6346.1549773939823</v>
      </c>
      <c r="DM588" s="3">
        <v>6169.6086007077338</v>
      </c>
      <c r="DN588" s="3">
        <v>5998.0030213017308</v>
      </c>
      <c r="DO588" s="3">
        <v>5830.7902100851879</v>
      </c>
    </row>
    <row r="589" spans="1:119" x14ac:dyDescent="0.45">
      <c r="A589" s="16" t="s">
        <v>2420</v>
      </c>
      <c r="B589" s="3" t="s">
        <v>89</v>
      </c>
      <c r="C589" s="16"/>
      <c r="H589" s="3" t="s">
        <v>2422</v>
      </c>
      <c r="I589" s="3" t="s">
        <v>2363</v>
      </c>
      <c r="K589" s="17" t="s">
        <v>2423</v>
      </c>
      <c r="L589" s="3">
        <v>0</v>
      </c>
      <c r="M589" s="3">
        <v>0</v>
      </c>
      <c r="N589" s="3">
        <v>0</v>
      </c>
      <c r="O589" s="3">
        <v>0</v>
      </c>
      <c r="P589" s="3">
        <v>0</v>
      </c>
      <c r="Q589" s="3">
        <v>0</v>
      </c>
      <c r="R589" s="3">
        <v>0</v>
      </c>
      <c r="S589" s="3">
        <v>0</v>
      </c>
      <c r="T589" s="3">
        <v>0</v>
      </c>
      <c r="U589" s="3">
        <v>0</v>
      </c>
      <c r="V589" s="3">
        <v>0</v>
      </c>
      <c r="W589" s="3">
        <v>0</v>
      </c>
      <c r="X589" s="3">
        <v>0</v>
      </c>
      <c r="Y589" s="3">
        <v>0</v>
      </c>
      <c r="Z589" s="3">
        <v>0</v>
      </c>
      <c r="AA589" s="3">
        <v>0</v>
      </c>
      <c r="AB589" s="3">
        <v>0</v>
      </c>
      <c r="AC589" s="3">
        <v>0</v>
      </c>
      <c r="AD589" s="3">
        <v>0</v>
      </c>
      <c r="AE589" s="3">
        <v>0</v>
      </c>
      <c r="AG589" s="17" t="s">
        <v>2424</v>
      </c>
      <c r="AH589" s="3">
        <v>0</v>
      </c>
      <c r="AI589" s="3">
        <v>0</v>
      </c>
      <c r="AJ589" s="3">
        <v>0</v>
      </c>
      <c r="AK589" s="3">
        <v>0</v>
      </c>
      <c r="AL589" s="3">
        <v>0</v>
      </c>
      <c r="AM589" s="3">
        <v>0</v>
      </c>
      <c r="AN589" s="3">
        <v>0</v>
      </c>
      <c r="AO589" s="3">
        <v>0</v>
      </c>
      <c r="AP589" s="3">
        <v>0</v>
      </c>
      <c r="AQ589" s="3">
        <v>0</v>
      </c>
      <c r="AR589" s="3">
        <v>0</v>
      </c>
      <c r="AS589" s="3">
        <v>0</v>
      </c>
      <c r="AT589" s="3">
        <v>0</v>
      </c>
      <c r="AU589" s="3">
        <v>0</v>
      </c>
      <c r="AV589" s="3">
        <v>0</v>
      </c>
      <c r="AW589" s="3">
        <v>0</v>
      </c>
      <c r="AX589" s="3">
        <v>0</v>
      </c>
      <c r="AY589" s="3">
        <v>0</v>
      </c>
      <c r="AZ589" s="3">
        <v>0</v>
      </c>
      <c r="BA589" s="3">
        <v>0</v>
      </c>
      <c r="BC589" s="17" t="s">
        <v>2425</v>
      </c>
      <c r="BD589" s="3">
        <v>0</v>
      </c>
      <c r="BE589" s="3">
        <v>0</v>
      </c>
      <c r="BF589" s="3">
        <v>0</v>
      </c>
      <c r="BG589" s="3">
        <v>0</v>
      </c>
      <c r="BH589" s="3">
        <v>0</v>
      </c>
      <c r="BI589" s="3">
        <v>0</v>
      </c>
      <c r="BJ589" s="3">
        <v>0</v>
      </c>
      <c r="BK589" s="3">
        <v>0</v>
      </c>
      <c r="BL589" s="3">
        <v>0</v>
      </c>
      <c r="BM589" s="3">
        <v>0</v>
      </c>
      <c r="BN589" s="3">
        <v>0</v>
      </c>
      <c r="BO589" s="3">
        <v>0</v>
      </c>
      <c r="BP589" s="3">
        <v>0</v>
      </c>
      <c r="BQ589" s="3">
        <v>0</v>
      </c>
      <c r="BR589" s="3">
        <v>0</v>
      </c>
      <c r="BS589" s="3">
        <v>0</v>
      </c>
      <c r="BT589" s="3">
        <v>0</v>
      </c>
      <c r="BU589" s="3">
        <v>0</v>
      </c>
      <c r="BV589" s="3">
        <v>0</v>
      </c>
      <c r="BW589" s="3">
        <v>0</v>
      </c>
      <c r="BY589" s="17" t="s">
        <v>2426</v>
      </c>
      <c r="BZ589" s="3">
        <v>0</v>
      </c>
      <c r="CA589" s="3">
        <v>0</v>
      </c>
      <c r="CB589" s="3">
        <v>0</v>
      </c>
      <c r="CC589" s="3">
        <v>0</v>
      </c>
      <c r="CD589" s="3">
        <v>0</v>
      </c>
      <c r="CE589" s="3">
        <v>0</v>
      </c>
      <c r="CF589" s="3">
        <v>0</v>
      </c>
      <c r="CG589" s="3">
        <v>0</v>
      </c>
      <c r="CH589" s="3">
        <v>0</v>
      </c>
      <c r="CI589" s="3">
        <v>0</v>
      </c>
      <c r="CJ589" s="3">
        <v>0</v>
      </c>
      <c r="CK589" s="3">
        <v>0</v>
      </c>
      <c r="CL589" s="3">
        <v>0</v>
      </c>
      <c r="CM589" s="3">
        <v>0</v>
      </c>
      <c r="CN589" s="3">
        <v>0</v>
      </c>
      <c r="CO589" s="3">
        <v>0</v>
      </c>
      <c r="CP589" s="3">
        <v>0</v>
      </c>
      <c r="CQ589" s="3">
        <v>0</v>
      </c>
      <c r="CR589" s="3">
        <v>0</v>
      </c>
      <c r="CS589" s="3">
        <v>0</v>
      </c>
      <c r="CU589" s="17" t="s">
        <v>2427</v>
      </c>
      <c r="CV589" s="3">
        <v>0</v>
      </c>
      <c r="CW589" s="3">
        <v>0</v>
      </c>
      <c r="CX589" s="3">
        <v>0</v>
      </c>
      <c r="CY589" s="3">
        <v>0</v>
      </c>
      <c r="CZ589" s="3">
        <v>0</v>
      </c>
      <c r="DA589" s="3">
        <v>0</v>
      </c>
      <c r="DB589" s="3">
        <v>0</v>
      </c>
      <c r="DC589" s="3">
        <v>0</v>
      </c>
      <c r="DD589" s="3">
        <v>0</v>
      </c>
      <c r="DE589" s="3">
        <v>0</v>
      </c>
      <c r="DF589" s="3">
        <v>0</v>
      </c>
      <c r="DG589" s="3">
        <v>0</v>
      </c>
      <c r="DH589" s="3">
        <v>0</v>
      </c>
      <c r="DI589" s="3">
        <v>0</v>
      </c>
      <c r="DJ589" s="3">
        <v>0</v>
      </c>
      <c r="DK589" s="3">
        <v>0</v>
      </c>
      <c r="DL589" s="3">
        <v>0</v>
      </c>
      <c r="DM589" s="3">
        <v>0</v>
      </c>
      <c r="DN589" s="3">
        <v>0</v>
      </c>
      <c r="DO589" s="3">
        <v>0</v>
      </c>
    </row>
    <row r="590" spans="1:119" x14ac:dyDescent="0.45">
      <c r="A590" s="16" t="s">
        <v>3913</v>
      </c>
      <c r="B590" s="3" t="s">
        <v>89</v>
      </c>
      <c r="C590" s="16"/>
      <c r="H590" s="3" t="s">
        <v>3914</v>
      </c>
      <c r="I590" s="3" t="s">
        <v>2363</v>
      </c>
      <c r="K590" s="17" t="s">
        <v>3915</v>
      </c>
      <c r="L590" s="3">
        <v>501.85349302800108</v>
      </c>
      <c r="M590" s="3">
        <v>707.61237350668239</v>
      </c>
      <c r="N590" s="3">
        <v>684.02529438979286</v>
      </c>
      <c r="O590" s="3">
        <v>1014.452299605854</v>
      </c>
      <c r="P590" s="3">
        <v>1361.873584347861</v>
      </c>
      <c r="Q590" s="3">
        <v>1727.855536533629</v>
      </c>
      <c r="R590" s="3">
        <v>2114.0757001500801</v>
      </c>
      <c r="S590" s="3">
        <v>2522.3315406006509</v>
      </c>
      <c r="T590" s="3">
        <v>2954.549871629195</v>
      </c>
      <c r="U590" s="3">
        <v>3360.9007370105419</v>
      </c>
      <c r="V590" s="3">
        <v>3819.103174759643</v>
      </c>
      <c r="W590" s="3">
        <v>4279.635294528689</v>
      </c>
      <c r="X590" s="3">
        <v>4741.2625880962169</v>
      </c>
      <c r="Y590" s="3">
        <v>5230.2659509057412</v>
      </c>
      <c r="Z590" s="3">
        <v>5733.1460817015104</v>
      </c>
      <c r="AA590" s="3">
        <v>6252.1369567550746</v>
      </c>
      <c r="AB590" s="3">
        <v>6786.7135258262124</v>
      </c>
      <c r="AC590" s="3">
        <v>7337.1914315183749</v>
      </c>
      <c r="AD590" s="3">
        <v>7903.8307721389201</v>
      </c>
      <c r="AE590" s="3">
        <v>8486.9233381642698</v>
      </c>
      <c r="AG590" s="17" t="s">
        <v>3916</v>
      </c>
      <c r="AH590" s="3">
        <v>501.85349302800108</v>
      </c>
      <c r="AI590" s="3">
        <v>713.55603741973914</v>
      </c>
      <c r="AJ590" s="3">
        <v>689.77083617241453</v>
      </c>
      <c r="AK590" s="3">
        <v>1020.005588764475</v>
      </c>
      <c r="AL590" s="3">
        <v>1367.2402673107661</v>
      </c>
      <c r="AM590" s="3">
        <v>1733.0410408706291</v>
      </c>
      <c r="AN590" s="3">
        <v>2119.0852384493351</v>
      </c>
      <c r="AO590" s="3">
        <v>2048.4490638343568</v>
      </c>
      <c r="AP590" s="3">
        <v>2443.79927563502</v>
      </c>
      <c r="AQ590" s="3">
        <v>2862.3872878385491</v>
      </c>
      <c r="AR590" s="3">
        <v>3282.502909826761</v>
      </c>
      <c r="AS590" s="3">
        <v>3663.027458975766</v>
      </c>
      <c r="AT590" s="3">
        <v>4102.8141968206819</v>
      </c>
      <c r="AU590" s="3">
        <v>4569.8032494991139</v>
      </c>
      <c r="AV590" s="3">
        <v>5050.0947486373598</v>
      </c>
      <c r="AW590" s="3">
        <v>5546.8359413993121</v>
      </c>
      <c r="AX590" s="3">
        <v>6059.6229340599084</v>
      </c>
      <c r="AY590" s="3">
        <v>6589.1173937221356</v>
      </c>
      <c r="AZ590" s="3">
        <v>7134.666438849008</v>
      </c>
      <c r="BA590" s="3">
        <v>7696.5728692304947</v>
      </c>
      <c r="BC590" s="17" t="s">
        <v>3917</v>
      </c>
      <c r="BD590" s="3">
        <v>501.85349302800108</v>
      </c>
      <c r="BE590" s="3">
        <v>728.30745468298267</v>
      </c>
      <c r="BF590" s="3">
        <v>704.03053952688322</v>
      </c>
      <c r="BG590" s="3">
        <v>1033.788166813767</v>
      </c>
      <c r="BH590" s="3">
        <v>1380.5597553203861</v>
      </c>
      <c r="BI590" s="3">
        <v>1745.910931325071</v>
      </c>
      <c r="BJ590" s="3">
        <v>2131.518490762217</v>
      </c>
      <c r="BK590" s="3">
        <v>2539.1791633603739</v>
      </c>
      <c r="BL590" s="3">
        <v>2565.4061392087779</v>
      </c>
      <c r="BM590" s="3">
        <v>2597.1147556175411</v>
      </c>
      <c r="BN590" s="3">
        <v>2950.8178752165481</v>
      </c>
      <c r="BO590" s="3">
        <v>3102.5194537271882</v>
      </c>
      <c r="BP590" s="3">
        <v>3477.8866819379618</v>
      </c>
      <c r="BQ590" s="3">
        <v>3799.2676861686809</v>
      </c>
      <c r="BR590" s="3">
        <v>4170.1954667804457</v>
      </c>
      <c r="BS590" s="3">
        <v>4543.4014868049217</v>
      </c>
      <c r="BT590" s="3">
        <v>4916.6583918074684</v>
      </c>
      <c r="BU590" s="3">
        <v>5296.4268735241712</v>
      </c>
      <c r="BV590" s="3">
        <v>5679.4601439808876</v>
      </c>
      <c r="BW590" s="3">
        <v>6072.9977733939968</v>
      </c>
      <c r="BY590" s="17" t="s">
        <v>3918</v>
      </c>
      <c r="BZ590" s="3">
        <v>501.85349302800108</v>
      </c>
      <c r="CA590" s="3">
        <v>747.61949058110099</v>
      </c>
      <c r="CB590" s="3">
        <v>722.69884089506445</v>
      </c>
      <c r="CC590" s="3">
        <v>1051.8330816272901</v>
      </c>
      <c r="CD590" s="3">
        <v>1398.0009114595639</v>
      </c>
      <c r="CE590" s="3">
        <v>1762.767255715871</v>
      </c>
      <c r="CF590" s="3">
        <v>2147.8082275717502</v>
      </c>
      <c r="CG590" s="3">
        <v>2554.9198912527809</v>
      </c>
      <c r="CH590" s="3">
        <v>2986.027686789851</v>
      </c>
      <c r="CI590" s="3">
        <v>3443.1965671400831</v>
      </c>
      <c r="CJ590" s="3">
        <v>3897.3088613591922</v>
      </c>
      <c r="CK590" s="3">
        <v>4355.0203072465374</v>
      </c>
      <c r="CL590" s="3">
        <v>4812.8511169352232</v>
      </c>
      <c r="CM590" s="3">
        <v>5300.5334912992776</v>
      </c>
      <c r="CN590" s="3">
        <v>5803.7998626910594</v>
      </c>
      <c r="CO590" s="3">
        <v>6323.9136244449146</v>
      </c>
      <c r="CP590" s="3">
        <v>6864.3454127872483</v>
      </c>
      <c r="CQ590" s="3">
        <v>7423.2904590934622</v>
      </c>
      <c r="CR590" s="3">
        <v>8000.7508727331851</v>
      </c>
      <c r="CS590" s="3">
        <v>8597.6342790724993</v>
      </c>
      <c r="CU590" s="17" t="s">
        <v>3919</v>
      </c>
      <c r="CV590" s="3">
        <v>501.85349302800108</v>
      </c>
      <c r="CW590" s="3">
        <v>721.83767425665724</v>
      </c>
      <c r="CX590" s="3">
        <v>697.77641844810194</v>
      </c>
      <c r="CY590" s="3">
        <v>1027.7433031930209</v>
      </c>
      <c r="CZ590" s="3">
        <v>1374.7179899031651</v>
      </c>
      <c r="DA590" s="3">
        <v>1740.2663428476869</v>
      </c>
      <c r="DB590" s="3">
        <v>2126.065391678434</v>
      </c>
      <c r="DC590" s="3">
        <v>2055.1965452891532</v>
      </c>
      <c r="DD590" s="3">
        <v>2301.8397643128201</v>
      </c>
      <c r="DE590" s="3">
        <v>2337.268280028462</v>
      </c>
      <c r="DF590" s="3">
        <v>2717.1446248469701</v>
      </c>
      <c r="DG590" s="3">
        <v>3122.0600297635042</v>
      </c>
      <c r="DH590" s="3">
        <v>3532.742058726365</v>
      </c>
      <c r="DI590" s="3">
        <v>3967.3777490609618</v>
      </c>
      <c r="DJ590" s="3">
        <v>4419.8373893746411</v>
      </c>
      <c r="DK590" s="3">
        <v>4894.7946554372747</v>
      </c>
      <c r="DL590" s="3">
        <v>5389.681060699023</v>
      </c>
      <c r="DM590" s="3">
        <v>5907.5651803232067</v>
      </c>
      <c r="DN590" s="3">
        <v>6445.0087833544612</v>
      </c>
      <c r="DO590" s="3">
        <v>7004.0092367834823</v>
      </c>
    </row>
    <row r="591" spans="1:119" x14ac:dyDescent="0.45">
      <c r="A591" s="16" t="s">
        <v>3920</v>
      </c>
      <c r="B591" s="3" t="s">
        <v>89</v>
      </c>
      <c r="C591" s="16"/>
      <c r="H591" s="3" t="s">
        <v>3921</v>
      </c>
      <c r="I591" s="3" t="s">
        <v>2363</v>
      </c>
      <c r="K591" s="17" t="s">
        <v>3922</v>
      </c>
      <c r="L591" s="3">
        <v>418.02848451218978</v>
      </c>
      <c r="M591" s="3">
        <v>595.40003314490139</v>
      </c>
      <c r="N591" s="3">
        <v>571.58403181910523</v>
      </c>
      <c r="O591" s="3">
        <v>901.94853667898133</v>
      </c>
      <c r="P591" s="3">
        <v>1247.106975786669</v>
      </c>
      <c r="Q591" s="3">
        <v>1608.6004557815679</v>
      </c>
      <c r="R591" s="3">
        <v>1988.0718080454219</v>
      </c>
      <c r="S591" s="3">
        <v>2387.2739902629692</v>
      </c>
      <c r="T591" s="3">
        <v>2808.079105674934</v>
      </c>
      <c r="U591" s="3">
        <v>3252.488088183145</v>
      </c>
      <c r="V591" s="3">
        <v>3692.6210556593001</v>
      </c>
      <c r="W591" s="3">
        <v>4132.7518019335712</v>
      </c>
      <c r="X591" s="3">
        <v>4571.7235636417017</v>
      </c>
      <c r="Y591" s="3">
        <v>5035.9001027271161</v>
      </c>
      <c r="Z591" s="3">
        <v>5511.6864618471554</v>
      </c>
      <c r="AA591" s="3">
        <v>6001.3147835405134</v>
      </c>
      <c r="AB591" s="3">
        <v>6504.2433638732346</v>
      </c>
      <c r="AC591" s="3">
        <v>7020.7753582791274</v>
      </c>
      <c r="AD591" s="3">
        <v>7551.1567730964107</v>
      </c>
      <c r="AE591" s="3">
        <v>8095.664136524445</v>
      </c>
      <c r="AG591" s="17" t="s">
        <v>3923</v>
      </c>
      <c r="AH591" s="3">
        <v>418.02848451218978</v>
      </c>
      <c r="AI591" s="3">
        <v>600.58514505332005</v>
      </c>
      <c r="AJ591" s="3">
        <v>576.56173925118719</v>
      </c>
      <c r="AK591" s="3">
        <v>906.72640124916313</v>
      </c>
      <c r="AL591" s="3">
        <v>1251.692229216872</v>
      </c>
      <c r="AM591" s="3">
        <v>1613.0000098806399</v>
      </c>
      <c r="AN591" s="3">
        <v>1992.2922640871971</v>
      </c>
      <c r="AO591" s="3">
        <v>1912.600573523709</v>
      </c>
      <c r="AP591" s="3">
        <v>2299.7284211690471</v>
      </c>
      <c r="AQ591" s="3">
        <v>2707.7872975368232</v>
      </c>
      <c r="AR591" s="3">
        <v>3115.0043631534859</v>
      </c>
      <c r="AS591" s="3">
        <v>3540.3436199678731</v>
      </c>
      <c r="AT591" s="3">
        <v>3960.6175565808162</v>
      </c>
      <c r="AU591" s="3">
        <v>4405.9424105969156</v>
      </c>
      <c r="AV591" s="3">
        <v>4862.3230201204678</v>
      </c>
      <c r="AW591" s="3">
        <v>5332.9078171577003</v>
      </c>
      <c r="AX591" s="3">
        <v>5817.27306361106</v>
      </c>
      <c r="AY591" s="3">
        <v>6316.0640686637016</v>
      </c>
      <c r="AZ591" s="3">
        <v>6828.6078359965704</v>
      </c>
      <c r="BA591" s="3">
        <v>7355.1922077993931</v>
      </c>
      <c r="BC591" s="17" t="s">
        <v>3924</v>
      </c>
      <c r="BD591" s="3">
        <v>418.02848451218978</v>
      </c>
      <c r="BE591" s="3">
        <v>613.45393279713392</v>
      </c>
      <c r="BF591" s="3">
        <v>588.91577548524856</v>
      </c>
      <c r="BG591" s="3">
        <v>918.58447417374373</v>
      </c>
      <c r="BH591" s="3">
        <v>1263.0723084529229</v>
      </c>
      <c r="BI591" s="3">
        <v>1623.9192713254411</v>
      </c>
      <c r="BJ591" s="3">
        <v>2002.7671132807441</v>
      </c>
      <c r="BK591" s="3">
        <v>2401.3677417895092</v>
      </c>
      <c r="BL591" s="3">
        <v>2441.6535921661821</v>
      </c>
      <c r="BM591" s="3">
        <v>2498.0884662387939</v>
      </c>
      <c r="BN591" s="3">
        <v>2869.5088406084578</v>
      </c>
      <c r="BO591" s="3">
        <v>3092.202526076203</v>
      </c>
      <c r="BP591" s="3">
        <v>3447.298992454952</v>
      </c>
      <c r="BQ591" s="3">
        <v>3799.3415654992641</v>
      </c>
      <c r="BR591" s="3">
        <v>4144.9379647285277</v>
      </c>
      <c r="BS591" s="3">
        <v>4491.3530074916953</v>
      </c>
      <c r="BT591" s="3">
        <v>4836.402534818294</v>
      </c>
      <c r="BU591" s="3">
        <v>5186.603555552917</v>
      </c>
      <c r="BV591" s="3">
        <v>5538.7202743898197</v>
      </c>
      <c r="BW591" s="3">
        <v>5900.0244602823086</v>
      </c>
      <c r="BY591" s="17" t="s">
        <v>3925</v>
      </c>
      <c r="BZ591" s="3">
        <v>418.02848451218978</v>
      </c>
      <c r="CA591" s="3">
        <v>621.03297115073769</v>
      </c>
      <c r="CB591" s="3">
        <v>596.19165230470821</v>
      </c>
      <c r="CC591" s="3">
        <v>925.56820607798375</v>
      </c>
      <c r="CD591" s="3">
        <v>1269.774429566985</v>
      </c>
      <c r="CE591" s="3">
        <v>1630.349847717695</v>
      </c>
      <c r="CF591" s="3">
        <v>2008.935756515496</v>
      </c>
      <c r="CG591" s="3">
        <v>2407.283621604427</v>
      </c>
      <c r="CH591" s="3">
        <v>2827.2640946251108</v>
      </c>
      <c r="CI591" s="3">
        <v>3270.8766954233929</v>
      </c>
      <c r="CJ591" s="3">
        <v>3708.9271693498358</v>
      </c>
      <c r="CK591" s="3">
        <v>4148.1918534040124</v>
      </c>
      <c r="CL591" s="3">
        <v>4585.2623628671681</v>
      </c>
      <c r="CM591" s="3">
        <v>5049.9626458863213</v>
      </c>
      <c r="CN591" s="3">
        <v>5527.9149953597189</v>
      </c>
      <c r="CO591" s="3">
        <v>6020.3721886208232</v>
      </c>
      <c r="CP591" s="3">
        <v>6530.7862480261174</v>
      </c>
      <c r="CQ591" s="3">
        <v>7057.3113978014671</v>
      </c>
      <c r="CR591" s="3">
        <v>7599.9224123316426</v>
      </c>
      <c r="CS591" s="3">
        <v>8159.5006613803635</v>
      </c>
      <c r="CU591" s="17" t="s">
        <v>3926</v>
      </c>
      <c r="CV591" s="3">
        <v>418.02848451218978</v>
      </c>
      <c r="CW591" s="3">
        <v>607.80984927826273</v>
      </c>
      <c r="CX591" s="3">
        <v>583.4974553071321</v>
      </c>
      <c r="CY591" s="3">
        <v>913.38367355820083</v>
      </c>
      <c r="CZ591" s="3">
        <v>1258.081142611582</v>
      </c>
      <c r="DA591" s="3">
        <v>1619.1302035438071</v>
      </c>
      <c r="DB591" s="3">
        <v>1998.172944654897</v>
      </c>
      <c r="DC591" s="3">
        <v>1918.2460268687021</v>
      </c>
      <c r="DD591" s="3">
        <v>2230.904235927896</v>
      </c>
      <c r="DE591" s="3">
        <v>2289.4041018740918</v>
      </c>
      <c r="DF591" s="3">
        <v>2655.6132483156011</v>
      </c>
      <c r="DG591" s="3">
        <v>3044.875635721457</v>
      </c>
      <c r="DH591" s="3">
        <v>3437.8313328104182</v>
      </c>
      <c r="DI591" s="3">
        <v>3852.711866246741</v>
      </c>
      <c r="DJ591" s="3">
        <v>4283.3089862947272</v>
      </c>
      <c r="DK591" s="3">
        <v>4734.2618371907656</v>
      </c>
      <c r="DL591" s="3">
        <v>5202.9376239179073</v>
      </c>
      <c r="DM591" s="3">
        <v>5692.3603090339893</v>
      </c>
      <c r="DN591" s="3">
        <v>6199.0283759924341</v>
      </c>
      <c r="DO591" s="3">
        <v>6724.9013594237631</v>
      </c>
    </row>
    <row r="592" spans="1:119" x14ac:dyDescent="0.45">
      <c r="A592" s="16" t="s">
        <v>3927</v>
      </c>
      <c r="B592" s="3" t="s">
        <v>89</v>
      </c>
      <c r="C592" s="16"/>
      <c r="H592" s="3" t="s">
        <v>3928</v>
      </c>
      <c r="I592" s="3" t="s">
        <v>2363</v>
      </c>
      <c r="K592" s="17" t="s">
        <v>3929</v>
      </c>
      <c r="L592" s="3">
        <v>1293.3858951889099</v>
      </c>
      <c r="M592" s="3">
        <v>1293.3858951889099</v>
      </c>
      <c r="N592" s="3">
        <v>1293.3858951889099</v>
      </c>
      <c r="O592" s="3">
        <v>1293.3858951889099</v>
      </c>
      <c r="P592" s="3">
        <v>1293.3858951889099</v>
      </c>
      <c r="Q592" s="3">
        <v>1293.3858951889099</v>
      </c>
      <c r="R592" s="3">
        <v>1293.3858951889099</v>
      </c>
      <c r="S592" s="3">
        <v>1293.3858951889099</v>
      </c>
      <c r="T592" s="3">
        <v>1293.3858951889099</v>
      </c>
      <c r="U592" s="3">
        <v>1482.439489241114</v>
      </c>
      <c r="V592" s="3">
        <v>1701.749757626156</v>
      </c>
      <c r="W592" s="3">
        <v>1919.4360617162481</v>
      </c>
      <c r="X592" s="3">
        <v>2302.3000429185809</v>
      </c>
      <c r="Y592" s="3">
        <v>2611.9834241371691</v>
      </c>
      <c r="Z592" s="3">
        <v>2939.3658892288308</v>
      </c>
      <c r="AA592" s="3">
        <v>3267.948755958947</v>
      </c>
      <c r="AB592" s="3">
        <v>3601.1535048850301</v>
      </c>
      <c r="AC592" s="3">
        <v>3938.2557418109132</v>
      </c>
      <c r="AD592" s="3">
        <v>4278.19062568155</v>
      </c>
      <c r="AE592" s="3">
        <v>4620.5164392663282</v>
      </c>
      <c r="AG592" s="17" t="s">
        <v>3930</v>
      </c>
      <c r="AH592" s="3">
        <v>1293.3858951889099</v>
      </c>
      <c r="AI592" s="3">
        <v>1293.3858951889099</v>
      </c>
      <c r="AJ592" s="3">
        <v>1293.3858951889099</v>
      </c>
      <c r="AK592" s="3">
        <v>1293.3858951889099</v>
      </c>
      <c r="AL592" s="3">
        <v>1293.3858951889099</v>
      </c>
      <c r="AM592" s="3">
        <v>1293.3858951889099</v>
      </c>
      <c r="AN592" s="3">
        <v>1293.3858951889099</v>
      </c>
      <c r="AO592" s="3">
        <v>1293.3858951889099</v>
      </c>
      <c r="AP592" s="3">
        <v>1293.3858951889099</v>
      </c>
      <c r="AQ592" s="3">
        <v>1483.171658341736</v>
      </c>
      <c r="AR592" s="3">
        <v>1795.4673026439441</v>
      </c>
      <c r="AS592" s="3">
        <v>1977.7833019176139</v>
      </c>
      <c r="AT592" s="3">
        <v>2417.9202994713401</v>
      </c>
      <c r="AU592" s="3">
        <v>2712.4218564596849</v>
      </c>
      <c r="AV592" s="3">
        <v>3031.0183798920229</v>
      </c>
      <c r="AW592" s="3">
        <v>3352.3641781955989</v>
      </c>
      <c r="AX592" s="3">
        <v>3681.1548596574639</v>
      </c>
      <c r="AY592" s="3">
        <v>4009.3782300549951</v>
      </c>
      <c r="AZ592" s="3">
        <v>4341.1160283632598</v>
      </c>
      <c r="BA592" s="3">
        <v>4671.6330206141556</v>
      </c>
      <c r="BC592" s="17" t="s">
        <v>3931</v>
      </c>
      <c r="BD592" s="3">
        <v>1293.3858951889099</v>
      </c>
      <c r="BE592" s="3">
        <v>1293.3858951889099</v>
      </c>
      <c r="BF592" s="3">
        <v>1293.3858951889099</v>
      </c>
      <c r="BG592" s="3">
        <v>1293.3858951889099</v>
      </c>
      <c r="BH592" s="3">
        <v>1293.3858951889099</v>
      </c>
      <c r="BI592" s="3">
        <v>1293.3858951889099</v>
      </c>
      <c r="BJ592" s="3">
        <v>1293.3858951889099</v>
      </c>
      <c r="BK592" s="3">
        <v>1293.3858951889099</v>
      </c>
      <c r="BL592" s="3">
        <v>1293.3858951889099</v>
      </c>
      <c r="BM592" s="3">
        <v>1341.8264840537629</v>
      </c>
      <c r="BN592" s="3">
        <v>1499.3807924176349</v>
      </c>
      <c r="BO592" s="3">
        <v>1604.43787465131</v>
      </c>
      <c r="BP592" s="3">
        <v>1891.053776501107</v>
      </c>
      <c r="BQ592" s="3">
        <v>2056.9236219797931</v>
      </c>
      <c r="BR592" s="3">
        <v>2504.9532911605279</v>
      </c>
      <c r="BS592" s="3">
        <v>2837.887832396535</v>
      </c>
      <c r="BT592" s="3">
        <v>3475.4830012431112</v>
      </c>
      <c r="BU592" s="3">
        <v>3947.3353320646088</v>
      </c>
      <c r="BV592" s="3">
        <v>4763.7242840835261</v>
      </c>
      <c r="BW592" s="3">
        <v>5278.3064182495282</v>
      </c>
      <c r="BY592" s="17" t="s">
        <v>3932</v>
      </c>
      <c r="BZ592" s="3">
        <v>1293.3858951889099</v>
      </c>
      <c r="CA592" s="3">
        <v>1293.3858951889099</v>
      </c>
      <c r="CB592" s="3">
        <v>1293.3858951889099</v>
      </c>
      <c r="CC592" s="3">
        <v>1293.3858951889099</v>
      </c>
      <c r="CD592" s="3">
        <v>1293.3858951889099</v>
      </c>
      <c r="CE592" s="3">
        <v>1293.3858951889099</v>
      </c>
      <c r="CF592" s="3">
        <v>1293.3858951889099</v>
      </c>
      <c r="CG592" s="3">
        <v>1293.3858951889099</v>
      </c>
      <c r="CH592" s="3">
        <v>1293.3858951889099</v>
      </c>
      <c r="CI592" s="3">
        <v>1672.459285239335</v>
      </c>
      <c r="CJ592" s="3">
        <v>2367.5102797321219</v>
      </c>
      <c r="CK592" s="3">
        <v>2869.4913685024708</v>
      </c>
      <c r="CL592" s="3">
        <v>4376.9867906782611</v>
      </c>
      <c r="CM592" s="3">
        <v>5622.0562325874289</v>
      </c>
      <c r="CN592" s="3">
        <v>6907.6976674909074</v>
      </c>
      <c r="CO592" s="3">
        <v>8344.5058778062739</v>
      </c>
      <c r="CP592" s="3">
        <v>9668.196409730188</v>
      </c>
      <c r="CQ592" s="3">
        <v>10970.35936189024</v>
      </c>
      <c r="CR592" s="3">
        <v>12296.88099137933</v>
      </c>
      <c r="CS592" s="3">
        <v>13548.948797085721</v>
      </c>
      <c r="CU592" s="17" t="s">
        <v>3933</v>
      </c>
      <c r="CV592" s="3">
        <v>1293.3858951889099</v>
      </c>
      <c r="CW592" s="3">
        <v>1293.3858951889099</v>
      </c>
      <c r="CX592" s="3">
        <v>1293.3858951889099</v>
      </c>
      <c r="CY592" s="3">
        <v>1293.3858951889099</v>
      </c>
      <c r="CZ592" s="3">
        <v>1293.3858951889099</v>
      </c>
      <c r="DA592" s="3">
        <v>1293.3858951889099</v>
      </c>
      <c r="DB592" s="3">
        <v>1293.3858951889099</v>
      </c>
      <c r="DC592" s="3">
        <v>1293.3858951889099</v>
      </c>
      <c r="DD592" s="3">
        <v>1293.3858951889099</v>
      </c>
      <c r="DE592" s="3">
        <v>1338.7688618159691</v>
      </c>
      <c r="DF592" s="3">
        <v>2483.2321101521729</v>
      </c>
      <c r="DG592" s="3">
        <v>3003.461756298082</v>
      </c>
      <c r="DH592" s="3">
        <v>4290.3385311590228</v>
      </c>
      <c r="DI592" s="3">
        <v>5309.6673521223656</v>
      </c>
      <c r="DJ592" s="3">
        <v>6521.2874089349343</v>
      </c>
      <c r="DK592" s="3">
        <v>7604.0638766616312</v>
      </c>
      <c r="DL592" s="3">
        <v>8810.7848747835942</v>
      </c>
      <c r="DM592" s="3">
        <v>9851.5767916189197</v>
      </c>
      <c r="DN592" s="3">
        <v>10971.05118558207</v>
      </c>
      <c r="DO592" s="3">
        <v>11936.798273246201</v>
      </c>
    </row>
    <row r="593" spans="1:230" x14ac:dyDescent="0.45">
      <c r="A593" s="16" t="s">
        <v>3934</v>
      </c>
      <c r="B593" s="3" t="s">
        <v>89</v>
      </c>
      <c r="C593" s="16"/>
      <c r="H593" s="3" t="s">
        <v>3935</v>
      </c>
      <c r="I593" s="3" t="s">
        <v>2363</v>
      </c>
      <c r="K593" s="17" t="s">
        <v>3936</v>
      </c>
      <c r="L593" s="3">
        <v>0</v>
      </c>
      <c r="M593" s="3">
        <v>0</v>
      </c>
      <c r="N593" s="3">
        <v>0</v>
      </c>
      <c r="O593" s="3">
        <v>0</v>
      </c>
      <c r="P593" s="3">
        <v>0</v>
      </c>
      <c r="Q593" s="3">
        <v>0</v>
      </c>
      <c r="R593" s="3">
        <v>0</v>
      </c>
      <c r="S593" s="3">
        <v>0</v>
      </c>
      <c r="T593" s="3">
        <v>0</v>
      </c>
      <c r="U593" s="3">
        <v>0</v>
      </c>
      <c r="V593" s="3">
        <v>0</v>
      </c>
      <c r="W593" s="3">
        <v>0</v>
      </c>
      <c r="X593" s="3">
        <v>0</v>
      </c>
      <c r="Y593" s="3">
        <v>0</v>
      </c>
      <c r="Z593" s="3">
        <v>0</v>
      </c>
      <c r="AA593" s="3">
        <v>0</v>
      </c>
      <c r="AB593" s="3">
        <v>0</v>
      </c>
      <c r="AC593" s="3">
        <v>0</v>
      </c>
      <c r="AD593" s="3">
        <v>0</v>
      </c>
      <c r="AE593" s="3">
        <v>0</v>
      </c>
      <c r="AG593" s="17" t="s">
        <v>3937</v>
      </c>
      <c r="AH593" s="3">
        <v>0</v>
      </c>
      <c r="AI593" s="3">
        <v>0</v>
      </c>
      <c r="AJ593" s="3">
        <v>0</v>
      </c>
      <c r="AK593" s="3">
        <v>0</v>
      </c>
      <c r="AL593" s="3">
        <v>0</v>
      </c>
      <c r="AM593" s="3">
        <v>0</v>
      </c>
      <c r="AN593" s="3">
        <v>0</v>
      </c>
      <c r="AO593" s="3">
        <v>0</v>
      </c>
      <c r="AP593" s="3">
        <v>0</v>
      </c>
      <c r="AQ593" s="3">
        <v>0</v>
      </c>
      <c r="AR593" s="3">
        <v>0</v>
      </c>
      <c r="AS593" s="3">
        <v>0</v>
      </c>
      <c r="AT593" s="3">
        <v>0</v>
      </c>
      <c r="AU593" s="3">
        <v>0</v>
      </c>
      <c r="AV593" s="3">
        <v>0</v>
      </c>
      <c r="AW593" s="3">
        <v>0</v>
      </c>
      <c r="AX593" s="3">
        <v>0</v>
      </c>
      <c r="AY593" s="3">
        <v>0</v>
      </c>
      <c r="AZ593" s="3">
        <v>0</v>
      </c>
      <c r="BA593" s="3">
        <v>0</v>
      </c>
      <c r="BC593" s="17" t="s">
        <v>3938</v>
      </c>
      <c r="BD593" s="3">
        <v>0</v>
      </c>
      <c r="BE593" s="3">
        <v>0</v>
      </c>
      <c r="BF593" s="3">
        <v>0</v>
      </c>
      <c r="BG593" s="3">
        <v>0</v>
      </c>
      <c r="BH593" s="3">
        <v>0</v>
      </c>
      <c r="BI593" s="3">
        <v>0</v>
      </c>
      <c r="BJ593" s="3">
        <v>0</v>
      </c>
      <c r="BK593" s="3">
        <v>0</v>
      </c>
      <c r="BL593" s="3">
        <v>0</v>
      </c>
      <c r="BM593" s="3">
        <v>0</v>
      </c>
      <c r="BN593" s="3">
        <v>0</v>
      </c>
      <c r="BO593" s="3">
        <v>0</v>
      </c>
      <c r="BP593" s="3">
        <v>0</v>
      </c>
      <c r="BQ593" s="3">
        <v>0</v>
      </c>
      <c r="BR593" s="3">
        <v>0</v>
      </c>
      <c r="BS593" s="3">
        <v>0</v>
      </c>
      <c r="BT593" s="3">
        <v>0</v>
      </c>
      <c r="BU593" s="3">
        <v>0</v>
      </c>
      <c r="BV593" s="3">
        <v>0</v>
      </c>
      <c r="BW593" s="3">
        <v>0</v>
      </c>
      <c r="BY593" s="17" t="s">
        <v>3939</v>
      </c>
      <c r="BZ593" s="3">
        <v>0</v>
      </c>
      <c r="CA593" s="3">
        <v>0</v>
      </c>
      <c r="CB593" s="3">
        <v>0</v>
      </c>
      <c r="CC593" s="3">
        <v>0</v>
      </c>
      <c r="CD593" s="3">
        <v>0</v>
      </c>
      <c r="CE593" s="3">
        <v>0</v>
      </c>
      <c r="CF593" s="3">
        <v>0</v>
      </c>
      <c r="CG593" s="3">
        <v>0</v>
      </c>
      <c r="CH593" s="3">
        <v>0</v>
      </c>
      <c r="CI593" s="3">
        <v>0</v>
      </c>
      <c r="CJ593" s="3">
        <v>0</v>
      </c>
      <c r="CK593" s="3">
        <v>0</v>
      </c>
      <c r="CL593" s="3">
        <v>0</v>
      </c>
      <c r="CM593" s="3">
        <v>0</v>
      </c>
      <c r="CN593" s="3">
        <v>0</v>
      </c>
      <c r="CO593" s="3">
        <v>0</v>
      </c>
      <c r="CP593" s="3">
        <v>0</v>
      </c>
      <c r="CQ593" s="3">
        <v>0</v>
      </c>
      <c r="CR593" s="3">
        <v>0</v>
      </c>
      <c r="CS593" s="3">
        <v>0</v>
      </c>
      <c r="CU593" s="17" t="s">
        <v>3940</v>
      </c>
      <c r="CV593" s="3">
        <v>0</v>
      </c>
      <c r="CW593" s="3">
        <v>0</v>
      </c>
      <c r="CX593" s="3">
        <v>0</v>
      </c>
      <c r="CY593" s="3">
        <v>0</v>
      </c>
      <c r="CZ593" s="3">
        <v>0</v>
      </c>
      <c r="DA593" s="3">
        <v>0</v>
      </c>
      <c r="DB593" s="3">
        <v>0</v>
      </c>
      <c r="DC593" s="3">
        <v>0</v>
      </c>
      <c r="DD593" s="3">
        <v>0</v>
      </c>
      <c r="DE593" s="3">
        <v>0</v>
      </c>
      <c r="DF593" s="3">
        <v>0</v>
      </c>
      <c r="DG593" s="3">
        <v>0</v>
      </c>
      <c r="DH593" s="3">
        <v>0</v>
      </c>
      <c r="DI593" s="3">
        <v>0</v>
      </c>
      <c r="DJ593" s="3">
        <v>0</v>
      </c>
      <c r="DK593" s="3">
        <v>0</v>
      </c>
      <c r="DL593" s="3">
        <v>0</v>
      </c>
      <c r="DM593" s="3">
        <v>0</v>
      </c>
      <c r="DN593" s="3">
        <v>0</v>
      </c>
      <c r="DO593" s="3">
        <v>0</v>
      </c>
    </row>
    <row r="594" spans="1:230" x14ac:dyDescent="0.45">
      <c r="A594" s="16" t="s">
        <v>2696</v>
      </c>
      <c r="B594" s="3" t="s">
        <v>89</v>
      </c>
      <c r="C594" s="16"/>
      <c r="H594" s="3" t="s">
        <v>2698</v>
      </c>
      <c r="I594" s="3" t="s">
        <v>2363</v>
      </c>
      <c r="K594" s="17" t="s">
        <v>2699</v>
      </c>
      <c r="L594" s="3">
        <v>0</v>
      </c>
      <c r="M594" s="3">
        <v>0</v>
      </c>
      <c r="N594" s="3">
        <v>0</v>
      </c>
      <c r="O594" s="3">
        <v>0</v>
      </c>
      <c r="P594" s="3">
        <v>0</v>
      </c>
      <c r="Q594" s="3">
        <v>0</v>
      </c>
      <c r="R594" s="3">
        <v>0</v>
      </c>
      <c r="S594" s="3">
        <v>0</v>
      </c>
      <c r="T594" s="3">
        <v>0</v>
      </c>
      <c r="U594" s="3">
        <v>0</v>
      </c>
      <c r="V594" s="3">
        <v>0</v>
      </c>
      <c r="W594" s="3">
        <v>0</v>
      </c>
      <c r="X594" s="3">
        <v>0</v>
      </c>
      <c r="Y594" s="3">
        <v>0</v>
      </c>
      <c r="Z594" s="3">
        <v>0</v>
      </c>
      <c r="AA594" s="3">
        <v>0</v>
      </c>
      <c r="AB594" s="3">
        <v>0</v>
      </c>
      <c r="AC594" s="3">
        <v>0</v>
      </c>
      <c r="AD594" s="3">
        <v>0</v>
      </c>
      <c r="AE594" s="3">
        <v>0</v>
      </c>
      <c r="AG594" s="17" t="s">
        <v>2700</v>
      </c>
      <c r="AH594" s="3">
        <v>0</v>
      </c>
      <c r="AI594" s="3">
        <v>0</v>
      </c>
      <c r="AJ594" s="3">
        <v>0</v>
      </c>
      <c r="AK594" s="3">
        <v>0</v>
      </c>
      <c r="AL594" s="3">
        <v>0</v>
      </c>
      <c r="AM594" s="3">
        <v>0</v>
      </c>
      <c r="AN594" s="3">
        <v>0</v>
      </c>
      <c r="AO594" s="3">
        <v>0</v>
      </c>
      <c r="AP594" s="3">
        <v>0</v>
      </c>
      <c r="AQ594" s="3">
        <v>0</v>
      </c>
      <c r="AR594" s="3">
        <v>0</v>
      </c>
      <c r="AS594" s="3">
        <v>0</v>
      </c>
      <c r="AT594" s="3">
        <v>0</v>
      </c>
      <c r="AU594" s="3">
        <v>0</v>
      </c>
      <c r="AV594" s="3">
        <v>0</v>
      </c>
      <c r="AW594" s="3">
        <v>0</v>
      </c>
      <c r="AX594" s="3">
        <v>0</v>
      </c>
      <c r="AY594" s="3">
        <v>0</v>
      </c>
      <c r="AZ594" s="3">
        <v>0</v>
      </c>
      <c r="BA594" s="3">
        <v>0</v>
      </c>
      <c r="BC594" s="17" t="s">
        <v>2701</v>
      </c>
      <c r="BD594" s="3">
        <v>0</v>
      </c>
      <c r="BE594" s="3">
        <v>0</v>
      </c>
      <c r="BF594" s="3">
        <v>0</v>
      </c>
      <c r="BG594" s="3">
        <v>0</v>
      </c>
      <c r="BH594" s="3">
        <v>0</v>
      </c>
      <c r="BI594" s="3">
        <v>0</v>
      </c>
      <c r="BJ594" s="3">
        <v>0</v>
      </c>
      <c r="BK594" s="3">
        <v>0</v>
      </c>
      <c r="BL594" s="3">
        <v>0</v>
      </c>
      <c r="BM594" s="3">
        <v>0</v>
      </c>
      <c r="BN594" s="3">
        <v>0</v>
      </c>
      <c r="BO594" s="3">
        <v>0</v>
      </c>
      <c r="BP594" s="3">
        <v>0</v>
      </c>
      <c r="BQ594" s="3">
        <v>0</v>
      </c>
      <c r="BR594" s="3">
        <v>0</v>
      </c>
      <c r="BS594" s="3">
        <v>0</v>
      </c>
      <c r="BT594" s="3">
        <v>0</v>
      </c>
      <c r="BU594" s="3">
        <v>0</v>
      </c>
      <c r="BV594" s="3">
        <v>0</v>
      </c>
      <c r="BW594" s="3">
        <v>0</v>
      </c>
      <c r="BY594" s="17" t="s">
        <v>2702</v>
      </c>
      <c r="BZ594" s="3">
        <v>0</v>
      </c>
      <c r="CA594" s="3">
        <v>0</v>
      </c>
      <c r="CB594" s="3">
        <v>0</v>
      </c>
      <c r="CC594" s="3">
        <v>0</v>
      </c>
      <c r="CD594" s="3">
        <v>0</v>
      </c>
      <c r="CE594" s="3">
        <v>0</v>
      </c>
      <c r="CF594" s="3">
        <v>0</v>
      </c>
      <c r="CG594" s="3">
        <v>0</v>
      </c>
      <c r="CH594" s="3">
        <v>0</v>
      </c>
      <c r="CI594" s="3">
        <v>0</v>
      </c>
      <c r="CJ594" s="3">
        <v>0</v>
      </c>
      <c r="CK594" s="3">
        <v>0</v>
      </c>
      <c r="CL594" s="3">
        <v>0</v>
      </c>
      <c r="CM594" s="3">
        <v>0</v>
      </c>
      <c r="CN594" s="3">
        <v>0</v>
      </c>
      <c r="CO594" s="3">
        <v>0</v>
      </c>
      <c r="CP594" s="3">
        <v>0</v>
      </c>
      <c r="CQ594" s="3">
        <v>0</v>
      </c>
      <c r="CR594" s="3">
        <v>0</v>
      </c>
      <c r="CS594" s="3">
        <v>0</v>
      </c>
      <c r="CU594" s="17" t="s">
        <v>2703</v>
      </c>
      <c r="CV594" s="3">
        <v>0</v>
      </c>
      <c r="CW594" s="3">
        <v>0</v>
      </c>
      <c r="CX594" s="3">
        <v>0</v>
      </c>
      <c r="CY594" s="3">
        <v>0</v>
      </c>
      <c r="CZ594" s="3">
        <v>0</v>
      </c>
      <c r="DA594" s="3">
        <v>0</v>
      </c>
      <c r="DB594" s="3">
        <v>0</v>
      </c>
      <c r="DC594" s="3">
        <v>0</v>
      </c>
      <c r="DD594" s="3">
        <v>0</v>
      </c>
      <c r="DE594" s="3">
        <v>0</v>
      </c>
      <c r="DF594" s="3">
        <v>0</v>
      </c>
      <c r="DG594" s="3">
        <v>0</v>
      </c>
      <c r="DH594" s="3">
        <v>0</v>
      </c>
      <c r="DI594" s="3">
        <v>0</v>
      </c>
      <c r="DJ594" s="3">
        <v>0</v>
      </c>
      <c r="DK594" s="3">
        <v>0</v>
      </c>
      <c r="DL594" s="3">
        <v>0</v>
      </c>
      <c r="DM594" s="3">
        <v>0</v>
      </c>
      <c r="DN594" s="3">
        <v>0</v>
      </c>
      <c r="DO594" s="3">
        <v>0</v>
      </c>
    </row>
    <row r="595" spans="1:230" x14ac:dyDescent="0.45">
      <c r="A595" s="11"/>
      <c r="B595" s="3" t="s">
        <v>89</v>
      </c>
      <c r="C595" s="16"/>
      <c r="H595" s="11" t="s">
        <v>3941</v>
      </c>
      <c r="I595" s="11" t="s">
        <v>2363</v>
      </c>
    </row>
    <row r="596" spans="1:230" x14ac:dyDescent="0.45">
      <c r="A596" s="11"/>
      <c r="B596" s="3" t="s">
        <v>89</v>
      </c>
      <c r="C596" s="16"/>
      <c r="H596" s="11" t="s">
        <v>3942</v>
      </c>
      <c r="I596" s="11" t="s">
        <v>2363</v>
      </c>
    </row>
    <row r="597" spans="1:230" x14ac:dyDescent="0.45">
      <c r="A597" s="11"/>
      <c r="B597" s="3" t="s">
        <v>89</v>
      </c>
      <c r="C597" s="16"/>
      <c r="H597" s="11" t="s">
        <v>3943</v>
      </c>
      <c r="I597" s="11" t="s">
        <v>2363</v>
      </c>
    </row>
    <row r="598" spans="1:230" x14ac:dyDescent="0.45">
      <c r="A598" s="11"/>
      <c r="B598" s="3" t="s">
        <v>89</v>
      </c>
      <c r="C598" s="16"/>
      <c r="H598" s="11" t="s">
        <v>3944</v>
      </c>
      <c r="I598" s="11" t="s">
        <v>2363</v>
      </c>
    </row>
    <row r="599" spans="1:230" x14ac:dyDescent="0.45">
      <c r="A599" s="11"/>
      <c r="B599" s="3" t="s">
        <v>89</v>
      </c>
      <c r="C599" s="16" t="s">
        <v>3945</v>
      </c>
      <c r="H599" s="11" t="s">
        <v>3946</v>
      </c>
      <c r="I599" s="11" t="s">
        <v>2363</v>
      </c>
    </row>
    <row r="600" spans="1:230" x14ac:dyDescent="0.45">
      <c r="A600" s="11"/>
      <c r="B600" s="3" t="s">
        <v>89</v>
      </c>
      <c r="C600" s="16"/>
      <c r="H600" s="11" t="s">
        <v>3947</v>
      </c>
      <c r="I600" s="11" t="s">
        <v>2363</v>
      </c>
    </row>
    <row r="601" spans="1:230" x14ac:dyDescent="0.45">
      <c r="A601" s="11"/>
      <c r="B601" s="3" t="s">
        <v>89</v>
      </c>
      <c r="C601" s="16"/>
      <c r="H601" s="11" t="s">
        <v>3948</v>
      </c>
      <c r="I601" s="11" t="s">
        <v>2363</v>
      </c>
    </row>
    <row r="602" spans="1:230" x14ac:dyDescent="0.45">
      <c r="A602" s="11"/>
      <c r="B602" s="3" t="s">
        <v>89</v>
      </c>
      <c r="C602" s="16" t="s">
        <v>3949</v>
      </c>
      <c r="H602" s="11" t="s">
        <v>3950</v>
      </c>
      <c r="I602" s="11" t="s">
        <v>2363</v>
      </c>
    </row>
    <row r="603" spans="1:230" x14ac:dyDescent="0.45">
      <c r="A603" s="11"/>
      <c r="B603" s="3" t="s">
        <v>89</v>
      </c>
      <c r="C603" s="16"/>
      <c r="H603" s="11" t="s">
        <v>3951</v>
      </c>
      <c r="I603" s="11" t="s">
        <v>2363</v>
      </c>
    </row>
    <row r="604" spans="1:230" x14ac:dyDescent="0.45">
      <c r="A604" s="11"/>
      <c r="B604" s="3" t="s">
        <v>89</v>
      </c>
      <c r="C604" s="16"/>
      <c r="H604" s="11" t="s">
        <v>3952</v>
      </c>
      <c r="I604" s="11" t="s">
        <v>2363</v>
      </c>
    </row>
    <row r="605" spans="1:230" x14ac:dyDescent="0.45">
      <c r="A605" s="11"/>
      <c r="B605" s="3" t="s">
        <v>89</v>
      </c>
      <c r="C605" s="16"/>
      <c r="H605" s="11" t="s">
        <v>3953</v>
      </c>
      <c r="I605" s="11" t="s">
        <v>2363</v>
      </c>
    </row>
    <row r="606" spans="1:230" x14ac:dyDescent="0.45">
      <c r="A606" s="11"/>
      <c r="B606" s="3" t="s">
        <v>89</v>
      </c>
      <c r="C606" s="16"/>
      <c r="H606" s="11" t="s">
        <v>3946</v>
      </c>
      <c r="I606" s="11" t="s">
        <v>2363</v>
      </c>
    </row>
    <row r="607" spans="1:230" x14ac:dyDescent="0.45">
      <c r="A607" s="11"/>
      <c r="B607" s="3" t="s">
        <v>89</v>
      </c>
      <c r="C607" s="16"/>
      <c r="H607" s="11" t="s">
        <v>3950</v>
      </c>
      <c r="I607" s="11" t="s">
        <v>2363</v>
      </c>
    </row>
    <row r="608" spans="1:230" ht="15.4" x14ac:dyDescent="0.45">
      <c r="A608" s="5"/>
      <c r="B608" s="15" t="s">
        <v>3954</v>
      </c>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row>
    <row r="609" spans="1:119" x14ac:dyDescent="0.45">
      <c r="A609" s="16" t="s">
        <v>221</v>
      </c>
      <c r="B609" s="3" t="s">
        <v>89</v>
      </c>
      <c r="C609" s="16" t="s">
        <v>222</v>
      </c>
      <c r="H609" s="3" t="s">
        <v>223</v>
      </c>
      <c r="I609" s="3" t="s">
        <v>224</v>
      </c>
      <c r="K609" s="17" t="s">
        <v>225</v>
      </c>
      <c r="L609" s="20">
        <v>-45462.049128992738</v>
      </c>
      <c r="M609" s="20">
        <v>-41402.144612537937</v>
      </c>
      <c r="N609" s="20">
        <v>-47350.684921796237</v>
      </c>
      <c r="O609" s="20">
        <v>-45294.313137521342</v>
      </c>
      <c r="P609" s="20">
        <v>-50500.215685075658</v>
      </c>
      <c r="Q609" s="20">
        <v>-47953.304846969259</v>
      </c>
      <c r="R609" s="20">
        <v>-48307.864958115053</v>
      </c>
      <c r="S609" s="20">
        <v>-49182.425480488899</v>
      </c>
      <c r="T609" s="20">
        <v>-49790.001941270297</v>
      </c>
      <c r="U609" s="20">
        <v>-50021.607577268158</v>
      </c>
      <c r="V609" s="20">
        <v>-50816.737427676293</v>
      </c>
      <c r="W609" s="20">
        <v>-52231.83534094644</v>
      </c>
      <c r="X609" s="20">
        <v>-53583.385595317653</v>
      </c>
      <c r="Y609" s="20">
        <v>-55024.353027060482</v>
      </c>
      <c r="Z609" s="20">
        <v>-56488.613209466283</v>
      </c>
      <c r="AA609" s="20">
        <v>-57982.463724537258</v>
      </c>
      <c r="AB609" s="20">
        <v>-59503.736969212703</v>
      </c>
      <c r="AC609" s="20">
        <v>-61052.716628613933</v>
      </c>
      <c r="AD609" s="20">
        <v>-62631.455037420521</v>
      </c>
      <c r="AE609" s="20">
        <v>-64240.627701392797</v>
      </c>
      <c r="AG609" s="17" t="s">
        <v>226</v>
      </c>
      <c r="AH609" s="20">
        <v>-45462.049128992738</v>
      </c>
      <c r="AI609" s="20">
        <v>-41395.416191032848</v>
      </c>
      <c r="AJ609" s="20">
        <v>-47342.941092299327</v>
      </c>
      <c r="AK609" s="20">
        <v>-45286.666385631041</v>
      </c>
      <c r="AL609" s="20">
        <v>-50492.198337006601</v>
      </c>
      <c r="AM609" s="20">
        <v>-39589.266523156461</v>
      </c>
      <c r="AN609" s="20">
        <v>-37816.413761477757</v>
      </c>
      <c r="AO609" s="20">
        <v>-38710.301453501292</v>
      </c>
      <c r="AP609" s="20">
        <v>-38955.495619211419</v>
      </c>
      <c r="AQ609" s="20">
        <v>-39399.297910112029</v>
      </c>
      <c r="AR609" s="20">
        <v>-40087.2864735232</v>
      </c>
      <c r="AS609" s="20">
        <v>-41372.003731915633</v>
      </c>
      <c r="AT609" s="20">
        <v>-42531.023377294361</v>
      </c>
      <c r="AU609" s="20">
        <v>-43802.300915447187</v>
      </c>
      <c r="AV609" s="20">
        <v>-45102.346641564123</v>
      </c>
      <c r="AW609" s="20">
        <v>-46446.329284920233</v>
      </c>
      <c r="AX609" s="20">
        <v>-47794.582410543982</v>
      </c>
      <c r="AY609" s="20">
        <v>-49159.347734604242</v>
      </c>
      <c r="AZ609" s="20">
        <v>-50523.178296697763</v>
      </c>
      <c r="BA609" s="20">
        <v>-51907.14783950022</v>
      </c>
      <c r="BC609" s="17" t="s">
        <v>227</v>
      </c>
      <c r="BD609" s="20">
        <v>-45462.049128992738</v>
      </c>
      <c r="BE609" s="20">
        <v>-41378.902644497619</v>
      </c>
      <c r="BF609" s="20">
        <v>-47324.215933128027</v>
      </c>
      <c r="BG609" s="20">
        <v>-45268.152612181788</v>
      </c>
      <c r="BH609" s="20">
        <v>-50472.874098765373</v>
      </c>
      <c r="BI609" s="20">
        <v>-43178.575737208543</v>
      </c>
      <c r="BJ609" s="20">
        <v>-37099.575239775317</v>
      </c>
      <c r="BK609" s="20">
        <v>-31932.139750065471</v>
      </c>
      <c r="BL609" s="20">
        <v>-27546.07736272872</v>
      </c>
      <c r="BM609" s="20">
        <v>-23834.45795928872</v>
      </c>
      <c r="BN609" s="20">
        <v>-20616.069163752651</v>
      </c>
      <c r="BO609" s="20">
        <v>-17828.455137186229</v>
      </c>
      <c r="BP609" s="20">
        <v>-15182.726855251211</v>
      </c>
      <c r="BQ609" s="20">
        <v>-12781.598080365649</v>
      </c>
      <c r="BR609" s="20">
        <v>-10530.858499212311</v>
      </c>
      <c r="BS609" s="20">
        <v>-8442.2018296197421</v>
      </c>
      <c r="BT609" s="20">
        <v>-6498.7419818877352</v>
      </c>
      <c r="BU609" s="20">
        <v>-4650.6157357253396</v>
      </c>
      <c r="BV609" s="20">
        <v>-2970.0000868349889</v>
      </c>
      <c r="BW609" s="20">
        <v>-1291.318708472543</v>
      </c>
      <c r="BY609" s="17" t="s">
        <v>228</v>
      </c>
      <c r="BZ609" s="20">
        <v>-45462.049128992738</v>
      </c>
      <c r="CA609" s="20">
        <v>-41362.689140930852</v>
      </c>
      <c r="CB609" s="20">
        <v>-47305.555586085276</v>
      </c>
      <c r="CC609" s="20">
        <v>-45249.697429288157</v>
      </c>
      <c r="CD609" s="20">
        <v>-50453.528867261753</v>
      </c>
      <c r="CE609" s="20">
        <v>-40783.358807052369</v>
      </c>
      <c r="CF609" s="20">
        <v>-41045.452273327261</v>
      </c>
      <c r="CG609" s="20">
        <v>-41795.872157397367</v>
      </c>
      <c r="CH609" s="20">
        <v>-42232.716138863703</v>
      </c>
      <c r="CI609" s="20">
        <v>-42240.79819436172</v>
      </c>
      <c r="CJ609" s="20">
        <v>-42578.58160656289</v>
      </c>
      <c r="CK609" s="20">
        <v>-43706.469042517558</v>
      </c>
      <c r="CL609" s="20">
        <v>-44365.927063808027</v>
      </c>
      <c r="CM609" s="20">
        <v>-45187.829996137218</v>
      </c>
      <c r="CN609" s="20">
        <v>-46115.293176369967</v>
      </c>
      <c r="CO609" s="20">
        <v>-46999.215781882223</v>
      </c>
      <c r="CP609" s="20">
        <v>-47953.025319559572</v>
      </c>
      <c r="CQ609" s="20">
        <v>-48956.414728758027</v>
      </c>
      <c r="CR609" s="20">
        <v>-49944.789815948337</v>
      </c>
      <c r="CS609" s="20">
        <v>-51000.764869963947</v>
      </c>
      <c r="CU609" s="17" t="s">
        <v>229</v>
      </c>
      <c r="CV609" s="20">
        <v>-45462.049128992738</v>
      </c>
      <c r="CW609" s="20">
        <v>-41386.114543162621</v>
      </c>
      <c r="CX609" s="20">
        <v>-47332.346089450213</v>
      </c>
      <c r="CY609" s="20">
        <v>-45276.194877070717</v>
      </c>
      <c r="CZ609" s="20">
        <v>-50481.253574970076</v>
      </c>
      <c r="DA609" s="20">
        <v>-30042.983675672149</v>
      </c>
      <c r="DB609" s="20">
        <v>-26520.186274062169</v>
      </c>
      <c r="DC609" s="20">
        <v>-27148.102451925079</v>
      </c>
      <c r="DD609" s="20">
        <v>-27048.60218481228</v>
      </c>
      <c r="DE609" s="20">
        <v>-27618.53118400638</v>
      </c>
      <c r="DF609" s="20">
        <v>-28106.829161643829</v>
      </c>
      <c r="DG609" s="20">
        <v>-29067.0833575793</v>
      </c>
      <c r="DH609" s="20">
        <v>-29890.442469582438</v>
      </c>
      <c r="DI609" s="20">
        <v>-30899.18795065266</v>
      </c>
      <c r="DJ609" s="20">
        <v>-31887.356625599939</v>
      </c>
      <c r="DK609" s="20">
        <v>-32993.75595120003</v>
      </c>
      <c r="DL609" s="20">
        <v>-34046.528132810497</v>
      </c>
      <c r="DM609" s="20">
        <v>-35174.853384962364</v>
      </c>
      <c r="DN609" s="20">
        <v>-36241.926434346693</v>
      </c>
      <c r="DO609" s="20">
        <v>-37377.177982940477</v>
      </c>
    </row>
    <row r="610" spans="1:119" x14ac:dyDescent="0.45">
      <c r="A610" s="11"/>
      <c r="B610" s="3" t="s">
        <v>89</v>
      </c>
      <c r="C610" s="16"/>
      <c r="H610" s="11" t="s">
        <v>3955</v>
      </c>
      <c r="I610" s="11" t="s">
        <v>3956</v>
      </c>
    </row>
    <row r="611" spans="1:119" x14ac:dyDescent="0.45">
      <c r="A611" s="11"/>
      <c r="B611" s="3" t="s">
        <v>89</v>
      </c>
      <c r="C611" s="16"/>
      <c r="H611" s="11" t="s">
        <v>3957</v>
      </c>
      <c r="I611" s="11" t="s">
        <v>3956</v>
      </c>
    </row>
    <row r="612" spans="1:119" x14ac:dyDescent="0.45">
      <c r="A612" s="11"/>
      <c r="B612" s="3" t="s">
        <v>89</v>
      </c>
      <c r="C612" s="16"/>
      <c r="H612" s="11" t="s">
        <v>3958</v>
      </c>
      <c r="I612" s="11" t="s">
        <v>3956</v>
      </c>
    </row>
    <row r="613" spans="1:119" x14ac:dyDescent="0.45">
      <c r="A613" s="11"/>
      <c r="B613" s="3" t="s">
        <v>89</v>
      </c>
      <c r="C613" s="16"/>
      <c r="H613" s="11" t="s">
        <v>3959</v>
      </c>
      <c r="I613" s="11" t="s">
        <v>3956</v>
      </c>
    </row>
    <row r="614" spans="1:119" x14ac:dyDescent="0.45">
      <c r="A614" s="11"/>
      <c r="B614" s="3" t="s">
        <v>89</v>
      </c>
      <c r="C614" s="16"/>
      <c r="H614" s="11" t="s">
        <v>3960</v>
      </c>
      <c r="I614" s="11" t="s">
        <v>3956</v>
      </c>
    </row>
    <row r="615" spans="1:119" x14ac:dyDescent="0.45">
      <c r="A615" s="11"/>
      <c r="B615" s="3" t="s">
        <v>89</v>
      </c>
      <c r="C615" s="16"/>
      <c r="H615" s="11" t="s">
        <v>3961</v>
      </c>
      <c r="I615" s="11" t="s">
        <v>3956</v>
      </c>
    </row>
    <row r="616" spans="1:119" x14ac:dyDescent="0.45">
      <c r="A616" s="11"/>
      <c r="B616" s="3" t="s">
        <v>89</v>
      </c>
      <c r="C616" s="16" t="s">
        <v>3962</v>
      </c>
      <c r="H616" s="11" t="s">
        <v>3963</v>
      </c>
      <c r="I616" s="11" t="s">
        <v>3956</v>
      </c>
    </row>
    <row r="617" spans="1:119" x14ac:dyDescent="0.45">
      <c r="A617" s="11"/>
      <c r="B617" s="3" t="s">
        <v>89</v>
      </c>
      <c r="C617" s="16" t="s">
        <v>3964</v>
      </c>
      <c r="H617" s="11" t="s">
        <v>3965</v>
      </c>
      <c r="I617" s="11" t="s">
        <v>3956</v>
      </c>
    </row>
    <row r="618" spans="1:119" x14ac:dyDescent="0.45">
      <c r="A618" s="11"/>
      <c r="B618" s="3" t="s">
        <v>89</v>
      </c>
      <c r="C618" s="16" t="s">
        <v>3966</v>
      </c>
      <c r="H618" s="11" t="s">
        <v>3967</v>
      </c>
      <c r="I618" s="11" t="s">
        <v>3956</v>
      </c>
    </row>
    <row r="619" spans="1:119" x14ac:dyDescent="0.45">
      <c r="A619" s="11"/>
      <c r="B619" s="3" t="s">
        <v>89</v>
      </c>
      <c r="C619" s="16" t="s">
        <v>3968</v>
      </c>
      <c r="H619" s="11" t="s">
        <v>3969</v>
      </c>
      <c r="I619" s="11" t="s">
        <v>3956</v>
      </c>
    </row>
    <row r="620" spans="1:119" x14ac:dyDescent="0.45">
      <c r="A620" s="11"/>
      <c r="B620" s="3" t="s">
        <v>89</v>
      </c>
      <c r="C620" s="16" t="s">
        <v>3970</v>
      </c>
      <c r="H620" s="11" t="s">
        <v>3971</v>
      </c>
      <c r="I620" s="11" t="s">
        <v>3956</v>
      </c>
    </row>
    <row r="621" spans="1:119" x14ac:dyDescent="0.45">
      <c r="A621" s="11"/>
      <c r="B621" s="3" t="s">
        <v>89</v>
      </c>
      <c r="C621" s="16" t="s">
        <v>3972</v>
      </c>
      <c r="H621" s="11" t="s">
        <v>3973</v>
      </c>
      <c r="I621" s="11" t="s">
        <v>3956</v>
      </c>
    </row>
    <row r="622" spans="1:119" x14ac:dyDescent="0.45">
      <c r="A622" s="16" t="s">
        <v>3974</v>
      </c>
      <c r="B622" s="3" t="s">
        <v>89</v>
      </c>
      <c r="C622" s="16" t="s">
        <v>3975</v>
      </c>
      <c r="H622" s="3" t="s">
        <v>3976</v>
      </c>
      <c r="I622" s="3" t="s">
        <v>224</v>
      </c>
      <c r="K622" s="17" t="s">
        <v>3977</v>
      </c>
      <c r="L622" s="3">
        <v>24.458791125774969</v>
      </c>
      <c r="M622" s="3">
        <v>14.049990430239671</v>
      </c>
      <c r="N622" s="3">
        <v>12.94669276957797</v>
      </c>
      <c r="O622" s="3">
        <v>14.000118847612811</v>
      </c>
      <c r="P622" s="3">
        <v>13.771327968359991</v>
      </c>
      <c r="Q622" s="3">
        <v>13.94667898719225</v>
      </c>
      <c r="R622" s="3">
        <v>14.322559616694051</v>
      </c>
      <c r="S622" s="3">
        <v>14.68720361606978</v>
      </c>
      <c r="T622" s="3">
        <v>15.03493374680431</v>
      </c>
      <c r="U622" s="3">
        <v>15.383252367841211</v>
      </c>
      <c r="V622" s="3">
        <v>15.673132788891641</v>
      </c>
      <c r="W622" s="3">
        <v>15.96372816148784</v>
      </c>
      <c r="X622" s="3">
        <v>16.254955874209269</v>
      </c>
      <c r="Y622" s="3">
        <v>16.546734051485231</v>
      </c>
      <c r="Z622" s="3">
        <v>16.83898148358465</v>
      </c>
      <c r="AA622" s="3">
        <v>17.131617549183812</v>
      </c>
      <c r="AB622" s="3">
        <v>17.424562130894021</v>
      </c>
      <c r="AC622" s="3">
        <v>17.717735524107411</v>
      </c>
      <c r="AD622" s="3">
        <v>18.011058339493751</v>
      </c>
      <c r="AE622" s="3">
        <v>18.304451399457172</v>
      </c>
      <c r="AG622" s="17" t="s">
        <v>3978</v>
      </c>
      <c r="AH622" s="3">
        <v>24.458791125774969</v>
      </c>
      <c r="AI622" s="3">
        <v>14.049990430239671</v>
      </c>
      <c r="AJ622" s="3">
        <v>12.94669276957797</v>
      </c>
      <c r="AK622" s="3">
        <v>14.000118847612811</v>
      </c>
      <c r="AL622" s="3">
        <v>13.771327968359991</v>
      </c>
      <c r="AM622" s="3">
        <v>155.96134822090701</v>
      </c>
      <c r="AN622" s="3">
        <v>160.06637571843129</v>
      </c>
      <c r="AO622" s="3">
        <v>164.07725749580669</v>
      </c>
      <c r="AP622" s="3">
        <v>167.72577589029359</v>
      </c>
      <c r="AQ622" s="3">
        <v>171.5038229061384</v>
      </c>
      <c r="AR622" s="3">
        <v>174.70274525915869</v>
      </c>
      <c r="AS622" s="3">
        <v>178.0144307655213</v>
      </c>
      <c r="AT622" s="3">
        <v>181.38439034110019</v>
      </c>
      <c r="AU622" s="3">
        <v>184.73778359089559</v>
      </c>
      <c r="AV622" s="3">
        <v>188.11926731427491</v>
      </c>
      <c r="AW622" s="3">
        <v>191.55738535592289</v>
      </c>
      <c r="AX622" s="3">
        <v>194.9528914205458</v>
      </c>
      <c r="AY622" s="3">
        <v>198.32635517871171</v>
      </c>
      <c r="AZ622" s="3">
        <v>201.64208127475729</v>
      </c>
      <c r="BA622" s="3">
        <v>204.94171327611511</v>
      </c>
      <c r="BC622" s="17" t="s">
        <v>3979</v>
      </c>
      <c r="BD622" s="3">
        <v>24.458791125774969</v>
      </c>
      <c r="BE622" s="3">
        <v>14.049990430239671</v>
      </c>
      <c r="BF622" s="3">
        <v>12.94669276957797</v>
      </c>
      <c r="BG622" s="3">
        <v>14.000118847612811</v>
      </c>
      <c r="BH622" s="3">
        <v>13.771327968359991</v>
      </c>
      <c r="BI622" s="3">
        <v>88.293049311420475</v>
      </c>
      <c r="BJ622" s="3">
        <v>175.26070444288649</v>
      </c>
      <c r="BK622" s="3">
        <v>252.42840712036431</v>
      </c>
      <c r="BL622" s="3">
        <v>322.37321357412088</v>
      </c>
      <c r="BM622" s="3">
        <v>391.77355636774212</v>
      </c>
      <c r="BN622" s="3">
        <v>457.14216525814561</v>
      </c>
      <c r="BO622" s="3">
        <v>520.06810153506012</v>
      </c>
      <c r="BP622" s="3">
        <v>581.2323544220643</v>
      </c>
      <c r="BQ622" s="3">
        <v>641.02261882122798</v>
      </c>
      <c r="BR622" s="3">
        <v>699.78407016101505</v>
      </c>
      <c r="BS622" s="3">
        <v>757.87773704787867</v>
      </c>
      <c r="BT622" s="3">
        <v>815.42316049664146</v>
      </c>
      <c r="BU622" s="3">
        <v>872.51712367961613</v>
      </c>
      <c r="BV622" s="3">
        <v>929.09429410603809</v>
      </c>
      <c r="BW622" s="3">
        <v>985.19039900128666</v>
      </c>
      <c r="BY622" s="17" t="s">
        <v>3980</v>
      </c>
      <c r="BZ622" s="3">
        <v>24.458791125774969</v>
      </c>
      <c r="CA622" s="3">
        <v>14.049990430239671</v>
      </c>
      <c r="CB622" s="3">
        <v>12.94669276957797</v>
      </c>
      <c r="CC622" s="3">
        <v>14.000118847612811</v>
      </c>
      <c r="CD622" s="3">
        <v>13.771327968359991</v>
      </c>
      <c r="CE622" s="3">
        <v>12.788405464508751</v>
      </c>
      <c r="CF622" s="3">
        <v>12.72651116283366</v>
      </c>
      <c r="CG622" s="3">
        <v>12.67912883156445</v>
      </c>
      <c r="CH622" s="3">
        <v>12.62487019895879</v>
      </c>
      <c r="CI622" s="3">
        <v>12.602103012689129</v>
      </c>
      <c r="CJ622" s="3">
        <v>12.55291459010291</v>
      </c>
      <c r="CK622" s="3">
        <v>12.52052121582015</v>
      </c>
      <c r="CL622" s="3">
        <v>12.50079575849168</v>
      </c>
      <c r="CM622" s="3">
        <v>12.48820013563248</v>
      </c>
      <c r="CN622" s="3">
        <v>12.60168771318726</v>
      </c>
      <c r="CO622" s="3">
        <v>12.715430432552131</v>
      </c>
      <c r="CP622" s="3">
        <v>12.825242628087469</v>
      </c>
      <c r="CQ622" s="3">
        <v>12.933283662969631</v>
      </c>
      <c r="CR622" s="3">
        <v>13.03643960981637</v>
      </c>
      <c r="CS622" s="3">
        <v>13.138035483624719</v>
      </c>
      <c r="CU622" s="17" t="s">
        <v>3981</v>
      </c>
      <c r="CV622" s="3">
        <v>24.458791125774969</v>
      </c>
      <c r="CW622" s="3">
        <v>14.049990430239671</v>
      </c>
      <c r="CX622" s="3">
        <v>12.94669276957797</v>
      </c>
      <c r="CY622" s="3">
        <v>14.000118847612811</v>
      </c>
      <c r="CZ622" s="3">
        <v>13.771327968359991</v>
      </c>
      <c r="DA622" s="3">
        <v>316.36406424835701</v>
      </c>
      <c r="DB622" s="3">
        <v>324.47390121315499</v>
      </c>
      <c r="DC622" s="3">
        <v>332.47367615728791</v>
      </c>
      <c r="DD622" s="3">
        <v>339.3406383626845</v>
      </c>
      <c r="DE622" s="3">
        <v>346.78625251656757</v>
      </c>
      <c r="DF622" s="3">
        <v>353.13491547916402</v>
      </c>
      <c r="DG622" s="3">
        <v>359.98487528459168</v>
      </c>
      <c r="DH622" s="3">
        <v>367.03559820065811</v>
      </c>
      <c r="DI622" s="3">
        <v>374.0125887353895</v>
      </c>
      <c r="DJ622" s="3">
        <v>381.09434450854963</v>
      </c>
      <c r="DK622" s="3">
        <v>388.41067630823738</v>
      </c>
      <c r="DL622" s="3">
        <v>395.52873062213632</v>
      </c>
      <c r="DM622" s="3">
        <v>402.55874226153401</v>
      </c>
      <c r="DN622" s="3">
        <v>409.33740909387939</v>
      </c>
      <c r="DO622" s="3">
        <v>416.05401333692129</v>
      </c>
    </row>
    <row r="623" spans="1:119" x14ac:dyDescent="0.45">
      <c r="A623" s="16" t="s">
        <v>3982</v>
      </c>
      <c r="B623" s="3" t="s">
        <v>89</v>
      </c>
      <c r="C623" s="16" t="s">
        <v>3983</v>
      </c>
      <c r="H623" s="3" t="s">
        <v>3984</v>
      </c>
      <c r="I623" s="3" t="s">
        <v>224</v>
      </c>
      <c r="K623" s="17" t="s">
        <v>3985</v>
      </c>
      <c r="L623" s="3">
        <v>-4405.8027974680517</v>
      </c>
      <c r="M623" s="3">
        <v>-3280.2606358313001</v>
      </c>
      <c r="N623" s="3">
        <v>-4053.9334487662459</v>
      </c>
      <c r="O623" s="3">
        <v>-4126.9586744746584</v>
      </c>
      <c r="P623" s="3">
        <v>-4166.754077488642</v>
      </c>
      <c r="Q623" s="3">
        <v>-4339.213282402573</v>
      </c>
      <c r="R623" s="3">
        <v>-4549.5014178707797</v>
      </c>
      <c r="S623" s="3">
        <v>-4707.9075145517181</v>
      </c>
      <c r="T623" s="3">
        <v>-4838.766491174455</v>
      </c>
      <c r="U623" s="3">
        <v>-4968.1830945545234</v>
      </c>
      <c r="V623" s="3">
        <v>-5095.2214791506794</v>
      </c>
      <c r="W623" s="3">
        <v>-5224.5441142514956</v>
      </c>
      <c r="X623" s="3">
        <v>-5356.1455085191683</v>
      </c>
      <c r="Y623" s="3">
        <v>-5490.0184312363444</v>
      </c>
      <c r="Z623" s="3">
        <v>-5626.1538654934657</v>
      </c>
      <c r="AA623" s="3">
        <v>-5764.5409571391492</v>
      </c>
      <c r="AB623" s="3">
        <v>-5905.1669592155476</v>
      </c>
      <c r="AC623" s="3">
        <v>-6048.017171608747</v>
      </c>
      <c r="AD623" s="3">
        <v>-6193.074875652248</v>
      </c>
      <c r="AE623" s="3">
        <v>-6340.3212634298879</v>
      </c>
      <c r="AG623" s="17" t="s">
        <v>3986</v>
      </c>
      <c r="AH623" s="3">
        <v>-4405.8027974680517</v>
      </c>
      <c r="AI623" s="3">
        <v>-3280.2606358313001</v>
      </c>
      <c r="AJ623" s="3">
        <v>-4053.9334487662459</v>
      </c>
      <c r="AK623" s="3">
        <v>-4126.9586744746584</v>
      </c>
      <c r="AL623" s="3">
        <v>-4166.754077488642</v>
      </c>
      <c r="AM623" s="3">
        <v>-2813.4277540314042</v>
      </c>
      <c r="AN623" s="3">
        <v>-2960.247613399104</v>
      </c>
      <c r="AO623" s="3">
        <v>-3068.3557388792979</v>
      </c>
      <c r="AP623" s="3">
        <v>-3151.9967040574588</v>
      </c>
      <c r="AQ623" s="3">
        <v>-3237.4690956095728</v>
      </c>
      <c r="AR623" s="3">
        <v>-3319.091752918735</v>
      </c>
      <c r="AS623" s="3">
        <v>-3404.9549679950678</v>
      </c>
      <c r="AT623" s="3">
        <v>-3493.7261328110699</v>
      </c>
      <c r="AU623" s="3">
        <v>-3583.435675050021</v>
      </c>
      <c r="AV623" s="3">
        <v>-3675.3175471137529</v>
      </c>
      <c r="AW623" s="3">
        <v>-3770.2213362630791</v>
      </c>
      <c r="AX623" s="3">
        <v>-3865.3931223928489</v>
      </c>
      <c r="AY623" s="3">
        <v>-3961.3910457845168</v>
      </c>
      <c r="AZ623" s="3">
        <v>-4057.154367243616</v>
      </c>
      <c r="BA623" s="3">
        <v>-4153.8657295410767</v>
      </c>
      <c r="BC623" s="17" t="s">
        <v>3987</v>
      </c>
      <c r="BD623" s="3">
        <v>-4405.8027974680517</v>
      </c>
      <c r="BE623" s="3">
        <v>-3280.2606358313001</v>
      </c>
      <c r="BF623" s="3">
        <v>-4053.9334487662459</v>
      </c>
      <c r="BG623" s="3">
        <v>-4126.9586744746584</v>
      </c>
      <c r="BH623" s="3">
        <v>-4166.754077488642</v>
      </c>
      <c r="BI623" s="3">
        <v>-3433.7974665767169</v>
      </c>
      <c r="BJ623" s="3">
        <v>-2710.9741939269052</v>
      </c>
      <c r="BK623" s="3">
        <v>-2121.1558689741332</v>
      </c>
      <c r="BL623" s="3">
        <v>-1619.312625491561</v>
      </c>
      <c r="BM623" s="3">
        <v>-1192.7404497142579</v>
      </c>
      <c r="BN623" s="3">
        <v>-805.56457641515317</v>
      </c>
      <c r="BO623" s="3">
        <v>-448.70754787808619</v>
      </c>
      <c r="BP623" s="3">
        <v>-113.5054558557908</v>
      </c>
      <c r="BQ623" s="3">
        <v>206.32465354644549</v>
      </c>
      <c r="BR623" s="3">
        <v>515.35739421031985</v>
      </c>
      <c r="BS623" s="3">
        <v>817.30766424093554</v>
      </c>
      <c r="BT623" s="3">
        <v>1114.7051654596751</v>
      </c>
      <c r="BU623" s="3">
        <v>1409.4069494998589</v>
      </c>
      <c r="BV623" s="3">
        <v>1702.257238903446</v>
      </c>
      <c r="BW623" s="3">
        <v>1994.076909065908</v>
      </c>
      <c r="BY623" s="17" t="s">
        <v>3988</v>
      </c>
      <c r="BZ623" s="3">
        <v>-4405.8027974680517</v>
      </c>
      <c r="CA623" s="3">
        <v>-3280.2606358313001</v>
      </c>
      <c r="CB623" s="3">
        <v>-4053.9334487662459</v>
      </c>
      <c r="CC623" s="3">
        <v>-4126.9586744746584</v>
      </c>
      <c r="CD623" s="3">
        <v>-4166.754077488642</v>
      </c>
      <c r="CE623" s="3">
        <v>-2753.134083745796</v>
      </c>
      <c r="CF623" s="3">
        <v>-2884.7910295004522</v>
      </c>
      <c r="CG623" s="3">
        <v>-2978.6272497712062</v>
      </c>
      <c r="CH623" s="3">
        <v>-3049.0307374693152</v>
      </c>
      <c r="CI623" s="3">
        <v>-3122.0425486742379</v>
      </c>
      <c r="CJ623" s="3">
        <v>-3190.7717318143859</v>
      </c>
      <c r="CK623" s="3">
        <v>-3263.76695050945</v>
      </c>
      <c r="CL623" s="3">
        <v>-3338.4097906182692</v>
      </c>
      <c r="CM623" s="3">
        <v>-3413.9823518810172</v>
      </c>
      <c r="CN623" s="3">
        <v>-3497.1645387645722</v>
      </c>
      <c r="CO623" s="3">
        <v>-3582.5628412978081</v>
      </c>
      <c r="CP623" s="3">
        <v>-3668.0110605626492</v>
      </c>
      <c r="CQ623" s="3">
        <v>-3754.3972580692198</v>
      </c>
      <c r="CR623" s="3">
        <v>-3840.5885036395612</v>
      </c>
      <c r="CS623" s="3">
        <v>-3928.0216325436609</v>
      </c>
      <c r="CU623" s="17" t="s">
        <v>3989</v>
      </c>
      <c r="CV623" s="3">
        <v>-4405.8027974680517</v>
      </c>
      <c r="CW623" s="3">
        <v>-3280.2606358313001</v>
      </c>
      <c r="CX623" s="3">
        <v>-4053.9334487662459</v>
      </c>
      <c r="CY623" s="3">
        <v>-4126.9586744746584</v>
      </c>
      <c r="CZ623" s="3">
        <v>-4166.754077488642</v>
      </c>
      <c r="DA623" s="3">
        <v>-1478.9876992897021</v>
      </c>
      <c r="DB623" s="3">
        <v>-1566.811070175396</v>
      </c>
      <c r="DC623" s="3">
        <v>-1625.54800983012</v>
      </c>
      <c r="DD623" s="3">
        <v>-1665.56610524403</v>
      </c>
      <c r="DE623" s="3">
        <v>-1707.567232449107</v>
      </c>
      <c r="DF623" s="3">
        <v>-1745.346986041508</v>
      </c>
      <c r="DG623" s="3">
        <v>-1786.792129018256</v>
      </c>
      <c r="DH623" s="3">
        <v>-1830.0968540416511</v>
      </c>
      <c r="DI623" s="3">
        <v>-1873.5324625823459</v>
      </c>
      <c r="DJ623" s="3">
        <v>-1918.2627162916731</v>
      </c>
      <c r="DK623" s="3">
        <v>-1965.185994168512</v>
      </c>
      <c r="DL623" s="3">
        <v>-2011.446522540115</v>
      </c>
      <c r="DM623" s="3">
        <v>-2057.7546031321458</v>
      </c>
      <c r="DN623" s="3">
        <v>-2102.964970204273</v>
      </c>
      <c r="DO623" s="3">
        <v>-2148.3467256457502</v>
      </c>
    </row>
    <row r="624" spans="1:119" x14ac:dyDescent="0.45">
      <c r="A624" s="16" t="s">
        <v>3990</v>
      </c>
      <c r="B624" s="3" t="s">
        <v>89</v>
      </c>
      <c r="C624" s="16" t="s">
        <v>3991</v>
      </c>
      <c r="H624" s="3" t="s">
        <v>3992</v>
      </c>
      <c r="I624" s="3" t="s">
        <v>224</v>
      </c>
      <c r="K624" s="17" t="s">
        <v>3993</v>
      </c>
      <c r="L624" s="3">
        <v>-1695.6613032793241</v>
      </c>
      <c r="M624" s="3">
        <v>-1202.3253029089169</v>
      </c>
      <c r="N624" s="3">
        <v>-1331.1320011766311</v>
      </c>
      <c r="O624" s="3">
        <v>-1084.791823702132</v>
      </c>
      <c r="P624" s="3">
        <v>-1325.0661151651179</v>
      </c>
      <c r="Q624" s="3">
        <v>-1149.2025881324021</v>
      </c>
      <c r="R624" s="3">
        <v>-1131.7910754101929</v>
      </c>
      <c r="S624" s="3">
        <v>-1140.757049639222</v>
      </c>
      <c r="T624" s="3">
        <v>-1149.3843989421659</v>
      </c>
      <c r="U624" s="3">
        <v>-1153.885101555308</v>
      </c>
      <c r="V624" s="3">
        <v>-1191.7140228131609</v>
      </c>
      <c r="W624" s="3">
        <v>-1230.1954832584549</v>
      </c>
      <c r="X624" s="3">
        <v>-1269.3231320984039</v>
      </c>
      <c r="Y624" s="3">
        <v>-1309.0902276898721</v>
      </c>
      <c r="Z624" s="3">
        <v>-1349.4896333580009</v>
      </c>
      <c r="AA624" s="3">
        <v>-1390.5138116808221</v>
      </c>
      <c r="AB624" s="3">
        <v>-1432.1548172013099</v>
      </c>
      <c r="AC624" s="3">
        <v>-1474.404287531409</v>
      </c>
      <c r="AD624" s="3">
        <v>-1517.2534328151669</v>
      </c>
      <c r="AE624" s="3">
        <v>-1560.6930235205591</v>
      </c>
      <c r="AG624" s="17" t="s">
        <v>3994</v>
      </c>
      <c r="AH624" s="3">
        <v>-1695.6613032793241</v>
      </c>
      <c r="AI624" s="3">
        <v>-1202.3253029089169</v>
      </c>
      <c r="AJ624" s="3">
        <v>-1331.1320011766311</v>
      </c>
      <c r="AK624" s="3">
        <v>-1084.791823702132</v>
      </c>
      <c r="AL624" s="3">
        <v>-1325.0661151651179</v>
      </c>
      <c r="AM624" s="3">
        <v>-789.87486081689428</v>
      </c>
      <c r="AN624" s="3">
        <v>-768.97324951880069</v>
      </c>
      <c r="AO624" s="3">
        <v>-770.48532462472349</v>
      </c>
      <c r="AP624" s="3">
        <v>-770.91021003823266</v>
      </c>
      <c r="AQ624" s="3">
        <v>-768.77763834639825</v>
      </c>
      <c r="AR624" s="3">
        <v>-793.64470093717046</v>
      </c>
      <c r="AS624" s="3">
        <v>-819.708418420258</v>
      </c>
      <c r="AT624" s="3">
        <v>-846.59531877086818</v>
      </c>
      <c r="AU624" s="3">
        <v>-873.75638435148346</v>
      </c>
      <c r="AV624" s="3">
        <v>-901.52961803808989</v>
      </c>
      <c r="AW624" s="3">
        <v>-930.14572744905752</v>
      </c>
      <c r="AX624" s="3">
        <v>-958.84066246808618</v>
      </c>
      <c r="AY624" s="3">
        <v>-987.76607420558184</v>
      </c>
      <c r="AZ624" s="3">
        <v>-1016.627716359969</v>
      </c>
      <c r="BA624" s="3">
        <v>-1045.749362347975</v>
      </c>
      <c r="BC624" s="17" t="s">
        <v>3995</v>
      </c>
      <c r="BD624" s="3">
        <v>-1695.6613032793241</v>
      </c>
      <c r="BE624" s="3">
        <v>-1202.3253029089169</v>
      </c>
      <c r="BF624" s="3">
        <v>-1331.1320011766311</v>
      </c>
      <c r="BG624" s="3">
        <v>-1084.791823702132</v>
      </c>
      <c r="BH624" s="3">
        <v>-1325.0661151651179</v>
      </c>
      <c r="BI624" s="3">
        <v>-934.03533588683172</v>
      </c>
      <c r="BJ624" s="3">
        <v>-699.88359255583646</v>
      </c>
      <c r="BK624" s="3">
        <v>-532.65753189369013</v>
      </c>
      <c r="BL624" s="3">
        <v>-392.44983528224691</v>
      </c>
      <c r="BM624" s="3">
        <v>-270.79706675831233</v>
      </c>
      <c r="BN624" s="3">
        <v>-178.2944324684515</v>
      </c>
      <c r="BO624" s="3">
        <v>-91.802775397530013</v>
      </c>
      <c r="BP624" s="3">
        <v>-9.6544550909592317</v>
      </c>
      <c r="BQ624" s="3">
        <v>69.43103221442675</v>
      </c>
      <c r="BR624" s="3">
        <v>146.39311979811839</v>
      </c>
      <c r="BS624" s="3">
        <v>221.9985826072286</v>
      </c>
      <c r="BT624" s="3">
        <v>296.79156894968798</v>
      </c>
      <c r="BU624" s="3">
        <v>371.16895793238189</v>
      </c>
      <c r="BV624" s="3">
        <v>445.31750407907651</v>
      </c>
      <c r="BW624" s="3">
        <v>519.40727123452973</v>
      </c>
      <c r="BY624" s="17" t="s">
        <v>3996</v>
      </c>
      <c r="BZ624" s="3">
        <v>-1695.6613032793241</v>
      </c>
      <c r="CA624" s="3">
        <v>-1202.3253029089169</v>
      </c>
      <c r="CB624" s="3">
        <v>-1331.1320011766311</v>
      </c>
      <c r="CC624" s="3">
        <v>-1084.791823702132</v>
      </c>
      <c r="CD624" s="3">
        <v>-1325.0661151651179</v>
      </c>
      <c r="CE624" s="3">
        <v>-721.07556254807673</v>
      </c>
      <c r="CF624" s="3">
        <v>-699.43047043551894</v>
      </c>
      <c r="CG624" s="3">
        <v>-699.32411418872175</v>
      </c>
      <c r="CH624" s="3">
        <v>-698.41356572729637</v>
      </c>
      <c r="CI624" s="3">
        <v>-695.06942511156353</v>
      </c>
      <c r="CJ624" s="3">
        <v>-717.51386070693695</v>
      </c>
      <c r="CK624" s="3">
        <v>-741.12549374051889</v>
      </c>
      <c r="CL624" s="3">
        <v>-765.18147210092116</v>
      </c>
      <c r="CM624" s="3">
        <v>-789.53110665831764</v>
      </c>
      <c r="CN624" s="3">
        <v>-814.42066354932854</v>
      </c>
      <c r="CO624" s="3">
        <v>-839.97436260859399</v>
      </c>
      <c r="CP624" s="3">
        <v>-865.61527924057054</v>
      </c>
      <c r="CQ624" s="3">
        <v>-891.57213957875615</v>
      </c>
      <c r="CR624" s="3">
        <v>-917.55879875071014</v>
      </c>
      <c r="CS624" s="3">
        <v>-943.94732485335794</v>
      </c>
      <c r="CU624" s="17" t="s">
        <v>3997</v>
      </c>
      <c r="CV624" s="3">
        <v>-1695.6613032793241</v>
      </c>
      <c r="CW624" s="3">
        <v>-1202.3253029089169</v>
      </c>
      <c r="CX624" s="3">
        <v>-1331.1320011766311</v>
      </c>
      <c r="CY624" s="3">
        <v>-1084.791823702132</v>
      </c>
      <c r="CZ624" s="3">
        <v>-1325.0661151651179</v>
      </c>
      <c r="DA624" s="3">
        <v>-450.15295347091882</v>
      </c>
      <c r="DB624" s="3">
        <v>-425.29167969364357</v>
      </c>
      <c r="DC624" s="3">
        <v>-419.11008540705632</v>
      </c>
      <c r="DD624" s="3">
        <v>-412.0587082874581</v>
      </c>
      <c r="DE624" s="3">
        <v>-403.19879314550002</v>
      </c>
      <c r="DF624" s="3">
        <v>-416.00852202747882</v>
      </c>
      <c r="DG624" s="3">
        <v>-429.96177986707949</v>
      </c>
      <c r="DH624" s="3">
        <v>-444.51516105056749</v>
      </c>
      <c r="DI624" s="3">
        <v>-459.14527400307088</v>
      </c>
      <c r="DJ624" s="3">
        <v>-474.20193010762029</v>
      </c>
      <c r="DK624" s="3">
        <v>-489.95579260564</v>
      </c>
      <c r="DL624" s="3">
        <v>-505.54029695096699</v>
      </c>
      <c r="DM624" s="3">
        <v>-521.16818961437571</v>
      </c>
      <c r="DN624" s="3">
        <v>-536.49005168299595</v>
      </c>
      <c r="DO624" s="3">
        <v>-551.88875824308252</v>
      </c>
    </row>
    <row r="625" spans="1:230" x14ac:dyDescent="0.45">
      <c r="A625" s="16" t="s">
        <v>3998</v>
      </c>
      <c r="B625" s="3" t="s">
        <v>89</v>
      </c>
      <c r="C625" s="16" t="s">
        <v>3999</v>
      </c>
      <c r="H625" s="3" t="s">
        <v>4000</v>
      </c>
      <c r="I625" s="3" t="s">
        <v>224</v>
      </c>
      <c r="K625" s="17" t="s">
        <v>4001</v>
      </c>
      <c r="L625" s="3">
        <v>-3091.2932151582249</v>
      </c>
      <c r="M625" s="3">
        <v>-3853.3826918646168</v>
      </c>
      <c r="N625" s="3">
        <v>-5260.7282786857631</v>
      </c>
      <c r="O625" s="3">
        <v>-4112.255651923183</v>
      </c>
      <c r="P625" s="3">
        <v>-5119.6634127279913</v>
      </c>
      <c r="Q625" s="3">
        <v>-4290.223215038086</v>
      </c>
      <c r="R625" s="3">
        <v>-4151.8755174128464</v>
      </c>
      <c r="S625" s="3">
        <v>-4131.1634176404723</v>
      </c>
      <c r="T625" s="3">
        <v>-4112.3175950846871</v>
      </c>
      <c r="U625" s="3">
        <v>-4075.9914039545838</v>
      </c>
      <c r="V625" s="3">
        <v>-4179.9057984858337</v>
      </c>
      <c r="W625" s="3">
        <v>-4284.6739240696124</v>
      </c>
      <c r="X625" s="3">
        <v>-4390.2583406872673</v>
      </c>
      <c r="Y625" s="3">
        <v>-4496.6212811288933</v>
      </c>
      <c r="Z625" s="3">
        <v>-4603.7246490821426</v>
      </c>
      <c r="AA625" s="3">
        <v>-4711.5300129490151</v>
      </c>
      <c r="AB625" s="3">
        <v>-4819.9985954706444</v>
      </c>
      <c r="AC625" s="3">
        <v>-4929.0912592437862</v>
      </c>
      <c r="AD625" s="3">
        <v>-5038.7684882150934</v>
      </c>
      <c r="AE625" s="3">
        <v>-5148.9903652408739</v>
      </c>
      <c r="AG625" s="17" t="s">
        <v>4002</v>
      </c>
      <c r="AH625" s="3">
        <v>-3091.2932151582249</v>
      </c>
      <c r="AI625" s="3">
        <v>-3853.3826918646168</v>
      </c>
      <c r="AJ625" s="3">
        <v>-5260.7282786857631</v>
      </c>
      <c r="AK625" s="3">
        <v>-4112.255651923183</v>
      </c>
      <c r="AL625" s="3">
        <v>-5119.6634127279913</v>
      </c>
      <c r="AM625" s="3">
        <v>-3383.4170976190248</v>
      </c>
      <c r="AN625" s="3">
        <v>-3238.8376121911119</v>
      </c>
      <c r="AO625" s="3">
        <v>-3204.354083397031</v>
      </c>
      <c r="AP625" s="3">
        <v>-3168.6049512307159</v>
      </c>
      <c r="AQ625" s="3">
        <v>-3120.1635418412129</v>
      </c>
      <c r="AR625" s="3">
        <v>-3198.5509109955269</v>
      </c>
      <c r="AS625" s="3">
        <v>-3280.2776208889591</v>
      </c>
      <c r="AT625" s="3">
        <v>-3363.9748821984899</v>
      </c>
      <c r="AU625" s="3">
        <v>-3447.7056724072881</v>
      </c>
      <c r="AV625" s="3">
        <v>-3532.6278407639538</v>
      </c>
      <c r="AW625" s="3">
        <v>-3619.501836743535</v>
      </c>
      <c r="AX625" s="3">
        <v>-3705.7032031338472</v>
      </c>
      <c r="AY625" s="3">
        <v>-3791.75419886386</v>
      </c>
      <c r="AZ625" s="3">
        <v>-3876.675062843146</v>
      </c>
      <c r="BA625" s="3">
        <v>-3961.560082336212</v>
      </c>
      <c r="BC625" s="17" t="s">
        <v>4003</v>
      </c>
      <c r="BD625" s="3">
        <v>-3091.2932151582249</v>
      </c>
      <c r="BE625" s="3">
        <v>-3853.3826918646168</v>
      </c>
      <c r="BF625" s="3">
        <v>-5260.7282786857631</v>
      </c>
      <c r="BG625" s="3">
        <v>-4112.255651923183</v>
      </c>
      <c r="BH625" s="3">
        <v>-5119.6634127279913</v>
      </c>
      <c r="BI625" s="3">
        <v>-3756.22226090394</v>
      </c>
      <c r="BJ625" s="3">
        <v>-3003.756187593815</v>
      </c>
      <c r="BK625" s="3">
        <v>-2433.0870411479332</v>
      </c>
      <c r="BL625" s="3">
        <v>-1917.3219690164899</v>
      </c>
      <c r="BM625" s="3">
        <v>-1447.3855189983999</v>
      </c>
      <c r="BN625" s="3">
        <v>-1097.955636574176</v>
      </c>
      <c r="BO625" s="3">
        <v>-758.98565906898784</v>
      </c>
      <c r="BP625" s="3">
        <v>-428.25887122461432</v>
      </c>
      <c r="BQ625" s="3">
        <v>-103.5894995958656</v>
      </c>
      <c r="BR625" s="3">
        <v>216.67822923715491</v>
      </c>
      <c r="BS625" s="3">
        <v>534.01490899376358</v>
      </c>
      <c r="BT625" s="3">
        <v>849.56562901090365</v>
      </c>
      <c r="BU625" s="3">
        <v>1164.137222584699</v>
      </c>
      <c r="BV625" s="3">
        <v>1477.993656320597</v>
      </c>
      <c r="BW625" s="3">
        <v>1791.357062890841</v>
      </c>
      <c r="BY625" s="17" t="s">
        <v>4004</v>
      </c>
      <c r="BZ625" s="3">
        <v>-3091.2932151582249</v>
      </c>
      <c r="CA625" s="3">
        <v>-3853.3826918646168</v>
      </c>
      <c r="CB625" s="3">
        <v>-5260.7282786857631</v>
      </c>
      <c r="CC625" s="3">
        <v>-4112.255651923183</v>
      </c>
      <c r="CD625" s="3">
        <v>-5119.6634127279913</v>
      </c>
      <c r="CE625" s="3">
        <v>-3181.4960474637869</v>
      </c>
      <c r="CF625" s="3">
        <v>-3035.4288210375362</v>
      </c>
      <c r="CG625" s="3">
        <v>-2997.27012662673</v>
      </c>
      <c r="CH625" s="3">
        <v>-2958.713942681351</v>
      </c>
      <c r="CI625" s="3">
        <v>-2907.8923751546008</v>
      </c>
      <c r="CJ625" s="3">
        <v>-2980.812445845595</v>
      </c>
      <c r="CK625" s="3">
        <v>-3057.1546901544139</v>
      </c>
      <c r="CL625" s="3">
        <v>-3134.2564067207682</v>
      </c>
      <c r="CM625" s="3">
        <v>-3211.565168083162</v>
      </c>
      <c r="CN625" s="3">
        <v>-3289.9467530724851</v>
      </c>
      <c r="CO625" s="3">
        <v>-3369.8146352354001</v>
      </c>
      <c r="CP625" s="3">
        <v>-3449.1263714987781</v>
      </c>
      <c r="CQ625" s="3">
        <v>-3528.6844900395331</v>
      </c>
      <c r="CR625" s="3">
        <v>-3607.4987029388772</v>
      </c>
      <c r="CS625" s="3">
        <v>-3686.8540768814519</v>
      </c>
      <c r="CU625" s="17" t="s">
        <v>4005</v>
      </c>
      <c r="CV625" s="3">
        <v>-3091.2932151582249</v>
      </c>
      <c r="CW625" s="3">
        <v>-3853.3826918646168</v>
      </c>
      <c r="CX625" s="3">
        <v>-5260.7282786857631</v>
      </c>
      <c r="CY625" s="3">
        <v>-4112.255651923183</v>
      </c>
      <c r="CZ625" s="3">
        <v>-5119.6634127279913</v>
      </c>
      <c r="DA625" s="3">
        <v>-2286.606268703074</v>
      </c>
      <c r="DB625" s="3">
        <v>-2133.4824054612641</v>
      </c>
      <c r="DC625" s="3">
        <v>-2080.7218081856649</v>
      </c>
      <c r="DD625" s="3">
        <v>-2026.369753034063</v>
      </c>
      <c r="DE625" s="3">
        <v>-1962.4694391964799</v>
      </c>
      <c r="DF625" s="3">
        <v>-2010.809448108882</v>
      </c>
      <c r="DG625" s="3">
        <v>-2063.4311202012818</v>
      </c>
      <c r="DH625" s="3">
        <v>-2117.9782769435519</v>
      </c>
      <c r="DI625" s="3">
        <v>-2172.24343607122</v>
      </c>
      <c r="DJ625" s="3">
        <v>-2227.6704429984638</v>
      </c>
      <c r="DK625" s="3">
        <v>-2285.3395307866108</v>
      </c>
      <c r="DL625" s="3">
        <v>-2341.6914525979601</v>
      </c>
      <c r="DM625" s="3">
        <v>-2397.6095151926638</v>
      </c>
      <c r="DN625" s="3">
        <v>-2451.704895996314</v>
      </c>
      <c r="DO625" s="3">
        <v>-2505.5339267250461</v>
      </c>
    </row>
    <row r="626" spans="1:230" x14ac:dyDescent="0.45">
      <c r="A626" s="16" t="s">
        <v>4006</v>
      </c>
      <c r="B626" s="3" t="s">
        <v>89</v>
      </c>
      <c r="C626" s="16" t="s">
        <v>4007</v>
      </c>
      <c r="H626" s="3" t="s">
        <v>4008</v>
      </c>
      <c r="I626" s="3" t="s">
        <v>224</v>
      </c>
      <c r="K626" s="17" t="s">
        <v>4009</v>
      </c>
      <c r="L626" s="3">
        <v>-11278.46375520808</v>
      </c>
      <c r="M626" s="3">
        <v>-10357.111403045779</v>
      </c>
      <c r="N626" s="3">
        <v>-11564.334295020821</v>
      </c>
      <c r="O626" s="3">
        <v>-9388.8092789521179</v>
      </c>
      <c r="P626" s="3">
        <v>-11269.2745173895</v>
      </c>
      <c r="Q626" s="3">
        <v>-9710.8580691104089</v>
      </c>
      <c r="R626" s="3">
        <v>-9448.8934591283087</v>
      </c>
      <c r="S626" s="3">
        <v>-9407.9709668945306</v>
      </c>
      <c r="T626" s="3">
        <v>-9372.2349019907779</v>
      </c>
      <c r="U626" s="3">
        <v>-9306.0585150563384</v>
      </c>
      <c r="V626" s="3">
        <v>-9495.4645058755923</v>
      </c>
      <c r="W626" s="3">
        <v>-9685.4871901419538</v>
      </c>
      <c r="X626" s="3">
        <v>-9876.065018445941</v>
      </c>
      <c r="Y626" s="3">
        <v>-10067.13685712961</v>
      </c>
      <c r="Z626" s="3">
        <v>-10258.64195425109</v>
      </c>
      <c r="AA626" s="3">
        <v>-10450.51989950664</v>
      </c>
      <c r="AB626" s="3">
        <v>-10642.71057838645</v>
      </c>
      <c r="AC626" s="3">
        <v>-10835.154120828771</v>
      </c>
      <c r="AD626" s="3">
        <v>-11027.79084462418</v>
      </c>
      <c r="AE626" s="3">
        <v>-11220.5611938089</v>
      </c>
      <c r="AG626" s="17" t="s">
        <v>4010</v>
      </c>
      <c r="AH626" s="3">
        <v>-11278.46375520808</v>
      </c>
      <c r="AI626" s="3">
        <v>-10357.111403045779</v>
      </c>
      <c r="AJ626" s="3">
        <v>-11564.334295020821</v>
      </c>
      <c r="AK626" s="3">
        <v>-9388.8092789521179</v>
      </c>
      <c r="AL626" s="3">
        <v>-11269.2745173895</v>
      </c>
      <c r="AM626" s="3">
        <v>-7388.3832467136262</v>
      </c>
      <c r="AN626" s="3">
        <v>-7132.9000089095643</v>
      </c>
      <c r="AO626" s="3">
        <v>-7073.6989480316788</v>
      </c>
      <c r="AP626" s="3">
        <v>-7013.4956013201827</v>
      </c>
      <c r="AQ626" s="3">
        <v>-6932.8341812485078</v>
      </c>
      <c r="AR626" s="3">
        <v>-7071.6932863410511</v>
      </c>
      <c r="AS626" s="3">
        <v>-7215.7534080519381</v>
      </c>
      <c r="AT626" s="3">
        <v>-7362.543432497092</v>
      </c>
      <c r="AU626" s="3">
        <v>-7508.6493548491899</v>
      </c>
      <c r="AV626" s="3">
        <v>-7656.1049959708134</v>
      </c>
      <c r="AW626" s="3">
        <v>-7806.2167212563754</v>
      </c>
      <c r="AX626" s="3">
        <v>-7954.4383590591306</v>
      </c>
      <c r="AY626" s="3">
        <v>-8101.7019425147146</v>
      </c>
      <c r="AZ626" s="3">
        <v>-8246.3591305124792</v>
      </c>
      <c r="BA626" s="3">
        <v>-8390.3125055826222</v>
      </c>
      <c r="BC626" s="17" t="s">
        <v>4011</v>
      </c>
      <c r="BD626" s="3">
        <v>-11278.46375520808</v>
      </c>
      <c r="BE626" s="3">
        <v>-10357.111403045779</v>
      </c>
      <c r="BF626" s="3">
        <v>-11564.334295020821</v>
      </c>
      <c r="BG626" s="3">
        <v>-9388.8092789521179</v>
      </c>
      <c r="BH626" s="3">
        <v>-11269.2745173895</v>
      </c>
      <c r="BI626" s="3">
        <v>-8317.7444375004125</v>
      </c>
      <c r="BJ626" s="3">
        <v>-6583.315101447336</v>
      </c>
      <c r="BK626" s="3">
        <v>-5319.9967341849333</v>
      </c>
      <c r="BL626" s="3">
        <v>-4247.4475662878576</v>
      </c>
      <c r="BM626" s="3">
        <v>-3331.0410384284251</v>
      </c>
      <c r="BN626" s="3">
        <v>-2652.7175615766059</v>
      </c>
      <c r="BO626" s="3">
        <v>-2022.91666203561</v>
      </c>
      <c r="BP626" s="3">
        <v>-1431.971574435531</v>
      </c>
      <c r="BQ626" s="3">
        <v>-871.76226542693348</v>
      </c>
      <c r="BR626" s="3">
        <v>-336.24809758617272</v>
      </c>
      <c r="BS626" s="3">
        <v>179.3720641364016</v>
      </c>
      <c r="BT626" s="3">
        <v>679.01321004566034</v>
      </c>
      <c r="BU626" s="3">
        <v>1165.6094087707031</v>
      </c>
      <c r="BV626" s="3">
        <v>1641.124454484398</v>
      </c>
      <c r="BW626" s="3">
        <v>2107.068898505157</v>
      </c>
      <c r="BY626" s="17" t="s">
        <v>4012</v>
      </c>
      <c r="BZ626" s="3">
        <v>-11278.46375520808</v>
      </c>
      <c r="CA626" s="3">
        <v>-10357.111403045779</v>
      </c>
      <c r="CB626" s="3">
        <v>-11564.334295020821</v>
      </c>
      <c r="CC626" s="3">
        <v>-9388.8092789521179</v>
      </c>
      <c r="CD626" s="3">
        <v>-11269.2745173895</v>
      </c>
      <c r="CE626" s="3">
        <v>-6907.6275905114871</v>
      </c>
      <c r="CF626" s="3">
        <v>-6653.1789846233369</v>
      </c>
      <c r="CG626" s="3">
        <v>-6589.0833282090907</v>
      </c>
      <c r="CH626" s="3">
        <v>-6525.3930840679332</v>
      </c>
      <c r="CI626" s="3">
        <v>-6442.2556334323544</v>
      </c>
      <c r="CJ626" s="3">
        <v>-6571.0098755906729</v>
      </c>
      <c r="CK626" s="3">
        <v>-6705.1462287905006</v>
      </c>
      <c r="CL626" s="3">
        <v>-6839.9269269471206</v>
      </c>
      <c r="CM626" s="3">
        <v>-6974.3889976464316</v>
      </c>
      <c r="CN626" s="3">
        <v>-7110.0492217181854</v>
      </c>
      <c r="CO626" s="3">
        <v>-7247.6137125969981</v>
      </c>
      <c r="CP626" s="3">
        <v>-7383.5542480031136</v>
      </c>
      <c r="CQ626" s="3">
        <v>-7519.2757189966942</v>
      </c>
      <c r="CR626" s="3">
        <v>-7653.1033934491516</v>
      </c>
      <c r="CS626" s="3">
        <v>-7787.2497847075028</v>
      </c>
      <c r="CU626" s="17" t="s">
        <v>4013</v>
      </c>
      <c r="CV626" s="3">
        <v>-11278.46375520808</v>
      </c>
      <c r="CW626" s="3">
        <v>-10357.111403045779</v>
      </c>
      <c r="CX626" s="3">
        <v>-11564.334295020821</v>
      </c>
      <c r="CY626" s="3">
        <v>-9388.8092789521179</v>
      </c>
      <c r="CZ626" s="3">
        <v>-11269.2745173895</v>
      </c>
      <c r="DA626" s="3">
        <v>-4908.5187243561068</v>
      </c>
      <c r="DB626" s="3">
        <v>-4657.0135667476552</v>
      </c>
      <c r="DC626" s="3">
        <v>-4575.1973763967817</v>
      </c>
      <c r="DD626" s="3">
        <v>-4490.9256979495858</v>
      </c>
      <c r="DE626" s="3">
        <v>-4393.0062154530751</v>
      </c>
      <c r="DF626" s="3">
        <v>-4479.1124748117636</v>
      </c>
      <c r="DG626" s="3">
        <v>-4572.4344247842218</v>
      </c>
      <c r="DH626" s="3">
        <v>-4668.67689847561</v>
      </c>
      <c r="DI626" s="3">
        <v>-4763.8962367980284</v>
      </c>
      <c r="DJ626" s="3">
        <v>-4860.6565559462606</v>
      </c>
      <c r="DK626" s="3">
        <v>-4960.8328883910672</v>
      </c>
      <c r="DL626" s="3">
        <v>-5058.1794238007133</v>
      </c>
      <c r="DM626" s="3">
        <v>-5154.2763487902585</v>
      </c>
      <c r="DN626" s="3">
        <v>-5246.7508911944224</v>
      </c>
      <c r="DO626" s="3">
        <v>-5338.3323552730226</v>
      </c>
    </row>
    <row r="627" spans="1:230" x14ac:dyDescent="0.45">
      <c r="A627" s="11"/>
      <c r="B627" s="3" t="s">
        <v>89</v>
      </c>
      <c r="C627" s="16" t="s">
        <v>4014</v>
      </c>
      <c r="H627" s="11" t="s">
        <v>4015</v>
      </c>
      <c r="I627" s="11" t="s">
        <v>3956</v>
      </c>
    </row>
    <row r="628" spans="1:230" x14ac:dyDescent="0.45">
      <c r="A628" s="16" t="s">
        <v>4016</v>
      </c>
      <c r="B628" s="3" t="s">
        <v>89</v>
      </c>
      <c r="C628" s="16" t="s">
        <v>4017</v>
      </c>
      <c r="H628" s="3" t="s">
        <v>4018</v>
      </c>
      <c r="I628" s="3" t="s">
        <v>224</v>
      </c>
      <c r="K628" s="17" t="s">
        <v>4019</v>
      </c>
      <c r="L628" s="3">
        <v>0</v>
      </c>
      <c r="M628" s="3">
        <v>0</v>
      </c>
      <c r="N628" s="3">
        <v>0</v>
      </c>
      <c r="O628" s="3">
        <v>0</v>
      </c>
      <c r="P628" s="3">
        <v>0</v>
      </c>
      <c r="Q628" s="3">
        <v>0</v>
      </c>
      <c r="R628" s="3">
        <v>0</v>
      </c>
      <c r="S628" s="3">
        <v>0</v>
      </c>
      <c r="T628" s="3">
        <v>0</v>
      </c>
      <c r="U628" s="3">
        <v>0</v>
      </c>
      <c r="V628" s="3">
        <v>0</v>
      </c>
      <c r="W628" s="3">
        <v>0</v>
      </c>
      <c r="X628" s="3">
        <v>0</v>
      </c>
      <c r="Y628" s="3">
        <v>0</v>
      </c>
      <c r="Z628" s="3">
        <v>0</v>
      </c>
      <c r="AA628" s="3">
        <v>0</v>
      </c>
      <c r="AB628" s="3">
        <v>0</v>
      </c>
      <c r="AC628" s="3">
        <v>0</v>
      </c>
      <c r="AD628" s="3">
        <v>0</v>
      </c>
      <c r="AE628" s="3">
        <v>0</v>
      </c>
      <c r="AG628" s="17" t="s">
        <v>4020</v>
      </c>
      <c r="AH628" s="3">
        <v>0</v>
      </c>
      <c r="AI628" s="3">
        <v>0</v>
      </c>
      <c r="AJ628" s="3">
        <v>0</v>
      </c>
      <c r="AK628" s="3">
        <v>0</v>
      </c>
      <c r="AL628" s="3">
        <v>0</v>
      </c>
      <c r="AM628" s="3">
        <v>0</v>
      </c>
      <c r="AN628" s="3">
        <v>0</v>
      </c>
      <c r="AO628" s="3">
        <v>0</v>
      </c>
      <c r="AP628" s="3">
        <v>0</v>
      </c>
      <c r="AQ628" s="3">
        <v>0</v>
      </c>
      <c r="AR628" s="3">
        <v>0</v>
      </c>
      <c r="AS628" s="3">
        <v>0</v>
      </c>
      <c r="AT628" s="3">
        <v>0</v>
      </c>
      <c r="AU628" s="3">
        <v>0</v>
      </c>
      <c r="AV628" s="3">
        <v>0</v>
      </c>
      <c r="AW628" s="3">
        <v>0</v>
      </c>
      <c r="AX628" s="3">
        <v>0</v>
      </c>
      <c r="AY628" s="3">
        <v>0</v>
      </c>
      <c r="AZ628" s="3">
        <v>0</v>
      </c>
      <c r="BA628" s="3">
        <v>0</v>
      </c>
      <c r="BC628" s="17" t="s">
        <v>4021</v>
      </c>
      <c r="BD628" s="3">
        <v>0</v>
      </c>
      <c r="BE628" s="3">
        <v>0</v>
      </c>
      <c r="BF628" s="3">
        <v>0</v>
      </c>
      <c r="BG628" s="3">
        <v>0</v>
      </c>
      <c r="BH628" s="3">
        <v>0</v>
      </c>
      <c r="BI628" s="3">
        <v>0</v>
      </c>
      <c r="BJ628" s="3">
        <v>0</v>
      </c>
      <c r="BK628" s="3">
        <v>0</v>
      </c>
      <c r="BL628" s="3">
        <v>0</v>
      </c>
      <c r="BM628" s="3">
        <v>0</v>
      </c>
      <c r="BN628" s="3">
        <v>0</v>
      </c>
      <c r="BO628" s="3">
        <v>0</v>
      </c>
      <c r="BP628" s="3">
        <v>0</v>
      </c>
      <c r="BQ628" s="3">
        <v>0</v>
      </c>
      <c r="BR628" s="3">
        <v>0</v>
      </c>
      <c r="BS628" s="3">
        <v>0</v>
      </c>
      <c r="BT628" s="3">
        <v>0</v>
      </c>
      <c r="BU628" s="3">
        <v>0</v>
      </c>
      <c r="BV628" s="3">
        <v>0</v>
      </c>
      <c r="BW628" s="3">
        <v>0</v>
      </c>
      <c r="BY628" s="17" t="s">
        <v>4022</v>
      </c>
      <c r="BZ628" s="3">
        <v>0</v>
      </c>
      <c r="CA628" s="3">
        <v>0</v>
      </c>
      <c r="CB628" s="3">
        <v>0</v>
      </c>
      <c r="CC628" s="3">
        <v>0</v>
      </c>
      <c r="CD628" s="3">
        <v>0</v>
      </c>
      <c r="CE628" s="3">
        <v>0</v>
      </c>
      <c r="CF628" s="3">
        <v>0</v>
      </c>
      <c r="CG628" s="3">
        <v>0</v>
      </c>
      <c r="CH628" s="3">
        <v>0</v>
      </c>
      <c r="CI628" s="3">
        <v>0</v>
      </c>
      <c r="CJ628" s="3">
        <v>0</v>
      </c>
      <c r="CK628" s="3">
        <v>0</v>
      </c>
      <c r="CL628" s="3">
        <v>0</v>
      </c>
      <c r="CM628" s="3">
        <v>0</v>
      </c>
      <c r="CN628" s="3">
        <v>0</v>
      </c>
      <c r="CO628" s="3">
        <v>0</v>
      </c>
      <c r="CP628" s="3">
        <v>0</v>
      </c>
      <c r="CQ628" s="3">
        <v>0</v>
      </c>
      <c r="CR628" s="3">
        <v>0</v>
      </c>
      <c r="CS628" s="3">
        <v>0</v>
      </c>
      <c r="CU628" s="17" t="s">
        <v>4023</v>
      </c>
      <c r="CV628" s="3">
        <v>0</v>
      </c>
      <c r="CW628" s="3">
        <v>0</v>
      </c>
      <c r="CX628" s="3">
        <v>0</v>
      </c>
      <c r="CY628" s="3">
        <v>0</v>
      </c>
      <c r="CZ628" s="3">
        <v>0</v>
      </c>
      <c r="DA628" s="3">
        <v>0</v>
      </c>
      <c r="DB628" s="3">
        <v>0</v>
      </c>
      <c r="DC628" s="3">
        <v>0</v>
      </c>
      <c r="DD628" s="3">
        <v>0</v>
      </c>
      <c r="DE628" s="3">
        <v>0</v>
      </c>
      <c r="DF628" s="3">
        <v>0</v>
      </c>
      <c r="DG628" s="3">
        <v>0</v>
      </c>
      <c r="DH628" s="3">
        <v>0</v>
      </c>
      <c r="DI628" s="3">
        <v>0</v>
      </c>
      <c r="DJ628" s="3">
        <v>0</v>
      </c>
      <c r="DK628" s="3">
        <v>0</v>
      </c>
      <c r="DL628" s="3">
        <v>0</v>
      </c>
      <c r="DM628" s="3">
        <v>0</v>
      </c>
      <c r="DN628" s="3">
        <v>0</v>
      </c>
      <c r="DO628" s="3">
        <v>0</v>
      </c>
    </row>
    <row r="629" spans="1:230" x14ac:dyDescent="0.45">
      <c r="A629" s="16" t="s">
        <v>4024</v>
      </c>
      <c r="B629" s="3" t="s">
        <v>89</v>
      </c>
      <c r="C629" s="16" t="s">
        <v>4025</v>
      </c>
      <c r="H629" s="3" t="s">
        <v>4026</v>
      </c>
      <c r="I629" s="3" t="s">
        <v>224</v>
      </c>
      <c r="K629" s="17" t="s">
        <v>4027</v>
      </c>
      <c r="L629" s="3">
        <v>-7664.183078656577</v>
      </c>
      <c r="M629" s="3">
        <v>-7862.1426294500543</v>
      </c>
      <c r="N629" s="3">
        <v>-10374.427334803921</v>
      </c>
      <c r="O629" s="3">
        <v>-11669.719025870199</v>
      </c>
      <c r="P629" s="3">
        <v>-12218.1403298645</v>
      </c>
      <c r="Q629" s="3">
        <v>-12693.62632787342</v>
      </c>
      <c r="R629" s="3">
        <v>-13188.404969049659</v>
      </c>
      <c r="S629" s="3">
        <v>-13716.93950193112</v>
      </c>
      <c r="T629" s="3">
        <v>-14120.882146429791</v>
      </c>
      <c r="U629" s="3">
        <v>-14538.71457998912</v>
      </c>
      <c r="V629" s="3">
        <v>-14950.427208770279</v>
      </c>
      <c r="W629" s="3">
        <v>-15660.70603027815</v>
      </c>
      <c r="X629" s="3">
        <v>-16370.113079006291</v>
      </c>
      <c r="Y629" s="3">
        <v>-17114.359351070951</v>
      </c>
      <c r="Z629" s="3">
        <v>-17876.846560104739</v>
      </c>
      <c r="AA629" s="3">
        <v>-18657.862185259852</v>
      </c>
      <c r="AB629" s="3">
        <v>-19456.96383403947</v>
      </c>
      <c r="AC629" s="3">
        <v>-20274.280718755021</v>
      </c>
      <c r="AD629" s="3">
        <v>-21110.73323860468</v>
      </c>
      <c r="AE629" s="3">
        <v>-21966.708531209599</v>
      </c>
      <c r="AG629" s="17" t="s">
        <v>4028</v>
      </c>
      <c r="AH629" s="3">
        <v>-7664.183078656577</v>
      </c>
      <c r="AI629" s="3">
        <v>-7862.1426294500543</v>
      </c>
      <c r="AJ629" s="3">
        <v>-10372.489395781649</v>
      </c>
      <c r="AK629" s="3">
        <v>-11667.557406888051</v>
      </c>
      <c r="AL629" s="3">
        <v>-12215.717811842391</v>
      </c>
      <c r="AM629" s="3">
        <v>-12690.82364538456</v>
      </c>
      <c r="AN629" s="3">
        <v>-12088.315992111729</v>
      </c>
      <c r="AO629" s="3">
        <v>-12602.611602444769</v>
      </c>
      <c r="AP629" s="3">
        <v>-12878.23209955158</v>
      </c>
      <c r="AQ629" s="3">
        <v>-13434.91467345407</v>
      </c>
      <c r="AR629" s="3">
        <v>-13860.350291236129</v>
      </c>
      <c r="AS629" s="3">
        <v>-14562.14698201526</v>
      </c>
      <c r="AT629" s="3">
        <v>-15255.71606845492</v>
      </c>
      <c r="AU629" s="3">
        <v>-15987.88305273277</v>
      </c>
      <c r="AV629" s="3">
        <v>-16741.8120770122</v>
      </c>
      <c r="AW629" s="3">
        <v>-17520.26554669259</v>
      </c>
      <c r="AX629" s="3">
        <v>-18309.565967064191</v>
      </c>
      <c r="AY629" s="3">
        <v>-19113.4336454531</v>
      </c>
      <c r="AZ629" s="3">
        <v>-19925.629712474522</v>
      </c>
      <c r="BA629" s="3">
        <v>-20753.660636773009</v>
      </c>
      <c r="BC629" s="17" t="s">
        <v>4029</v>
      </c>
      <c r="BD629" s="3">
        <v>-7664.183078656577</v>
      </c>
      <c r="BE629" s="3">
        <v>-7862.1426294500543</v>
      </c>
      <c r="BF629" s="3">
        <v>-10367.989760052689</v>
      </c>
      <c r="BG629" s="3">
        <v>-11662.53859709982</v>
      </c>
      <c r="BH629" s="3">
        <v>-12210.094096754639</v>
      </c>
      <c r="BI629" s="3">
        <v>-12684.296312539769</v>
      </c>
      <c r="BJ629" s="3">
        <v>-12594.352103505469</v>
      </c>
      <c r="BK629" s="3">
        <v>-12428.14980999466</v>
      </c>
      <c r="BL629" s="3">
        <v>-12232.610543956929</v>
      </c>
      <c r="BM629" s="3">
        <v>-12229.68076280503</v>
      </c>
      <c r="BN629" s="3">
        <v>-12216.701392325411</v>
      </c>
      <c r="BO629" s="3">
        <v>-12336.53658051517</v>
      </c>
      <c r="BP629" s="3">
        <v>-12484.885027570101</v>
      </c>
      <c r="BQ629" s="3">
        <v>-12728.228719415791</v>
      </c>
      <c r="BR629" s="3">
        <v>-12995.43928701533</v>
      </c>
      <c r="BS629" s="3">
        <v>-13350.989810658961</v>
      </c>
      <c r="BT629" s="3">
        <v>-13715.940986900599</v>
      </c>
      <c r="BU629" s="3">
        <v>-14171.63345114488</v>
      </c>
      <c r="BV629" s="3">
        <v>-14607.66958501563</v>
      </c>
      <c r="BW629" s="3">
        <v>-15154.54476151742</v>
      </c>
      <c r="BY629" s="17" t="s">
        <v>4030</v>
      </c>
      <c r="BZ629" s="3">
        <v>-7664.183078656577</v>
      </c>
      <c r="CA629" s="3">
        <v>-7862.1426294500543</v>
      </c>
      <c r="CB629" s="3">
        <v>-10363.33085066947</v>
      </c>
      <c r="CC629" s="3">
        <v>-11657.341445130611</v>
      </c>
      <c r="CD629" s="3">
        <v>-12204.27277393779</v>
      </c>
      <c r="CE629" s="3">
        <v>-12677.561164038179</v>
      </c>
      <c r="CF629" s="3">
        <v>-13170.616000231041</v>
      </c>
      <c r="CG629" s="3">
        <v>-13702.27744189542</v>
      </c>
      <c r="CH629" s="3">
        <v>-14089.30736940898</v>
      </c>
      <c r="CI629" s="3">
        <v>-14511.970323920519</v>
      </c>
      <c r="CJ629" s="3">
        <v>-14913.033570870861</v>
      </c>
      <c r="CK629" s="3">
        <v>-15642.69803590226</v>
      </c>
      <c r="CL629" s="3">
        <v>-16380.752367366011</v>
      </c>
      <c r="CM629" s="3">
        <v>-17143.282027355701</v>
      </c>
      <c r="CN629" s="3">
        <v>-17968.288865674789</v>
      </c>
      <c r="CO629" s="3">
        <v>-18811.471346168411</v>
      </c>
      <c r="CP629" s="3">
        <v>-19669.87288445884</v>
      </c>
      <c r="CQ629" s="3">
        <v>-20553.722609374021</v>
      </c>
      <c r="CR629" s="3">
        <v>-21444.87886322337</v>
      </c>
      <c r="CS629" s="3">
        <v>-22356.638048622091</v>
      </c>
      <c r="CU629" s="17" t="s">
        <v>4031</v>
      </c>
      <c r="CV629" s="3">
        <v>-7664.183078656577</v>
      </c>
      <c r="CW629" s="3">
        <v>-7862.1426294500543</v>
      </c>
      <c r="CX629" s="3">
        <v>-10369.91125305875</v>
      </c>
      <c r="CY629" s="3">
        <v>-11664.68176141914</v>
      </c>
      <c r="CZ629" s="3">
        <v>-12212.495422838019</v>
      </c>
      <c r="DA629" s="3">
        <v>-12687.087263829069</v>
      </c>
      <c r="DB629" s="3">
        <v>-10862.617325751051</v>
      </c>
      <c r="DC629" s="3">
        <v>-11375.70934962671</v>
      </c>
      <c r="DD629" s="3">
        <v>-11540.819267349019</v>
      </c>
      <c r="DE629" s="3">
        <v>-12081.84775991312</v>
      </c>
      <c r="DF629" s="3">
        <v>-12586.045339643</v>
      </c>
      <c r="DG629" s="3">
        <v>-13274.313246157169</v>
      </c>
      <c r="DH629" s="3">
        <v>-14003.060734299141</v>
      </c>
      <c r="DI629" s="3">
        <v>-14811.39338588829</v>
      </c>
      <c r="DJ629" s="3">
        <v>-15641.498979479689</v>
      </c>
      <c r="DK629" s="3">
        <v>-16524.565040257748</v>
      </c>
      <c r="DL629" s="3">
        <v>-17404.316532604691</v>
      </c>
      <c r="DM629" s="3">
        <v>-18311.302720008</v>
      </c>
      <c r="DN629" s="3">
        <v>-19203.639455172761</v>
      </c>
      <c r="DO629" s="3">
        <v>-20119.57374931726</v>
      </c>
    </row>
    <row r="630" spans="1:230" ht="15.4" x14ac:dyDescent="0.45">
      <c r="A630" s="5"/>
      <c r="B630" s="15" t="s">
        <v>4032</v>
      </c>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row>
    <row r="631" spans="1:230" x14ac:dyDescent="0.45">
      <c r="A631" s="11"/>
      <c r="B631" s="3" t="s">
        <v>4033</v>
      </c>
      <c r="C631" s="16" t="s">
        <v>4034</v>
      </c>
      <c r="H631" s="11" t="s">
        <v>4035</v>
      </c>
      <c r="I631" s="11"/>
    </row>
    <row r="632" spans="1:230" x14ac:dyDescent="0.45">
      <c r="A632" s="11"/>
      <c r="B632" s="3" t="s">
        <v>4033</v>
      </c>
      <c r="C632" s="16" t="s">
        <v>4036</v>
      </c>
      <c r="H632" s="11" t="s">
        <v>4037</v>
      </c>
      <c r="I632" s="11"/>
    </row>
    <row r="633" spans="1:230" x14ac:dyDescent="0.45">
      <c r="A633" s="11"/>
      <c r="B633" s="3" t="s">
        <v>4033</v>
      </c>
      <c r="C633" s="16" t="s">
        <v>4038</v>
      </c>
      <c r="H633" s="11" t="s">
        <v>4039</v>
      </c>
      <c r="I633" s="11"/>
    </row>
    <row r="634" spans="1:230" x14ac:dyDescent="0.45">
      <c r="A634" s="11"/>
      <c r="B634" s="3" t="s">
        <v>4033</v>
      </c>
      <c r="C634" s="16" t="s">
        <v>4040</v>
      </c>
      <c r="H634" s="11" t="s">
        <v>4041</v>
      </c>
      <c r="I634" s="11"/>
    </row>
    <row r="635" spans="1:230" x14ac:dyDescent="0.45">
      <c r="A635" s="11"/>
      <c r="B635" s="3" t="s">
        <v>4042</v>
      </c>
      <c r="C635" s="16"/>
      <c r="H635" s="11" t="s">
        <v>4043</v>
      </c>
      <c r="I635" s="11"/>
    </row>
    <row r="636" spans="1:230" x14ac:dyDescent="0.45">
      <c r="A636" s="11"/>
      <c r="B636" s="3" t="s">
        <v>4033</v>
      </c>
      <c r="C636" s="16" t="s">
        <v>4044</v>
      </c>
      <c r="H636" s="11" t="s">
        <v>4045</v>
      </c>
      <c r="I636" s="11"/>
    </row>
    <row r="637" spans="1:230" x14ac:dyDescent="0.45">
      <c r="A637" s="11"/>
      <c r="B637" s="3" t="s">
        <v>4033</v>
      </c>
      <c r="C637" s="16" t="s">
        <v>4046</v>
      </c>
      <c r="H637" s="11" t="s">
        <v>4047</v>
      </c>
      <c r="I637" s="11"/>
    </row>
    <row r="638" spans="1:230" x14ac:dyDescent="0.45">
      <c r="A638" s="11"/>
      <c r="B638" s="3" t="s">
        <v>4033</v>
      </c>
      <c r="C638" s="16" t="s">
        <v>4048</v>
      </c>
      <c r="H638" s="11" t="s">
        <v>4049</v>
      </c>
      <c r="I638" s="11"/>
    </row>
    <row r="639" spans="1:230" x14ac:dyDescent="0.45">
      <c r="A639" s="11"/>
      <c r="B639" s="3" t="s">
        <v>4033</v>
      </c>
      <c r="C639" s="16" t="s">
        <v>4050</v>
      </c>
      <c r="H639" s="11" t="s">
        <v>4051</v>
      </c>
      <c r="I639" s="11"/>
    </row>
    <row r="640" spans="1:230" x14ac:dyDescent="0.45">
      <c r="A640" s="11"/>
      <c r="B640" s="3" t="s">
        <v>4033</v>
      </c>
      <c r="C640" s="16" t="s">
        <v>4052</v>
      </c>
      <c r="H640" s="11" t="s">
        <v>4053</v>
      </c>
      <c r="I640" s="11"/>
    </row>
    <row r="641" spans="1:119" x14ac:dyDescent="0.45">
      <c r="A641" s="11"/>
      <c r="B641" s="3" t="s">
        <v>4033</v>
      </c>
      <c r="C641" s="16" t="s">
        <v>4052</v>
      </c>
      <c r="H641" s="11" t="s">
        <v>4054</v>
      </c>
      <c r="I641" s="11"/>
    </row>
    <row r="642" spans="1:119" x14ac:dyDescent="0.45">
      <c r="A642" s="11"/>
      <c r="B642" s="3" t="s">
        <v>4033</v>
      </c>
      <c r="C642" s="16" t="s">
        <v>4055</v>
      </c>
      <c r="H642" s="11" t="s">
        <v>4056</v>
      </c>
      <c r="I642" s="11"/>
    </row>
    <row r="643" spans="1:119" x14ac:dyDescent="0.45">
      <c r="A643" s="11"/>
      <c r="B643" s="3" t="s">
        <v>4033</v>
      </c>
      <c r="C643" s="16" t="s">
        <v>4057</v>
      </c>
      <c r="H643" s="11" t="s">
        <v>4058</v>
      </c>
      <c r="I643" s="11"/>
    </row>
    <row r="644" spans="1:119" x14ac:dyDescent="0.45">
      <c r="A644" s="11"/>
      <c r="B644" s="3" t="s">
        <v>4033</v>
      </c>
      <c r="C644" s="16" t="s">
        <v>4059</v>
      </c>
      <c r="H644" s="11" t="s">
        <v>4060</v>
      </c>
      <c r="I644" s="11"/>
    </row>
    <row r="645" spans="1:119" x14ac:dyDescent="0.45">
      <c r="A645" s="11"/>
      <c r="B645" s="3" t="s">
        <v>4033</v>
      </c>
      <c r="C645" s="16" t="s">
        <v>4061</v>
      </c>
      <c r="H645" s="11" t="s">
        <v>4062</v>
      </c>
      <c r="I645" s="11"/>
    </row>
    <row r="646" spans="1:119" x14ac:dyDescent="0.45">
      <c r="A646" s="16" t="s">
        <v>1822</v>
      </c>
      <c r="B646" s="3" t="s">
        <v>89</v>
      </c>
      <c r="C646" s="16" t="s">
        <v>4063</v>
      </c>
      <c r="H646" s="3" t="s">
        <v>1824</v>
      </c>
      <c r="I646" s="3" t="s">
        <v>1300</v>
      </c>
      <c r="K646" s="17" t="s">
        <v>1825</v>
      </c>
      <c r="L646" s="3">
        <v>0.51861440179294471</v>
      </c>
      <c r="M646" s="3">
        <v>0.51687265725192411</v>
      </c>
      <c r="N646" s="3">
        <v>0.48964089231641328</v>
      </c>
      <c r="O646" s="3">
        <v>0.34677364181466119</v>
      </c>
      <c r="P646" s="3">
        <v>0.39411150880725149</v>
      </c>
      <c r="Q646" s="3">
        <v>0.40760809751225352</v>
      </c>
      <c r="R646" s="3">
        <v>0.4436872089926524</v>
      </c>
      <c r="S646" s="3">
        <v>0.47755998578056308</v>
      </c>
      <c r="T646" s="3">
        <v>0.50881771119829111</v>
      </c>
      <c r="U646" s="3">
        <v>0.51781813463944315</v>
      </c>
      <c r="V646" s="3">
        <v>0.53777705128385811</v>
      </c>
      <c r="W646" s="3">
        <v>0.55828236515742868</v>
      </c>
      <c r="X646" s="3">
        <v>0.57932164167306144</v>
      </c>
      <c r="Y646" s="3">
        <v>0.60090299253937463</v>
      </c>
      <c r="Z646" s="3">
        <v>0.62300371002141985</v>
      </c>
      <c r="AA646" s="3">
        <v>0.64565043435038483</v>
      </c>
      <c r="AB646" s="3">
        <v>0.66878491520807037</v>
      </c>
      <c r="AC646" s="3">
        <v>0.6923866304030869</v>
      </c>
      <c r="AD646" s="3">
        <v>0.71643189700065424</v>
      </c>
      <c r="AE646" s="3">
        <v>0.71387097744494399</v>
      </c>
      <c r="AG646" s="17" t="s">
        <v>1826</v>
      </c>
      <c r="AH646" s="3">
        <v>0.51861440179294471</v>
      </c>
      <c r="AI646" s="3">
        <v>0.51687265725192411</v>
      </c>
      <c r="AJ646" s="3">
        <v>0.48964089231641328</v>
      </c>
      <c r="AK646" s="3">
        <v>0.34677364181466119</v>
      </c>
      <c r="AL646" s="3">
        <v>0.39411150880725149</v>
      </c>
      <c r="AM646" s="3">
        <v>0.40760809751225352</v>
      </c>
      <c r="AN646" s="3">
        <v>0.4436872089926524</v>
      </c>
      <c r="AO646" s="3">
        <v>0.47755998578056308</v>
      </c>
      <c r="AP646" s="3">
        <v>0.50881771119829111</v>
      </c>
      <c r="AQ646" s="3">
        <v>0.51781813463944315</v>
      </c>
      <c r="AR646" s="3">
        <v>0.53777705128385811</v>
      </c>
      <c r="AS646" s="3">
        <v>0.55828236515742868</v>
      </c>
      <c r="AT646" s="3">
        <v>0.57932164167306144</v>
      </c>
      <c r="AU646" s="3">
        <v>0.60090299253937463</v>
      </c>
      <c r="AV646" s="3">
        <v>0.62300371002141985</v>
      </c>
      <c r="AW646" s="3">
        <v>0.64565043435038483</v>
      </c>
      <c r="AX646" s="3">
        <v>0.66878491520807037</v>
      </c>
      <c r="AY646" s="3">
        <v>0.6923866304030869</v>
      </c>
      <c r="AZ646" s="3">
        <v>0.71643189700065424</v>
      </c>
      <c r="BA646" s="3">
        <v>0.71387097744494399</v>
      </c>
      <c r="BC646" s="17" t="s">
        <v>1827</v>
      </c>
      <c r="BD646" s="3">
        <v>0.51861440179294471</v>
      </c>
      <c r="BE646" s="3">
        <v>0.51687265725192411</v>
      </c>
      <c r="BF646" s="3">
        <v>0.48964089231641328</v>
      </c>
      <c r="BG646" s="3">
        <v>0.34677364181466119</v>
      </c>
      <c r="BH646" s="3">
        <v>0.39411150880725149</v>
      </c>
      <c r="BI646" s="3">
        <v>0.40760809751225352</v>
      </c>
      <c r="BJ646" s="3">
        <v>0.4436872089926524</v>
      </c>
      <c r="BK646" s="3">
        <v>0.47755998578056308</v>
      </c>
      <c r="BL646" s="3">
        <v>0.50881771119829111</v>
      </c>
      <c r="BM646" s="3">
        <v>0.51781813463944315</v>
      </c>
      <c r="BN646" s="3">
        <v>0.53777705128385811</v>
      </c>
      <c r="BO646" s="3">
        <v>0.55828236515742868</v>
      </c>
      <c r="BP646" s="3">
        <v>0.57932164167306144</v>
      </c>
      <c r="BQ646" s="3">
        <v>0.60090299253937463</v>
      </c>
      <c r="BR646" s="3">
        <v>0.62300371002141985</v>
      </c>
      <c r="BS646" s="3">
        <v>0.64565043435038483</v>
      </c>
      <c r="BT646" s="3">
        <v>0.66878491520807037</v>
      </c>
      <c r="BU646" s="3">
        <v>0.6923866304030869</v>
      </c>
      <c r="BV646" s="3">
        <v>0.71643189700065424</v>
      </c>
      <c r="BW646" s="3">
        <v>0.71387097744494399</v>
      </c>
      <c r="BY646" s="17" t="s">
        <v>1828</v>
      </c>
      <c r="BZ646" s="3">
        <v>0.51861440179294471</v>
      </c>
      <c r="CA646" s="3">
        <v>0.51687265725192411</v>
      </c>
      <c r="CB646" s="3">
        <v>0.48964089231641328</v>
      </c>
      <c r="CC646" s="3">
        <v>0.34677364181466119</v>
      </c>
      <c r="CD646" s="3">
        <v>0.39411150880725149</v>
      </c>
      <c r="CE646" s="3">
        <v>0.40760809751225352</v>
      </c>
      <c r="CF646" s="3">
        <v>0.4436872089926524</v>
      </c>
      <c r="CG646" s="3">
        <v>0.47755998578056308</v>
      </c>
      <c r="CH646" s="3">
        <v>0.50881771119829111</v>
      </c>
      <c r="CI646" s="3">
        <v>0.51781813463944315</v>
      </c>
      <c r="CJ646" s="3">
        <v>0.53777705128385811</v>
      </c>
      <c r="CK646" s="3">
        <v>0.55828236515742868</v>
      </c>
      <c r="CL646" s="3">
        <v>0.57932164167306144</v>
      </c>
      <c r="CM646" s="3">
        <v>0.60090299253937463</v>
      </c>
      <c r="CN646" s="3">
        <v>0.62300371002141985</v>
      </c>
      <c r="CO646" s="3">
        <v>0.64565043435038483</v>
      </c>
      <c r="CP646" s="3">
        <v>0.66878491520807037</v>
      </c>
      <c r="CQ646" s="3">
        <v>0.6923866304030869</v>
      </c>
      <c r="CR646" s="3">
        <v>0.71643189700065424</v>
      </c>
      <c r="CS646" s="3">
        <v>0.71387097744494399</v>
      </c>
      <c r="CU646" s="17" t="s">
        <v>1829</v>
      </c>
      <c r="CV646" s="3">
        <v>0.51861440179294471</v>
      </c>
      <c r="CW646" s="3">
        <v>0.51687265725192411</v>
      </c>
      <c r="CX646" s="3">
        <v>0.48964089231641328</v>
      </c>
      <c r="CY646" s="3">
        <v>0.34677364181466119</v>
      </c>
      <c r="CZ646" s="3">
        <v>0.39411150880725149</v>
      </c>
      <c r="DA646" s="3">
        <v>0.40760809751225352</v>
      </c>
      <c r="DB646" s="3">
        <v>0.4436872089926524</v>
      </c>
      <c r="DC646" s="3">
        <v>0.47755998578056308</v>
      </c>
      <c r="DD646" s="3">
        <v>0.50881771119829111</v>
      </c>
      <c r="DE646" s="3">
        <v>0.51781813463944315</v>
      </c>
      <c r="DF646" s="3">
        <v>0.53777705128385811</v>
      </c>
      <c r="DG646" s="3">
        <v>0.55828236515742868</v>
      </c>
      <c r="DH646" s="3">
        <v>0.57932164167306144</v>
      </c>
      <c r="DI646" s="3">
        <v>0.60090299253937463</v>
      </c>
      <c r="DJ646" s="3">
        <v>0.62300371002141985</v>
      </c>
      <c r="DK646" s="3">
        <v>0.64565043435038483</v>
      </c>
      <c r="DL646" s="3">
        <v>0.66878491520807037</v>
      </c>
      <c r="DM646" s="3">
        <v>0.6923866304030869</v>
      </c>
      <c r="DN646" s="3">
        <v>0.71643189700065424</v>
      </c>
      <c r="DO646" s="3">
        <v>0.71387097744494399</v>
      </c>
    </row>
    <row r="647" spans="1:119" x14ac:dyDescent="0.45">
      <c r="A647" s="16" t="s">
        <v>2062</v>
      </c>
      <c r="B647" s="3" t="s">
        <v>89</v>
      </c>
      <c r="C647" s="16" t="s">
        <v>4064</v>
      </c>
      <c r="H647" s="3" t="s">
        <v>2064</v>
      </c>
      <c r="I647" s="3" t="s">
        <v>1300</v>
      </c>
      <c r="K647" s="17" t="s">
        <v>2065</v>
      </c>
      <c r="L647" s="3">
        <v>0.38419323829791729</v>
      </c>
      <c r="M647" s="3">
        <v>0.38339169904106313</v>
      </c>
      <c r="N647" s="3">
        <v>0.36365860134926797</v>
      </c>
      <c r="O647" s="3">
        <v>0.25788278863697511</v>
      </c>
      <c r="P647" s="3">
        <v>0.29346652890507691</v>
      </c>
      <c r="Q647" s="3">
        <v>0.3039124917358505</v>
      </c>
      <c r="R647" s="3">
        <v>0.3312470993631918</v>
      </c>
      <c r="S647" s="3">
        <v>0.35700614912575118</v>
      </c>
      <c r="T647" s="3">
        <v>0.38087789399233762</v>
      </c>
      <c r="U647" s="3">
        <v>0.38813231428114842</v>
      </c>
      <c r="V647" s="3">
        <v>0.40363336221094381</v>
      </c>
      <c r="W647" s="3">
        <v>0.41958911876957472</v>
      </c>
      <c r="X647" s="3">
        <v>0.43599235971965739</v>
      </c>
      <c r="Y647" s="3">
        <v>0.45285132378480702</v>
      </c>
      <c r="Z647" s="3">
        <v>0.47015105524714068</v>
      </c>
      <c r="AA647" s="3">
        <v>0.48791382658446109</v>
      </c>
      <c r="AB647" s="3">
        <v>0.5060978121568287</v>
      </c>
      <c r="AC647" s="3">
        <v>0.52468956266000266</v>
      </c>
      <c r="AD647" s="3">
        <v>0.54367317295459461</v>
      </c>
      <c r="AE647" s="3">
        <v>0.54249465480270476</v>
      </c>
      <c r="AG647" s="17" t="s">
        <v>2066</v>
      </c>
      <c r="AH647" s="3">
        <v>0.38419323829791729</v>
      </c>
      <c r="AI647" s="3">
        <v>0.38339169904106313</v>
      </c>
      <c r="AJ647" s="3">
        <v>0.36365860134926797</v>
      </c>
      <c r="AK647" s="3">
        <v>0.25788278863697511</v>
      </c>
      <c r="AL647" s="3">
        <v>0.29346652890507691</v>
      </c>
      <c r="AM647" s="3">
        <v>0.3039124917358505</v>
      </c>
      <c r="AN647" s="3">
        <v>0.3312470993631918</v>
      </c>
      <c r="AO647" s="3">
        <v>0.35700614912575118</v>
      </c>
      <c r="AP647" s="3">
        <v>0.38087789399233762</v>
      </c>
      <c r="AQ647" s="3">
        <v>0.38813231428114842</v>
      </c>
      <c r="AR647" s="3">
        <v>0.40363336221094381</v>
      </c>
      <c r="AS647" s="3">
        <v>0.41958911876957472</v>
      </c>
      <c r="AT647" s="3">
        <v>0.43599235971965739</v>
      </c>
      <c r="AU647" s="3">
        <v>0.45285132378480702</v>
      </c>
      <c r="AV647" s="3">
        <v>0.47015105524714068</v>
      </c>
      <c r="AW647" s="3">
        <v>0.48791382658446109</v>
      </c>
      <c r="AX647" s="3">
        <v>0.5060978121568287</v>
      </c>
      <c r="AY647" s="3">
        <v>0.52468956266000266</v>
      </c>
      <c r="AZ647" s="3">
        <v>0.54367317295459461</v>
      </c>
      <c r="BA647" s="3">
        <v>0.54249465480270476</v>
      </c>
      <c r="BC647" s="17" t="s">
        <v>2067</v>
      </c>
      <c r="BD647" s="3">
        <v>0.38419323829791729</v>
      </c>
      <c r="BE647" s="3">
        <v>0.38339169904106313</v>
      </c>
      <c r="BF647" s="3">
        <v>0.36365860134926797</v>
      </c>
      <c r="BG647" s="3">
        <v>0.25788278863697511</v>
      </c>
      <c r="BH647" s="3">
        <v>0.29346652890507691</v>
      </c>
      <c r="BI647" s="3">
        <v>0.3039124917358505</v>
      </c>
      <c r="BJ647" s="3">
        <v>0.3312470993631918</v>
      </c>
      <c r="BK647" s="3">
        <v>0.35700614912575118</v>
      </c>
      <c r="BL647" s="3">
        <v>0.38087789399233762</v>
      </c>
      <c r="BM647" s="3">
        <v>0.38813231428114842</v>
      </c>
      <c r="BN647" s="3">
        <v>0.40363336221094381</v>
      </c>
      <c r="BO647" s="3">
        <v>0.41958911876957472</v>
      </c>
      <c r="BP647" s="3">
        <v>0.43599235971965739</v>
      </c>
      <c r="BQ647" s="3">
        <v>0.45285132378480702</v>
      </c>
      <c r="BR647" s="3">
        <v>0.47015105524714068</v>
      </c>
      <c r="BS647" s="3">
        <v>0.48791382658446109</v>
      </c>
      <c r="BT647" s="3">
        <v>0.5060978121568287</v>
      </c>
      <c r="BU647" s="3">
        <v>0.52468956266000266</v>
      </c>
      <c r="BV647" s="3">
        <v>0.54367317295459461</v>
      </c>
      <c r="BW647" s="3">
        <v>0.54249465480270476</v>
      </c>
      <c r="BY647" s="17" t="s">
        <v>2068</v>
      </c>
      <c r="BZ647" s="3">
        <v>0.38419323829791729</v>
      </c>
      <c r="CA647" s="3">
        <v>0.38339169904106313</v>
      </c>
      <c r="CB647" s="3">
        <v>0.36365860134926797</v>
      </c>
      <c r="CC647" s="3">
        <v>0.25788278863697511</v>
      </c>
      <c r="CD647" s="3">
        <v>0.29346652890507691</v>
      </c>
      <c r="CE647" s="3">
        <v>0.3039124917358505</v>
      </c>
      <c r="CF647" s="3">
        <v>0.3312470993631918</v>
      </c>
      <c r="CG647" s="3">
        <v>0.35700614912575118</v>
      </c>
      <c r="CH647" s="3">
        <v>0.38087789399233762</v>
      </c>
      <c r="CI647" s="3">
        <v>0.38813231428114842</v>
      </c>
      <c r="CJ647" s="3">
        <v>0.40363336221094381</v>
      </c>
      <c r="CK647" s="3">
        <v>0.41958911876957472</v>
      </c>
      <c r="CL647" s="3">
        <v>0.43599235971965739</v>
      </c>
      <c r="CM647" s="3">
        <v>0.45285132378480702</v>
      </c>
      <c r="CN647" s="3">
        <v>0.47015105524714068</v>
      </c>
      <c r="CO647" s="3">
        <v>0.48791382658446109</v>
      </c>
      <c r="CP647" s="3">
        <v>0.5060978121568287</v>
      </c>
      <c r="CQ647" s="3">
        <v>0.52468956266000266</v>
      </c>
      <c r="CR647" s="3">
        <v>0.54367317295459461</v>
      </c>
      <c r="CS647" s="3">
        <v>0.54249465480270476</v>
      </c>
      <c r="CU647" s="17" t="s">
        <v>2069</v>
      </c>
      <c r="CV647" s="3">
        <v>0.38419323829791729</v>
      </c>
      <c r="CW647" s="3">
        <v>0.38339169904106313</v>
      </c>
      <c r="CX647" s="3">
        <v>0.36365860134926797</v>
      </c>
      <c r="CY647" s="3">
        <v>0.25788278863697511</v>
      </c>
      <c r="CZ647" s="3">
        <v>0.29346652890507691</v>
      </c>
      <c r="DA647" s="3">
        <v>0.3039124917358505</v>
      </c>
      <c r="DB647" s="3">
        <v>0.3312470993631918</v>
      </c>
      <c r="DC647" s="3">
        <v>0.35700614912575118</v>
      </c>
      <c r="DD647" s="3">
        <v>0.38087789399233762</v>
      </c>
      <c r="DE647" s="3">
        <v>0.38813231428114842</v>
      </c>
      <c r="DF647" s="3">
        <v>0.40363336221094381</v>
      </c>
      <c r="DG647" s="3">
        <v>0.41958911876957472</v>
      </c>
      <c r="DH647" s="3">
        <v>0.43599235971965739</v>
      </c>
      <c r="DI647" s="3">
        <v>0.45285132378480702</v>
      </c>
      <c r="DJ647" s="3">
        <v>0.47015105524714068</v>
      </c>
      <c r="DK647" s="3">
        <v>0.48791382658446109</v>
      </c>
      <c r="DL647" s="3">
        <v>0.5060978121568287</v>
      </c>
      <c r="DM647" s="3">
        <v>0.52468956266000266</v>
      </c>
      <c r="DN647" s="3">
        <v>0.54367317295459461</v>
      </c>
      <c r="DO647" s="3">
        <v>0.54249465480270476</v>
      </c>
    </row>
    <row r="648" spans="1:119" x14ac:dyDescent="0.45">
      <c r="A648" s="16" t="s">
        <v>4065</v>
      </c>
      <c r="B648" s="3" t="s">
        <v>89</v>
      </c>
      <c r="C648" s="16" t="s">
        <v>4066</v>
      </c>
      <c r="H648" s="3" t="s">
        <v>4067</v>
      </c>
      <c r="I648" s="3" t="s">
        <v>1300</v>
      </c>
      <c r="K648" s="17" t="s">
        <v>4068</v>
      </c>
      <c r="L648" s="3">
        <v>4.0591218842164922</v>
      </c>
      <c r="M648" s="3">
        <v>4.0334866859484002</v>
      </c>
      <c r="N648" s="3">
        <v>3.8095325484781619</v>
      </c>
      <c r="O648" s="3">
        <v>2.689826219154245</v>
      </c>
      <c r="P648" s="3">
        <v>3.047673205289422</v>
      </c>
      <c r="Q648" s="3">
        <v>3.1423171824347862</v>
      </c>
      <c r="R648" s="3">
        <v>3.4097980681863982</v>
      </c>
      <c r="S648" s="3">
        <v>3.6585635689542571</v>
      </c>
      <c r="T648" s="3">
        <v>3.885634921965087</v>
      </c>
      <c r="U648" s="3">
        <v>3.9416684056790721</v>
      </c>
      <c r="V648" s="3">
        <v>4.0803168461324519</v>
      </c>
      <c r="W648" s="3">
        <v>4.2220155995221278</v>
      </c>
      <c r="X648" s="3">
        <v>4.3666185360800807</v>
      </c>
      <c r="Y648" s="3">
        <v>4.5141343930918394</v>
      </c>
      <c r="Z648" s="3">
        <v>4.6643396072626091</v>
      </c>
      <c r="AA648" s="3">
        <v>4.8173803797548018</v>
      </c>
      <c r="AB648" s="3">
        <v>4.9727682149030974</v>
      </c>
      <c r="AC648" s="3">
        <v>5.1302994218538407</v>
      </c>
      <c r="AD648" s="3">
        <v>5.28974837885053</v>
      </c>
      <c r="AE648" s="3">
        <v>5.2520564676585453</v>
      </c>
      <c r="AG648" s="17" t="s">
        <v>4069</v>
      </c>
      <c r="AH648" s="3">
        <v>4.0591218842164922</v>
      </c>
      <c r="AI648" s="3">
        <v>4.0334866859484002</v>
      </c>
      <c r="AJ648" s="3">
        <v>3.8095325484781619</v>
      </c>
      <c r="AK648" s="3">
        <v>2.689826219154245</v>
      </c>
      <c r="AL648" s="3">
        <v>3.047673205289422</v>
      </c>
      <c r="AM648" s="3">
        <v>3.1423171824347862</v>
      </c>
      <c r="AN648" s="3">
        <v>3.4097980681863982</v>
      </c>
      <c r="AO648" s="3">
        <v>3.6585635689542571</v>
      </c>
      <c r="AP648" s="3">
        <v>3.885634921965087</v>
      </c>
      <c r="AQ648" s="3">
        <v>3.9416684056790721</v>
      </c>
      <c r="AR648" s="3">
        <v>4.0803168461324519</v>
      </c>
      <c r="AS648" s="3">
        <v>4.2220155995221278</v>
      </c>
      <c r="AT648" s="3">
        <v>4.3666185360800807</v>
      </c>
      <c r="AU648" s="3">
        <v>4.5141343930918394</v>
      </c>
      <c r="AV648" s="3">
        <v>4.6643396072626091</v>
      </c>
      <c r="AW648" s="3">
        <v>4.8173803797548018</v>
      </c>
      <c r="AX648" s="3">
        <v>4.9727682149030974</v>
      </c>
      <c r="AY648" s="3">
        <v>5.1302994218538407</v>
      </c>
      <c r="AZ648" s="3">
        <v>5.28974837885053</v>
      </c>
      <c r="BA648" s="3">
        <v>5.2520564676585453</v>
      </c>
      <c r="BC648" s="17" t="s">
        <v>4070</v>
      </c>
      <c r="BD648" s="3">
        <v>4.0591218842164922</v>
      </c>
      <c r="BE648" s="3">
        <v>4.0334866859484002</v>
      </c>
      <c r="BF648" s="3">
        <v>3.8095325484781619</v>
      </c>
      <c r="BG648" s="3">
        <v>2.689826219154245</v>
      </c>
      <c r="BH648" s="3">
        <v>3.047673205289422</v>
      </c>
      <c r="BI648" s="3">
        <v>3.1423171824347862</v>
      </c>
      <c r="BJ648" s="3">
        <v>3.4097980681863982</v>
      </c>
      <c r="BK648" s="3">
        <v>3.6585635689542571</v>
      </c>
      <c r="BL648" s="3">
        <v>3.885634921965087</v>
      </c>
      <c r="BM648" s="3">
        <v>3.9416684056790721</v>
      </c>
      <c r="BN648" s="3">
        <v>4.0803168461324519</v>
      </c>
      <c r="BO648" s="3">
        <v>4.2220155995221278</v>
      </c>
      <c r="BP648" s="3">
        <v>4.3666185360800807</v>
      </c>
      <c r="BQ648" s="3">
        <v>4.5141343930918394</v>
      </c>
      <c r="BR648" s="3">
        <v>4.6643396072626091</v>
      </c>
      <c r="BS648" s="3">
        <v>4.8173803797548018</v>
      </c>
      <c r="BT648" s="3">
        <v>4.9727682149030974</v>
      </c>
      <c r="BU648" s="3">
        <v>5.1302994218538407</v>
      </c>
      <c r="BV648" s="3">
        <v>5.28974837885053</v>
      </c>
      <c r="BW648" s="3">
        <v>5.2520564676585453</v>
      </c>
      <c r="BY648" s="17" t="s">
        <v>4071</v>
      </c>
      <c r="BZ648" s="3">
        <v>4.0591218842164922</v>
      </c>
      <c r="CA648" s="3">
        <v>4.0334866859484002</v>
      </c>
      <c r="CB648" s="3">
        <v>3.8095325484781619</v>
      </c>
      <c r="CC648" s="3">
        <v>2.689826219154245</v>
      </c>
      <c r="CD648" s="3">
        <v>3.047673205289422</v>
      </c>
      <c r="CE648" s="3">
        <v>3.1423171824347862</v>
      </c>
      <c r="CF648" s="3">
        <v>3.4097980681863982</v>
      </c>
      <c r="CG648" s="3">
        <v>3.6585635689542571</v>
      </c>
      <c r="CH648" s="3">
        <v>3.885634921965087</v>
      </c>
      <c r="CI648" s="3">
        <v>3.9416684056790721</v>
      </c>
      <c r="CJ648" s="3">
        <v>4.0803168461324519</v>
      </c>
      <c r="CK648" s="3">
        <v>4.2220155995221278</v>
      </c>
      <c r="CL648" s="3">
        <v>4.3666185360800807</v>
      </c>
      <c r="CM648" s="3">
        <v>4.5141343930918394</v>
      </c>
      <c r="CN648" s="3">
        <v>4.6643396072626091</v>
      </c>
      <c r="CO648" s="3">
        <v>4.8173803797548018</v>
      </c>
      <c r="CP648" s="3">
        <v>4.9727682149030974</v>
      </c>
      <c r="CQ648" s="3">
        <v>5.1302994218538407</v>
      </c>
      <c r="CR648" s="3">
        <v>5.28974837885053</v>
      </c>
      <c r="CS648" s="3">
        <v>5.2520564676585453</v>
      </c>
      <c r="CU648" s="17" t="s">
        <v>4072</v>
      </c>
      <c r="CV648" s="3">
        <v>4.0591218842164922</v>
      </c>
      <c r="CW648" s="3">
        <v>4.0334866859484002</v>
      </c>
      <c r="CX648" s="3">
        <v>3.8095325484781619</v>
      </c>
      <c r="CY648" s="3">
        <v>2.689826219154245</v>
      </c>
      <c r="CZ648" s="3">
        <v>3.047673205289422</v>
      </c>
      <c r="DA648" s="3">
        <v>3.1423171824347862</v>
      </c>
      <c r="DB648" s="3">
        <v>3.4097980681863982</v>
      </c>
      <c r="DC648" s="3">
        <v>3.6585635689542571</v>
      </c>
      <c r="DD648" s="3">
        <v>3.885634921965087</v>
      </c>
      <c r="DE648" s="3">
        <v>3.9416684056790721</v>
      </c>
      <c r="DF648" s="3">
        <v>4.0803168461324519</v>
      </c>
      <c r="DG648" s="3">
        <v>4.2220155995221278</v>
      </c>
      <c r="DH648" s="3">
        <v>4.3666185360800807</v>
      </c>
      <c r="DI648" s="3">
        <v>4.5141343930918394</v>
      </c>
      <c r="DJ648" s="3">
        <v>4.6643396072626091</v>
      </c>
      <c r="DK648" s="3">
        <v>4.8173803797548018</v>
      </c>
      <c r="DL648" s="3">
        <v>4.9727682149030974</v>
      </c>
      <c r="DM648" s="3">
        <v>5.1302994218538407</v>
      </c>
      <c r="DN648" s="3">
        <v>5.28974837885053</v>
      </c>
      <c r="DO648" s="3">
        <v>5.2520564676585453</v>
      </c>
    </row>
    <row r="649" spans="1:119" x14ac:dyDescent="0.45">
      <c r="A649" s="16" t="s">
        <v>1662</v>
      </c>
      <c r="B649" s="3" t="s">
        <v>89</v>
      </c>
      <c r="C649" s="16" t="s">
        <v>4073</v>
      </c>
      <c r="H649" s="3" t="s">
        <v>1664</v>
      </c>
      <c r="I649" s="3" t="s">
        <v>1300</v>
      </c>
      <c r="K649" s="17" t="s">
        <v>1665</v>
      </c>
      <c r="L649" s="3">
        <v>1.646935644617493</v>
      </c>
      <c r="M649" s="3">
        <v>1.63895261334982</v>
      </c>
      <c r="N649" s="3">
        <v>1.5502649555799539</v>
      </c>
      <c r="O649" s="3">
        <v>1.0962618452750721</v>
      </c>
      <c r="P649" s="3">
        <v>1.2440040629996549</v>
      </c>
      <c r="Q649" s="3">
        <v>1.28461907908624</v>
      </c>
      <c r="R649" s="3">
        <v>1.3961487979441609</v>
      </c>
      <c r="S649" s="3">
        <v>1.5003764525515719</v>
      </c>
      <c r="T649" s="3">
        <v>1.5960490857913221</v>
      </c>
      <c r="U649" s="3">
        <v>1.621687328159148</v>
      </c>
      <c r="V649" s="3">
        <v>1.6814812494965461</v>
      </c>
      <c r="W649" s="3">
        <v>1.742759841027165</v>
      </c>
      <c r="X649" s="3">
        <v>1.8054736450854261</v>
      </c>
      <c r="Y649" s="3">
        <v>1.8696372371658141</v>
      </c>
      <c r="Z649" s="3">
        <v>1.935169143022714</v>
      </c>
      <c r="AA649" s="3">
        <v>2.002141234624387</v>
      </c>
      <c r="AB649" s="3">
        <v>2.0703618746104708</v>
      </c>
      <c r="AC649" s="3">
        <v>2.139757094372805</v>
      </c>
      <c r="AD649" s="3">
        <v>2.2102434614617121</v>
      </c>
      <c r="AE649" s="3">
        <v>2.1985058613683881</v>
      </c>
      <c r="AG649" s="17" t="s">
        <v>1666</v>
      </c>
      <c r="AH649" s="3">
        <v>1.646935644617493</v>
      </c>
      <c r="AI649" s="3">
        <v>1.63895261334982</v>
      </c>
      <c r="AJ649" s="3">
        <v>1.5502649555799539</v>
      </c>
      <c r="AK649" s="3">
        <v>1.0962618452750721</v>
      </c>
      <c r="AL649" s="3">
        <v>1.2440040629996549</v>
      </c>
      <c r="AM649" s="3">
        <v>1.28461907908624</v>
      </c>
      <c r="AN649" s="3">
        <v>1.3961487979441609</v>
      </c>
      <c r="AO649" s="3">
        <v>1.5003764525515719</v>
      </c>
      <c r="AP649" s="3">
        <v>1.5960490857913221</v>
      </c>
      <c r="AQ649" s="3">
        <v>1.6216873281591491</v>
      </c>
      <c r="AR649" s="3">
        <v>1.6814812494965461</v>
      </c>
      <c r="AS649" s="3">
        <v>1.742759841027165</v>
      </c>
      <c r="AT649" s="3">
        <v>1.8054736450854261</v>
      </c>
      <c r="AU649" s="3">
        <v>1.869637237165813</v>
      </c>
      <c r="AV649" s="3">
        <v>1.935169143022714</v>
      </c>
      <c r="AW649" s="3">
        <v>2.002141234624387</v>
      </c>
      <c r="AX649" s="3">
        <v>2.0703618746104708</v>
      </c>
      <c r="AY649" s="3">
        <v>2.139757094372805</v>
      </c>
      <c r="AZ649" s="3">
        <v>2.2102434614617121</v>
      </c>
      <c r="BA649" s="3">
        <v>2.1985058613683881</v>
      </c>
      <c r="BC649" s="17" t="s">
        <v>1667</v>
      </c>
      <c r="BD649" s="3">
        <v>1.646935644617493</v>
      </c>
      <c r="BE649" s="3">
        <v>1.63895261334982</v>
      </c>
      <c r="BF649" s="3">
        <v>1.5502649555799539</v>
      </c>
      <c r="BG649" s="3">
        <v>1.0962618452750721</v>
      </c>
      <c r="BH649" s="3">
        <v>1.2440040629996549</v>
      </c>
      <c r="BI649" s="3">
        <v>1.28461907908624</v>
      </c>
      <c r="BJ649" s="3">
        <v>1.3961487979441609</v>
      </c>
      <c r="BK649" s="3">
        <v>1.5003764525515719</v>
      </c>
      <c r="BL649" s="3">
        <v>1.5960490857913221</v>
      </c>
      <c r="BM649" s="3">
        <v>1.6216873281591491</v>
      </c>
      <c r="BN649" s="3">
        <v>1.6814812494965461</v>
      </c>
      <c r="BO649" s="3">
        <v>1.742759841027165</v>
      </c>
      <c r="BP649" s="3">
        <v>1.8054736450854261</v>
      </c>
      <c r="BQ649" s="3">
        <v>1.869637237165813</v>
      </c>
      <c r="BR649" s="3">
        <v>1.935169143022714</v>
      </c>
      <c r="BS649" s="3">
        <v>2.002141234624387</v>
      </c>
      <c r="BT649" s="3">
        <v>2.0703618746104708</v>
      </c>
      <c r="BU649" s="3">
        <v>2.139757094372805</v>
      </c>
      <c r="BV649" s="3">
        <v>2.2102434614617121</v>
      </c>
      <c r="BW649" s="3">
        <v>2.1985058613683872</v>
      </c>
      <c r="BY649" s="17" t="s">
        <v>1668</v>
      </c>
      <c r="BZ649" s="3">
        <v>1.646935644617493</v>
      </c>
      <c r="CA649" s="3">
        <v>1.63895261334982</v>
      </c>
      <c r="CB649" s="3">
        <v>1.5502649555799539</v>
      </c>
      <c r="CC649" s="3">
        <v>1.0962618452750721</v>
      </c>
      <c r="CD649" s="3">
        <v>1.2440040629996549</v>
      </c>
      <c r="CE649" s="3">
        <v>1.28461907908624</v>
      </c>
      <c r="CF649" s="3">
        <v>1.3961487979441609</v>
      </c>
      <c r="CG649" s="3">
        <v>1.5003764525515719</v>
      </c>
      <c r="CH649" s="3">
        <v>1.5960490857913221</v>
      </c>
      <c r="CI649" s="3">
        <v>1.621687328159148</v>
      </c>
      <c r="CJ649" s="3">
        <v>1.681481249496545</v>
      </c>
      <c r="CK649" s="3">
        <v>1.742759841027165</v>
      </c>
      <c r="CL649" s="3">
        <v>1.8054736450854261</v>
      </c>
      <c r="CM649" s="3">
        <v>1.869637237165813</v>
      </c>
      <c r="CN649" s="3">
        <v>1.935169143022714</v>
      </c>
      <c r="CO649" s="3">
        <v>2.002141234624387</v>
      </c>
      <c r="CP649" s="3">
        <v>2.0703618746104708</v>
      </c>
      <c r="CQ649" s="3">
        <v>2.139757094372805</v>
      </c>
      <c r="CR649" s="3">
        <v>2.2102434614617121</v>
      </c>
      <c r="CS649" s="3">
        <v>2.1985058613683872</v>
      </c>
      <c r="CU649" s="17" t="s">
        <v>1669</v>
      </c>
      <c r="CV649" s="3">
        <v>1.646935644617493</v>
      </c>
      <c r="CW649" s="3">
        <v>1.63895261334982</v>
      </c>
      <c r="CX649" s="3">
        <v>1.5502649555799539</v>
      </c>
      <c r="CY649" s="3">
        <v>1.0962618452750721</v>
      </c>
      <c r="CZ649" s="3">
        <v>1.2440040629996549</v>
      </c>
      <c r="DA649" s="3">
        <v>1.28461907908624</v>
      </c>
      <c r="DB649" s="3">
        <v>1.3961487979441609</v>
      </c>
      <c r="DC649" s="3">
        <v>1.5003764525515719</v>
      </c>
      <c r="DD649" s="3">
        <v>1.5960490857913221</v>
      </c>
      <c r="DE649" s="3">
        <v>1.621687328159148</v>
      </c>
      <c r="DF649" s="3">
        <v>1.6814812494965461</v>
      </c>
      <c r="DG649" s="3">
        <v>1.742759841027165</v>
      </c>
      <c r="DH649" s="3">
        <v>1.805473645085427</v>
      </c>
      <c r="DI649" s="3">
        <v>1.869637237165813</v>
      </c>
      <c r="DJ649" s="3">
        <v>1.935169143022714</v>
      </c>
      <c r="DK649" s="3">
        <v>2.002141234624387</v>
      </c>
      <c r="DL649" s="3">
        <v>2.0703618746104708</v>
      </c>
      <c r="DM649" s="3">
        <v>2.139757094372805</v>
      </c>
      <c r="DN649" s="3">
        <v>2.2102434614617121</v>
      </c>
      <c r="DO649" s="3">
        <v>2.1985058613683872</v>
      </c>
    </row>
    <row r="650" spans="1:119" x14ac:dyDescent="0.45">
      <c r="A650" s="16" t="s">
        <v>1902</v>
      </c>
      <c r="B650" s="3" t="s">
        <v>89</v>
      </c>
      <c r="C650" s="16" t="s">
        <v>4074</v>
      </c>
      <c r="H650" s="3" t="s">
        <v>1904</v>
      </c>
      <c r="I650" s="3" t="s">
        <v>1300</v>
      </c>
      <c r="K650" s="17" t="s">
        <v>1905</v>
      </c>
      <c r="L650" s="3">
        <v>0.2020428661152153</v>
      </c>
      <c r="M650" s="3">
        <v>0.20204268611971729</v>
      </c>
      <c r="N650" s="3">
        <v>0.19204491624059569</v>
      </c>
      <c r="O650" s="3">
        <v>0.13647142864762959</v>
      </c>
      <c r="P650" s="3">
        <v>0.15562891823135511</v>
      </c>
      <c r="Q650" s="3">
        <v>0.16150818634213729</v>
      </c>
      <c r="R650" s="3">
        <v>0.1764063722335561</v>
      </c>
      <c r="S650" s="3">
        <v>0.19052677481886951</v>
      </c>
      <c r="T650" s="3">
        <v>0.2036977199043904</v>
      </c>
      <c r="U650" s="3">
        <v>0.2080186333094487</v>
      </c>
      <c r="V650" s="3">
        <v>0.21678712812239209</v>
      </c>
      <c r="W650" s="3">
        <v>0.22583779508601429</v>
      </c>
      <c r="X650" s="3">
        <v>0.23516854831664241</v>
      </c>
      <c r="Y650" s="3">
        <v>0.2447856424485271</v>
      </c>
      <c r="Z650" s="3">
        <v>0.25468282133903408</v>
      </c>
      <c r="AA650" s="3">
        <v>0.26487398506559728</v>
      </c>
      <c r="AB650" s="3">
        <v>0.27533828162194263</v>
      </c>
      <c r="AC650" s="3">
        <v>0.28607014995751268</v>
      </c>
      <c r="AD650" s="3">
        <v>0.29706263896267587</v>
      </c>
      <c r="AE650" s="3">
        <v>0.2970623743119305</v>
      </c>
      <c r="AG650" s="17" t="s">
        <v>1906</v>
      </c>
      <c r="AH650" s="3">
        <v>0.2020428661152153</v>
      </c>
      <c r="AI650" s="3">
        <v>0.20204268611971729</v>
      </c>
      <c r="AJ650" s="3">
        <v>0.19204491624059569</v>
      </c>
      <c r="AK650" s="3">
        <v>0.13647142864762959</v>
      </c>
      <c r="AL650" s="3">
        <v>0.15562891823135511</v>
      </c>
      <c r="AM650" s="3">
        <v>0.16150818634213729</v>
      </c>
      <c r="AN650" s="3">
        <v>0.1764063722335561</v>
      </c>
      <c r="AO650" s="3">
        <v>0.19052677481886951</v>
      </c>
      <c r="AP650" s="3">
        <v>0.20369771990439051</v>
      </c>
      <c r="AQ650" s="3">
        <v>0.2080186333094487</v>
      </c>
      <c r="AR650" s="3">
        <v>0.21678712812239209</v>
      </c>
      <c r="AS650" s="3">
        <v>0.22583779508601429</v>
      </c>
      <c r="AT650" s="3">
        <v>0.23516854831664241</v>
      </c>
      <c r="AU650" s="3">
        <v>0.2447856424485271</v>
      </c>
      <c r="AV650" s="3">
        <v>0.25468282133903408</v>
      </c>
      <c r="AW650" s="3">
        <v>0.26487398506559739</v>
      </c>
      <c r="AX650" s="3">
        <v>0.27533828162194252</v>
      </c>
      <c r="AY650" s="3">
        <v>0.28607014995751279</v>
      </c>
      <c r="AZ650" s="3">
        <v>0.29706263896267582</v>
      </c>
      <c r="BA650" s="3">
        <v>0.29706237431193061</v>
      </c>
      <c r="BC650" s="17" t="s">
        <v>1907</v>
      </c>
      <c r="BD650" s="3">
        <v>0.2020428661152153</v>
      </c>
      <c r="BE650" s="3">
        <v>0.20204268611971729</v>
      </c>
      <c r="BF650" s="3">
        <v>0.19204491624059569</v>
      </c>
      <c r="BG650" s="3">
        <v>0.13647142864762959</v>
      </c>
      <c r="BH650" s="3">
        <v>0.15562891823135511</v>
      </c>
      <c r="BI650" s="3">
        <v>0.16150818634213721</v>
      </c>
      <c r="BJ650" s="3">
        <v>0.1764063722335561</v>
      </c>
      <c r="BK650" s="3">
        <v>0.19052677481886951</v>
      </c>
      <c r="BL650" s="3">
        <v>0.2036977199043904</v>
      </c>
      <c r="BM650" s="3">
        <v>0.2080186333094487</v>
      </c>
      <c r="BN650" s="3">
        <v>0.21678712812239209</v>
      </c>
      <c r="BO650" s="3">
        <v>0.22583779508601429</v>
      </c>
      <c r="BP650" s="3">
        <v>0.23516854831664241</v>
      </c>
      <c r="BQ650" s="3">
        <v>0.2447856424485271</v>
      </c>
      <c r="BR650" s="3">
        <v>0.25468282133903408</v>
      </c>
      <c r="BS650" s="3">
        <v>0.26487398506559739</v>
      </c>
      <c r="BT650" s="3">
        <v>0.27533828162194263</v>
      </c>
      <c r="BU650" s="3">
        <v>0.28607014995751279</v>
      </c>
      <c r="BV650" s="3">
        <v>0.29706263896267582</v>
      </c>
      <c r="BW650" s="3">
        <v>0.2970623743119305</v>
      </c>
      <c r="BY650" s="17" t="s">
        <v>1908</v>
      </c>
      <c r="BZ650" s="3">
        <v>0.2020428661152153</v>
      </c>
      <c r="CA650" s="3">
        <v>0.20204268611971729</v>
      </c>
      <c r="CB650" s="3">
        <v>0.19204491624059569</v>
      </c>
      <c r="CC650" s="3">
        <v>0.13647142864762959</v>
      </c>
      <c r="CD650" s="3">
        <v>0.15562891823135511</v>
      </c>
      <c r="CE650" s="3">
        <v>0.16150818412583959</v>
      </c>
      <c r="CF650" s="3">
        <v>0.17640637000405859</v>
      </c>
      <c r="CG650" s="3">
        <v>0.19052677279090449</v>
      </c>
      <c r="CH650" s="3">
        <v>0.20369771830532721</v>
      </c>
      <c r="CI650" s="3">
        <v>0.20801863239422419</v>
      </c>
      <c r="CJ650" s="3">
        <v>0.21678712805492861</v>
      </c>
      <c r="CK650" s="3">
        <v>0.22583779609622581</v>
      </c>
      <c r="CL650" s="3">
        <v>0.23516855062403511</v>
      </c>
      <c r="CM650" s="3">
        <v>0.24478564629398319</v>
      </c>
      <c r="CN650" s="3">
        <v>0.25468282628713262</v>
      </c>
      <c r="CO650" s="3">
        <v>0.26487399128869737</v>
      </c>
      <c r="CP650" s="3">
        <v>0.27533828929665127</v>
      </c>
      <c r="CQ650" s="3">
        <v>0.2860701592722994</v>
      </c>
      <c r="CR650" s="3">
        <v>0.2970626501230279</v>
      </c>
      <c r="CS650" s="3">
        <v>0.29706238705465859</v>
      </c>
      <c r="CU650" s="17" t="s">
        <v>1909</v>
      </c>
      <c r="CV650" s="3">
        <v>0.2020428661152153</v>
      </c>
      <c r="CW650" s="3">
        <v>0.20204268611971729</v>
      </c>
      <c r="CX650" s="3">
        <v>0.19204491624059569</v>
      </c>
      <c r="CY650" s="3">
        <v>0.13647142864762959</v>
      </c>
      <c r="CZ650" s="3">
        <v>0.15562891823135511</v>
      </c>
      <c r="DA650" s="3">
        <v>0.16150818634213721</v>
      </c>
      <c r="DB650" s="3">
        <v>0.1764063722335561</v>
      </c>
      <c r="DC650" s="3">
        <v>0.19052677481886951</v>
      </c>
      <c r="DD650" s="3">
        <v>0.2036977199043904</v>
      </c>
      <c r="DE650" s="3">
        <v>0.2080186333094487</v>
      </c>
      <c r="DF650" s="3">
        <v>0.21678712812239209</v>
      </c>
      <c r="DG650" s="3">
        <v>0.22583779508601429</v>
      </c>
      <c r="DH650" s="3">
        <v>0.23516854831664241</v>
      </c>
      <c r="DI650" s="3">
        <v>0.2447856424485271</v>
      </c>
      <c r="DJ650" s="3">
        <v>0.25468282133903408</v>
      </c>
      <c r="DK650" s="3">
        <v>0.26487398506559739</v>
      </c>
      <c r="DL650" s="3">
        <v>0.27533828162194263</v>
      </c>
      <c r="DM650" s="3">
        <v>0.28607014995751279</v>
      </c>
      <c r="DN650" s="3">
        <v>0.29706263896267587</v>
      </c>
      <c r="DO650" s="3">
        <v>0.29706237431193061</v>
      </c>
    </row>
    <row r="651" spans="1:119" x14ac:dyDescent="0.45">
      <c r="A651" s="16" t="s">
        <v>4075</v>
      </c>
      <c r="B651" s="3" t="s">
        <v>89</v>
      </c>
      <c r="C651" s="16" t="s">
        <v>4076</v>
      </c>
      <c r="H651" s="3" t="s">
        <v>4077</v>
      </c>
      <c r="I651" s="3" t="s">
        <v>1300</v>
      </c>
      <c r="K651" s="17" t="s">
        <v>4078</v>
      </c>
      <c r="L651" s="3">
        <v>16.237641288138779</v>
      </c>
      <c r="M651" s="3">
        <v>16.144657482175649</v>
      </c>
      <c r="N651" s="3">
        <v>15.257395019513091</v>
      </c>
      <c r="O651" s="3">
        <v>10.77945026503923</v>
      </c>
      <c r="P651" s="3">
        <v>12.22102773613082</v>
      </c>
      <c r="Q651" s="3">
        <v>12.60838930800907</v>
      </c>
      <c r="R651" s="3">
        <v>13.690265913629821</v>
      </c>
      <c r="S651" s="3">
        <v>14.69842845396078</v>
      </c>
      <c r="T651" s="3">
        <v>15.62078556382359</v>
      </c>
      <c r="U651" s="3">
        <v>15.85641908153289</v>
      </c>
      <c r="V651" s="3">
        <v>16.42505042583246</v>
      </c>
      <c r="W651" s="3">
        <v>17.006861018307031</v>
      </c>
      <c r="X651" s="3">
        <v>17.601305188744838</v>
      </c>
      <c r="Y651" s="3">
        <v>18.208461517083439</v>
      </c>
      <c r="Z651" s="3">
        <v>18.827472208036419</v>
      </c>
      <c r="AA651" s="3">
        <v>19.458971757223051</v>
      </c>
      <c r="AB651" s="3">
        <v>20.101032002966338</v>
      </c>
      <c r="AC651" s="3">
        <v>20.752872440945779</v>
      </c>
      <c r="AD651" s="3">
        <v>21.41362259964658</v>
      </c>
      <c r="AE651" s="3">
        <v>21.276906771666521</v>
      </c>
      <c r="AG651" s="17" t="s">
        <v>4079</v>
      </c>
      <c r="AH651" s="3">
        <v>16.237641288138779</v>
      </c>
      <c r="AI651" s="3">
        <v>16.144657482175649</v>
      </c>
      <c r="AJ651" s="3">
        <v>15.257395019513091</v>
      </c>
      <c r="AK651" s="3">
        <v>10.77945026503923</v>
      </c>
      <c r="AL651" s="3">
        <v>12.22102773613082</v>
      </c>
      <c r="AM651" s="3">
        <v>12.60838930800907</v>
      </c>
      <c r="AN651" s="3">
        <v>13.690265913629821</v>
      </c>
      <c r="AO651" s="3">
        <v>14.69842845396078</v>
      </c>
      <c r="AP651" s="3">
        <v>15.62078556382358</v>
      </c>
      <c r="AQ651" s="3">
        <v>15.85641908153289</v>
      </c>
      <c r="AR651" s="3">
        <v>16.42505042583246</v>
      </c>
      <c r="AS651" s="3">
        <v>17.006861018307031</v>
      </c>
      <c r="AT651" s="3">
        <v>17.601305188744838</v>
      </c>
      <c r="AU651" s="3">
        <v>18.208461517083439</v>
      </c>
      <c r="AV651" s="3">
        <v>18.827472208036429</v>
      </c>
      <c r="AW651" s="3">
        <v>19.45897175722304</v>
      </c>
      <c r="AX651" s="3">
        <v>20.101032002966338</v>
      </c>
      <c r="AY651" s="3">
        <v>20.752872440945779</v>
      </c>
      <c r="AZ651" s="3">
        <v>21.41362259964658</v>
      </c>
      <c r="BA651" s="3">
        <v>21.276906771666521</v>
      </c>
      <c r="BC651" s="17" t="s">
        <v>4080</v>
      </c>
      <c r="BD651" s="3">
        <v>16.237641288138779</v>
      </c>
      <c r="BE651" s="3">
        <v>16.144657482175649</v>
      </c>
      <c r="BF651" s="3">
        <v>15.257395019513091</v>
      </c>
      <c r="BG651" s="3">
        <v>10.77945026503923</v>
      </c>
      <c r="BH651" s="3">
        <v>12.22102773613082</v>
      </c>
      <c r="BI651" s="3">
        <v>12.60838930800907</v>
      </c>
      <c r="BJ651" s="3">
        <v>13.690265913629821</v>
      </c>
      <c r="BK651" s="3">
        <v>14.69842845396078</v>
      </c>
      <c r="BL651" s="3">
        <v>15.62078556382359</v>
      </c>
      <c r="BM651" s="3">
        <v>15.85641908153289</v>
      </c>
      <c r="BN651" s="3">
        <v>16.42505042583247</v>
      </c>
      <c r="BO651" s="3">
        <v>17.006861018307031</v>
      </c>
      <c r="BP651" s="3">
        <v>17.601305188744838</v>
      </c>
      <c r="BQ651" s="3">
        <v>18.208461517083439</v>
      </c>
      <c r="BR651" s="3">
        <v>18.827472208036419</v>
      </c>
      <c r="BS651" s="3">
        <v>19.45897175722304</v>
      </c>
      <c r="BT651" s="3">
        <v>20.101032002966338</v>
      </c>
      <c r="BU651" s="3">
        <v>20.752872440945779</v>
      </c>
      <c r="BV651" s="3">
        <v>21.41362259964658</v>
      </c>
      <c r="BW651" s="3">
        <v>21.276906771666521</v>
      </c>
      <c r="BY651" s="17" t="s">
        <v>4081</v>
      </c>
      <c r="BZ651" s="3">
        <v>16.237641288138779</v>
      </c>
      <c r="CA651" s="3">
        <v>16.144657482175649</v>
      </c>
      <c r="CB651" s="3">
        <v>15.257395019513091</v>
      </c>
      <c r="CC651" s="3">
        <v>10.77945026503923</v>
      </c>
      <c r="CD651" s="3">
        <v>12.22102773613082</v>
      </c>
      <c r="CE651" s="3">
        <v>12.60838930800907</v>
      </c>
      <c r="CF651" s="3">
        <v>13.690265913629821</v>
      </c>
      <c r="CG651" s="3">
        <v>14.69842845396078</v>
      </c>
      <c r="CH651" s="3">
        <v>15.62078556382358</v>
      </c>
      <c r="CI651" s="3">
        <v>15.85641908153289</v>
      </c>
      <c r="CJ651" s="3">
        <v>16.42505042583246</v>
      </c>
      <c r="CK651" s="3">
        <v>17.006861018307031</v>
      </c>
      <c r="CL651" s="3">
        <v>17.601305188744838</v>
      </c>
      <c r="CM651" s="3">
        <v>18.208461517083439</v>
      </c>
      <c r="CN651" s="3">
        <v>18.827472208036429</v>
      </c>
      <c r="CO651" s="3">
        <v>19.45897175722304</v>
      </c>
      <c r="CP651" s="3">
        <v>20.101032002966338</v>
      </c>
      <c r="CQ651" s="3">
        <v>20.752872440945779</v>
      </c>
      <c r="CR651" s="3">
        <v>21.41362259964658</v>
      </c>
      <c r="CS651" s="3">
        <v>21.276906771666521</v>
      </c>
      <c r="CU651" s="17" t="s">
        <v>4082</v>
      </c>
      <c r="CV651" s="3">
        <v>16.237641288138779</v>
      </c>
      <c r="CW651" s="3">
        <v>16.144657482175649</v>
      </c>
      <c r="CX651" s="3">
        <v>15.257395019513091</v>
      </c>
      <c r="CY651" s="3">
        <v>10.77945026503923</v>
      </c>
      <c r="CZ651" s="3">
        <v>12.22102773613082</v>
      </c>
      <c r="DA651" s="3">
        <v>12.60838930800907</v>
      </c>
      <c r="DB651" s="3">
        <v>13.690265913629821</v>
      </c>
      <c r="DC651" s="3">
        <v>14.69842845396078</v>
      </c>
      <c r="DD651" s="3">
        <v>15.62078556382358</v>
      </c>
      <c r="DE651" s="3">
        <v>15.85641908153289</v>
      </c>
      <c r="DF651" s="3">
        <v>16.42505042583247</v>
      </c>
      <c r="DG651" s="3">
        <v>17.006861018307031</v>
      </c>
      <c r="DH651" s="3">
        <v>17.601305188744838</v>
      </c>
      <c r="DI651" s="3">
        <v>18.208461517083439</v>
      </c>
      <c r="DJ651" s="3">
        <v>18.827472208036419</v>
      </c>
      <c r="DK651" s="3">
        <v>19.45897175722304</v>
      </c>
      <c r="DL651" s="3">
        <v>20.101032002966338</v>
      </c>
      <c r="DM651" s="3">
        <v>20.752872440945779</v>
      </c>
      <c r="DN651" s="3">
        <v>21.41362259964658</v>
      </c>
      <c r="DO651" s="3">
        <v>21.276906771666521</v>
      </c>
    </row>
    <row r="652" spans="1:119" x14ac:dyDescent="0.45">
      <c r="A652" s="16" t="s">
        <v>1297</v>
      </c>
      <c r="B652" s="3" t="s">
        <v>89</v>
      </c>
      <c r="C652" s="16" t="s">
        <v>4083</v>
      </c>
      <c r="H652" s="3" t="s">
        <v>1299</v>
      </c>
      <c r="I652" s="3" t="s">
        <v>1300</v>
      </c>
      <c r="K652" s="17" t="s">
        <v>1301</v>
      </c>
      <c r="L652" s="3">
        <v>4.2162368812145211E-2</v>
      </c>
      <c r="M652" s="3">
        <v>4.1729596050472773E-2</v>
      </c>
      <c r="N652" s="3">
        <v>3.9253348820689822E-2</v>
      </c>
      <c r="O652" s="3">
        <v>2.760201519464342E-2</v>
      </c>
      <c r="P652" s="3">
        <v>3.1143383406748451E-2</v>
      </c>
      <c r="Q652" s="3">
        <v>3.1973981064677783E-2</v>
      </c>
      <c r="R652" s="3">
        <v>3.4545563187021379E-2</v>
      </c>
      <c r="S652" s="3">
        <v>3.6902679112096749E-2</v>
      </c>
      <c r="T652" s="3">
        <v>3.9017442831679933E-2</v>
      </c>
      <c r="U652" s="3">
        <v>3.9399554809247443E-2</v>
      </c>
      <c r="V652" s="3">
        <v>4.0596020225865961E-2</v>
      </c>
      <c r="W652" s="3">
        <v>4.1807159231561378E-2</v>
      </c>
      <c r="X652" s="3">
        <v>4.3030776948971262E-2</v>
      </c>
      <c r="Y652" s="3">
        <v>4.4266204635792242E-2</v>
      </c>
      <c r="Z652" s="3">
        <v>4.5510484347132348E-2</v>
      </c>
      <c r="AA652" s="3">
        <v>4.6764270369645602E-2</v>
      </c>
      <c r="AB652" s="3">
        <v>4.802203674844796E-2</v>
      </c>
      <c r="AC652" s="3">
        <v>4.928107033080896E-2</v>
      </c>
      <c r="AD652" s="3">
        <v>5.0538469114820163E-2</v>
      </c>
      <c r="AE652" s="3">
        <v>4.9902155233855508E-2</v>
      </c>
      <c r="AG652" s="17" t="s">
        <v>1302</v>
      </c>
      <c r="AH652" s="3">
        <v>4.2162368812145211E-2</v>
      </c>
      <c r="AI652" s="3">
        <v>4.1729596050472773E-2</v>
      </c>
      <c r="AJ652" s="3">
        <v>3.9253348820689822E-2</v>
      </c>
      <c r="AK652" s="3">
        <v>2.760201519464342E-2</v>
      </c>
      <c r="AL652" s="3">
        <v>3.1143383406748451E-2</v>
      </c>
      <c r="AM652" s="3">
        <v>3.1973981064677789E-2</v>
      </c>
      <c r="AN652" s="3">
        <v>3.4545563187021372E-2</v>
      </c>
      <c r="AO652" s="3">
        <v>3.6902679112096749E-2</v>
      </c>
      <c r="AP652" s="3">
        <v>3.9017442831679933E-2</v>
      </c>
      <c r="AQ652" s="3">
        <v>3.9399554809247443E-2</v>
      </c>
      <c r="AR652" s="3">
        <v>4.0596020225865961E-2</v>
      </c>
      <c r="AS652" s="3">
        <v>4.1807159231561378E-2</v>
      </c>
      <c r="AT652" s="3">
        <v>4.3030776948971262E-2</v>
      </c>
      <c r="AU652" s="3">
        <v>4.4266204635792242E-2</v>
      </c>
      <c r="AV652" s="3">
        <v>4.5510484347132348E-2</v>
      </c>
      <c r="AW652" s="3">
        <v>4.6764270369645602E-2</v>
      </c>
      <c r="AX652" s="3">
        <v>4.802203674844796E-2</v>
      </c>
      <c r="AY652" s="3">
        <v>4.928107033080896E-2</v>
      </c>
      <c r="AZ652" s="3">
        <v>5.0538469114820163E-2</v>
      </c>
      <c r="BA652" s="3">
        <v>4.9902155233855508E-2</v>
      </c>
      <c r="BC652" s="17" t="s">
        <v>1303</v>
      </c>
      <c r="BD652" s="3">
        <v>4.2162368812145211E-2</v>
      </c>
      <c r="BE652" s="3">
        <v>4.1729596050472773E-2</v>
      </c>
      <c r="BF652" s="3">
        <v>3.9253348820689822E-2</v>
      </c>
      <c r="BG652" s="3">
        <v>2.760201519464342E-2</v>
      </c>
      <c r="BH652" s="3">
        <v>3.1143383406748451E-2</v>
      </c>
      <c r="BI652" s="3">
        <v>3.1973981064677783E-2</v>
      </c>
      <c r="BJ652" s="3">
        <v>3.4545563187021379E-2</v>
      </c>
      <c r="BK652" s="3">
        <v>3.6902679112096749E-2</v>
      </c>
      <c r="BL652" s="3">
        <v>3.9017442831679933E-2</v>
      </c>
      <c r="BM652" s="3">
        <v>3.9399554809247443E-2</v>
      </c>
      <c r="BN652" s="3">
        <v>4.0596020225865961E-2</v>
      </c>
      <c r="BO652" s="3">
        <v>4.1807159231561378E-2</v>
      </c>
      <c r="BP652" s="3">
        <v>4.3030776948971262E-2</v>
      </c>
      <c r="BQ652" s="3">
        <v>4.4266204635792242E-2</v>
      </c>
      <c r="BR652" s="3">
        <v>4.5510484347132348E-2</v>
      </c>
      <c r="BS652" s="3">
        <v>4.6764270369645602E-2</v>
      </c>
      <c r="BT652" s="3">
        <v>4.802203674844796E-2</v>
      </c>
      <c r="BU652" s="3">
        <v>4.928107033080896E-2</v>
      </c>
      <c r="BV652" s="3">
        <v>5.0538469114820163E-2</v>
      </c>
      <c r="BW652" s="3">
        <v>4.9902155233855508E-2</v>
      </c>
      <c r="BY652" s="17" t="s">
        <v>1304</v>
      </c>
      <c r="BZ652" s="3">
        <v>4.2162368812145211E-2</v>
      </c>
      <c r="CA652" s="3">
        <v>4.1729596050472773E-2</v>
      </c>
      <c r="CB652" s="3">
        <v>3.9253348820689822E-2</v>
      </c>
      <c r="CC652" s="3">
        <v>2.760201519464342E-2</v>
      </c>
      <c r="CD652" s="3">
        <v>3.1143383406748451E-2</v>
      </c>
      <c r="CE652" s="3">
        <v>3.1973981064677783E-2</v>
      </c>
      <c r="CF652" s="3">
        <v>3.4545563187021379E-2</v>
      </c>
      <c r="CG652" s="3">
        <v>3.6902679112096749E-2</v>
      </c>
      <c r="CH652" s="3">
        <v>3.9017442831679933E-2</v>
      </c>
      <c r="CI652" s="3">
        <v>3.9399554809247443E-2</v>
      </c>
      <c r="CJ652" s="3">
        <v>4.0596020225865961E-2</v>
      </c>
      <c r="CK652" s="3">
        <v>4.1807159231561378E-2</v>
      </c>
      <c r="CL652" s="3">
        <v>4.3030776948971262E-2</v>
      </c>
      <c r="CM652" s="3">
        <v>4.4266204635792242E-2</v>
      </c>
      <c r="CN652" s="3">
        <v>4.5510484347132348E-2</v>
      </c>
      <c r="CO652" s="3">
        <v>4.6764270369645602E-2</v>
      </c>
      <c r="CP652" s="3">
        <v>4.802203674844796E-2</v>
      </c>
      <c r="CQ652" s="3">
        <v>4.928107033080896E-2</v>
      </c>
      <c r="CR652" s="3">
        <v>5.0538469114820163E-2</v>
      </c>
      <c r="CS652" s="3">
        <v>4.9902155233855508E-2</v>
      </c>
      <c r="CU652" s="17" t="s">
        <v>1305</v>
      </c>
      <c r="CV652" s="3">
        <v>4.2162368812145211E-2</v>
      </c>
      <c r="CW652" s="3">
        <v>4.1729596050472773E-2</v>
      </c>
      <c r="CX652" s="3">
        <v>3.9253348820689822E-2</v>
      </c>
      <c r="CY652" s="3">
        <v>2.760201519464342E-2</v>
      </c>
      <c r="CZ652" s="3">
        <v>3.1143383406748451E-2</v>
      </c>
      <c r="DA652" s="3">
        <v>3.1973981064677789E-2</v>
      </c>
      <c r="DB652" s="3">
        <v>3.4545563187021372E-2</v>
      </c>
      <c r="DC652" s="3">
        <v>3.6902679112096749E-2</v>
      </c>
      <c r="DD652" s="3">
        <v>3.9017442831679933E-2</v>
      </c>
      <c r="DE652" s="3">
        <v>3.9399554809247443E-2</v>
      </c>
      <c r="DF652" s="3">
        <v>4.0596020225865961E-2</v>
      </c>
      <c r="DG652" s="3">
        <v>4.1807159231561378E-2</v>
      </c>
      <c r="DH652" s="3">
        <v>4.3030776948971262E-2</v>
      </c>
      <c r="DI652" s="3">
        <v>4.4266204635792242E-2</v>
      </c>
      <c r="DJ652" s="3">
        <v>4.5510484347132348E-2</v>
      </c>
      <c r="DK652" s="3">
        <v>4.6764270369645602E-2</v>
      </c>
      <c r="DL652" s="3">
        <v>4.8022036748447967E-2</v>
      </c>
      <c r="DM652" s="3">
        <v>4.928107033080896E-2</v>
      </c>
      <c r="DN652" s="3">
        <v>5.0538469114820163E-2</v>
      </c>
      <c r="DO652" s="3">
        <v>4.9902155233855508E-2</v>
      </c>
    </row>
    <row r="653" spans="1:119" x14ac:dyDescent="0.45">
      <c r="A653" s="16" t="s">
        <v>1398</v>
      </c>
      <c r="B653" s="3" t="s">
        <v>89</v>
      </c>
      <c r="C653" s="16" t="s">
        <v>4084</v>
      </c>
      <c r="H653" s="3" t="s">
        <v>1400</v>
      </c>
      <c r="I653" s="3" t="s">
        <v>1300</v>
      </c>
      <c r="K653" s="17" t="s">
        <v>1401</v>
      </c>
      <c r="L653" s="3">
        <v>0.16332588324952849</v>
      </c>
      <c r="M653" s="3">
        <v>0.16501117985656499</v>
      </c>
      <c r="N653" s="3">
        <v>0.15741876745838451</v>
      </c>
      <c r="O653" s="3">
        <v>0.1118562136053213</v>
      </c>
      <c r="P653" s="3">
        <v>0.12754919577670351</v>
      </c>
      <c r="Q653" s="3">
        <v>0.1323545440775214</v>
      </c>
      <c r="R653" s="3">
        <v>0.14454439132898231</v>
      </c>
      <c r="S653" s="3">
        <v>0.15609665963835481</v>
      </c>
      <c r="T653" s="3">
        <v>0.16687211163508611</v>
      </c>
      <c r="U653" s="3">
        <v>0.170396884803349</v>
      </c>
      <c r="V653" s="3">
        <v>0.17756451047771929</v>
      </c>
      <c r="W653" s="3">
        <v>0.18496263106816341</v>
      </c>
      <c r="X653" s="3">
        <v>0.19258954766804259</v>
      </c>
      <c r="Y653" s="3">
        <v>0.20045039525316599</v>
      </c>
      <c r="Z653" s="3">
        <v>0.2085400666196191</v>
      </c>
      <c r="AA653" s="3">
        <v>0.21686996265631581</v>
      </c>
      <c r="AB653" s="3">
        <v>0.22542303260610161</v>
      </c>
      <c r="AC653" s="3">
        <v>0.234194751584584</v>
      </c>
      <c r="AD653" s="3">
        <v>0.2431794610151761</v>
      </c>
      <c r="AE653" s="3">
        <v>0.24316555211844129</v>
      </c>
      <c r="AG653" s="17" t="s">
        <v>1402</v>
      </c>
      <c r="AH653" s="3">
        <v>0.16332588324952849</v>
      </c>
      <c r="AI653" s="3">
        <v>0.16501117985656499</v>
      </c>
      <c r="AJ653" s="3">
        <v>0.15741876745838451</v>
      </c>
      <c r="AK653" s="3">
        <v>0.1118562136053213</v>
      </c>
      <c r="AL653" s="3">
        <v>0.12754919577670351</v>
      </c>
      <c r="AM653" s="3">
        <v>0.131495148201768</v>
      </c>
      <c r="AN653" s="3">
        <v>0.1436048185253834</v>
      </c>
      <c r="AO653" s="3">
        <v>0.1550803478065354</v>
      </c>
      <c r="AP653" s="3">
        <v>0.16578539206834669</v>
      </c>
      <c r="AQ653" s="3">
        <v>0.16928560795705341</v>
      </c>
      <c r="AR653" s="3">
        <v>0.17640547655210889</v>
      </c>
      <c r="AS653" s="3">
        <v>0.1837531053027382</v>
      </c>
      <c r="AT653" s="3">
        <v>0.1913273048486521</v>
      </c>
      <c r="AU653" s="3">
        <v>0.1991339544037932</v>
      </c>
      <c r="AV653" s="3">
        <v>0.2071674685959245</v>
      </c>
      <c r="AW653" s="3">
        <v>0.21543880266672011</v>
      </c>
      <c r="AX653" s="3">
        <v>0.22393214252572419</v>
      </c>
      <c r="AY653" s="3">
        <v>0.23264275920937549</v>
      </c>
      <c r="AZ653" s="3">
        <v>0.241565478440321</v>
      </c>
      <c r="BA653" s="3">
        <v>0.241549412783965</v>
      </c>
      <c r="BC653" s="17" t="s">
        <v>1403</v>
      </c>
      <c r="BD653" s="3">
        <v>0.16332588324952849</v>
      </c>
      <c r="BE653" s="3">
        <v>0.16501117985656499</v>
      </c>
      <c r="BF653" s="3">
        <v>0.15741876745838451</v>
      </c>
      <c r="BG653" s="3">
        <v>0.1118562136053213</v>
      </c>
      <c r="BH653" s="3">
        <v>0.12754919577670351</v>
      </c>
      <c r="BI653" s="3">
        <v>0.1324802113480113</v>
      </c>
      <c r="BJ653" s="3">
        <v>0.14471134882660011</v>
      </c>
      <c r="BK653" s="3">
        <v>0.15619923240650571</v>
      </c>
      <c r="BL653" s="3">
        <v>0.1668338727614164</v>
      </c>
      <c r="BM653" s="3">
        <v>0.16965742963948341</v>
      </c>
      <c r="BN653" s="3">
        <v>0.1761570929444585</v>
      </c>
      <c r="BO653" s="3">
        <v>0.18291002012257851</v>
      </c>
      <c r="BP653" s="3">
        <v>0.1899063067221593</v>
      </c>
      <c r="BQ653" s="3">
        <v>0.1971452625595001</v>
      </c>
      <c r="BR653" s="3">
        <v>0.20461718499534229</v>
      </c>
      <c r="BS653" s="3">
        <v>0.21232929765282069</v>
      </c>
      <c r="BT653" s="3">
        <v>0.2202621953271095</v>
      </c>
      <c r="BU653" s="3">
        <v>0.22840925512680729</v>
      </c>
      <c r="BV653" s="3">
        <v>0.2367634759703918</v>
      </c>
      <c r="BW653" s="3">
        <v>0.23636919625717251</v>
      </c>
      <c r="BY653" s="17" t="s">
        <v>1404</v>
      </c>
      <c r="BZ653" s="3">
        <v>0.16332588324952849</v>
      </c>
      <c r="CA653" s="3">
        <v>0.16501117985656499</v>
      </c>
      <c r="CB653" s="3">
        <v>0.15741876745838451</v>
      </c>
      <c r="CC653" s="3">
        <v>0.1118562136053213</v>
      </c>
      <c r="CD653" s="3">
        <v>0.12754919577670351</v>
      </c>
      <c r="CE653" s="3">
        <v>0.13131166316507931</v>
      </c>
      <c r="CF653" s="3">
        <v>0.14340421037538251</v>
      </c>
      <c r="CG653" s="3">
        <v>0.1548635176459337</v>
      </c>
      <c r="CH653" s="3">
        <v>0.1655532164448125</v>
      </c>
      <c r="CI653" s="3">
        <v>0.16904799715135321</v>
      </c>
      <c r="CJ653" s="3">
        <v>0.1761575964415043</v>
      </c>
      <c r="CK653" s="3">
        <v>0.18349447768828711</v>
      </c>
      <c r="CL653" s="3">
        <v>0.19105806132647671</v>
      </c>
      <c r="CM653" s="3">
        <v>0.1988536666241193</v>
      </c>
      <c r="CN653" s="3">
        <v>0.20687581228092641</v>
      </c>
      <c r="CO653" s="3">
        <v>0.2151355781475103</v>
      </c>
      <c r="CP653" s="3">
        <v>0.22361697968461261</v>
      </c>
      <c r="CQ653" s="3">
        <v>0.23231513941336571</v>
      </c>
      <c r="CR653" s="3">
        <v>0.24122491556761719</v>
      </c>
      <c r="CS653" s="3">
        <v>0.24120820671929061</v>
      </c>
      <c r="CU653" s="17" t="s">
        <v>1405</v>
      </c>
      <c r="CV653" s="3">
        <v>0.16332588324952849</v>
      </c>
      <c r="CW653" s="3">
        <v>0.16501117985656499</v>
      </c>
      <c r="CX653" s="3">
        <v>0.15741876745838451</v>
      </c>
      <c r="CY653" s="3">
        <v>0.1118562136053213</v>
      </c>
      <c r="CZ653" s="3">
        <v>0.12754919577670351</v>
      </c>
      <c r="DA653" s="3">
        <v>0.13052809350873909</v>
      </c>
      <c r="DB653" s="3">
        <v>0.1425474925188997</v>
      </c>
      <c r="DC653" s="3">
        <v>0.15393663142204991</v>
      </c>
      <c r="DD653" s="3">
        <v>0.16456229483800211</v>
      </c>
      <c r="DE653" s="3">
        <v>0.16803467828613211</v>
      </c>
      <c r="DF653" s="3">
        <v>0.17510072307165431</v>
      </c>
      <c r="DG653" s="3">
        <v>0.18239136574645071</v>
      </c>
      <c r="DH653" s="3">
        <v>0.1899062841926524</v>
      </c>
      <c r="DI653" s="3">
        <v>0.19765189490834911</v>
      </c>
      <c r="DJ653" s="3">
        <v>0.2056222009220878</v>
      </c>
      <c r="DK653" s="3">
        <v>0.21382766494270231</v>
      </c>
      <c r="DL653" s="3">
        <v>0.2222537998525185</v>
      </c>
      <c r="DM653" s="3">
        <v>0.23089555572827741</v>
      </c>
      <c r="DN653" s="3">
        <v>0.23974832123178641</v>
      </c>
      <c r="DO653" s="3">
        <v>0.23972958179976109</v>
      </c>
    </row>
    <row r="654" spans="1:119" x14ac:dyDescent="0.45">
      <c r="A654" s="11"/>
      <c r="B654" s="3" t="s">
        <v>4033</v>
      </c>
      <c r="C654" s="16" t="s">
        <v>4085</v>
      </c>
      <c r="H654" s="11" t="s">
        <v>4086</v>
      </c>
      <c r="I654" s="11" t="s">
        <v>4087</v>
      </c>
    </row>
    <row r="655" spans="1:119" x14ac:dyDescent="0.45">
      <c r="A655" s="11"/>
      <c r="B655" s="3" t="s">
        <v>4033</v>
      </c>
      <c r="C655" s="16" t="s">
        <v>4088</v>
      </c>
      <c r="H655" s="11" t="s">
        <v>4089</v>
      </c>
      <c r="I655" s="11" t="s">
        <v>4087</v>
      </c>
    </row>
    <row r="656" spans="1:119" x14ac:dyDescent="0.45">
      <c r="A656" s="16" t="s">
        <v>1742</v>
      </c>
      <c r="B656" s="3" t="s">
        <v>89</v>
      </c>
      <c r="C656" s="16" t="s">
        <v>1743</v>
      </c>
      <c r="H656" s="3" t="s">
        <v>1744</v>
      </c>
      <c r="I656" s="3" t="s">
        <v>1300</v>
      </c>
      <c r="K656" s="17" t="s">
        <v>1745</v>
      </c>
      <c r="L656" s="3">
        <v>31.71236851198692</v>
      </c>
      <c r="M656" s="3">
        <v>31.71236851198692</v>
      </c>
      <c r="N656" s="3">
        <v>30.143157850809231</v>
      </c>
      <c r="O656" s="3">
        <v>21.420423727816789</v>
      </c>
      <c r="P656" s="3">
        <v>24.427386565277899</v>
      </c>
      <c r="Q656" s="3">
        <v>25.350214219817811</v>
      </c>
      <c r="R656" s="3">
        <v>27.688647932439039</v>
      </c>
      <c r="S656" s="3">
        <v>29.90500525950285</v>
      </c>
      <c r="T656" s="3">
        <v>31.972339938960399</v>
      </c>
      <c r="U656" s="3">
        <v>32.650578445672132</v>
      </c>
      <c r="V656" s="3">
        <v>34.026910599552679</v>
      </c>
      <c r="W656" s="3">
        <v>35.447534989837422</v>
      </c>
      <c r="X656" s="3">
        <v>36.912124333991393</v>
      </c>
      <c r="Y656" s="3">
        <v>38.421660479619547</v>
      </c>
      <c r="Z656" s="3">
        <v>39.975161579116929</v>
      </c>
      <c r="AA656" s="3">
        <v>41.57480951605023</v>
      </c>
      <c r="AB656" s="3">
        <v>43.217331465069357</v>
      </c>
      <c r="AC656" s="3">
        <v>44.901854672747668</v>
      </c>
      <c r="AD656" s="3">
        <v>46.627288197301773</v>
      </c>
      <c r="AE656" s="3">
        <v>46.627288197301773</v>
      </c>
      <c r="AG656" s="17" t="s">
        <v>1746</v>
      </c>
      <c r="AH656" s="3">
        <v>31.71236851198692</v>
      </c>
      <c r="AI656" s="3">
        <v>31.71236851198692</v>
      </c>
      <c r="AJ656" s="3">
        <v>30.143157850809231</v>
      </c>
      <c r="AK656" s="3">
        <v>21.420423727816789</v>
      </c>
      <c r="AL656" s="3">
        <v>24.427386565277899</v>
      </c>
      <c r="AM656" s="3">
        <v>25.350214219817811</v>
      </c>
      <c r="AN656" s="3">
        <v>27.688647932439039</v>
      </c>
      <c r="AO656" s="3">
        <v>29.90500525950285</v>
      </c>
      <c r="AP656" s="3">
        <v>31.972339938960399</v>
      </c>
      <c r="AQ656" s="3">
        <v>32.650578445672132</v>
      </c>
      <c r="AR656" s="3">
        <v>34.026910599552679</v>
      </c>
      <c r="AS656" s="3">
        <v>35.447534989837422</v>
      </c>
      <c r="AT656" s="3">
        <v>36.912124333991393</v>
      </c>
      <c r="AU656" s="3">
        <v>38.421660479619547</v>
      </c>
      <c r="AV656" s="3">
        <v>39.975161579116929</v>
      </c>
      <c r="AW656" s="3">
        <v>41.57480951605023</v>
      </c>
      <c r="AX656" s="3">
        <v>43.217331465069357</v>
      </c>
      <c r="AY656" s="3">
        <v>44.901854672747668</v>
      </c>
      <c r="AZ656" s="3">
        <v>46.627288197301773</v>
      </c>
      <c r="BA656" s="3">
        <v>46.627288197301773</v>
      </c>
      <c r="BC656" s="17" t="s">
        <v>1747</v>
      </c>
      <c r="BD656" s="3">
        <v>31.71236851198692</v>
      </c>
      <c r="BE656" s="3">
        <v>31.71236851198692</v>
      </c>
      <c r="BF656" s="3">
        <v>30.143157850809231</v>
      </c>
      <c r="BG656" s="3">
        <v>21.420423727816789</v>
      </c>
      <c r="BH656" s="3">
        <v>24.427386565277899</v>
      </c>
      <c r="BI656" s="3">
        <v>25.350214219817811</v>
      </c>
      <c r="BJ656" s="3">
        <v>27.688647932439039</v>
      </c>
      <c r="BK656" s="3">
        <v>29.90500525950285</v>
      </c>
      <c r="BL656" s="3">
        <v>31.972339938960399</v>
      </c>
      <c r="BM656" s="3">
        <v>32.650578445672132</v>
      </c>
      <c r="BN656" s="3">
        <v>34.026910599552679</v>
      </c>
      <c r="BO656" s="3">
        <v>35.447534989837422</v>
      </c>
      <c r="BP656" s="3">
        <v>36.912124333991393</v>
      </c>
      <c r="BQ656" s="3">
        <v>38.421660479619547</v>
      </c>
      <c r="BR656" s="3">
        <v>39.975161579116929</v>
      </c>
      <c r="BS656" s="3">
        <v>41.57480951605023</v>
      </c>
      <c r="BT656" s="3">
        <v>43.217331465069357</v>
      </c>
      <c r="BU656" s="3">
        <v>44.901854672747668</v>
      </c>
      <c r="BV656" s="3">
        <v>46.627288197301759</v>
      </c>
      <c r="BW656" s="3">
        <v>46.627288197301773</v>
      </c>
      <c r="BY656" s="17" t="s">
        <v>1748</v>
      </c>
      <c r="BZ656" s="3">
        <v>31.71236851198692</v>
      </c>
      <c r="CA656" s="3">
        <v>31.71236851198692</v>
      </c>
      <c r="CB656" s="3">
        <v>30.143157850809231</v>
      </c>
      <c r="CC656" s="3">
        <v>21.420423727816789</v>
      </c>
      <c r="CD656" s="3">
        <v>24.427386565277899</v>
      </c>
      <c r="CE656" s="3">
        <v>25.350214219817811</v>
      </c>
      <c r="CF656" s="3">
        <v>27.688647932439039</v>
      </c>
      <c r="CG656" s="3">
        <v>29.90500525950285</v>
      </c>
      <c r="CH656" s="3">
        <v>31.972339938960388</v>
      </c>
      <c r="CI656" s="3">
        <v>32.650578445672132</v>
      </c>
      <c r="CJ656" s="3">
        <v>34.026910599552679</v>
      </c>
      <c r="CK656" s="3">
        <v>35.447534989837422</v>
      </c>
      <c r="CL656" s="3">
        <v>36.912124333991393</v>
      </c>
      <c r="CM656" s="3">
        <v>38.421660479619547</v>
      </c>
      <c r="CN656" s="3">
        <v>39.975161579116929</v>
      </c>
      <c r="CO656" s="3">
        <v>41.57480951605023</v>
      </c>
      <c r="CP656" s="3">
        <v>43.217331465069357</v>
      </c>
      <c r="CQ656" s="3">
        <v>44.901854672747668</v>
      </c>
      <c r="CR656" s="3">
        <v>46.627288197301773</v>
      </c>
      <c r="CS656" s="3">
        <v>46.627288197301773</v>
      </c>
      <c r="CU656" s="17" t="s">
        <v>1749</v>
      </c>
      <c r="CV656" s="3">
        <v>31.71236851198692</v>
      </c>
      <c r="CW656" s="3">
        <v>31.71236851198692</v>
      </c>
      <c r="CX656" s="3">
        <v>30.143157850809231</v>
      </c>
      <c r="CY656" s="3">
        <v>21.420423727816789</v>
      </c>
      <c r="CZ656" s="3">
        <v>24.427386565277899</v>
      </c>
      <c r="DA656" s="3">
        <v>25.350214219817818</v>
      </c>
      <c r="DB656" s="3">
        <v>27.688647932439039</v>
      </c>
      <c r="DC656" s="3">
        <v>29.90500525950285</v>
      </c>
      <c r="DD656" s="3">
        <v>31.972339938960399</v>
      </c>
      <c r="DE656" s="3">
        <v>32.650578445672132</v>
      </c>
      <c r="DF656" s="3">
        <v>34.026910599552679</v>
      </c>
      <c r="DG656" s="3">
        <v>35.447534989837422</v>
      </c>
      <c r="DH656" s="3">
        <v>36.912124333991393</v>
      </c>
      <c r="DI656" s="3">
        <v>38.421660479619547</v>
      </c>
      <c r="DJ656" s="3">
        <v>39.975161579116929</v>
      </c>
      <c r="DK656" s="3">
        <v>41.57480951605023</v>
      </c>
      <c r="DL656" s="3">
        <v>43.217331465069357</v>
      </c>
      <c r="DM656" s="3">
        <v>44.901854672747668</v>
      </c>
      <c r="DN656" s="3">
        <v>46.627288197301773</v>
      </c>
      <c r="DO656" s="3">
        <v>46.627288197301773</v>
      </c>
    </row>
    <row r="657" spans="1:119" x14ac:dyDescent="0.45">
      <c r="A657" s="16" t="s">
        <v>1982</v>
      </c>
      <c r="B657" s="3" t="s">
        <v>89</v>
      </c>
      <c r="C657" s="16" t="s">
        <v>1983</v>
      </c>
      <c r="H657" s="3" t="s">
        <v>1984</v>
      </c>
      <c r="I657" s="3" t="s">
        <v>1300</v>
      </c>
      <c r="K657" s="17" t="s">
        <v>1985</v>
      </c>
      <c r="L657" s="3">
        <v>2.5409816468629252E-2</v>
      </c>
      <c r="M657" s="3">
        <v>2.5409816468629252E-2</v>
      </c>
      <c r="N657" s="3">
        <v>2.415247251193078E-2</v>
      </c>
      <c r="O657" s="3">
        <v>1.7163304450071609E-2</v>
      </c>
      <c r="P657" s="3">
        <v>1.9572660086784599E-2</v>
      </c>
      <c r="Q657" s="3">
        <v>2.031208392783802E-2</v>
      </c>
      <c r="R657" s="3">
        <v>2.2185774675323521E-2</v>
      </c>
      <c r="S657" s="3">
        <v>2.3961650636411268E-2</v>
      </c>
      <c r="T657" s="3">
        <v>2.5618120879697961E-2</v>
      </c>
      <c r="U657" s="3">
        <v>2.6161565497244851E-2</v>
      </c>
      <c r="V657" s="3">
        <v>2.7264363839688381E-2</v>
      </c>
      <c r="W657" s="3">
        <v>2.8402651729296791E-2</v>
      </c>
      <c r="X657" s="3">
        <v>2.9576166928036839E-2</v>
      </c>
      <c r="Y657" s="3">
        <v>3.078569615000824E-2</v>
      </c>
      <c r="Z657" s="3">
        <v>3.2030452681111293E-2</v>
      </c>
      <c r="AA657" s="3">
        <v>3.3312184774900881E-2</v>
      </c>
      <c r="AB657" s="3">
        <v>3.4628270051044657E-2</v>
      </c>
      <c r="AC657" s="3">
        <v>3.5978009208120637E-2</v>
      </c>
      <c r="AD657" s="3">
        <v>3.7360528119351373E-2</v>
      </c>
      <c r="AE657" s="3">
        <v>3.7360528119351373E-2</v>
      </c>
      <c r="AG657" s="17" t="s">
        <v>1986</v>
      </c>
      <c r="AH657" s="3">
        <v>2.5409816468629252E-2</v>
      </c>
      <c r="AI657" s="3">
        <v>2.5409816468629252E-2</v>
      </c>
      <c r="AJ657" s="3">
        <v>2.415247251193078E-2</v>
      </c>
      <c r="AK657" s="3">
        <v>1.7163304450071609E-2</v>
      </c>
      <c r="AL657" s="3">
        <v>1.9572660086784599E-2</v>
      </c>
      <c r="AM657" s="3">
        <v>2.031208392783802E-2</v>
      </c>
      <c r="AN657" s="3">
        <v>2.2185774675323521E-2</v>
      </c>
      <c r="AO657" s="3">
        <v>2.3961650636411268E-2</v>
      </c>
      <c r="AP657" s="3">
        <v>2.5618120879697961E-2</v>
      </c>
      <c r="AQ657" s="3">
        <v>2.6161565497244851E-2</v>
      </c>
      <c r="AR657" s="3">
        <v>2.7264363839688392E-2</v>
      </c>
      <c r="AS657" s="3">
        <v>2.8402651729296801E-2</v>
      </c>
      <c r="AT657" s="3">
        <v>2.9576166928036839E-2</v>
      </c>
      <c r="AU657" s="3">
        <v>3.078569615000824E-2</v>
      </c>
      <c r="AV657" s="3">
        <v>3.2030452681111293E-2</v>
      </c>
      <c r="AW657" s="3">
        <v>3.3312184774900881E-2</v>
      </c>
      <c r="AX657" s="3">
        <v>3.4628270051044657E-2</v>
      </c>
      <c r="AY657" s="3">
        <v>3.5978009208120637E-2</v>
      </c>
      <c r="AZ657" s="3">
        <v>3.736052811935138E-2</v>
      </c>
      <c r="BA657" s="3">
        <v>3.7360528119351373E-2</v>
      </c>
      <c r="BC657" s="17" t="s">
        <v>1987</v>
      </c>
      <c r="BD657" s="3">
        <v>2.5409816468629252E-2</v>
      </c>
      <c r="BE657" s="3">
        <v>2.5409816468629252E-2</v>
      </c>
      <c r="BF657" s="3">
        <v>2.415247251193078E-2</v>
      </c>
      <c r="BG657" s="3">
        <v>1.7163304450071609E-2</v>
      </c>
      <c r="BH657" s="3">
        <v>1.9572660086784599E-2</v>
      </c>
      <c r="BI657" s="3">
        <v>2.031208392783802E-2</v>
      </c>
      <c r="BJ657" s="3">
        <v>2.2185774675323521E-2</v>
      </c>
      <c r="BK657" s="3">
        <v>2.3961650636411268E-2</v>
      </c>
      <c r="BL657" s="3">
        <v>2.5618120879697961E-2</v>
      </c>
      <c r="BM657" s="3">
        <v>2.6161565497244851E-2</v>
      </c>
      <c r="BN657" s="3">
        <v>2.7264363839688381E-2</v>
      </c>
      <c r="BO657" s="3">
        <v>2.8402651729296801E-2</v>
      </c>
      <c r="BP657" s="3">
        <v>2.9576166928036839E-2</v>
      </c>
      <c r="BQ657" s="3">
        <v>3.078569615000824E-2</v>
      </c>
      <c r="BR657" s="3">
        <v>3.2030452681111293E-2</v>
      </c>
      <c r="BS657" s="3">
        <v>3.3312184774900881E-2</v>
      </c>
      <c r="BT657" s="3">
        <v>3.4628270051044657E-2</v>
      </c>
      <c r="BU657" s="3">
        <v>3.5978009208120637E-2</v>
      </c>
      <c r="BV657" s="3">
        <v>3.736052811935138E-2</v>
      </c>
      <c r="BW657" s="3">
        <v>3.7360528119351373E-2</v>
      </c>
      <c r="BY657" s="17" t="s">
        <v>1988</v>
      </c>
      <c r="BZ657" s="3">
        <v>2.5409816468629252E-2</v>
      </c>
      <c r="CA657" s="3">
        <v>2.5409816468629252E-2</v>
      </c>
      <c r="CB657" s="3">
        <v>2.415247251193078E-2</v>
      </c>
      <c r="CC657" s="3">
        <v>1.7163304450071609E-2</v>
      </c>
      <c r="CD657" s="3">
        <v>1.9572660086784599E-2</v>
      </c>
      <c r="CE657" s="3">
        <v>2.031208392783802E-2</v>
      </c>
      <c r="CF657" s="3">
        <v>2.2185774675323521E-2</v>
      </c>
      <c r="CG657" s="3">
        <v>2.3961650636411268E-2</v>
      </c>
      <c r="CH657" s="3">
        <v>2.5618120879697961E-2</v>
      </c>
      <c r="CI657" s="3">
        <v>2.6161565497244851E-2</v>
      </c>
      <c r="CJ657" s="3">
        <v>2.7264363839688392E-2</v>
      </c>
      <c r="CK657" s="3">
        <v>2.8402651729296791E-2</v>
      </c>
      <c r="CL657" s="3">
        <v>2.9576166928036839E-2</v>
      </c>
      <c r="CM657" s="3">
        <v>3.078569615000825E-2</v>
      </c>
      <c r="CN657" s="3">
        <v>3.2030452681111293E-2</v>
      </c>
      <c r="CO657" s="3">
        <v>3.3312184774900881E-2</v>
      </c>
      <c r="CP657" s="3">
        <v>3.4628270051044657E-2</v>
      </c>
      <c r="CQ657" s="3">
        <v>3.5978009208120637E-2</v>
      </c>
      <c r="CR657" s="3">
        <v>3.736052811935138E-2</v>
      </c>
      <c r="CS657" s="3">
        <v>3.7360528119351373E-2</v>
      </c>
      <c r="CU657" s="17" t="s">
        <v>1989</v>
      </c>
      <c r="CV657" s="3">
        <v>2.5409816468629252E-2</v>
      </c>
      <c r="CW657" s="3">
        <v>2.5409816468629252E-2</v>
      </c>
      <c r="CX657" s="3">
        <v>2.415247251193078E-2</v>
      </c>
      <c r="CY657" s="3">
        <v>1.7163304450071609E-2</v>
      </c>
      <c r="CZ657" s="3">
        <v>1.9572660086784599E-2</v>
      </c>
      <c r="DA657" s="3">
        <v>2.031208392783802E-2</v>
      </c>
      <c r="DB657" s="3">
        <v>2.2185774675323521E-2</v>
      </c>
      <c r="DC657" s="3">
        <v>2.3961650636411268E-2</v>
      </c>
      <c r="DD657" s="3">
        <v>2.5618120879697961E-2</v>
      </c>
      <c r="DE657" s="3">
        <v>2.6161565497244851E-2</v>
      </c>
      <c r="DF657" s="3">
        <v>2.7264363839688381E-2</v>
      </c>
      <c r="DG657" s="3">
        <v>2.8402651729296801E-2</v>
      </c>
      <c r="DH657" s="3">
        <v>2.9576166928036839E-2</v>
      </c>
      <c r="DI657" s="3">
        <v>3.078569615000824E-2</v>
      </c>
      <c r="DJ657" s="3">
        <v>3.2030452681111293E-2</v>
      </c>
      <c r="DK657" s="3">
        <v>3.3312184774900881E-2</v>
      </c>
      <c r="DL657" s="3">
        <v>3.4628270051044657E-2</v>
      </c>
      <c r="DM657" s="3">
        <v>3.5978009208120637E-2</v>
      </c>
      <c r="DN657" s="3">
        <v>3.736052811935138E-2</v>
      </c>
      <c r="DO657" s="3">
        <v>3.7360528119351373E-2</v>
      </c>
    </row>
    <row r="658" spans="1:119" x14ac:dyDescent="0.45">
      <c r="A658" s="16" t="s">
        <v>1502</v>
      </c>
      <c r="B658" s="3" t="s">
        <v>89</v>
      </c>
      <c r="C658" s="16" t="s">
        <v>4090</v>
      </c>
      <c r="H658" s="3" t="s">
        <v>1504</v>
      </c>
      <c r="I658" s="3" t="s">
        <v>1300</v>
      </c>
      <c r="K658" s="17" t="s">
        <v>1505</v>
      </c>
      <c r="L658" s="3">
        <v>2.5947489421342582E-3</v>
      </c>
      <c r="M658" s="3">
        <v>2.6358959946603498E-3</v>
      </c>
      <c r="N658" s="3">
        <v>2.5039207121281882E-3</v>
      </c>
      <c r="O658" s="3">
        <v>1.7879907524908081E-3</v>
      </c>
      <c r="P658" s="3">
        <v>2.0484518771824748E-3</v>
      </c>
      <c r="Q658" s="3">
        <v>2.1368904599441889E-3</v>
      </c>
      <c r="R658" s="3">
        <v>2.3476445788704649E-3</v>
      </c>
      <c r="S658" s="3">
        <v>2.549384838783799E-3</v>
      </c>
      <c r="T658" s="3">
        <v>2.7392508309355928E-3</v>
      </c>
      <c r="U658" s="3">
        <v>2.811066259310453E-3</v>
      </c>
      <c r="V658" s="3">
        <v>2.9436772639288488E-3</v>
      </c>
      <c r="W658" s="3">
        <v>3.0811046742600929E-3</v>
      </c>
      <c r="X658" s="3">
        <v>3.2233545340557318E-3</v>
      </c>
      <c r="Y658" s="3">
        <v>3.370546162611949E-3</v>
      </c>
      <c r="Z658" s="3">
        <v>3.5226263729522551E-3</v>
      </c>
      <c r="AA658" s="3">
        <v>3.6798194409507321E-3</v>
      </c>
      <c r="AB658" s="3">
        <v>3.8418671204121812E-3</v>
      </c>
      <c r="AC658" s="3">
        <v>4.0087194200925562E-3</v>
      </c>
      <c r="AD658" s="3">
        <v>4.1803045504790089E-3</v>
      </c>
      <c r="AE658" s="3">
        <v>4.1976309676210006E-3</v>
      </c>
      <c r="AG658" s="17" t="s">
        <v>1506</v>
      </c>
      <c r="AH658" s="3">
        <v>2.5947489421342582E-3</v>
      </c>
      <c r="AI658" s="3">
        <v>2.6358959946603498E-3</v>
      </c>
      <c r="AJ658" s="3">
        <v>2.5039207121281882E-3</v>
      </c>
      <c r="AK658" s="3">
        <v>1.7879907524908081E-3</v>
      </c>
      <c r="AL658" s="3">
        <v>2.0484518771824748E-3</v>
      </c>
      <c r="AM658" s="3">
        <v>2.1237971562727831E-3</v>
      </c>
      <c r="AN658" s="3">
        <v>2.333316794708737E-3</v>
      </c>
      <c r="AO658" s="3">
        <v>2.534040388446201E-3</v>
      </c>
      <c r="AP658" s="3">
        <v>2.7224492813508112E-3</v>
      </c>
      <c r="AQ658" s="3">
        <v>2.7939521778879112E-3</v>
      </c>
      <c r="AR658" s="3">
        <v>2.925663026278088E-3</v>
      </c>
      <c r="AS658" s="3">
        <v>3.0625346617391891E-3</v>
      </c>
      <c r="AT658" s="3">
        <v>3.204403140880331E-3</v>
      </c>
      <c r="AU658" s="3">
        <v>3.3511232830722259E-3</v>
      </c>
      <c r="AV658" s="3">
        <v>3.502811741880774E-3</v>
      </c>
      <c r="AW658" s="3">
        <v>3.6598133146471378E-3</v>
      </c>
      <c r="AX658" s="3">
        <v>3.821491365601966E-3</v>
      </c>
      <c r="AY658" s="3">
        <v>3.9878725460382311E-3</v>
      </c>
      <c r="AZ658" s="3">
        <v>4.1587338317662006E-3</v>
      </c>
      <c r="BA658" s="3">
        <v>4.1760665100767456E-3</v>
      </c>
      <c r="BC658" s="17" t="s">
        <v>1507</v>
      </c>
      <c r="BD658" s="3">
        <v>2.5947489421342582E-3</v>
      </c>
      <c r="BE658" s="3">
        <v>2.6358959946603498E-3</v>
      </c>
      <c r="BF658" s="3">
        <v>2.5039207121281882E-3</v>
      </c>
      <c r="BG658" s="3">
        <v>1.7879907524908081E-3</v>
      </c>
      <c r="BH658" s="3">
        <v>2.0484518771824748E-3</v>
      </c>
      <c r="BI658" s="3">
        <v>2.1173251144055612E-3</v>
      </c>
      <c r="BJ658" s="3">
        <v>2.3053024624793078E-3</v>
      </c>
      <c r="BK658" s="3">
        <v>2.486630304231156E-3</v>
      </c>
      <c r="BL658" s="3">
        <v>2.6574712242385199E-3</v>
      </c>
      <c r="BM658" s="3">
        <v>2.7253832722186188E-3</v>
      </c>
      <c r="BN658" s="3">
        <v>2.8518724729231179E-3</v>
      </c>
      <c r="BO658" s="3">
        <v>2.9829193244477309E-3</v>
      </c>
      <c r="BP658" s="3">
        <v>3.1187018199605198E-3</v>
      </c>
      <c r="BQ658" s="3">
        <v>3.259296355660567E-3</v>
      </c>
      <c r="BR658" s="3">
        <v>3.404677557537933E-3</v>
      </c>
      <c r="BS658" s="3">
        <v>3.5551692365685E-3</v>
      </c>
      <c r="BT658" s="3">
        <v>3.710435435481592E-3</v>
      </c>
      <c r="BU658" s="3">
        <v>3.8703699431487052E-3</v>
      </c>
      <c r="BV658" s="3">
        <v>4.0347329682963902E-3</v>
      </c>
      <c r="BW658" s="3">
        <v>4.0500755280551094E-3</v>
      </c>
      <c r="BY658" s="17" t="s">
        <v>1508</v>
      </c>
      <c r="BZ658" s="3">
        <v>2.5947489421342582E-3</v>
      </c>
      <c r="CA658" s="3">
        <v>2.6358959946603498E-3</v>
      </c>
      <c r="CB658" s="3">
        <v>2.5039207121281882E-3</v>
      </c>
      <c r="CC658" s="3">
        <v>1.7879907524908081E-3</v>
      </c>
      <c r="CD658" s="3">
        <v>2.0484518771824748E-3</v>
      </c>
      <c r="CE658" s="3">
        <v>2.1210442443622651E-3</v>
      </c>
      <c r="CF658" s="3">
        <v>2.330303863589781E-3</v>
      </c>
      <c r="CG658" s="3">
        <v>2.530757657888297E-3</v>
      </c>
      <c r="CH658" s="3">
        <v>2.7189576185168902E-3</v>
      </c>
      <c r="CI658" s="3">
        <v>2.790456443596533E-3</v>
      </c>
      <c r="CJ658" s="3">
        <v>2.9219958269030362E-3</v>
      </c>
      <c r="CK658" s="3">
        <v>3.0587366649392762E-3</v>
      </c>
      <c r="CL658" s="3">
        <v>3.2003075275707509E-3</v>
      </c>
      <c r="CM658" s="3">
        <v>3.3467478531959958E-3</v>
      </c>
      <c r="CN658" s="3">
        <v>3.498142361189371E-3</v>
      </c>
      <c r="CO658" s="3">
        <v>3.6547885014875888E-3</v>
      </c>
      <c r="CP658" s="3">
        <v>3.8161123873846139E-3</v>
      </c>
      <c r="CQ658" s="3">
        <v>3.982193112296928E-3</v>
      </c>
      <c r="CR658" s="3">
        <v>4.1527976933260109E-3</v>
      </c>
      <c r="CS658" s="3">
        <v>4.1701877271386831E-3</v>
      </c>
      <c r="CU658" s="17" t="s">
        <v>1509</v>
      </c>
      <c r="CV658" s="3">
        <v>2.5947489421342582E-3</v>
      </c>
      <c r="CW658" s="3">
        <v>2.6358959946603498E-3</v>
      </c>
      <c r="CX658" s="3">
        <v>2.5039207121281882E-3</v>
      </c>
      <c r="CY658" s="3">
        <v>1.7879907524908081E-3</v>
      </c>
      <c r="CZ658" s="3">
        <v>2.0484518771824748E-3</v>
      </c>
      <c r="DA658" s="3">
        <v>2.109359046549466E-3</v>
      </c>
      <c r="DB658" s="3">
        <v>2.317515049104556E-3</v>
      </c>
      <c r="DC658" s="3">
        <v>2.5171201267547689E-3</v>
      </c>
      <c r="DD658" s="3">
        <v>2.7038944727219658E-3</v>
      </c>
      <c r="DE658" s="3">
        <v>2.775089479583201E-3</v>
      </c>
      <c r="DF658" s="3">
        <v>2.9057716727021832E-3</v>
      </c>
      <c r="DG658" s="3">
        <v>3.0420620685259439E-3</v>
      </c>
      <c r="DH658" s="3">
        <v>3.1834862138686048E-3</v>
      </c>
      <c r="DI658" s="3">
        <v>3.32968157585865E-3</v>
      </c>
      <c r="DJ658" s="3">
        <v>3.4809271817089499E-3</v>
      </c>
      <c r="DK658" s="3">
        <v>3.637711605792935E-3</v>
      </c>
      <c r="DL658" s="3">
        <v>3.798958754991207E-3</v>
      </c>
      <c r="DM658" s="3">
        <v>3.9648202977342444E-3</v>
      </c>
      <c r="DN658" s="3">
        <v>4.1348818334891986E-3</v>
      </c>
      <c r="DO658" s="3">
        <v>4.1522399742313972E-3</v>
      </c>
    </row>
    <row r="659" spans="1:119" x14ac:dyDescent="0.45">
      <c r="A659" s="16" t="s">
        <v>1582</v>
      </c>
      <c r="B659" s="3" t="s">
        <v>89</v>
      </c>
      <c r="C659" s="16" t="s">
        <v>4091</v>
      </c>
      <c r="H659" s="3" t="s">
        <v>1584</v>
      </c>
      <c r="I659" s="3" t="s">
        <v>1300</v>
      </c>
      <c r="K659" s="17" t="s">
        <v>1585</v>
      </c>
      <c r="L659" s="3">
        <v>6.607346266388868E-2</v>
      </c>
      <c r="M659" s="3">
        <v>6.5395451673987193E-2</v>
      </c>
      <c r="N659" s="3">
        <v>6.1896300280833622E-2</v>
      </c>
      <c r="O659" s="3">
        <v>4.3735622477864541E-2</v>
      </c>
      <c r="P659" s="3">
        <v>4.9599125169150313E-2</v>
      </c>
      <c r="Q659" s="3">
        <v>5.1174633794215683E-2</v>
      </c>
      <c r="R659" s="3">
        <v>5.555464264551007E-2</v>
      </c>
      <c r="S659" s="3">
        <v>5.9649539286625163E-2</v>
      </c>
      <c r="T659" s="3">
        <v>6.3415184122822876E-2</v>
      </c>
      <c r="U659" s="3">
        <v>6.440189055778843E-2</v>
      </c>
      <c r="V659" s="3">
        <v>6.6749566841192515E-2</v>
      </c>
      <c r="W659" s="3">
        <v>6.9160649314132655E-2</v>
      </c>
      <c r="X659" s="3">
        <v>7.1633743441536363E-2</v>
      </c>
      <c r="Y659" s="3">
        <v>7.4170023112882497E-2</v>
      </c>
      <c r="Z659" s="3">
        <v>7.6766878031490501E-2</v>
      </c>
      <c r="AA659" s="3">
        <v>7.9427807189608096E-2</v>
      </c>
      <c r="AB659" s="3">
        <v>8.2145880794804352E-2</v>
      </c>
      <c r="AC659" s="3">
        <v>8.4918858404527148E-2</v>
      </c>
      <c r="AD659" s="3">
        <v>8.7744142812806236E-2</v>
      </c>
      <c r="AE659" s="3">
        <v>8.7313608516694743E-2</v>
      </c>
      <c r="AG659" s="17" t="s">
        <v>1586</v>
      </c>
      <c r="AH659" s="3">
        <v>6.607346266388868E-2</v>
      </c>
      <c r="AI659" s="3">
        <v>6.5395451673987193E-2</v>
      </c>
      <c r="AJ659" s="3">
        <v>6.1896300280833622E-2</v>
      </c>
      <c r="AK659" s="3">
        <v>4.3735622477864541E-2</v>
      </c>
      <c r="AL659" s="3">
        <v>4.9599125169150313E-2</v>
      </c>
      <c r="AM659" s="3">
        <v>5.1251355438941951E-2</v>
      </c>
      <c r="AN659" s="3">
        <v>5.56368715363907E-2</v>
      </c>
      <c r="AO659" s="3">
        <v>5.9734835636837173E-2</v>
      </c>
      <c r="AP659" s="3">
        <v>6.350906143596502E-2</v>
      </c>
      <c r="AQ659" s="3">
        <v>6.449520772064303E-2</v>
      </c>
      <c r="AR659" s="3">
        <v>6.6846764874814085E-2</v>
      </c>
      <c r="AS659" s="3">
        <v>6.9257553362316357E-2</v>
      </c>
      <c r="AT659" s="3">
        <v>7.1728249032165597E-2</v>
      </c>
      <c r="AU659" s="3">
        <v>7.4262978614767772E-2</v>
      </c>
      <c r="AV659" s="3">
        <v>7.685729119994876E-2</v>
      </c>
      <c r="AW659" s="3">
        <v>7.9513474316068006E-2</v>
      </c>
      <c r="AX659" s="3">
        <v>8.2228592569236619E-2</v>
      </c>
      <c r="AY659" s="3">
        <v>8.4999546117734415E-2</v>
      </c>
      <c r="AZ659" s="3">
        <v>8.7825185931130242E-2</v>
      </c>
      <c r="BA659" s="3">
        <v>8.7392655820051721E-2</v>
      </c>
      <c r="BC659" s="17" t="s">
        <v>1587</v>
      </c>
      <c r="BD659" s="3">
        <v>6.607346266388868E-2</v>
      </c>
      <c r="BE659" s="3">
        <v>6.5395451673987193E-2</v>
      </c>
      <c r="BF659" s="3">
        <v>6.1896300280833622E-2</v>
      </c>
      <c r="BG659" s="3">
        <v>4.3735622477864541E-2</v>
      </c>
      <c r="BH659" s="3">
        <v>4.9599125169150313E-2</v>
      </c>
      <c r="BI659" s="3">
        <v>5.1406245496758582E-2</v>
      </c>
      <c r="BJ659" s="3">
        <v>5.6076989064233217E-2</v>
      </c>
      <c r="BK659" s="3">
        <v>6.0443955984814897E-2</v>
      </c>
      <c r="BL659" s="3">
        <v>6.4467330670307854E-2</v>
      </c>
      <c r="BM659" s="3">
        <v>6.5453639191037874E-2</v>
      </c>
      <c r="BN659" s="3">
        <v>6.7827870976973015E-2</v>
      </c>
      <c r="BO659" s="3">
        <v>7.0267465205842053E-2</v>
      </c>
      <c r="BP659" s="3">
        <v>7.2768952441974635E-2</v>
      </c>
      <c r="BQ659" s="3">
        <v>7.5333872151942372E-2</v>
      </c>
      <c r="BR659" s="3">
        <v>7.7959185624789498E-2</v>
      </c>
      <c r="BS659" s="3">
        <v>8.0647224107439103E-2</v>
      </c>
      <c r="BT659" s="3">
        <v>8.3391824124274344E-2</v>
      </c>
      <c r="BU659" s="3">
        <v>8.6191245694414137E-2</v>
      </c>
      <c r="BV659" s="3">
        <v>8.9044489618978553E-2</v>
      </c>
      <c r="BW659" s="3">
        <v>8.8595176873398684E-2</v>
      </c>
      <c r="BY659" s="17" t="s">
        <v>1588</v>
      </c>
      <c r="BZ659" s="3">
        <v>6.607346266388868E-2</v>
      </c>
      <c r="CA659" s="3">
        <v>6.5395451673987193E-2</v>
      </c>
      <c r="CB659" s="3">
        <v>6.1896300280833622E-2</v>
      </c>
      <c r="CC659" s="3">
        <v>4.3735622477864541E-2</v>
      </c>
      <c r="CD659" s="3">
        <v>4.9599125169150313E-2</v>
      </c>
      <c r="CE659" s="3">
        <v>5.1269133715238141E-2</v>
      </c>
      <c r="CF659" s="3">
        <v>5.5655937872154657E-2</v>
      </c>
      <c r="CG659" s="3">
        <v>5.9755326765969348E-2</v>
      </c>
      <c r="CH659" s="3">
        <v>6.3530306620886101E-2</v>
      </c>
      <c r="CI659" s="3">
        <v>6.4515641664520465E-2</v>
      </c>
      <c r="CJ659" s="3">
        <v>6.6867887380768903E-2</v>
      </c>
      <c r="CK659" s="3">
        <v>6.9278842754255401E-2</v>
      </c>
      <c r="CL659" s="3">
        <v>7.1751488650595399E-2</v>
      </c>
      <c r="CM659" s="3">
        <v>7.4287870073624154E-2</v>
      </c>
      <c r="CN659" s="3">
        <v>7.6883885968506316E-2</v>
      </c>
      <c r="CO659" s="3">
        <v>7.9542309396673699E-2</v>
      </c>
      <c r="CP659" s="3">
        <v>8.2259537932137097E-2</v>
      </c>
      <c r="CQ659" s="3">
        <v>8.5031947056327939E-2</v>
      </c>
      <c r="CR659" s="3">
        <v>8.7858519563584661E-2</v>
      </c>
      <c r="CS659" s="3">
        <v>8.742474393448009E-2</v>
      </c>
      <c r="CU659" s="17" t="s">
        <v>1589</v>
      </c>
      <c r="CV659" s="3">
        <v>6.607346266388868E-2</v>
      </c>
      <c r="CW659" s="3">
        <v>6.5395451673987193E-2</v>
      </c>
      <c r="CX659" s="3">
        <v>6.1896300280833622E-2</v>
      </c>
      <c r="CY659" s="3">
        <v>4.3735622477864541E-2</v>
      </c>
      <c r="CZ659" s="3">
        <v>4.9599125169150313E-2</v>
      </c>
      <c r="DA659" s="3">
        <v>5.1350942631015993E-2</v>
      </c>
      <c r="DB659" s="3">
        <v>5.574369670151369E-2</v>
      </c>
      <c r="DC659" s="3">
        <v>5.9846019567152277E-2</v>
      </c>
      <c r="DD659" s="3">
        <v>6.3631004740550043E-2</v>
      </c>
      <c r="DE659" s="3">
        <v>6.4616201282709923E-2</v>
      </c>
      <c r="DF659" s="3">
        <v>6.6972956560382393E-2</v>
      </c>
      <c r="DG659" s="3">
        <v>6.9383518121488116E-2</v>
      </c>
      <c r="DH659" s="3">
        <v>7.1852267967403682E-2</v>
      </c>
      <c r="DI659" s="3">
        <v>7.4385787388122029E-2</v>
      </c>
      <c r="DJ659" s="3">
        <v>7.6977849444649651E-2</v>
      </c>
      <c r="DK659" s="3">
        <v>7.9629277453257055E-2</v>
      </c>
      <c r="DL659" s="3">
        <v>8.2341812166774081E-2</v>
      </c>
      <c r="DM659" s="3">
        <v>8.5110976031947325E-2</v>
      </c>
      <c r="DN659" s="3">
        <v>8.7937485249512531E-2</v>
      </c>
      <c r="DO659" s="3">
        <v>8.7502207500429904E-2</v>
      </c>
    </row>
    <row r="660" spans="1:119" x14ac:dyDescent="0.45">
      <c r="A660" s="11"/>
      <c r="B660" s="3" t="s">
        <v>4033</v>
      </c>
      <c r="C660" s="16" t="s">
        <v>4092</v>
      </c>
      <c r="H660" s="11" t="s">
        <v>4093</v>
      </c>
      <c r="I660" s="11" t="s">
        <v>4094</v>
      </c>
    </row>
    <row r="661" spans="1:119" x14ac:dyDescent="0.45">
      <c r="A661" s="11"/>
      <c r="B661" s="3" t="s">
        <v>4033</v>
      </c>
      <c r="C661" s="16" t="s">
        <v>4095</v>
      </c>
      <c r="H661" s="11" t="s">
        <v>4096</v>
      </c>
      <c r="I661" s="11" t="s">
        <v>4094</v>
      </c>
    </row>
    <row r="662" spans="1:119" x14ac:dyDescent="0.45">
      <c r="A662" s="11"/>
      <c r="B662" s="3" t="s">
        <v>4033</v>
      </c>
      <c r="C662" s="16" t="s">
        <v>4097</v>
      </c>
      <c r="H662" s="11" t="s">
        <v>4098</v>
      </c>
      <c r="I662" s="11" t="s">
        <v>4094</v>
      </c>
    </row>
    <row r="663" spans="1:119" x14ac:dyDescent="0.45">
      <c r="A663" s="11"/>
      <c r="B663" s="3" t="s">
        <v>4033</v>
      </c>
      <c r="C663" s="16" t="s">
        <v>4099</v>
      </c>
      <c r="H663" s="11" t="s">
        <v>4100</v>
      </c>
      <c r="I663" s="11" t="s">
        <v>4094</v>
      </c>
    </row>
    <row r="664" spans="1:119" x14ac:dyDescent="0.45">
      <c r="A664" s="11"/>
      <c r="B664" s="3" t="s">
        <v>4033</v>
      </c>
      <c r="C664" s="16" t="s">
        <v>4101</v>
      </c>
      <c r="H664" s="11" t="s">
        <v>4102</v>
      </c>
      <c r="I664" s="11" t="s">
        <v>4103</v>
      </c>
    </row>
    <row r="665" spans="1:119" x14ac:dyDescent="0.45">
      <c r="A665" s="11"/>
      <c r="B665" s="3" t="s">
        <v>4033</v>
      </c>
      <c r="C665" s="16" t="s">
        <v>4104</v>
      </c>
      <c r="H665" s="11" t="s">
        <v>4105</v>
      </c>
      <c r="I665" s="11" t="s">
        <v>4103</v>
      </c>
    </row>
    <row r="666" spans="1:119" x14ac:dyDescent="0.45">
      <c r="A666" s="11"/>
      <c r="B666" s="3" t="s">
        <v>4033</v>
      </c>
      <c r="C666" s="16" t="s">
        <v>4106</v>
      </c>
      <c r="H666" s="11" t="s">
        <v>4107</v>
      </c>
      <c r="I666" s="11" t="s">
        <v>4103</v>
      </c>
    </row>
    <row r="667" spans="1:119" x14ac:dyDescent="0.45">
      <c r="A667" s="11"/>
      <c r="B667" s="3" t="s">
        <v>4033</v>
      </c>
      <c r="C667" s="16" t="s">
        <v>4108</v>
      </c>
      <c r="H667" s="11" t="s">
        <v>4109</v>
      </c>
      <c r="I667" s="11" t="s">
        <v>4103</v>
      </c>
    </row>
    <row r="668" spans="1:119" x14ac:dyDescent="0.45">
      <c r="A668" s="11"/>
      <c r="B668" s="3" t="s">
        <v>4033</v>
      </c>
      <c r="C668" s="16" t="s">
        <v>4110</v>
      </c>
      <c r="H668" s="11" t="s">
        <v>4111</v>
      </c>
      <c r="I668" s="11" t="s">
        <v>4103</v>
      </c>
    </row>
    <row r="669" spans="1:119" x14ac:dyDescent="0.45">
      <c r="A669" s="11"/>
      <c r="B669" s="3" t="s">
        <v>4033</v>
      </c>
      <c r="C669" s="16" t="s">
        <v>4112</v>
      </c>
      <c r="H669" s="11" t="s">
        <v>4113</v>
      </c>
      <c r="I669" s="11" t="s">
        <v>4103</v>
      </c>
    </row>
    <row r="670" spans="1:119" x14ac:dyDescent="0.45">
      <c r="A670" s="11"/>
      <c r="B670" s="3" t="s">
        <v>4033</v>
      </c>
      <c r="C670" s="16" t="s">
        <v>4114</v>
      </c>
      <c r="H670" s="11" t="s">
        <v>4115</v>
      </c>
      <c r="I670" s="11" t="s">
        <v>4103</v>
      </c>
    </row>
    <row r="671" spans="1:119" x14ac:dyDescent="0.45">
      <c r="A671" s="11"/>
      <c r="B671" s="3" t="s">
        <v>4033</v>
      </c>
      <c r="C671" s="16" t="s">
        <v>4116</v>
      </c>
      <c r="H671" s="11" t="s">
        <v>4117</v>
      </c>
      <c r="I671" s="11" t="s">
        <v>4103</v>
      </c>
    </row>
    <row r="672" spans="1:119" x14ac:dyDescent="0.45">
      <c r="A672" s="11"/>
      <c r="B672" s="3" t="s">
        <v>4033</v>
      </c>
      <c r="C672" s="16" t="s">
        <v>4118</v>
      </c>
      <c r="H672" s="11" t="s">
        <v>4119</v>
      </c>
      <c r="I672" s="11" t="s">
        <v>4103</v>
      </c>
    </row>
    <row r="673" spans="1:230" x14ac:dyDescent="0.45">
      <c r="A673" s="16" t="s">
        <v>4120</v>
      </c>
      <c r="B673" s="3" t="s">
        <v>89</v>
      </c>
      <c r="C673" s="16" t="s">
        <v>4121</v>
      </c>
      <c r="H673" s="3" t="s">
        <v>4122</v>
      </c>
      <c r="I673" s="3" t="s">
        <v>4123</v>
      </c>
      <c r="K673" s="17" t="s">
        <v>4124</v>
      </c>
      <c r="L673" s="3">
        <v>0</v>
      </c>
      <c r="M673" s="3">
        <v>0</v>
      </c>
      <c r="N673" s="3">
        <v>0</v>
      </c>
      <c r="O673" s="3">
        <v>0</v>
      </c>
      <c r="P673" s="3">
        <v>0</v>
      </c>
      <c r="Q673" s="3">
        <v>0</v>
      </c>
      <c r="R673" s="3">
        <v>0</v>
      </c>
      <c r="S673" s="3">
        <v>0</v>
      </c>
      <c r="T673" s="3">
        <v>0</v>
      </c>
      <c r="U673" s="3">
        <v>0</v>
      </c>
      <c r="V673" s="3">
        <v>0</v>
      </c>
      <c r="W673" s="3">
        <v>0</v>
      </c>
      <c r="X673" s="3">
        <v>0</v>
      </c>
      <c r="Y673" s="3">
        <v>0</v>
      </c>
      <c r="Z673" s="3">
        <v>0</v>
      </c>
      <c r="AA673" s="3">
        <v>0</v>
      </c>
      <c r="AB673" s="3">
        <v>0</v>
      </c>
      <c r="AC673" s="3">
        <v>0</v>
      </c>
      <c r="AD673" s="3">
        <v>0</v>
      </c>
      <c r="AE673" s="3">
        <v>0</v>
      </c>
      <c r="AG673" s="17" t="s">
        <v>4125</v>
      </c>
      <c r="AH673" s="3">
        <v>0</v>
      </c>
      <c r="AI673" s="3">
        <v>0</v>
      </c>
      <c r="AJ673" s="3">
        <v>0</v>
      </c>
      <c r="AK673" s="3">
        <v>0</v>
      </c>
      <c r="AL673" s="3">
        <v>0</v>
      </c>
      <c r="AM673" s="3">
        <v>0</v>
      </c>
      <c r="AN673" s="3">
        <v>0</v>
      </c>
      <c r="AO673" s="3">
        <v>0</v>
      </c>
      <c r="AP673" s="3">
        <v>0</v>
      </c>
      <c r="AQ673" s="3">
        <v>0</v>
      </c>
      <c r="AR673" s="3">
        <v>0</v>
      </c>
      <c r="AS673" s="3">
        <v>0</v>
      </c>
      <c r="AT673" s="3">
        <v>0</v>
      </c>
      <c r="AU673" s="3">
        <v>0</v>
      </c>
      <c r="AV673" s="3">
        <v>0</v>
      </c>
      <c r="AW673" s="3">
        <v>0</v>
      </c>
      <c r="AX673" s="3">
        <v>0</v>
      </c>
      <c r="AY673" s="3">
        <v>0</v>
      </c>
      <c r="AZ673" s="3">
        <v>0</v>
      </c>
      <c r="BA673" s="3">
        <v>0</v>
      </c>
      <c r="BC673" s="17" t="s">
        <v>4126</v>
      </c>
      <c r="BD673" s="3">
        <v>0</v>
      </c>
      <c r="BE673" s="3">
        <v>0</v>
      </c>
      <c r="BF673" s="3">
        <v>0</v>
      </c>
      <c r="BG673" s="3">
        <v>0</v>
      </c>
      <c r="BH673" s="3">
        <v>0</v>
      </c>
      <c r="BI673" s="3">
        <v>0</v>
      </c>
      <c r="BJ673" s="3">
        <v>0</v>
      </c>
      <c r="BK673" s="3">
        <v>0</v>
      </c>
      <c r="BL673" s="3">
        <v>0</v>
      </c>
      <c r="BM673" s="3">
        <v>0</v>
      </c>
      <c r="BN673" s="3">
        <v>0</v>
      </c>
      <c r="BO673" s="3">
        <v>0</v>
      </c>
      <c r="BP673" s="3">
        <v>0</v>
      </c>
      <c r="BQ673" s="3">
        <v>0</v>
      </c>
      <c r="BR673" s="3">
        <v>0</v>
      </c>
      <c r="BS673" s="3">
        <v>0</v>
      </c>
      <c r="BT673" s="3">
        <v>0</v>
      </c>
      <c r="BU673" s="3">
        <v>0</v>
      </c>
      <c r="BV673" s="3">
        <v>0</v>
      </c>
      <c r="BW673" s="3">
        <v>0</v>
      </c>
      <c r="BY673" s="17" t="s">
        <v>4127</v>
      </c>
      <c r="BZ673" s="3">
        <v>0</v>
      </c>
      <c r="CA673" s="3">
        <v>0</v>
      </c>
      <c r="CB673" s="3">
        <v>0</v>
      </c>
      <c r="CC673" s="3">
        <v>0</v>
      </c>
      <c r="CD673" s="3">
        <v>0</v>
      </c>
      <c r="CE673" s="3">
        <v>0</v>
      </c>
      <c r="CF673" s="3">
        <v>0</v>
      </c>
      <c r="CG673" s="3">
        <v>0</v>
      </c>
      <c r="CH673" s="3">
        <v>0</v>
      </c>
      <c r="CI673" s="3">
        <v>0</v>
      </c>
      <c r="CJ673" s="3">
        <v>0</v>
      </c>
      <c r="CK673" s="3">
        <v>0</v>
      </c>
      <c r="CL673" s="3">
        <v>0</v>
      </c>
      <c r="CM673" s="3">
        <v>0</v>
      </c>
      <c r="CN673" s="3">
        <v>0</v>
      </c>
      <c r="CO673" s="3">
        <v>0</v>
      </c>
      <c r="CP673" s="3">
        <v>0</v>
      </c>
      <c r="CQ673" s="3">
        <v>0</v>
      </c>
      <c r="CR673" s="3">
        <v>0</v>
      </c>
      <c r="CS673" s="3">
        <v>0</v>
      </c>
      <c r="CU673" s="17" t="s">
        <v>4128</v>
      </c>
      <c r="CV673" s="3">
        <v>0</v>
      </c>
      <c r="CW673" s="3">
        <v>0</v>
      </c>
      <c r="CX673" s="3">
        <v>0</v>
      </c>
      <c r="CY673" s="3">
        <v>0</v>
      </c>
      <c r="CZ673" s="3">
        <v>0</v>
      </c>
      <c r="DA673" s="3">
        <v>0</v>
      </c>
      <c r="DB673" s="3">
        <v>0</v>
      </c>
      <c r="DC673" s="3">
        <v>0</v>
      </c>
      <c r="DD673" s="3">
        <v>0</v>
      </c>
      <c r="DE673" s="3">
        <v>0</v>
      </c>
      <c r="DF673" s="3">
        <v>0</v>
      </c>
      <c r="DG673" s="3">
        <v>0</v>
      </c>
      <c r="DH673" s="3">
        <v>0</v>
      </c>
      <c r="DI673" s="3">
        <v>0</v>
      </c>
      <c r="DJ673" s="3">
        <v>0</v>
      </c>
      <c r="DK673" s="3">
        <v>0</v>
      </c>
      <c r="DL673" s="3">
        <v>0</v>
      </c>
      <c r="DM673" s="3">
        <v>0</v>
      </c>
      <c r="DN673" s="3">
        <v>0</v>
      </c>
      <c r="DO673" s="3">
        <v>0</v>
      </c>
    </row>
    <row r="674" spans="1:230" x14ac:dyDescent="0.45">
      <c r="A674" s="16" t="s">
        <v>4129</v>
      </c>
      <c r="B674" s="3" t="s">
        <v>89</v>
      </c>
      <c r="C674" s="16" t="s">
        <v>4130</v>
      </c>
      <c r="H674" s="3" t="s">
        <v>4131</v>
      </c>
      <c r="I674" s="3" t="s">
        <v>4123</v>
      </c>
      <c r="K674" s="17" t="s">
        <v>4132</v>
      </c>
      <c r="L674" s="3">
        <v>1.5967903280715909</v>
      </c>
      <c r="M674" s="3">
        <v>1.5044407386558949</v>
      </c>
      <c r="N674" s="3">
        <v>1.7722454906705991</v>
      </c>
      <c r="O674" s="3">
        <v>1.95434443446485</v>
      </c>
      <c r="P674" s="3">
        <v>1.95929320832817</v>
      </c>
      <c r="Q674" s="3">
        <v>1.9401072449798551</v>
      </c>
      <c r="R674" s="3">
        <v>1.9196471354279281</v>
      </c>
      <c r="S674" s="3">
        <v>1.8979051245209</v>
      </c>
      <c r="T674" s="3">
        <v>1.8434905694522199</v>
      </c>
      <c r="U674" s="3">
        <v>1.8295101843568959</v>
      </c>
      <c r="V674" s="3">
        <v>1.8055481383268821</v>
      </c>
      <c r="W674" s="3">
        <v>1.8491241594495731</v>
      </c>
      <c r="X674" s="3">
        <v>1.876582051631116</v>
      </c>
      <c r="Y674" s="3">
        <v>1.914310982365693</v>
      </c>
      <c r="Z674" s="3">
        <v>1.951288871861214</v>
      </c>
      <c r="AA674" s="3">
        <v>1.988921372208929</v>
      </c>
      <c r="AB674" s="3">
        <v>2.026874028297216</v>
      </c>
      <c r="AC674" s="3">
        <v>2.0652237977827408</v>
      </c>
      <c r="AD674" s="3">
        <v>2.10426237453694</v>
      </c>
      <c r="AE674" s="3">
        <v>2.1440931845201141</v>
      </c>
      <c r="AG674" s="17" t="s">
        <v>4133</v>
      </c>
      <c r="AH674" s="3">
        <v>1.5967903280715909</v>
      </c>
      <c r="AI674" s="3">
        <v>1.503262358641906</v>
      </c>
      <c r="AJ674" s="3">
        <v>1.7711127934868951</v>
      </c>
      <c r="AK674" s="3">
        <v>1.9532558857274021</v>
      </c>
      <c r="AL674" s="3">
        <v>1.958203950498967</v>
      </c>
      <c r="AM674" s="3">
        <v>1.938989424905988</v>
      </c>
      <c r="AN674" s="3">
        <v>1.680605328297653</v>
      </c>
      <c r="AO674" s="3">
        <v>1.812817842966076</v>
      </c>
      <c r="AP674" s="3">
        <v>1.742486636719158</v>
      </c>
      <c r="AQ674" s="3">
        <v>1.759525500808478</v>
      </c>
      <c r="AR674" s="3">
        <v>1.7355488557062639</v>
      </c>
      <c r="AS674" s="3">
        <v>1.7914524165251651</v>
      </c>
      <c r="AT674" s="3">
        <v>1.812471440454605</v>
      </c>
      <c r="AU674" s="3">
        <v>1.8522558027140801</v>
      </c>
      <c r="AV674" s="3">
        <v>1.8914508182005749</v>
      </c>
      <c r="AW674" s="3">
        <v>1.932363844930272</v>
      </c>
      <c r="AX674" s="3">
        <v>1.971618615175335</v>
      </c>
      <c r="AY674" s="3">
        <v>2.0107840712238851</v>
      </c>
      <c r="AZ674" s="3">
        <v>2.0482206405859902</v>
      </c>
      <c r="BA674" s="3">
        <v>2.086048382368225</v>
      </c>
      <c r="BC674" s="17" t="s">
        <v>4134</v>
      </c>
      <c r="BD674" s="3">
        <v>1.5967903280715909</v>
      </c>
      <c r="BE674" s="3">
        <v>1.5003131558864391</v>
      </c>
      <c r="BF674" s="3">
        <v>1.768277722432406</v>
      </c>
      <c r="BG674" s="3">
        <v>1.9505311083042001</v>
      </c>
      <c r="BH674" s="3">
        <v>1.955484572030656</v>
      </c>
      <c r="BI674" s="3">
        <v>1.936205711148844</v>
      </c>
      <c r="BJ674" s="3">
        <v>1.7891147613807321</v>
      </c>
      <c r="BK674" s="3">
        <v>1.669375091364826</v>
      </c>
      <c r="BL674" s="3">
        <v>1.6261327287034331</v>
      </c>
      <c r="BM674" s="3">
        <v>1.6173868266836251</v>
      </c>
      <c r="BN674" s="3">
        <v>1.525854971442749</v>
      </c>
      <c r="BO674" s="3">
        <v>1.5083144334033221</v>
      </c>
      <c r="BP674" s="3">
        <v>1.438325805921459</v>
      </c>
      <c r="BQ674" s="3">
        <v>1.4089548573749071</v>
      </c>
      <c r="BR674" s="3">
        <v>1.3497182392153639</v>
      </c>
      <c r="BS674" s="3">
        <v>1.322033798098152</v>
      </c>
      <c r="BT674" s="3">
        <v>1.2639068624851879</v>
      </c>
      <c r="BU674" s="3">
        <v>1.2423444990282819</v>
      </c>
      <c r="BV674" s="3">
        <v>1.1792231947457099</v>
      </c>
      <c r="BW674" s="3">
        <v>1.170713235596998</v>
      </c>
      <c r="BY674" s="17" t="s">
        <v>4135</v>
      </c>
      <c r="BZ674" s="3">
        <v>1.5967903280715909</v>
      </c>
      <c r="CA674" s="3">
        <v>1.497459834486216</v>
      </c>
      <c r="CB674" s="3">
        <v>1.7655313332818361</v>
      </c>
      <c r="CC674" s="3">
        <v>1.9478880000172241</v>
      </c>
      <c r="CD674" s="3">
        <v>1.952837502616251</v>
      </c>
      <c r="CE674" s="3">
        <v>1.9334869649127451</v>
      </c>
      <c r="CF674" s="3">
        <v>1.912961758078602</v>
      </c>
      <c r="CG674" s="3">
        <v>1.8924109143639589</v>
      </c>
      <c r="CH674" s="3">
        <v>1.834650068451805</v>
      </c>
      <c r="CI674" s="3">
        <v>1.796223662347787</v>
      </c>
      <c r="CJ674" s="3">
        <v>1.7197491931636411</v>
      </c>
      <c r="CK674" s="3">
        <v>1.7385882929828009</v>
      </c>
      <c r="CL674" s="3">
        <v>1.6533037312051291</v>
      </c>
      <c r="CM674" s="3">
        <v>1.5970655876027871</v>
      </c>
      <c r="CN674" s="3">
        <v>1.54725177490629</v>
      </c>
      <c r="CO674" s="3">
        <v>1.4822265298242041</v>
      </c>
      <c r="CP674" s="3">
        <v>1.429092570996058</v>
      </c>
      <c r="CQ674" s="3">
        <v>1.380424649691588</v>
      </c>
      <c r="CR674" s="3">
        <v>1.327417127162029</v>
      </c>
      <c r="CS674" s="3">
        <v>1.2834069845006251</v>
      </c>
      <c r="CU674" s="17" t="s">
        <v>4136</v>
      </c>
      <c r="CV674" s="3">
        <v>1.5967903280715909</v>
      </c>
      <c r="CW674" s="3">
        <v>1.501610714465722</v>
      </c>
      <c r="CX674" s="3">
        <v>1.7695250996602201</v>
      </c>
      <c r="CY674" s="3">
        <v>1.9517299924641289</v>
      </c>
      <c r="CZ674" s="3">
        <v>1.9566798896831099</v>
      </c>
      <c r="DA674" s="3">
        <v>1.9374281478717861</v>
      </c>
      <c r="DB674" s="3">
        <v>1.413606253537256</v>
      </c>
      <c r="DC674" s="3">
        <v>1.546098797344724</v>
      </c>
      <c r="DD674" s="3">
        <v>1.526733363307248</v>
      </c>
      <c r="DE674" s="3">
        <v>1.6345453393053579</v>
      </c>
      <c r="DF674" s="3">
        <v>1.545551519992046</v>
      </c>
      <c r="DG674" s="3">
        <v>1.563109650581715</v>
      </c>
      <c r="DH674" s="3">
        <v>1.505979317873321</v>
      </c>
      <c r="DI674" s="3">
        <v>1.4911094726938661</v>
      </c>
      <c r="DJ674" s="3">
        <v>1.456914361634277</v>
      </c>
      <c r="DK674" s="3">
        <v>1.444018355250998</v>
      </c>
      <c r="DL674" s="3">
        <v>1.4133386040801701</v>
      </c>
      <c r="DM674" s="3">
        <v>1.4021386452143889</v>
      </c>
      <c r="DN674" s="3">
        <v>1.37562081564585</v>
      </c>
      <c r="DO674" s="3">
        <v>1.3667140333100589</v>
      </c>
    </row>
    <row r="675" spans="1:230" x14ac:dyDescent="0.45">
      <c r="A675" s="16" t="s">
        <v>4137</v>
      </c>
      <c r="B675" s="3" t="s">
        <v>89</v>
      </c>
      <c r="C675" s="16" t="s">
        <v>4138</v>
      </c>
      <c r="H675" s="3" t="s">
        <v>4139</v>
      </c>
      <c r="I675" s="3" t="s">
        <v>4123</v>
      </c>
      <c r="K675" s="17" t="s">
        <v>4140</v>
      </c>
      <c r="L675" s="3">
        <v>2.7206176430098088</v>
      </c>
      <c r="M675" s="3">
        <v>2.630694987753917</v>
      </c>
      <c r="N675" s="3">
        <v>2.5392903517242211</v>
      </c>
      <c r="O675" s="3">
        <v>3.0501006005084199</v>
      </c>
      <c r="P675" s="3">
        <v>3.586365195425949</v>
      </c>
      <c r="Q675" s="3">
        <v>4.1501134487060334</v>
      </c>
      <c r="R675" s="3">
        <v>4.7435017522739482</v>
      </c>
      <c r="S675" s="3">
        <v>5.3688221671124214</v>
      </c>
      <c r="T675" s="3">
        <v>6.0285115555519502</v>
      </c>
      <c r="U675" s="3">
        <v>5.824019497040811</v>
      </c>
      <c r="V675" s="3">
        <v>5.6276027224654541</v>
      </c>
      <c r="W675" s="3">
        <v>5.4378195377448346</v>
      </c>
      <c r="X675" s="3">
        <v>5.2601793770904726</v>
      </c>
      <c r="Y675" s="3">
        <v>5.0856260657760188</v>
      </c>
      <c r="Z675" s="3">
        <v>4.917196317058961</v>
      </c>
      <c r="AA675" s="3">
        <v>4.7541075446444729</v>
      </c>
      <c r="AB675" s="3">
        <v>4.596227573340526</v>
      </c>
      <c r="AC675" s="3">
        <v>4.4433619736034959</v>
      </c>
      <c r="AD675" s="3">
        <v>4.2952631007174791</v>
      </c>
      <c r="AE675" s="3">
        <v>4.151749260026727</v>
      </c>
      <c r="AG675" s="17" t="s">
        <v>4141</v>
      </c>
      <c r="AH675" s="3">
        <v>2.7206176430098088</v>
      </c>
      <c r="AI675" s="3">
        <v>2.62991539800672</v>
      </c>
      <c r="AJ675" s="3">
        <v>2.5385378491602308</v>
      </c>
      <c r="AK675" s="3">
        <v>3.0493730277320261</v>
      </c>
      <c r="AL675" s="3">
        <v>3.5856604382202928</v>
      </c>
      <c r="AM675" s="3">
        <v>4.1494294302687109</v>
      </c>
      <c r="AN675" s="3">
        <v>4.7428364274569068</v>
      </c>
      <c r="AO675" s="3">
        <v>4.5770834503413509</v>
      </c>
      <c r="AP675" s="3">
        <v>5.1780229985845319</v>
      </c>
      <c r="AQ675" s="3">
        <v>5.0005337809889214</v>
      </c>
      <c r="AR675" s="3">
        <v>4.8316792192664133</v>
      </c>
      <c r="AS675" s="3">
        <v>4.6658506367884094</v>
      </c>
      <c r="AT675" s="3">
        <v>4.5094606158223769</v>
      </c>
      <c r="AU675" s="3">
        <v>4.3566367302203508</v>
      </c>
      <c r="AV675" s="3">
        <v>4.2092648825909373</v>
      </c>
      <c r="AW675" s="3">
        <v>4.0667155196978904</v>
      </c>
      <c r="AX675" s="3">
        <v>3.9288655886674491</v>
      </c>
      <c r="AY675" s="3">
        <v>3.795417076112118</v>
      </c>
      <c r="AZ675" s="3">
        <v>3.6662634798529541</v>
      </c>
      <c r="BA675" s="3">
        <v>3.5411815421181241</v>
      </c>
      <c r="BC675" s="17" t="s">
        <v>4142</v>
      </c>
      <c r="BD675" s="3">
        <v>2.7206176430098088</v>
      </c>
      <c r="BE675" s="3">
        <v>2.628363632134743</v>
      </c>
      <c r="BF675" s="3">
        <v>2.5370400000651472</v>
      </c>
      <c r="BG675" s="3">
        <v>3.0479242249174532</v>
      </c>
      <c r="BH675" s="3">
        <v>3.5842559036302499</v>
      </c>
      <c r="BI675" s="3">
        <v>4.1480644645781313</v>
      </c>
      <c r="BJ675" s="3">
        <v>4.7415063963602124</v>
      </c>
      <c r="BK675" s="3">
        <v>4.5772994078934328</v>
      </c>
      <c r="BL675" s="3">
        <v>4.4173779551615091</v>
      </c>
      <c r="BM675" s="3">
        <v>4.2627737709979723</v>
      </c>
      <c r="BN675" s="3">
        <v>4.1136090147079702</v>
      </c>
      <c r="BO675" s="3">
        <v>3.969341570778175</v>
      </c>
      <c r="BP675" s="3">
        <v>3.8300396692322769</v>
      </c>
      <c r="BQ675" s="3">
        <v>3.695389341609538</v>
      </c>
      <c r="BR675" s="3">
        <v>3.5653206550101739</v>
      </c>
      <c r="BS675" s="3">
        <v>3.4396188648074419</v>
      </c>
      <c r="BT675" s="3">
        <v>3.3181858943224598</v>
      </c>
      <c r="BU675" s="3">
        <v>3.2008427088749909</v>
      </c>
      <c r="BV675" s="3">
        <v>3.0874897518387052</v>
      </c>
      <c r="BW675" s="3">
        <v>2.9779677016830211</v>
      </c>
      <c r="BY675" s="17" t="s">
        <v>4143</v>
      </c>
      <c r="BZ675" s="3">
        <v>2.7206176430098088</v>
      </c>
      <c r="CA675" s="3">
        <v>2.626572264903285</v>
      </c>
      <c r="CB675" s="3">
        <v>2.5353108746635291</v>
      </c>
      <c r="CC675" s="3">
        <v>3.046253364513873</v>
      </c>
      <c r="CD675" s="3">
        <v>3.5826394195610538</v>
      </c>
      <c r="CE675" s="3">
        <v>4.1464985469067157</v>
      </c>
      <c r="CF675" s="3">
        <v>4.7399873044630896</v>
      </c>
      <c r="CG675" s="3">
        <v>5.365397890262666</v>
      </c>
      <c r="CH675" s="3">
        <v>6.025167274614172</v>
      </c>
      <c r="CI675" s="3">
        <v>5.8140882035623909</v>
      </c>
      <c r="CJ675" s="3">
        <v>5.610152289583068</v>
      </c>
      <c r="CK675" s="3">
        <v>5.4131236619426906</v>
      </c>
      <c r="CL675" s="3">
        <v>5.222774096869796</v>
      </c>
      <c r="CM675" s="3">
        <v>5.0388827733423378</v>
      </c>
      <c r="CN675" s="3">
        <v>4.8612360363863507</v>
      </c>
      <c r="CO675" s="3">
        <v>4.6896271678496113</v>
      </c>
      <c r="CP675" s="3">
        <v>4.5238561644240418</v>
      </c>
      <c r="CQ675" s="3">
        <v>4.3637295226898534</v>
      </c>
      <c r="CR675" s="3">
        <v>4.2090600309613526</v>
      </c>
      <c r="CS675" s="3">
        <v>4.0596665677212664</v>
      </c>
      <c r="CU675" s="17" t="s">
        <v>4144</v>
      </c>
      <c r="CV675" s="3">
        <v>2.7206176430098088</v>
      </c>
      <c r="CW675" s="3">
        <v>2.628980771745669</v>
      </c>
      <c r="CX675" s="3">
        <v>2.537635696893167</v>
      </c>
      <c r="CY675" s="3">
        <v>3.048500534958599</v>
      </c>
      <c r="CZ675" s="3">
        <v>3.5848148447759298</v>
      </c>
      <c r="DA675" s="3">
        <v>4.14860802252909</v>
      </c>
      <c r="DB675" s="3">
        <v>4.7420365305434053</v>
      </c>
      <c r="DC675" s="3">
        <v>4.576311508280777</v>
      </c>
      <c r="DD675" s="3">
        <v>4.4177679574481257</v>
      </c>
      <c r="DE675" s="3">
        <v>4.2634883421270331</v>
      </c>
      <c r="DF675" s="3">
        <v>4.1170912682311087</v>
      </c>
      <c r="DG675" s="3">
        <v>3.9746124119263779</v>
      </c>
      <c r="DH675" s="3">
        <v>3.8380941643072459</v>
      </c>
      <c r="DI675" s="3">
        <v>3.7058011730961451</v>
      </c>
      <c r="DJ675" s="3">
        <v>3.5781681847940581</v>
      </c>
      <c r="DK675" s="3">
        <v>3.4546291232917028</v>
      </c>
      <c r="DL675" s="3">
        <v>3.33529870333515</v>
      </c>
      <c r="DM675" s="3">
        <v>3.2197328405100372</v>
      </c>
      <c r="DN675" s="3">
        <v>3.1080308970325681</v>
      </c>
      <c r="DO675" s="3">
        <v>2.9998561918958448</v>
      </c>
    </row>
    <row r="676" spans="1:230" x14ac:dyDescent="0.45">
      <c r="A676" s="16" t="s">
        <v>4145</v>
      </c>
      <c r="B676" s="3" t="s">
        <v>89</v>
      </c>
      <c r="C676" s="16" t="s">
        <v>4146</v>
      </c>
      <c r="H676" s="3" t="s">
        <v>4147</v>
      </c>
      <c r="I676" s="3" t="s">
        <v>4123</v>
      </c>
      <c r="K676" s="17" t="s">
        <v>4148</v>
      </c>
      <c r="L676" s="3">
        <v>7.1641233460648737</v>
      </c>
      <c r="M676" s="3">
        <v>7.1009669709840857</v>
      </c>
      <c r="N676" s="3">
        <v>8.4473211819349032</v>
      </c>
      <c r="O676" s="3">
        <v>8.6007774705345064</v>
      </c>
      <c r="P676" s="3">
        <v>8.7465976869064637</v>
      </c>
      <c r="Q676" s="3">
        <v>8.9243106431559589</v>
      </c>
      <c r="R676" s="3">
        <v>9.1407510165334713</v>
      </c>
      <c r="S676" s="3">
        <v>9.3420819513824789</v>
      </c>
      <c r="T676" s="3">
        <v>9.5235003628113546</v>
      </c>
      <c r="U676" s="3">
        <v>9.7035923099828576</v>
      </c>
      <c r="V676" s="3">
        <v>9.8831602087306649</v>
      </c>
      <c r="W676" s="3">
        <v>10.062111347327511</v>
      </c>
      <c r="X676" s="3">
        <v>10.24035429531032</v>
      </c>
      <c r="Y676" s="3">
        <v>10.4177988936324</v>
      </c>
      <c r="Z676" s="3">
        <v>10.594356236933979</v>
      </c>
      <c r="AA676" s="3">
        <v>10.76993864843967</v>
      </c>
      <c r="AB676" s="3">
        <v>10.94445964798042</v>
      </c>
      <c r="AC676" s="3">
        <v>11.117833913626059</v>
      </c>
      <c r="AD676" s="3">
        <v>11.289977237399871</v>
      </c>
      <c r="AE676" s="3">
        <v>11.460806475532049</v>
      </c>
      <c r="AG676" s="17" t="s">
        <v>4149</v>
      </c>
      <c r="AH676" s="3">
        <v>7.1641233460648737</v>
      </c>
      <c r="AI676" s="3">
        <v>7.1009669709840857</v>
      </c>
      <c r="AJ676" s="3">
        <v>8.4473211819349032</v>
      </c>
      <c r="AK676" s="3">
        <v>8.6007774705345064</v>
      </c>
      <c r="AL676" s="3">
        <v>8.7465976869064637</v>
      </c>
      <c r="AM676" s="3">
        <v>8.1227873833347921</v>
      </c>
      <c r="AN676" s="3">
        <v>8.3197546415685739</v>
      </c>
      <c r="AO676" s="3">
        <v>8.5060239410699552</v>
      </c>
      <c r="AP676" s="3">
        <v>8.6641464864308446</v>
      </c>
      <c r="AQ676" s="3">
        <v>8.8291616509606836</v>
      </c>
      <c r="AR676" s="3">
        <v>8.98960720662234</v>
      </c>
      <c r="AS676" s="3">
        <v>9.1561640790422594</v>
      </c>
      <c r="AT676" s="3">
        <v>9.3253212213051473</v>
      </c>
      <c r="AU676" s="3">
        <v>9.4922787085704172</v>
      </c>
      <c r="AV676" s="3">
        <v>9.6598578557321133</v>
      </c>
      <c r="AW676" s="3">
        <v>9.8298463488137244</v>
      </c>
      <c r="AX676" s="3">
        <v>9.9959045234498198</v>
      </c>
      <c r="AY676" s="3">
        <v>10.15932369911298</v>
      </c>
      <c r="AZ676" s="3">
        <v>10.317824583684679</v>
      </c>
      <c r="BA676" s="3">
        <v>10.474037768966859</v>
      </c>
      <c r="BC676" s="17" t="s">
        <v>4150</v>
      </c>
      <c r="BD676" s="3">
        <v>7.1641233460648737</v>
      </c>
      <c r="BE676" s="3">
        <v>7.1009669709840857</v>
      </c>
      <c r="BF676" s="3">
        <v>8.4473211819349032</v>
      </c>
      <c r="BG676" s="3">
        <v>8.6007774705345064</v>
      </c>
      <c r="BH676" s="3">
        <v>8.7465976869064637</v>
      </c>
      <c r="BI676" s="3">
        <v>8.3431251358637244</v>
      </c>
      <c r="BJ676" s="3">
        <v>7.9104585776559162</v>
      </c>
      <c r="BK676" s="3">
        <v>7.5642177307923584</v>
      </c>
      <c r="BL676" s="3">
        <v>7.2681029508853729</v>
      </c>
      <c r="BM676" s="3">
        <v>7.1136549998009988</v>
      </c>
      <c r="BN676" s="3">
        <v>6.9783866266597538</v>
      </c>
      <c r="BO676" s="3">
        <v>6.8619202408439124</v>
      </c>
      <c r="BP676" s="3">
        <v>6.7627827587945539</v>
      </c>
      <c r="BQ676" s="3">
        <v>6.6774198838930721</v>
      </c>
      <c r="BR676" s="3">
        <v>6.6038138691325141</v>
      </c>
      <c r="BS676" s="3">
        <v>6.5412568419904922</v>
      </c>
      <c r="BT676" s="3">
        <v>6.4871845797993064</v>
      </c>
      <c r="BU676" s="3">
        <v>6.4397780693992424</v>
      </c>
      <c r="BV676" s="3">
        <v>6.3964721177421078</v>
      </c>
      <c r="BW676" s="3">
        <v>6.3562597520609447</v>
      </c>
      <c r="BY676" s="17" t="s">
        <v>4151</v>
      </c>
      <c r="BZ676" s="3">
        <v>7.1641233460648737</v>
      </c>
      <c r="CA676" s="3">
        <v>7.1009669709840857</v>
      </c>
      <c r="CB676" s="3">
        <v>8.4473211819349032</v>
      </c>
      <c r="CC676" s="3">
        <v>8.6007774705345064</v>
      </c>
      <c r="CD676" s="3">
        <v>8.7465976869064637</v>
      </c>
      <c r="CE676" s="3">
        <v>7.9531547903389823</v>
      </c>
      <c r="CF676" s="3">
        <v>8.145998918840391</v>
      </c>
      <c r="CG676" s="3">
        <v>8.3279269046136317</v>
      </c>
      <c r="CH676" s="3">
        <v>8.4831530223894518</v>
      </c>
      <c r="CI676" s="3">
        <v>8.6460821021051899</v>
      </c>
      <c r="CJ676" s="3">
        <v>8.8028396715361428</v>
      </c>
      <c r="CK676" s="3">
        <v>8.9663913069556251</v>
      </c>
      <c r="CL676" s="3">
        <v>9.12970518265824</v>
      </c>
      <c r="CM676" s="3">
        <v>9.291346635485386</v>
      </c>
      <c r="CN676" s="3">
        <v>9.4535264630785694</v>
      </c>
      <c r="CO676" s="3">
        <v>9.6172517055263711</v>
      </c>
      <c r="CP676" s="3">
        <v>9.7773421108096965</v>
      </c>
      <c r="CQ676" s="3">
        <v>9.9358445169494143</v>
      </c>
      <c r="CR676" s="3">
        <v>10.09031517218073</v>
      </c>
      <c r="CS676" s="3">
        <v>10.243966247167339</v>
      </c>
      <c r="CU676" s="17" t="s">
        <v>4152</v>
      </c>
      <c r="CV676" s="3">
        <v>7.1641233460648737</v>
      </c>
      <c r="CW676" s="3">
        <v>7.1009669709840857</v>
      </c>
      <c r="CX676" s="3">
        <v>8.4473211819349032</v>
      </c>
      <c r="CY676" s="3">
        <v>8.6007774705345064</v>
      </c>
      <c r="CZ676" s="3">
        <v>8.7465976869064637</v>
      </c>
      <c r="DA676" s="3">
        <v>7.2362573424775576</v>
      </c>
      <c r="DB676" s="3">
        <v>7.4117095540373219</v>
      </c>
      <c r="DC676" s="3">
        <v>7.5807409616448718</v>
      </c>
      <c r="DD676" s="3">
        <v>7.714298438298492</v>
      </c>
      <c r="DE676" s="3">
        <v>7.8630689817167108</v>
      </c>
      <c r="DF676" s="3">
        <v>8.0025351395763735</v>
      </c>
      <c r="DG676" s="3">
        <v>8.1551239657633534</v>
      </c>
      <c r="DH676" s="3">
        <v>8.3123501043371419</v>
      </c>
      <c r="DI676" s="3">
        <v>8.4664757805864834</v>
      </c>
      <c r="DJ676" s="3">
        <v>8.6224886471934532</v>
      </c>
      <c r="DK676" s="3">
        <v>8.7839986577385165</v>
      </c>
      <c r="DL676" s="3">
        <v>8.9388433052635907</v>
      </c>
      <c r="DM676" s="3">
        <v>9.0900992618057099</v>
      </c>
      <c r="DN676" s="3">
        <v>9.2331896668255773</v>
      </c>
      <c r="DO676" s="3">
        <v>9.3734052277723592</v>
      </c>
    </row>
    <row r="677" spans="1:230" x14ac:dyDescent="0.45">
      <c r="A677" s="16" t="s">
        <v>4153</v>
      </c>
      <c r="B677" s="3" t="s">
        <v>89</v>
      </c>
      <c r="C677" s="16" t="s">
        <v>4154</v>
      </c>
      <c r="H677" s="3" t="s">
        <v>4155</v>
      </c>
      <c r="I677" s="3" t="s">
        <v>4123</v>
      </c>
      <c r="K677" s="17" t="s">
        <v>4156</v>
      </c>
      <c r="L677" s="3">
        <v>7.5065155403978823</v>
      </c>
      <c r="M677" s="3">
        <v>5.8765223984745498</v>
      </c>
      <c r="N677" s="3">
        <v>6.3654507324028122</v>
      </c>
      <c r="O677" s="3">
        <v>6.2953922339851083</v>
      </c>
      <c r="P677" s="3">
        <v>6.2250267730674116</v>
      </c>
      <c r="Q677" s="3">
        <v>6.1553729580756862</v>
      </c>
      <c r="R677" s="3">
        <v>6.0863312968519496</v>
      </c>
      <c r="S677" s="3">
        <v>6.0176581533802036</v>
      </c>
      <c r="T677" s="3">
        <v>5.9493381448092304</v>
      </c>
      <c r="U677" s="3">
        <v>5.8814220031406288</v>
      </c>
      <c r="V677" s="3">
        <v>5.8138793524264729</v>
      </c>
      <c r="W677" s="3">
        <v>5.7467391466049946</v>
      </c>
      <c r="X677" s="3">
        <v>5.6799992554855434</v>
      </c>
      <c r="Y677" s="3">
        <v>5.6136575605985666</v>
      </c>
      <c r="Z677" s="3">
        <v>5.5477119549198211</v>
      </c>
      <c r="AA677" s="3">
        <v>5.482160342585769</v>
      </c>
      <c r="AB677" s="3">
        <v>5.4170006386009044</v>
      </c>
      <c r="AC677" s="3">
        <v>5.3522307685377317</v>
      </c>
      <c r="AD677" s="3">
        <v>5.2878486682299624</v>
      </c>
      <c r="AE677" s="3">
        <v>5.2238522834595278</v>
      </c>
      <c r="AG677" s="17" t="s">
        <v>4157</v>
      </c>
      <c r="AH677" s="3">
        <v>7.5065155403978823</v>
      </c>
      <c r="AI677" s="3">
        <v>5.8765223984745498</v>
      </c>
      <c r="AJ677" s="3">
        <v>6.3654507324028122</v>
      </c>
      <c r="AK677" s="3">
        <v>6.2953922339851083</v>
      </c>
      <c r="AL677" s="3">
        <v>6.2250267730674116</v>
      </c>
      <c r="AM677" s="3">
        <v>6.1480126935584947</v>
      </c>
      <c r="AN677" s="3">
        <v>6.0788486294917332</v>
      </c>
      <c r="AO677" s="3">
        <v>6.0100688617023703</v>
      </c>
      <c r="AP677" s="3">
        <v>5.9416246117312026</v>
      </c>
      <c r="AQ677" s="3">
        <v>5.8736071228030671</v>
      </c>
      <c r="AR677" s="3">
        <v>5.8059587658898693</v>
      </c>
      <c r="AS677" s="3">
        <v>5.7387312807496604</v>
      </c>
      <c r="AT677" s="3">
        <v>5.6719131871887356</v>
      </c>
      <c r="AU677" s="3">
        <v>5.6054896912409573</v>
      </c>
      <c r="AV677" s="3">
        <v>5.5394664921539167</v>
      </c>
      <c r="AW677" s="3">
        <v>5.473846457357932</v>
      </c>
      <c r="AX677" s="3">
        <v>5.4086108507749504</v>
      </c>
      <c r="AY677" s="3">
        <v>5.3437613114406721</v>
      </c>
      <c r="AZ677" s="3">
        <v>5.2792900148472768</v>
      </c>
      <c r="BA677" s="3">
        <v>5.2152021256731844</v>
      </c>
      <c r="BC677" s="17" t="s">
        <v>4158</v>
      </c>
      <c r="BD677" s="3">
        <v>7.5065155403978823</v>
      </c>
      <c r="BE677" s="3">
        <v>5.8765223984745498</v>
      </c>
      <c r="BF677" s="3">
        <v>6.3654507324028122</v>
      </c>
      <c r="BG677" s="3">
        <v>6.2953922339851083</v>
      </c>
      <c r="BH677" s="3">
        <v>6.2250267730674116</v>
      </c>
      <c r="BI677" s="3">
        <v>6.1511419688270914</v>
      </c>
      <c r="BJ677" s="3">
        <v>6.0779540535616903</v>
      </c>
      <c r="BK677" s="3">
        <v>6.0061072115131102</v>
      </c>
      <c r="BL677" s="3">
        <v>5.9352049229600414</v>
      </c>
      <c r="BM677" s="3">
        <v>5.8651012090587766</v>
      </c>
      <c r="BN677" s="3">
        <v>5.795662967830908</v>
      </c>
      <c r="BO677" s="3">
        <v>5.7268418838980786</v>
      </c>
      <c r="BP677" s="3">
        <v>5.6585900878424544</v>
      </c>
      <c r="BQ677" s="3">
        <v>5.5908679254311302</v>
      </c>
      <c r="BR677" s="3">
        <v>5.5236480388628371</v>
      </c>
      <c r="BS677" s="3">
        <v>5.4569116981774739</v>
      </c>
      <c r="BT677" s="3">
        <v>5.3906396431220251</v>
      </c>
      <c r="BU677" s="3">
        <v>5.3248171339456798</v>
      </c>
      <c r="BV677" s="3">
        <v>5.2594297736341193</v>
      </c>
      <c r="BW677" s="3">
        <v>5.1944681764898801</v>
      </c>
      <c r="BY677" s="17" t="s">
        <v>4159</v>
      </c>
      <c r="BZ677" s="3">
        <v>7.5065155403978823</v>
      </c>
      <c r="CA677" s="3">
        <v>5.8765223984745498</v>
      </c>
      <c r="CB677" s="3">
        <v>6.3654507324028122</v>
      </c>
      <c r="CC677" s="3">
        <v>6.2953922339851083</v>
      </c>
      <c r="CD677" s="3">
        <v>6.2250267730674116</v>
      </c>
      <c r="CE677" s="3">
        <v>6.1467180948648021</v>
      </c>
      <c r="CF677" s="3">
        <v>6.0775316957899497</v>
      </c>
      <c r="CG677" s="3">
        <v>6.0087294140830574</v>
      </c>
      <c r="CH677" s="3">
        <v>5.9402676579909084</v>
      </c>
      <c r="CI677" s="3">
        <v>5.8722345339020618</v>
      </c>
      <c r="CJ677" s="3">
        <v>5.8045677265863782</v>
      </c>
      <c r="CK677" s="3">
        <v>5.7373233489302322</v>
      </c>
      <c r="CL677" s="3">
        <v>5.6704807558695078</v>
      </c>
      <c r="CM677" s="3">
        <v>5.6040342842306607</v>
      </c>
      <c r="CN677" s="3">
        <v>5.5379878916859546</v>
      </c>
      <c r="CO677" s="3">
        <v>5.4723423243374008</v>
      </c>
      <c r="CP677" s="3">
        <v>5.4070821498906412</v>
      </c>
      <c r="CQ677" s="3">
        <v>5.342210907589628</v>
      </c>
      <c r="CR677" s="3">
        <v>5.2777204122704386</v>
      </c>
      <c r="CS677" s="3">
        <v>5.2136172104208054</v>
      </c>
      <c r="CU677" s="17" t="s">
        <v>4160</v>
      </c>
      <c r="CV677" s="3">
        <v>7.5065155403978823</v>
      </c>
      <c r="CW677" s="3">
        <v>5.8765223984745498</v>
      </c>
      <c r="CX677" s="3">
        <v>6.3654507324028122</v>
      </c>
      <c r="CY677" s="3">
        <v>6.2953922339851083</v>
      </c>
      <c r="CZ677" s="3">
        <v>6.2250267730674116</v>
      </c>
      <c r="DA677" s="3">
        <v>6.1418847598363104</v>
      </c>
      <c r="DB677" s="3">
        <v>6.0726133739050816</v>
      </c>
      <c r="DC677" s="3">
        <v>6.0037388873552651</v>
      </c>
      <c r="DD677" s="3">
        <v>5.9351865502226024</v>
      </c>
      <c r="DE677" s="3">
        <v>5.8670806711515189</v>
      </c>
      <c r="DF677" s="3">
        <v>5.7993392019149477</v>
      </c>
      <c r="DG677" s="3">
        <v>5.7320349651208353</v>
      </c>
      <c r="DH677" s="3">
        <v>5.6651446171683917</v>
      </c>
      <c r="DI677" s="3">
        <v>5.5986469607696048</v>
      </c>
      <c r="DJ677" s="3">
        <v>5.5325525082480116</v>
      </c>
      <c r="DK677" s="3">
        <v>5.4668682313091752</v>
      </c>
      <c r="DL677" s="3">
        <v>5.4015622491548339</v>
      </c>
      <c r="DM677" s="3">
        <v>5.3366403708215806</v>
      </c>
      <c r="DN677" s="3">
        <v>5.272089600998684</v>
      </c>
      <c r="DO677" s="3">
        <v>5.2079211205739879</v>
      </c>
    </row>
    <row r="678" spans="1:230" x14ac:dyDescent="0.45">
      <c r="A678" s="16" t="s">
        <v>4161</v>
      </c>
      <c r="B678" s="3" t="s">
        <v>89</v>
      </c>
      <c r="C678" s="16" t="s">
        <v>4162</v>
      </c>
      <c r="H678" s="3" t="s">
        <v>4163</v>
      </c>
      <c r="I678" s="3" t="s">
        <v>4123</v>
      </c>
      <c r="K678" s="17" t="s">
        <v>4164</v>
      </c>
      <c r="L678" s="3">
        <v>10.89321979343711</v>
      </c>
      <c r="M678" s="3">
        <v>9.7513360966606353</v>
      </c>
      <c r="N678" s="3">
        <v>11.263077272561301</v>
      </c>
      <c r="O678" s="3">
        <v>11.566676717502229</v>
      </c>
      <c r="P678" s="3">
        <v>11.81704338034212</v>
      </c>
      <c r="Q678" s="3">
        <v>12.134400159164819</v>
      </c>
      <c r="R678" s="3">
        <v>12.524016889103549</v>
      </c>
      <c r="S678" s="3">
        <v>12.892386171668511</v>
      </c>
      <c r="T678" s="3">
        <v>13.230814827860421</v>
      </c>
      <c r="U678" s="3">
        <v>13.569954494374549</v>
      </c>
      <c r="V678" s="3">
        <v>13.909169555026651</v>
      </c>
      <c r="W678" s="3">
        <v>14.25022895612442</v>
      </c>
      <c r="X678" s="3">
        <v>14.592949614293911</v>
      </c>
      <c r="Y678" s="3">
        <v>14.93714672433372</v>
      </c>
      <c r="Z678" s="3">
        <v>15.28263381965831</v>
      </c>
      <c r="AA678" s="3">
        <v>15.62922281810801</v>
      </c>
      <c r="AB678" s="3">
        <v>15.97672405347215</v>
      </c>
      <c r="AC678" s="3">
        <v>16.32494629311136</v>
      </c>
      <c r="AD678" s="3">
        <v>16.673696742099239</v>
      </c>
      <c r="AE678" s="3">
        <v>17.02278103433402</v>
      </c>
      <c r="AG678" s="17" t="s">
        <v>4165</v>
      </c>
      <c r="AH678" s="3">
        <v>10.89321979343711</v>
      </c>
      <c r="AI678" s="3">
        <v>9.7513360966606353</v>
      </c>
      <c r="AJ678" s="3">
        <v>11.263077272561301</v>
      </c>
      <c r="AK678" s="3">
        <v>11.566676717502229</v>
      </c>
      <c r="AL678" s="3">
        <v>11.81704338034212</v>
      </c>
      <c r="AM678" s="3">
        <v>10.09756548136472</v>
      </c>
      <c r="AN678" s="3">
        <v>10.421440644201549</v>
      </c>
      <c r="AO678" s="3">
        <v>10.73227901737522</v>
      </c>
      <c r="AP678" s="3">
        <v>11.00276598457253</v>
      </c>
      <c r="AQ678" s="3">
        <v>11.28627554478123</v>
      </c>
      <c r="AR678" s="3">
        <v>11.56376990093781</v>
      </c>
      <c r="AS678" s="3">
        <v>11.853251816064891</v>
      </c>
      <c r="AT678" s="3">
        <v>12.14934891853742</v>
      </c>
      <c r="AU678" s="3">
        <v>12.444475257280089</v>
      </c>
      <c r="AV678" s="3">
        <v>12.7430957725859</v>
      </c>
      <c r="AW678" s="3">
        <v>13.04812517008682</v>
      </c>
      <c r="AX678" s="3">
        <v>13.34930228992819</v>
      </c>
      <c r="AY678" s="3">
        <v>13.648617629788481</v>
      </c>
      <c r="AZ678" s="3">
        <v>13.94221983860904</v>
      </c>
      <c r="BA678" s="3">
        <v>14.234326173321231</v>
      </c>
      <c r="BC678" s="17" t="s">
        <v>4166</v>
      </c>
      <c r="BD678" s="3">
        <v>10.89321979343711</v>
      </c>
      <c r="BE678" s="3">
        <v>9.7513360966606353</v>
      </c>
      <c r="BF678" s="3">
        <v>11.263077272561301</v>
      </c>
      <c r="BG678" s="3">
        <v>11.566676717502229</v>
      </c>
      <c r="BH678" s="3">
        <v>11.81704338034212</v>
      </c>
      <c r="BI678" s="3">
        <v>10.85248943412814</v>
      </c>
      <c r="BJ678" s="3">
        <v>9.9010367799096102</v>
      </c>
      <c r="BK678" s="3">
        <v>9.1948651909023837</v>
      </c>
      <c r="BL678" s="3">
        <v>8.6313682947391204</v>
      </c>
      <c r="BM678" s="3">
        <v>8.2564129637243102</v>
      </c>
      <c r="BN678" s="3">
        <v>7.9464732111421892</v>
      </c>
      <c r="BO678" s="3">
        <v>7.6909264323000111</v>
      </c>
      <c r="BP678" s="3">
        <v>7.4802649554322116</v>
      </c>
      <c r="BQ678" s="3">
        <v>7.3044156804456346</v>
      </c>
      <c r="BR678" s="3">
        <v>7.156934417564635</v>
      </c>
      <c r="BS678" s="3">
        <v>7.0341353757112737</v>
      </c>
      <c r="BT678" s="3">
        <v>6.9305752235330838</v>
      </c>
      <c r="BU678" s="3">
        <v>6.8423247525430622</v>
      </c>
      <c r="BV678" s="3">
        <v>6.7648533270741771</v>
      </c>
      <c r="BW678" s="3">
        <v>6.6959427682114097</v>
      </c>
      <c r="BY678" s="17" t="s">
        <v>4167</v>
      </c>
      <c r="BZ678" s="3">
        <v>10.89321979343711</v>
      </c>
      <c r="CA678" s="3">
        <v>9.7513360966606353</v>
      </c>
      <c r="CB678" s="3">
        <v>11.263077272561301</v>
      </c>
      <c r="CC678" s="3">
        <v>11.566676717502229</v>
      </c>
      <c r="CD678" s="3">
        <v>11.81704338034212</v>
      </c>
      <c r="CE678" s="3">
        <v>9.7501055220472175</v>
      </c>
      <c r="CF678" s="3">
        <v>10.0474127984597</v>
      </c>
      <c r="CG678" s="3">
        <v>10.332376081019239</v>
      </c>
      <c r="CH678" s="3">
        <v>10.58056499529093</v>
      </c>
      <c r="CI678" s="3">
        <v>10.843581951918759</v>
      </c>
      <c r="CJ678" s="3">
        <v>11.09895339266831</v>
      </c>
      <c r="CK678" s="3">
        <v>11.367397238660811</v>
      </c>
      <c r="CL678" s="3">
        <v>11.638331434234029</v>
      </c>
      <c r="CM678" s="3">
        <v>11.909345203744</v>
      </c>
      <c r="CN678" s="3">
        <v>12.188417280542399</v>
      </c>
      <c r="CO678" s="3">
        <v>12.472209370394109</v>
      </c>
      <c r="CP678" s="3">
        <v>12.75255079747955</v>
      </c>
      <c r="CQ678" s="3">
        <v>13.03261223969109</v>
      </c>
      <c r="CR678" s="3">
        <v>13.30837097968223</v>
      </c>
      <c r="CS678" s="3">
        <v>13.5849233051174</v>
      </c>
      <c r="CU678" s="17" t="s">
        <v>4168</v>
      </c>
      <c r="CV678" s="3">
        <v>10.89321979343711</v>
      </c>
      <c r="CW678" s="3">
        <v>9.7513360966606353</v>
      </c>
      <c r="CX678" s="3">
        <v>11.263077272561301</v>
      </c>
      <c r="CY678" s="3">
        <v>11.566676717502229</v>
      </c>
      <c r="CZ678" s="3">
        <v>11.81704338034212</v>
      </c>
      <c r="DA678" s="3">
        <v>8.240715394550044</v>
      </c>
      <c r="DB678" s="3">
        <v>8.5049371595962278</v>
      </c>
      <c r="DC678" s="3">
        <v>8.7628460533130763</v>
      </c>
      <c r="DD678" s="3">
        <v>8.9730839214121154</v>
      </c>
      <c r="DE678" s="3">
        <v>9.2067470060288485</v>
      </c>
      <c r="DF678" s="3">
        <v>9.4282474656134436</v>
      </c>
      <c r="DG678" s="3">
        <v>9.6705713947554965</v>
      </c>
      <c r="DH678" s="3">
        <v>9.9217638241916895</v>
      </c>
      <c r="DI678" s="3">
        <v>10.17061916531935</v>
      </c>
      <c r="DJ678" s="3">
        <v>10.424405386635311</v>
      </c>
      <c r="DK678" s="3">
        <v>10.688548555541351</v>
      </c>
      <c r="DL678" s="3">
        <v>10.945002172663649</v>
      </c>
      <c r="DM678" s="3">
        <v>11.198198587496259</v>
      </c>
      <c r="DN678" s="3">
        <v>11.441082683498591</v>
      </c>
      <c r="DO678" s="3">
        <v>11.681494430017731</v>
      </c>
    </row>
    <row r="679" spans="1:230" x14ac:dyDescent="0.45">
      <c r="A679" s="16" t="s">
        <v>4169</v>
      </c>
      <c r="B679" s="3" t="s">
        <v>89</v>
      </c>
      <c r="C679" s="16" t="s">
        <v>4170</v>
      </c>
      <c r="H679" s="3" t="s">
        <v>4171</v>
      </c>
      <c r="I679" s="3" t="s">
        <v>4123</v>
      </c>
      <c r="K679" s="17" t="s">
        <v>4172</v>
      </c>
      <c r="L679" s="3">
        <v>2.739336115656291</v>
      </c>
      <c r="M679" s="3">
        <v>3.2703703896572329</v>
      </c>
      <c r="N679" s="3">
        <v>4.1296287408619854</v>
      </c>
      <c r="O679" s="3">
        <v>4.214615485819694</v>
      </c>
      <c r="P679" s="3">
        <v>4.2972873694702587</v>
      </c>
      <c r="Q679" s="3">
        <v>4.3933315899403</v>
      </c>
      <c r="R679" s="3">
        <v>4.5055608760912618</v>
      </c>
      <c r="S679" s="3">
        <v>4.6126285977209696</v>
      </c>
      <c r="T679" s="3">
        <v>4.7126024577004273</v>
      </c>
      <c r="U679" s="3">
        <v>4.8128817592228614</v>
      </c>
      <c r="V679" s="3">
        <v>4.9137997390767163</v>
      </c>
      <c r="W679" s="3">
        <v>5.0153326691323867</v>
      </c>
      <c r="X679" s="3">
        <v>5.1174568696925862</v>
      </c>
      <c r="Y679" s="3">
        <v>5.2201486914307402</v>
      </c>
      <c r="Z679" s="3">
        <v>5.323384494606958</v>
      </c>
      <c r="AA679" s="3">
        <v>5.4271406256544692</v>
      </c>
      <c r="AB679" s="3">
        <v>5.531393391223439</v>
      </c>
      <c r="AC679" s="3">
        <v>5.6361190297632762</v>
      </c>
      <c r="AD679" s="3">
        <v>5.7412936807178987</v>
      </c>
      <c r="AE679" s="3">
        <v>5.8468933514023229</v>
      </c>
      <c r="AG679" s="17" t="s">
        <v>4173</v>
      </c>
      <c r="AH679" s="3">
        <v>2.739336115656291</v>
      </c>
      <c r="AI679" s="3">
        <v>3.2703703896572329</v>
      </c>
      <c r="AJ679" s="3">
        <v>4.1296287408619854</v>
      </c>
      <c r="AK679" s="3">
        <v>4.214615485819694</v>
      </c>
      <c r="AL679" s="3">
        <v>4.2972873694702587</v>
      </c>
      <c r="AM679" s="3">
        <v>3.576817618011475</v>
      </c>
      <c r="AN679" s="3">
        <v>3.668188985686955</v>
      </c>
      <c r="AO679" s="3">
        <v>3.7564489829418091</v>
      </c>
      <c r="AP679" s="3">
        <v>3.8353640750350491</v>
      </c>
      <c r="AQ679" s="3">
        <v>3.9174162991753758</v>
      </c>
      <c r="AR679" s="3">
        <v>3.9985235828841921</v>
      </c>
      <c r="AS679" s="3">
        <v>4.0825282993882466</v>
      </c>
      <c r="AT679" s="3">
        <v>4.1681937990613678</v>
      </c>
      <c r="AU679" s="3">
        <v>4.2538044454430652</v>
      </c>
      <c r="AV679" s="3">
        <v>4.340390034109646</v>
      </c>
      <c r="AW679" s="3">
        <v>4.4286158349794924</v>
      </c>
      <c r="AX679" s="3">
        <v>4.516189833617938</v>
      </c>
      <c r="AY679" s="3">
        <v>4.6035848849924559</v>
      </c>
      <c r="AZ679" s="3">
        <v>4.6899680053285389</v>
      </c>
      <c r="BA679" s="3">
        <v>4.7763033293465167</v>
      </c>
      <c r="BC679" s="17" t="s">
        <v>4174</v>
      </c>
      <c r="BD679" s="3">
        <v>2.739336115656291</v>
      </c>
      <c r="BE679" s="3">
        <v>3.2703703896572329</v>
      </c>
      <c r="BF679" s="3">
        <v>4.1296287408619854</v>
      </c>
      <c r="BG679" s="3">
        <v>4.214615485819694</v>
      </c>
      <c r="BH679" s="3">
        <v>4.2972873694702587</v>
      </c>
      <c r="BI679" s="3">
        <v>3.9444228601152722</v>
      </c>
      <c r="BJ679" s="3">
        <v>3.5572823717642481</v>
      </c>
      <c r="BK679" s="3">
        <v>3.2479739993935262</v>
      </c>
      <c r="BL679" s="3">
        <v>2.9917292675440139</v>
      </c>
      <c r="BM679" s="3">
        <v>2.780166757869841</v>
      </c>
      <c r="BN679" s="3">
        <v>2.6023969446502901</v>
      </c>
      <c r="BO679" s="3">
        <v>2.4518265523730909</v>
      </c>
      <c r="BP679" s="3">
        <v>2.3232573564429781</v>
      </c>
      <c r="BQ679" s="3">
        <v>2.212152624641945</v>
      </c>
      <c r="BR679" s="3">
        <v>2.1153128919085562</v>
      </c>
      <c r="BS679" s="3">
        <v>2.030504969749753</v>
      </c>
      <c r="BT679" s="3">
        <v>1.955480931857871</v>
      </c>
      <c r="BU679" s="3">
        <v>1.888548592700334</v>
      </c>
      <c r="BV679" s="3">
        <v>1.828117933945689</v>
      </c>
      <c r="BW679" s="3">
        <v>1.773180802216942</v>
      </c>
      <c r="BY679" s="17" t="s">
        <v>4175</v>
      </c>
      <c r="BZ679" s="3">
        <v>2.739336115656291</v>
      </c>
      <c r="CA679" s="3">
        <v>3.2703703896572329</v>
      </c>
      <c r="CB679" s="3">
        <v>4.1296287408619854</v>
      </c>
      <c r="CC679" s="3">
        <v>4.214615485819694</v>
      </c>
      <c r="CD679" s="3">
        <v>4.2972873694702587</v>
      </c>
      <c r="CE679" s="3">
        <v>3.4169527227474732</v>
      </c>
      <c r="CF679" s="3">
        <v>3.504238862719546</v>
      </c>
      <c r="CG679" s="3">
        <v>3.588399671713733</v>
      </c>
      <c r="CH679" s="3">
        <v>3.6639316976821221</v>
      </c>
      <c r="CI679" s="3">
        <v>3.7427947111591831</v>
      </c>
      <c r="CJ679" s="3">
        <v>3.820163618858015</v>
      </c>
      <c r="CK679" s="3">
        <v>3.9005844597229791</v>
      </c>
      <c r="CL679" s="3">
        <v>3.9816133262021252</v>
      </c>
      <c r="CM679" s="3">
        <v>4.0627555406376397</v>
      </c>
      <c r="CN679" s="3">
        <v>4.1448008583676774</v>
      </c>
      <c r="CO679" s="3">
        <v>4.2281206872722956</v>
      </c>
      <c r="CP679" s="3">
        <v>4.3108880988812546</v>
      </c>
      <c r="CQ679" s="3">
        <v>4.3938346587848063</v>
      </c>
      <c r="CR679" s="3">
        <v>4.4760916283010426</v>
      </c>
      <c r="CS679" s="3">
        <v>4.5588117606156224</v>
      </c>
      <c r="CU679" s="17" t="s">
        <v>4176</v>
      </c>
      <c r="CV679" s="3">
        <v>2.739336115656291</v>
      </c>
      <c r="CW679" s="3">
        <v>3.2703703896572329</v>
      </c>
      <c r="CX679" s="3">
        <v>4.1296287408619854</v>
      </c>
      <c r="CY679" s="3">
        <v>4.214615485819694</v>
      </c>
      <c r="CZ679" s="3">
        <v>4.2972873694702587</v>
      </c>
      <c r="DA679" s="3">
        <v>2.7891411432401361</v>
      </c>
      <c r="DB679" s="3">
        <v>2.8603912192143159</v>
      </c>
      <c r="DC679" s="3">
        <v>2.9301855449254028</v>
      </c>
      <c r="DD679" s="3">
        <v>2.9894505613623861</v>
      </c>
      <c r="DE679" s="3">
        <v>3.0539929743676759</v>
      </c>
      <c r="DF679" s="3">
        <v>3.1161584777334781</v>
      </c>
      <c r="DG679" s="3">
        <v>3.1829961998286622</v>
      </c>
      <c r="DH679" s="3">
        <v>3.251869086593306</v>
      </c>
      <c r="DI679" s="3">
        <v>3.3203501058530951</v>
      </c>
      <c r="DJ679" s="3">
        <v>3.3900249517676331</v>
      </c>
      <c r="DK679" s="3">
        <v>3.4620578138887081</v>
      </c>
      <c r="DL679" s="3">
        <v>3.5325935850161811</v>
      </c>
      <c r="DM679" s="3">
        <v>3.6026095568188361</v>
      </c>
      <c r="DN679" s="3">
        <v>3.6706364440556061</v>
      </c>
      <c r="DO679" s="3">
        <v>3.738363293836696</v>
      </c>
    </row>
    <row r="680" spans="1:230" x14ac:dyDescent="0.45">
      <c r="A680" s="11"/>
      <c r="B680" s="3" t="s">
        <v>4033</v>
      </c>
      <c r="C680" s="16" t="s">
        <v>4177</v>
      </c>
      <c r="H680" s="11" t="s">
        <v>4178</v>
      </c>
      <c r="I680" s="11" t="s">
        <v>4179</v>
      </c>
    </row>
    <row r="681" spans="1:230" x14ac:dyDescent="0.45">
      <c r="A681" s="11"/>
      <c r="B681" s="3" t="s">
        <v>4033</v>
      </c>
      <c r="C681" s="16" t="s">
        <v>4177</v>
      </c>
      <c r="H681" s="11" t="s">
        <v>4180</v>
      </c>
      <c r="I681" s="11" t="s">
        <v>4179</v>
      </c>
    </row>
    <row r="682" spans="1:230" ht="15.4" x14ac:dyDescent="0.45">
      <c r="A682" s="5"/>
      <c r="B682" s="15" t="s">
        <v>4181</v>
      </c>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row>
    <row r="683" spans="1:230" x14ac:dyDescent="0.45">
      <c r="A683" s="16" t="s">
        <v>4182</v>
      </c>
      <c r="B683" s="3" t="s">
        <v>89</v>
      </c>
      <c r="C683" s="16" t="s">
        <v>4183</v>
      </c>
      <c r="H683" s="3" t="s">
        <v>4184</v>
      </c>
      <c r="I683" s="3" t="s">
        <v>4185</v>
      </c>
      <c r="K683" s="17" t="s">
        <v>4186</v>
      </c>
      <c r="L683" s="3">
        <v>5.2720759671303137</v>
      </c>
      <c r="M683" s="3">
        <v>5.482959005815526</v>
      </c>
      <c r="N683" s="3">
        <v>5.7022773660481478</v>
      </c>
      <c r="O683" s="3">
        <v>5.9303684606900742</v>
      </c>
      <c r="P683" s="3">
        <v>6.1675831991176766</v>
      </c>
      <c r="Q683" s="3">
        <v>6.4142865270823837</v>
      </c>
      <c r="R683" s="3">
        <v>6.6708579881656798</v>
      </c>
      <c r="S683" s="3">
        <v>6.9376923076923056</v>
      </c>
      <c r="T683" s="3">
        <v>7.2151999999999994</v>
      </c>
      <c r="U683" s="3">
        <v>7.5038079999999994</v>
      </c>
      <c r="V683" s="3">
        <v>7.8039603199999998</v>
      </c>
      <c r="W683" s="3">
        <v>8.1161187328000004</v>
      </c>
      <c r="X683" s="3">
        <v>8.4407634821120006</v>
      </c>
      <c r="Y683" s="3">
        <v>8.7783940213964797</v>
      </c>
      <c r="Z683" s="3">
        <v>9.1295297822523409</v>
      </c>
      <c r="AA683" s="3">
        <v>9.4947109735424338</v>
      </c>
      <c r="AB683" s="3">
        <v>9.8744994124841305</v>
      </c>
      <c r="AC683" s="3">
        <v>10.2694793889835</v>
      </c>
      <c r="AD683" s="3">
        <v>10.680258564542839</v>
      </c>
      <c r="AE683" s="3">
        <v>11.10746890712455</v>
      </c>
      <c r="AG683" s="17" t="s">
        <v>4187</v>
      </c>
      <c r="AH683" s="3">
        <v>5.2720759671303137</v>
      </c>
      <c r="AI683" s="3">
        <v>5.482959005815526</v>
      </c>
      <c r="AJ683" s="3">
        <v>5.7022773660481478</v>
      </c>
      <c r="AK683" s="3">
        <v>5.9303684606900742</v>
      </c>
      <c r="AL683" s="3">
        <v>6.1675831991176766</v>
      </c>
      <c r="AM683" s="3">
        <v>6.4142865270823837</v>
      </c>
      <c r="AN683" s="3">
        <v>6.6708579881656798</v>
      </c>
      <c r="AO683" s="3">
        <v>6.9376923076923056</v>
      </c>
      <c r="AP683" s="3">
        <v>7.2151999999999994</v>
      </c>
      <c r="AQ683" s="3">
        <v>7.5038079999999994</v>
      </c>
      <c r="AR683" s="3">
        <v>7.8039603199999998</v>
      </c>
      <c r="AS683" s="3">
        <v>8.1161187328000004</v>
      </c>
      <c r="AT683" s="3">
        <v>8.4407634821120006</v>
      </c>
      <c r="AU683" s="3">
        <v>8.7783940213964797</v>
      </c>
      <c r="AV683" s="3">
        <v>9.1295297822523409</v>
      </c>
      <c r="AW683" s="3">
        <v>9.4947109735424338</v>
      </c>
      <c r="AX683" s="3">
        <v>9.8744994124841305</v>
      </c>
      <c r="AY683" s="3">
        <v>10.2694793889835</v>
      </c>
      <c r="AZ683" s="3">
        <v>10.680258564542839</v>
      </c>
      <c r="BA683" s="3">
        <v>11.10746890712455</v>
      </c>
      <c r="BC683" s="17" t="s">
        <v>4188</v>
      </c>
      <c r="BD683" s="3">
        <v>5.2720759671303137</v>
      </c>
      <c r="BE683" s="3">
        <v>5.482959005815526</v>
      </c>
      <c r="BF683" s="3">
        <v>5.7022773660481478</v>
      </c>
      <c r="BG683" s="3">
        <v>5.9303684606900742</v>
      </c>
      <c r="BH683" s="3">
        <v>6.1675831991176766</v>
      </c>
      <c r="BI683" s="3">
        <v>6.4142865270823837</v>
      </c>
      <c r="BJ683" s="3">
        <v>6.6708579881656798</v>
      </c>
      <c r="BK683" s="3">
        <v>6.9376923076923056</v>
      </c>
      <c r="BL683" s="3">
        <v>7.2151999999999994</v>
      </c>
      <c r="BM683" s="3">
        <v>7.5038079999999994</v>
      </c>
      <c r="BN683" s="3">
        <v>7.8039603199999998</v>
      </c>
      <c r="BO683" s="3">
        <v>8.1161187328000004</v>
      </c>
      <c r="BP683" s="3">
        <v>8.4407634821120006</v>
      </c>
      <c r="BQ683" s="3">
        <v>8.7783940213964797</v>
      </c>
      <c r="BR683" s="3">
        <v>9.1295297822523409</v>
      </c>
      <c r="BS683" s="3">
        <v>9.4947109735424338</v>
      </c>
      <c r="BT683" s="3">
        <v>9.8744994124841305</v>
      </c>
      <c r="BU683" s="3">
        <v>10.2694793889835</v>
      </c>
      <c r="BV683" s="3">
        <v>10.680258564542839</v>
      </c>
      <c r="BW683" s="3">
        <v>11.10746890712455</v>
      </c>
      <c r="BY683" s="17" t="s">
        <v>4189</v>
      </c>
      <c r="BZ683" s="3">
        <v>5.2720759671303137</v>
      </c>
      <c r="CA683" s="3">
        <v>5.482959005815526</v>
      </c>
      <c r="CB683" s="3">
        <v>5.7022773660481478</v>
      </c>
      <c r="CC683" s="3">
        <v>5.9303684606900742</v>
      </c>
      <c r="CD683" s="3">
        <v>6.1675831991176766</v>
      </c>
      <c r="CE683" s="3">
        <v>6.4142865270823837</v>
      </c>
      <c r="CF683" s="3">
        <v>6.6708579881656798</v>
      </c>
      <c r="CG683" s="3">
        <v>6.9376923076923056</v>
      </c>
      <c r="CH683" s="3">
        <v>7.2151999999999994</v>
      </c>
      <c r="CI683" s="3">
        <v>7.5038079999999994</v>
      </c>
      <c r="CJ683" s="3">
        <v>7.8039603199999998</v>
      </c>
      <c r="CK683" s="3">
        <v>8.1161187328000004</v>
      </c>
      <c r="CL683" s="3">
        <v>8.4407634821120006</v>
      </c>
      <c r="CM683" s="3">
        <v>8.7783940213964797</v>
      </c>
      <c r="CN683" s="3">
        <v>9.1295297822523409</v>
      </c>
      <c r="CO683" s="3">
        <v>9.4947109735424338</v>
      </c>
      <c r="CP683" s="3">
        <v>9.8744994124841305</v>
      </c>
      <c r="CQ683" s="3">
        <v>10.2694793889835</v>
      </c>
      <c r="CR683" s="3">
        <v>10.680258564542839</v>
      </c>
      <c r="CS683" s="3">
        <v>11.10746890712455</v>
      </c>
      <c r="CU683" s="17" t="s">
        <v>4190</v>
      </c>
      <c r="CV683" s="3">
        <v>5.2720759671303137</v>
      </c>
      <c r="CW683" s="3">
        <v>5.482959005815526</v>
      </c>
      <c r="CX683" s="3">
        <v>5.7022773660481478</v>
      </c>
      <c r="CY683" s="3">
        <v>5.9303684606900742</v>
      </c>
      <c r="CZ683" s="3">
        <v>6.1675831991176766</v>
      </c>
      <c r="DA683" s="3">
        <v>6.4142865270823837</v>
      </c>
      <c r="DB683" s="3">
        <v>6.6708579881656798</v>
      </c>
      <c r="DC683" s="3">
        <v>6.9376923076923056</v>
      </c>
      <c r="DD683" s="3">
        <v>7.2151999999999994</v>
      </c>
      <c r="DE683" s="3">
        <v>7.5038079999999994</v>
      </c>
      <c r="DF683" s="3">
        <v>7.8039603199999998</v>
      </c>
      <c r="DG683" s="3">
        <v>8.1161187328000004</v>
      </c>
      <c r="DH683" s="3">
        <v>8.4407634821120006</v>
      </c>
      <c r="DI683" s="3">
        <v>8.7783940213964797</v>
      </c>
      <c r="DJ683" s="3">
        <v>9.1295297822523409</v>
      </c>
      <c r="DK683" s="3">
        <v>9.4947109735424338</v>
      </c>
      <c r="DL683" s="3">
        <v>9.8744994124841305</v>
      </c>
      <c r="DM683" s="3">
        <v>10.2694793889835</v>
      </c>
      <c r="DN683" s="3">
        <v>10.680258564542839</v>
      </c>
      <c r="DO683" s="3">
        <v>11.10746890712455</v>
      </c>
    </row>
    <row r="684" spans="1:230" x14ac:dyDescent="0.45">
      <c r="A684" s="16" t="s">
        <v>4191</v>
      </c>
      <c r="B684" s="3" t="s">
        <v>89</v>
      </c>
      <c r="C684" s="16" t="s">
        <v>4192</v>
      </c>
      <c r="H684" s="3" t="s">
        <v>4193</v>
      </c>
      <c r="I684" s="3" t="s">
        <v>4185</v>
      </c>
      <c r="K684" s="17" t="s">
        <v>4194</v>
      </c>
      <c r="L684" s="3">
        <v>3.0579385079333021</v>
      </c>
      <c r="M684" s="3">
        <v>3.180256048250635</v>
      </c>
      <c r="N684" s="3">
        <v>3.3074662901806602</v>
      </c>
      <c r="O684" s="3">
        <v>3.4397649417878871</v>
      </c>
      <c r="P684" s="3">
        <v>3.5773555394594019</v>
      </c>
      <c r="Q684" s="3">
        <v>3.720449761037778</v>
      </c>
      <c r="R684" s="3">
        <v>3.8692677514792888</v>
      </c>
      <c r="S684" s="3">
        <v>4.0240384615384608</v>
      </c>
      <c r="T684" s="3">
        <v>4.1849999999999996</v>
      </c>
      <c r="U684" s="3">
        <v>4.3523999999999994</v>
      </c>
      <c r="V684" s="3">
        <v>4.5264959999999999</v>
      </c>
      <c r="W684" s="3">
        <v>4.7075558399999986</v>
      </c>
      <c r="X684" s="3">
        <v>4.8958580736000004</v>
      </c>
      <c r="Y684" s="3">
        <v>5.0916923965440004</v>
      </c>
      <c r="Z684" s="3">
        <v>5.2953600924057609</v>
      </c>
      <c r="AA684" s="3">
        <v>5.5071744961019924</v>
      </c>
      <c r="AB684" s="3">
        <v>5.7274614759460709</v>
      </c>
      <c r="AC684" s="3">
        <v>5.9565599349839138</v>
      </c>
      <c r="AD684" s="3">
        <v>6.1948223323832714</v>
      </c>
      <c r="AE684" s="3">
        <v>6.442615225678602</v>
      </c>
      <c r="AG684" s="17" t="s">
        <v>4195</v>
      </c>
      <c r="AH684" s="3">
        <v>3.0579385079333021</v>
      </c>
      <c r="AI684" s="3">
        <v>3.180256048250635</v>
      </c>
      <c r="AJ684" s="3">
        <v>3.3074662901806602</v>
      </c>
      <c r="AK684" s="3">
        <v>3.4397649417878871</v>
      </c>
      <c r="AL684" s="3">
        <v>3.5773555394594019</v>
      </c>
      <c r="AM684" s="3">
        <v>3.720449761037778</v>
      </c>
      <c r="AN684" s="3">
        <v>3.8692677514792888</v>
      </c>
      <c r="AO684" s="3">
        <v>4.0240384615384608</v>
      </c>
      <c r="AP684" s="3">
        <v>4.1849999999999996</v>
      </c>
      <c r="AQ684" s="3">
        <v>4.3523999999999994</v>
      </c>
      <c r="AR684" s="3">
        <v>4.5264959999999999</v>
      </c>
      <c r="AS684" s="3">
        <v>4.7075558399999986</v>
      </c>
      <c r="AT684" s="3">
        <v>4.8958580736000004</v>
      </c>
      <c r="AU684" s="3">
        <v>5.0916923965440004</v>
      </c>
      <c r="AV684" s="3">
        <v>5.2953600924057609</v>
      </c>
      <c r="AW684" s="3">
        <v>5.5071744961019924</v>
      </c>
      <c r="AX684" s="3">
        <v>5.7274614759460709</v>
      </c>
      <c r="AY684" s="3">
        <v>5.9565599349839138</v>
      </c>
      <c r="AZ684" s="3">
        <v>6.1948223323832714</v>
      </c>
      <c r="BA684" s="3">
        <v>6.442615225678602</v>
      </c>
      <c r="BC684" s="17" t="s">
        <v>4196</v>
      </c>
      <c r="BD684" s="3">
        <v>3.0579385079333021</v>
      </c>
      <c r="BE684" s="3">
        <v>3.180256048250635</v>
      </c>
      <c r="BF684" s="3">
        <v>3.3074662901806602</v>
      </c>
      <c r="BG684" s="3">
        <v>3.4397649417878871</v>
      </c>
      <c r="BH684" s="3">
        <v>3.5773555394594019</v>
      </c>
      <c r="BI684" s="3">
        <v>3.720449761037778</v>
      </c>
      <c r="BJ684" s="3">
        <v>3.8692677514792888</v>
      </c>
      <c r="BK684" s="3">
        <v>4.0240384615384608</v>
      </c>
      <c r="BL684" s="3">
        <v>4.1849999999999996</v>
      </c>
      <c r="BM684" s="3">
        <v>4.3523999999999994</v>
      </c>
      <c r="BN684" s="3">
        <v>4.5264959999999999</v>
      </c>
      <c r="BO684" s="3">
        <v>4.7075558399999986</v>
      </c>
      <c r="BP684" s="3">
        <v>4.8958580736000004</v>
      </c>
      <c r="BQ684" s="3">
        <v>5.0916923965440004</v>
      </c>
      <c r="BR684" s="3">
        <v>5.2953600924057609</v>
      </c>
      <c r="BS684" s="3">
        <v>5.5071744961019924</v>
      </c>
      <c r="BT684" s="3">
        <v>5.7274614759460709</v>
      </c>
      <c r="BU684" s="3">
        <v>5.9565599349839138</v>
      </c>
      <c r="BV684" s="3">
        <v>6.1948223323832714</v>
      </c>
      <c r="BW684" s="3">
        <v>6.442615225678602</v>
      </c>
      <c r="BY684" s="17" t="s">
        <v>4197</v>
      </c>
      <c r="BZ684" s="3">
        <v>3.0579385079333021</v>
      </c>
      <c r="CA684" s="3">
        <v>3.180256048250635</v>
      </c>
      <c r="CB684" s="3">
        <v>3.3074662901806602</v>
      </c>
      <c r="CC684" s="3">
        <v>3.4397649417878871</v>
      </c>
      <c r="CD684" s="3">
        <v>3.5773555394594019</v>
      </c>
      <c r="CE684" s="3">
        <v>3.720449761037778</v>
      </c>
      <c r="CF684" s="3">
        <v>3.8692677514792888</v>
      </c>
      <c r="CG684" s="3">
        <v>4.0240384615384608</v>
      </c>
      <c r="CH684" s="3">
        <v>4.1849999999999996</v>
      </c>
      <c r="CI684" s="3">
        <v>4.3523999999999994</v>
      </c>
      <c r="CJ684" s="3">
        <v>4.5264959999999999</v>
      </c>
      <c r="CK684" s="3">
        <v>4.7075558399999986</v>
      </c>
      <c r="CL684" s="3">
        <v>4.8958580736000004</v>
      </c>
      <c r="CM684" s="3">
        <v>5.0916923965440004</v>
      </c>
      <c r="CN684" s="3">
        <v>5.2953600924057609</v>
      </c>
      <c r="CO684" s="3">
        <v>5.5071744961019924</v>
      </c>
      <c r="CP684" s="3">
        <v>5.7274614759460709</v>
      </c>
      <c r="CQ684" s="3">
        <v>5.9565599349839138</v>
      </c>
      <c r="CR684" s="3">
        <v>6.1948223323832714</v>
      </c>
      <c r="CS684" s="3">
        <v>6.442615225678602</v>
      </c>
      <c r="CU684" s="17" t="s">
        <v>4198</v>
      </c>
      <c r="CV684" s="3">
        <v>3.0579385079333021</v>
      </c>
      <c r="CW684" s="3">
        <v>3.180256048250635</v>
      </c>
      <c r="CX684" s="3">
        <v>3.3074662901806602</v>
      </c>
      <c r="CY684" s="3">
        <v>3.4397649417878871</v>
      </c>
      <c r="CZ684" s="3">
        <v>3.5773555394594019</v>
      </c>
      <c r="DA684" s="3">
        <v>3.720449761037778</v>
      </c>
      <c r="DB684" s="3">
        <v>3.8692677514792888</v>
      </c>
      <c r="DC684" s="3">
        <v>4.0240384615384608</v>
      </c>
      <c r="DD684" s="3">
        <v>4.1849999999999996</v>
      </c>
      <c r="DE684" s="3">
        <v>4.3523999999999994</v>
      </c>
      <c r="DF684" s="3">
        <v>4.5264959999999999</v>
      </c>
      <c r="DG684" s="3">
        <v>4.7075558399999986</v>
      </c>
      <c r="DH684" s="3">
        <v>4.8958580736000004</v>
      </c>
      <c r="DI684" s="3">
        <v>5.0916923965440004</v>
      </c>
      <c r="DJ684" s="3">
        <v>5.2953600924057609</v>
      </c>
      <c r="DK684" s="3">
        <v>5.5071744961019924</v>
      </c>
      <c r="DL684" s="3">
        <v>5.7274614759460709</v>
      </c>
      <c r="DM684" s="3">
        <v>5.9565599349839138</v>
      </c>
      <c r="DN684" s="3">
        <v>6.1948223323832714</v>
      </c>
      <c r="DO684" s="3">
        <v>6.442615225678602</v>
      </c>
    </row>
    <row r="685" spans="1:230" x14ac:dyDescent="0.45">
      <c r="A685" s="16" t="s">
        <v>4199</v>
      </c>
      <c r="B685" s="3" t="s">
        <v>89</v>
      </c>
      <c r="C685" s="16" t="s">
        <v>4200</v>
      </c>
      <c r="H685" s="3" t="s">
        <v>4201</v>
      </c>
      <c r="I685" s="3" t="s">
        <v>4185</v>
      </c>
      <c r="K685" s="17" t="s">
        <v>4202</v>
      </c>
      <c r="L685" s="3">
        <v>3.6918031271449609</v>
      </c>
      <c r="M685" s="3">
        <v>3.8394752522307591</v>
      </c>
      <c r="N685" s="3">
        <v>3.9930542623199901</v>
      </c>
      <c r="O685" s="3">
        <v>4.1527764328127894</v>
      </c>
      <c r="P685" s="3">
        <v>4.3188874901253014</v>
      </c>
      <c r="Q685" s="3">
        <v>4.4916429897303134</v>
      </c>
      <c r="R685" s="3">
        <v>4.6713087093195256</v>
      </c>
      <c r="S685" s="3">
        <v>4.8581610576923069</v>
      </c>
      <c r="T685" s="3">
        <v>5.0524874999999998</v>
      </c>
      <c r="U685" s="3">
        <v>5.2545869999999999</v>
      </c>
      <c r="V685" s="3">
        <v>5.4647704800000003</v>
      </c>
      <c r="W685" s="3">
        <v>5.6833612992000004</v>
      </c>
      <c r="X685" s="3">
        <v>5.9106957511680003</v>
      </c>
      <c r="Y685" s="3">
        <v>6.1471235812147196</v>
      </c>
      <c r="Z685" s="3">
        <v>6.3930085244633101</v>
      </c>
      <c r="AA685" s="3">
        <v>6.6487288654418419</v>
      </c>
      <c r="AB685" s="3">
        <v>6.9146780200595162</v>
      </c>
      <c r="AC685" s="3">
        <v>7.1912651408618968</v>
      </c>
      <c r="AD685" s="3">
        <v>7.4789157464963729</v>
      </c>
      <c r="AE685" s="3">
        <v>7.7780723763562287</v>
      </c>
      <c r="AG685" s="17" t="s">
        <v>4203</v>
      </c>
      <c r="AH685" s="3">
        <v>3.6918031271449609</v>
      </c>
      <c r="AI685" s="3">
        <v>3.8394752522307591</v>
      </c>
      <c r="AJ685" s="3">
        <v>3.9930542623199901</v>
      </c>
      <c r="AK685" s="3">
        <v>4.1527764328127894</v>
      </c>
      <c r="AL685" s="3">
        <v>4.3188874901253014</v>
      </c>
      <c r="AM685" s="3">
        <v>4.4916429897303134</v>
      </c>
      <c r="AN685" s="3">
        <v>4.6713087093195256</v>
      </c>
      <c r="AO685" s="3">
        <v>4.8581610576923069</v>
      </c>
      <c r="AP685" s="3">
        <v>5.0524874999999998</v>
      </c>
      <c r="AQ685" s="3">
        <v>5.2545869999999999</v>
      </c>
      <c r="AR685" s="3">
        <v>5.4647704800000003</v>
      </c>
      <c r="AS685" s="3">
        <v>5.6833612992000004</v>
      </c>
      <c r="AT685" s="3">
        <v>5.9106957511680003</v>
      </c>
      <c r="AU685" s="3">
        <v>6.1471235812147196</v>
      </c>
      <c r="AV685" s="3">
        <v>6.3930085244633101</v>
      </c>
      <c r="AW685" s="3">
        <v>6.6487288654418419</v>
      </c>
      <c r="AX685" s="3">
        <v>6.9146780200595162</v>
      </c>
      <c r="AY685" s="3">
        <v>7.1912651408618968</v>
      </c>
      <c r="AZ685" s="3">
        <v>7.4789157464963729</v>
      </c>
      <c r="BA685" s="3">
        <v>7.7780723763562287</v>
      </c>
      <c r="BC685" s="17" t="s">
        <v>4204</v>
      </c>
      <c r="BD685" s="3">
        <v>3.6918031271449609</v>
      </c>
      <c r="BE685" s="3">
        <v>3.8394752522307591</v>
      </c>
      <c r="BF685" s="3">
        <v>3.9930542623199901</v>
      </c>
      <c r="BG685" s="3">
        <v>4.1527764328127894</v>
      </c>
      <c r="BH685" s="3">
        <v>4.3188874901253014</v>
      </c>
      <c r="BI685" s="3">
        <v>4.4916429897303134</v>
      </c>
      <c r="BJ685" s="3">
        <v>4.6713087093195256</v>
      </c>
      <c r="BK685" s="3">
        <v>4.8581610576923069</v>
      </c>
      <c r="BL685" s="3">
        <v>5.0524874999999998</v>
      </c>
      <c r="BM685" s="3">
        <v>5.2545869999999999</v>
      </c>
      <c r="BN685" s="3">
        <v>5.4647704800000003</v>
      </c>
      <c r="BO685" s="3">
        <v>5.6833612992000004</v>
      </c>
      <c r="BP685" s="3">
        <v>5.9106957511680003</v>
      </c>
      <c r="BQ685" s="3">
        <v>6.1471235812147196</v>
      </c>
      <c r="BR685" s="3">
        <v>6.3930085244633101</v>
      </c>
      <c r="BS685" s="3">
        <v>6.6487288654418419</v>
      </c>
      <c r="BT685" s="3">
        <v>6.9146780200595162</v>
      </c>
      <c r="BU685" s="3">
        <v>7.1912651408618968</v>
      </c>
      <c r="BV685" s="3">
        <v>7.4789157464963729</v>
      </c>
      <c r="BW685" s="3">
        <v>7.7780723763562287</v>
      </c>
      <c r="BY685" s="17" t="s">
        <v>4205</v>
      </c>
      <c r="BZ685" s="3">
        <v>3.6918031271449609</v>
      </c>
      <c r="CA685" s="3">
        <v>3.8394752522307591</v>
      </c>
      <c r="CB685" s="3">
        <v>3.9930542623199901</v>
      </c>
      <c r="CC685" s="3">
        <v>4.1527764328127894</v>
      </c>
      <c r="CD685" s="3">
        <v>4.3188874901253014</v>
      </c>
      <c r="CE685" s="3">
        <v>4.4916429897303134</v>
      </c>
      <c r="CF685" s="3">
        <v>4.6713087093195256</v>
      </c>
      <c r="CG685" s="3">
        <v>4.8581610576923069</v>
      </c>
      <c r="CH685" s="3">
        <v>5.0524874999999998</v>
      </c>
      <c r="CI685" s="3">
        <v>5.2545869999999999</v>
      </c>
      <c r="CJ685" s="3">
        <v>5.4647704800000003</v>
      </c>
      <c r="CK685" s="3">
        <v>5.6833612992000004</v>
      </c>
      <c r="CL685" s="3">
        <v>5.9106957511680003</v>
      </c>
      <c r="CM685" s="3">
        <v>6.1471235812147196</v>
      </c>
      <c r="CN685" s="3">
        <v>6.3930085244633101</v>
      </c>
      <c r="CO685" s="3">
        <v>6.6487288654418419</v>
      </c>
      <c r="CP685" s="3">
        <v>6.9146780200595162</v>
      </c>
      <c r="CQ685" s="3">
        <v>7.1912651408618968</v>
      </c>
      <c r="CR685" s="3">
        <v>7.4789157464963729</v>
      </c>
      <c r="CS685" s="3">
        <v>7.7780723763562287</v>
      </c>
      <c r="CU685" s="17" t="s">
        <v>4206</v>
      </c>
      <c r="CV685" s="3">
        <v>3.6918031271449609</v>
      </c>
      <c r="CW685" s="3">
        <v>3.8394752522307591</v>
      </c>
      <c r="CX685" s="3">
        <v>3.9930542623199901</v>
      </c>
      <c r="CY685" s="3">
        <v>4.1527764328127894</v>
      </c>
      <c r="CZ685" s="3">
        <v>4.3188874901253014</v>
      </c>
      <c r="DA685" s="3">
        <v>4.4916429897303134</v>
      </c>
      <c r="DB685" s="3">
        <v>4.6713087093195256</v>
      </c>
      <c r="DC685" s="3">
        <v>4.8581610576923069</v>
      </c>
      <c r="DD685" s="3">
        <v>5.0524874999999998</v>
      </c>
      <c r="DE685" s="3">
        <v>5.2545869999999999</v>
      </c>
      <c r="DF685" s="3">
        <v>5.4647704800000003</v>
      </c>
      <c r="DG685" s="3">
        <v>5.6833612992000004</v>
      </c>
      <c r="DH685" s="3">
        <v>5.9106957511680003</v>
      </c>
      <c r="DI685" s="3">
        <v>6.1471235812147196</v>
      </c>
      <c r="DJ685" s="3">
        <v>6.3930085244633101</v>
      </c>
      <c r="DK685" s="3">
        <v>6.6487288654418419</v>
      </c>
      <c r="DL685" s="3">
        <v>6.9146780200595162</v>
      </c>
      <c r="DM685" s="3">
        <v>7.1912651408618968</v>
      </c>
      <c r="DN685" s="3">
        <v>7.4789157464963729</v>
      </c>
      <c r="DO685" s="3">
        <v>7.7780723763562287</v>
      </c>
    </row>
    <row r="686" spans="1:230" x14ac:dyDescent="0.45">
      <c r="A686" s="16" t="s">
        <v>4207</v>
      </c>
      <c r="B686" s="3" t="s">
        <v>89</v>
      </c>
      <c r="C686" s="16" t="s">
        <v>4208</v>
      </c>
      <c r="H686" s="3" t="s">
        <v>4209</v>
      </c>
      <c r="I686" s="3" t="s">
        <v>4185</v>
      </c>
      <c r="K686" s="17" t="s">
        <v>4210</v>
      </c>
      <c r="L686" s="3">
        <v>3.9514538914924162</v>
      </c>
      <c r="M686" s="3">
        <v>4.1095120471521129</v>
      </c>
      <c r="N686" s="3">
        <v>4.2738925290381982</v>
      </c>
      <c r="O686" s="3">
        <v>4.4448482301997254</v>
      </c>
      <c r="P686" s="3">
        <v>4.6226421594077154</v>
      </c>
      <c r="Q686" s="3">
        <v>4.8075478457840228</v>
      </c>
      <c r="R686" s="3">
        <v>4.9998497596153841</v>
      </c>
      <c r="S686" s="3">
        <v>5.1998437500000003</v>
      </c>
      <c r="T686" s="3">
        <v>5.4078375000000003</v>
      </c>
      <c r="U686" s="3">
        <v>5.6241510000000003</v>
      </c>
      <c r="V686" s="3">
        <v>5.8491170400000003</v>
      </c>
      <c r="W686" s="3">
        <v>6.0830817216000002</v>
      </c>
      <c r="X686" s="3">
        <v>6.3264049904640007</v>
      </c>
      <c r="Y686" s="3">
        <v>6.5794611900825606</v>
      </c>
      <c r="Z686" s="3">
        <v>6.8426396376858643</v>
      </c>
      <c r="AA686" s="3">
        <v>7.1163452231932984</v>
      </c>
      <c r="AB686" s="3">
        <v>7.4009990321210308</v>
      </c>
      <c r="AC686" s="3">
        <v>7.6970389934058723</v>
      </c>
      <c r="AD686" s="3">
        <v>8.0049205531421084</v>
      </c>
      <c r="AE686" s="3">
        <v>8.3251173752677925</v>
      </c>
      <c r="AG686" s="17" t="s">
        <v>4211</v>
      </c>
      <c r="AH686" s="3">
        <v>3.9514538914924162</v>
      </c>
      <c r="AI686" s="3">
        <v>4.1095120471521129</v>
      </c>
      <c r="AJ686" s="3">
        <v>4.2738925290381982</v>
      </c>
      <c r="AK686" s="3">
        <v>4.4448482301997254</v>
      </c>
      <c r="AL686" s="3">
        <v>4.6226421594077154</v>
      </c>
      <c r="AM686" s="3">
        <v>4.8075478457840228</v>
      </c>
      <c r="AN686" s="3">
        <v>4.9998497596153841</v>
      </c>
      <c r="AO686" s="3">
        <v>5.1998437500000003</v>
      </c>
      <c r="AP686" s="3">
        <v>5.4078375000000003</v>
      </c>
      <c r="AQ686" s="3">
        <v>5.6241510000000003</v>
      </c>
      <c r="AR686" s="3">
        <v>5.8491170400000003</v>
      </c>
      <c r="AS686" s="3">
        <v>6.0830817216000002</v>
      </c>
      <c r="AT686" s="3">
        <v>6.3264049904640007</v>
      </c>
      <c r="AU686" s="3">
        <v>6.5794611900825606</v>
      </c>
      <c r="AV686" s="3">
        <v>6.8426396376858643</v>
      </c>
      <c r="AW686" s="3">
        <v>7.1163452231932984</v>
      </c>
      <c r="AX686" s="3">
        <v>7.4009990321210308</v>
      </c>
      <c r="AY686" s="3">
        <v>7.6970389934058723</v>
      </c>
      <c r="AZ686" s="3">
        <v>8.0049205531421084</v>
      </c>
      <c r="BA686" s="3">
        <v>8.3251173752677925</v>
      </c>
      <c r="BC686" s="17" t="s">
        <v>4212</v>
      </c>
      <c r="BD686" s="3">
        <v>3.9514538914924162</v>
      </c>
      <c r="BE686" s="3">
        <v>4.1095120471521129</v>
      </c>
      <c r="BF686" s="3">
        <v>4.2738925290381982</v>
      </c>
      <c r="BG686" s="3">
        <v>4.4448482301997254</v>
      </c>
      <c r="BH686" s="3">
        <v>4.6226421594077154</v>
      </c>
      <c r="BI686" s="3">
        <v>4.8075478457840228</v>
      </c>
      <c r="BJ686" s="3">
        <v>4.9998497596153841</v>
      </c>
      <c r="BK686" s="3">
        <v>5.1998437500000003</v>
      </c>
      <c r="BL686" s="3">
        <v>5.4078375000000003</v>
      </c>
      <c r="BM686" s="3">
        <v>5.6241510000000003</v>
      </c>
      <c r="BN686" s="3">
        <v>5.8491170400000003</v>
      </c>
      <c r="BO686" s="3">
        <v>6.0830817216000002</v>
      </c>
      <c r="BP686" s="3">
        <v>6.3264049904640007</v>
      </c>
      <c r="BQ686" s="3">
        <v>6.5794611900825606</v>
      </c>
      <c r="BR686" s="3">
        <v>6.8426396376858643</v>
      </c>
      <c r="BS686" s="3">
        <v>7.1163452231932984</v>
      </c>
      <c r="BT686" s="3">
        <v>7.4009990321210308</v>
      </c>
      <c r="BU686" s="3">
        <v>7.6970389934058723</v>
      </c>
      <c r="BV686" s="3">
        <v>8.0049205531421084</v>
      </c>
      <c r="BW686" s="3">
        <v>8.3251173752677925</v>
      </c>
      <c r="BY686" s="17" t="s">
        <v>4213</v>
      </c>
      <c r="BZ686" s="3">
        <v>3.9514538914924162</v>
      </c>
      <c r="CA686" s="3">
        <v>4.1095120471521129</v>
      </c>
      <c r="CB686" s="3">
        <v>4.2738925290381982</v>
      </c>
      <c r="CC686" s="3">
        <v>4.4448482301997254</v>
      </c>
      <c r="CD686" s="3">
        <v>4.6226421594077154</v>
      </c>
      <c r="CE686" s="3">
        <v>4.8075478457840228</v>
      </c>
      <c r="CF686" s="3">
        <v>4.9998497596153841</v>
      </c>
      <c r="CG686" s="3">
        <v>5.1998437500000003</v>
      </c>
      <c r="CH686" s="3">
        <v>5.4078375000000003</v>
      </c>
      <c r="CI686" s="3">
        <v>5.6241510000000003</v>
      </c>
      <c r="CJ686" s="3">
        <v>5.8491170400000003</v>
      </c>
      <c r="CK686" s="3">
        <v>6.0830817216000002</v>
      </c>
      <c r="CL686" s="3">
        <v>6.3264049904640007</v>
      </c>
      <c r="CM686" s="3">
        <v>6.5794611900825606</v>
      </c>
      <c r="CN686" s="3">
        <v>6.8426396376858643</v>
      </c>
      <c r="CO686" s="3">
        <v>7.1163452231932984</v>
      </c>
      <c r="CP686" s="3">
        <v>7.4009990321210308</v>
      </c>
      <c r="CQ686" s="3">
        <v>7.6970389934058723</v>
      </c>
      <c r="CR686" s="3">
        <v>8.0049205531421084</v>
      </c>
      <c r="CS686" s="3">
        <v>8.3251173752677925</v>
      </c>
      <c r="CU686" s="17" t="s">
        <v>4214</v>
      </c>
      <c r="CV686" s="3">
        <v>3.9514538914924162</v>
      </c>
      <c r="CW686" s="3">
        <v>4.1095120471521129</v>
      </c>
      <c r="CX686" s="3">
        <v>4.2738925290381982</v>
      </c>
      <c r="CY686" s="3">
        <v>4.4448482301997254</v>
      </c>
      <c r="CZ686" s="3">
        <v>4.6226421594077154</v>
      </c>
      <c r="DA686" s="3">
        <v>4.8075478457840228</v>
      </c>
      <c r="DB686" s="3">
        <v>4.9998497596153841</v>
      </c>
      <c r="DC686" s="3">
        <v>5.1998437500000003</v>
      </c>
      <c r="DD686" s="3">
        <v>5.4078375000000003</v>
      </c>
      <c r="DE686" s="3">
        <v>5.6241510000000003</v>
      </c>
      <c r="DF686" s="3">
        <v>5.8491170400000003</v>
      </c>
      <c r="DG686" s="3">
        <v>6.0830817216000002</v>
      </c>
      <c r="DH686" s="3">
        <v>6.3264049904640007</v>
      </c>
      <c r="DI686" s="3">
        <v>6.5794611900825606</v>
      </c>
      <c r="DJ686" s="3">
        <v>6.8426396376858643</v>
      </c>
      <c r="DK686" s="3">
        <v>7.1163452231932984</v>
      </c>
      <c r="DL686" s="3">
        <v>7.4009990321210308</v>
      </c>
      <c r="DM686" s="3">
        <v>7.6970389934058723</v>
      </c>
      <c r="DN686" s="3">
        <v>8.0049205531421084</v>
      </c>
      <c r="DO686" s="3">
        <v>8.3251173752677925</v>
      </c>
    </row>
    <row r="687" spans="1:230" x14ac:dyDescent="0.45">
      <c r="A687" s="16" t="s">
        <v>4215</v>
      </c>
      <c r="B687" s="3" t="s">
        <v>89</v>
      </c>
      <c r="C687" s="16" t="s">
        <v>4216</v>
      </c>
      <c r="H687" s="3" t="s">
        <v>4217</v>
      </c>
      <c r="I687" s="3" t="s">
        <v>4185</v>
      </c>
      <c r="K687" s="17" t="s">
        <v>4218</v>
      </c>
      <c r="L687" s="3">
        <v>3.7594011047352072</v>
      </c>
      <c r="M687" s="3">
        <v>3.9097771489246149</v>
      </c>
      <c r="N687" s="3">
        <v>4.0661682348815997</v>
      </c>
      <c r="O687" s="3">
        <v>4.2288149642768644</v>
      </c>
      <c r="P687" s="3">
        <v>4.3979675628479384</v>
      </c>
      <c r="Q687" s="3">
        <v>4.5738862653618559</v>
      </c>
      <c r="R687" s="3">
        <v>4.7568417159763303</v>
      </c>
      <c r="S687" s="3">
        <v>4.9471153846153841</v>
      </c>
      <c r="T687" s="3">
        <v>5.1449999999999996</v>
      </c>
      <c r="U687" s="3">
        <v>5.3507999999999996</v>
      </c>
      <c r="V687" s="3">
        <v>5.564832</v>
      </c>
      <c r="W687" s="3">
        <v>5.7874252799999999</v>
      </c>
      <c r="X687" s="3">
        <v>6.0189222912</v>
      </c>
      <c r="Y687" s="3">
        <v>6.2596791828480001</v>
      </c>
      <c r="Z687" s="3">
        <v>6.5100663501619209</v>
      </c>
      <c r="AA687" s="3">
        <v>6.7704690041683966</v>
      </c>
      <c r="AB687" s="3">
        <v>7.0412877643351326</v>
      </c>
      <c r="AC687" s="3">
        <v>7.3229392749085394</v>
      </c>
      <c r="AD687" s="3">
        <v>7.6158568459048812</v>
      </c>
      <c r="AE687" s="3">
        <v>7.9204911197410768</v>
      </c>
      <c r="AG687" s="17" t="s">
        <v>4219</v>
      </c>
      <c r="AH687" s="3">
        <v>3.7594011047352072</v>
      </c>
      <c r="AI687" s="3">
        <v>3.9097771489246149</v>
      </c>
      <c r="AJ687" s="3">
        <v>4.0661682348815997</v>
      </c>
      <c r="AK687" s="3">
        <v>4.2288149642768644</v>
      </c>
      <c r="AL687" s="3">
        <v>4.3979675628479384</v>
      </c>
      <c r="AM687" s="3">
        <v>4.5738862653618559</v>
      </c>
      <c r="AN687" s="3">
        <v>4.7568417159763303</v>
      </c>
      <c r="AO687" s="3">
        <v>4.9471153846153841</v>
      </c>
      <c r="AP687" s="3">
        <v>5.1449999999999996</v>
      </c>
      <c r="AQ687" s="3">
        <v>5.3507999999999996</v>
      </c>
      <c r="AR687" s="3">
        <v>5.564832</v>
      </c>
      <c r="AS687" s="3">
        <v>5.7874252799999999</v>
      </c>
      <c r="AT687" s="3">
        <v>6.0189222912</v>
      </c>
      <c r="AU687" s="3">
        <v>6.2596791828480001</v>
      </c>
      <c r="AV687" s="3">
        <v>6.5100663501619209</v>
      </c>
      <c r="AW687" s="3">
        <v>6.7704690041683966</v>
      </c>
      <c r="AX687" s="3">
        <v>7.0412877643351326</v>
      </c>
      <c r="AY687" s="3">
        <v>7.3229392749085394</v>
      </c>
      <c r="AZ687" s="3">
        <v>7.6158568459048812</v>
      </c>
      <c r="BA687" s="3">
        <v>7.9204911197410768</v>
      </c>
      <c r="BC687" s="17" t="s">
        <v>4220</v>
      </c>
      <c r="BD687" s="3">
        <v>3.7594011047352072</v>
      </c>
      <c r="BE687" s="3">
        <v>3.9097771489246149</v>
      </c>
      <c r="BF687" s="3">
        <v>4.0661682348815997</v>
      </c>
      <c r="BG687" s="3">
        <v>4.2288149642768644</v>
      </c>
      <c r="BH687" s="3">
        <v>4.3979675628479384</v>
      </c>
      <c r="BI687" s="3">
        <v>4.5738862653618559</v>
      </c>
      <c r="BJ687" s="3">
        <v>4.7568417159763303</v>
      </c>
      <c r="BK687" s="3">
        <v>4.9471153846153841</v>
      </c>
      <c r="BL687" s="3">
        <v>5.1449999999999996</v>
      </c>
      <c r="BM687" s="3">
        <v>5.3507999999999996</v>
      </c>
      <c r="BN687" s="3">
        <v>5.564832</v>
      </c>
      <c r="BO687" s="3">
        <v>5.7874252799999999</v>
      </c>
      <c r="BP687" s="3">
        <v>6.0189222912</v>
      </c>
      <c r="BQ687" s="3">
        <v>6.2596791828480001</v>
      </c>
      <c r="BR687" s="3">
        <v>6.5100663501619209</v>
      </c>
      <c r="BS687" s="3">
        <v>6.7704690041683966</v>
      </c>
      <c r="BT687" s="3">
        <v>7.0412877643351326</v>
      </c>
      <c r="BU687" s="3">
        <v>7.3229392749085394</v>
      </c>
      <c r="BV687" s="3">
        <v>7.6158568459048812</v>
      </c>
      <c r="BW687" s="3">
        <v>7.9204911197410768</v>
      </c>
      <c r="BY687" s="17" t="s">
        <v>4221</v>
      </c>
      <c r="BZ687" s="3">
        <v>3.7594011047352072</v>
      </c>
      <c r="CA687" s="3">
        <v>3.9097771489246149</v>
      </c>
      <c r="CB687" s="3">
        <v>4.0661682348815997</v>
      </c>
      <c r="CC687" s="3">
        <v>4.2288149642768644</v>
      </c>
      <c r="CD687" s="3">
        <v>4.3979675628479384</v>
      </c>
      <c r="CE687" s="3">
        <v>4.5738862653618559</v>
      </c>
      <c r="CF687" s="3">
        <v>4.7568417159763303</v>
      </c>
      <c r="CG687" s="3">
        <v>4.9471153846153841</v>
      </c>
      <c r="CH687" s="3">
        <v>5.1449999999999996</v>
      </c>
      <c r="CI687" s="3">
        <v>5.3507999999999996</v>
      </c>
      <c r="CJ687" s="3">
        <v>5.564832</v>
      </c>
      <c r="CK687" s="3">
        <v>5.7874252799999999</v>
      </c>
      <c r="CL687" s="3">
        <v>6.0189222912</v>
      </c>
      <c r="CM687" s="3">
        <v>6.2596791828480001</v>
      </c>
      <c r="CN687" s="3">
        <v>6.5100663501619209</v>
      </c>
      <c r="CO687" s="3">
        <v>6.7704690041683966</v>
      </c>
      <c r="CP687" s="3">
        <v>7.0412877643351326</v>
      </c>
      <c r="CQ687" s="3">
        <v>7.3229392749085394</v>
      </c>
      <c r="CR687" s="3">
        <v>7.6158568459048812</v>
      </c>
      <c r="CS687" s="3">
        <v>7.9204911197410768</v>
      </c>
      <c r="CU687" s="17" t="s">
        <v>4222</v>
      </c>
      <c r="CV687" s="3">
        <v>3.7594011047352072</v>
      </c>
      <c r="CW687" s="3">
        <v>3.9097771489246149</v>
      </c>
      <c r="CX687" s="3">
        <v>4.0661682348815997</v>
      </c>
      <c r="CY687" s="3">
        <v>4.2288149642768644</v>
      </c>
      <c r="CZ687" s="3">
        <v>4.3979675628479384</v>
      </c>
      <c r="DA687" s="3">
        <v>4.5738862653618559</v>
      </c>
      <c r="DB687" s="3">
        <v>4.7568417159763303</v>
      </c>
      <c r="DC687" s="3">
        <v>4.9471153846153841</v>
      </c>
      <c r="DD687" s="3">
        <v>5.1449999999999996</v>
      </c>
      <c r="DE687" s="3">
        <v>5.3507999999999996</v>
      </c>
      <c r="DF687" s="3">
        <v>5.564832</v>
      </c>
      <c r="DG687" s="3">
        <v>5.7874252799999999</v>
      </c>
      <c r="DH687" s="3">
        <v>6.0189222912</v>
      </c>
      <c r="DI687" s="3">
        <v>6.2596791828480001</v>
      </c>
      <c r="DJ687" s="3">
        <v>6.5100663501619209</v>
      </c>
      <c r="DK687" s="3">
        <v>6.7704690041683966</v>
      </c>
      <c r="DL687" s="3">
        <v>7.0412877643351326</v>
      </c>
      <c r="DM687" s="3">
        <v>7.3229392749085394</v>
      </c>
      <c r="DN687" s="3">
        <v>7.6158568459048812</v>
      </c>
      <c r="DO687" s="3">
        <v>7.9204911197410768</v>
      </c>
    </row>
    <row r="688" spans="1:230" x14ac:dyDescent="0.45">
      <c r="A688" s="16" t="s">
        <v>4223</v>
      </c>
      <c r="B688" s="3" t="s">
        <v>89</v>
      </c>
      <c r="C688" s="16" t="s">
        <v>4224</v>
      </c>
      <c r="H688" s="3" t="s">
        <v>4225</v>
      </c>
      <c r="I688" s="3" t="s">
        <v>4185</v>
      </c>
      <c r="K688" s="17" t="s">
        <v>4226</v>
      </c>
      <c r="L688" s="3">
        <v>3.7360555526853938</v>
      </c>
      <c r="M688" s="3">
        <v>3.8854977747928099</v>
      </c>
      <c r="N688" s="3">
        <v>4.0409176857845228</v>
      </c>
      <c r="O688" s="3">
        <v>4.2025543932159044</v>
      </c>
      <c r="P688" s="3">
        <v>4.3706565689445398</v>
      </c>
      <c r="Q688" s="3">
        <v>4.545482831702321</v>
      </c>
      <c r="R688" s="3">
        <v>4.7273021449704151</v>
      </c>
      <c r="S688" s="3">
        <v>4.9163942307692317</v>
      </c>
      <c r="T688" s="3">
        <v>5.1130500000000012</v>
      </c>
      <c r="U688" s="3">
        <v>5.3175720000000011</v>
      </c>
      <c r="V688" s="3">
        <v>5.5302748800000012</v>
      </c>
      <c r="W688" s="3">
        <v>5.7514858752000011</v>
      </c>
      <c r="X688" s="3">
        <v>5.9815453102080021</v>
      </c>
      <c r="Y688" s="3">
        <v>6.2208071226163213</v>
      </c>
      <c r="Z688" s="3">
        <v>6.4696394075209751</v>
      </c>
      <c r="AA688" s="3">
        <v>6.7284249838218146</v>
      </c>
      <c r="AB688" s="3">
        <v>6.9975619831746867</v>
      </c>
      <c r="AC688" s="3">
        <v>7.2774644625016736</v>
      </c>
      <c r="AD688" s="3">
        <v>7.5685630410017426</v>
      </c>
      <c r="AE688" s="3">
        <v>7.8713055626418127</v>
      </c>
      <c r="AG688" s="17" t="s">
        <v>4227</v>
      </c>
      <c r="AH688" s="3">
        <v>3.7360555526853938</v>
      </c>
      <c r="AI688" s="3">
        <v>3.8854977747928099</v>
      </c>
      <c r="AJ688" s="3">
        <v>4.0409176857845228</v>
      </c>
      <c r="AK688" s="3">
        <v>4.2025543932159044</v>
      </c>
      <c r="AL688" s="3">
        <v>4.3706565689445398</v>
      </c>
      <c r="AM688" s="3">
        <v>4.545482831702321</v>
      </c>
      <c r="AN688" s="3">
        <v>4.7273021449704151</v>
      </c>
      <c r="AO688" s="3">
        <v>4.9163942307692317</v>
      </c>
      <c r="AP688" s="3">
        <v>5.1130500000000012</v>
      </c>
      <c r="AQ688" s="3">
        <v>5.3175720000000011</v>
      </c>
      <c r="AR688" s="3">
        <v>5.5302748800000012</v>
      </c>
      <c r="AS688" s="3">
        <v>5.7514858752000011</v>
      </c>
      <c r="AT688" s="3">
        <v>5.9815453102080021</v>
      </c>
      <c r="AU688" s="3">
        <v>6.2208071226163213</v>
      </c>
      <c r="AV688" s="3">
        <v>6.4696394075209751</v>
      </c>
      <c r="AW688" s="3">
        <v>6.7284249838218146</v>
      </c>
      <c r="AX688" s="3">
        <v>6.9975619831746867</v>
      </c>
      <c r="AY688" s="3">
        <v>7.2774644625016736</v>
      </c>
      <c r="AZ688" s="3">
        <v>7.5685630410017426</v>
      </c>
      <c r="BA688" s="3">
        <v>7.8713055626418127</v>
      </c>
      <c r="BC688" s="17" t="s">
        <v>4228</v>
      </c>
      <c r="BD688" s="3">
        <v>3.7360555526853938</v>
      </c>
      <c r="BE688" s="3">
        <v>3.8854977747928099</v>
      </c>
      <c r="BF688" s="3">
        <v>4.0409176857845228</v>
      </c>
      <c r="BG688" s="3">
        <v>4.2025543932159044</v>
      </c>
      <c r="BH688" s="3">
        <v>4.3706565689445398</v>
      </c>
      <c r="BI688" s="3">
        <v>4.545482831702321</v>
      </c>
      <c r="BJ688" s="3">
        <v>4.7273021449704151</v>
      </c>
      <c r="BK688" s="3">
        <v>4.9163942307692317</v>
      </c>
      <c r="BL688" s="3">
        <v>5.1130500000000012</v>
      </c>
      <c r="BM688" s="3">
        <v>5.3175720000000011</v>
      </c>
      <c r="BN688" s="3">
        <v>5.5302748800000012</v>
      </c>
      <c r="BO688" s="3">
        <v>5.7514858752000011</v>
      </c>
      <c r="BP688" s="3">
        <v>5.9815453102080021</v>
      </c>
      <c r="BQ688" s="3">
        <v>6.2208071226163213</v>
      </c>
      <c r="BR688" s="3">
        <v>6.4696394075209751</v>
      </c>
      <c r="BS688" s="3">
        <v>6.7284249838218146</v>
      </c>
      <c r="BT688" s="3">
        <v>6.9975619831746867</v>
      </c>
      <c r="BU688" s="3">
        <v>7.2774644625016736</v>
      </c>
      <c r="BV688" s="3">
        <v>7.5685630410017426</v>
      </c>
      <c r="BW688" s="3">
        <v>7.8713055626418127</v>
      </c>
      <c r="BY688" s="17" t="s">
        <v>4229</v>
      </c>
      <c r="BZ688" s="3">
        <v>3.7360555526853938</v>
      </c>
      <c r="CA688" s="3">
        <v>3.8854977747928099</v>
      </c>
      <c r="CB688" s="3">
        <v>4.0409176857845228</v>
      </c>
      <c r="CC688" s="3">
        <v>4.2025543932159044</v>
      </c>
      <c r="CD688" s="3">
        <v>4.3706565689445398</v>
      </c>
      <c r="CE688" s="3">
        <v>4.545482831702321</v>
      </c>
      <c r="CF688" s="3">
        <v>4.7273021449704151</v>
      </c>
      <c r="CG688" s="3">
        <v>4.9163942307692317</v>
      </c>
      <c r="CH688" s="3">
        <v>5.1130500000000012</v>
      </c>
      <c r="CI688" s="3">
        <v>5.3175720000000011</v>
      </c>
      <c r="CJ688" s="3">
        <v>5.5302748800000012</v>
      </c>
      <c r="CK688" s="3">
        <v>5.7514858752000011</v>
      </c>
      <c r="CL688" s="3">
        <v>5.9815453102080021</v>
      </c>
      <c r="CM688" s="3">
        <v>6.2208071226163213</v>
      </c>
      <c r="CN688" s="3">
        <v>6.4696394075209751</v>
      </c>
      <c r="CO688" s="3">
        <v>6.7284249838218146</v>
      </c>
      <c r="CP688" s="3">
        <v>6.9975619831746867</v>
      </c>
      <c r="CQ688" s="3">
        <v>7.2774644625016736</v>
      </c>
      <c r="CR688" s="3">
        <v>7.5685630410017426</v>
      </c>
      <c r="CS688" s="3">
        <v>7.8713055626418127</v>
      </c>
      <c r="CU688" s="17" t="s">
        <v>4230</v>
      </c>
      <c r="CV688" s="3">
        <v>3.7360555526853938</v>
      </c>
      <c r="CW688" s="3">
        <v>3.8854977747928099</v>
      </c>
      <c r="CX688" s="3">
        <v>4.0409176857845228</v>
      </c>
      <c r="CY688" s="3">
        <v>4.2025543932159044</v>
      </c>
      <c r="CZ688" s="3">
        <v>4.3706565689445398</v>
      </c>
      <c r="DA688" s="3">
        <v>4.545482831702321</v>
      </c>
      <c r="DB688" s="3">
        <v>4.7273021449704151</v>
      </c>
      <c r="DC688" s="3">
        <v>4.9163942307692317</v>
      </c>
      <c r="DD688" s="3">
        <v>5.1130500000000012</v>
      </c>
      <c r="DE688" s="3">
        <v>5.3175720000000011</v>
      </c>
      <c r="DF688" s="3">
        <v>5.5302748800000012</v>
      </c>
      <c r="DG688" s="3">
        <v>5.7514858752000011</v>
      </c>
      <c r="DH688" s="3">
        <v>5.9815453102080021</v>
      </c>
      <c r="DI688" s="3">
        <v>6.2208071226163213</v>
      </c>
      <c r="DJ688" s="3">
        <v>6.4696394075209751</v>
      </c>
      <c r="DK688" s="3">
        <v>6.7284249838218146</v>
      </c>
      <c r="DL688" s="3">
        <v>6.9975619831746867</v>
      </c>
      <c r="DM688" s="3">
        <v>7.2774644625016736</v>
      </c>
      <c r="DN688" s="3">
        <v>7.5685630410017426</v>
      </c>
      <c r="DO688" s="3">
        <v>7.8713055626418127</v>
      </c>
    </row>
    <row r="689" spans="1:230" ht="15.4" x14ac:dyDescent="0.45">
      <c r="A689" s="5"/>
      <c r="B689" s="15" t="s">
        <v>4231</v>
      </c>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row>
    <row r="690" spans="1:230" x14ac:dyDescent="0.45">
      <c r="A690" s="11"/>
      <c r="B690" s="3" t="s">
        <v>4232</v>
      </c>
      <c r="C690" s="16" t="s">
        <v>4233</v>
      </c>
      <c r="H690" s="11" t="s">
        <v>4234</v>
      </c>
      <c r="I690" s="11"/>
    </row>
    <row r="691" spans="1:230" x14ac:dyDescent="0.45">
      <c r="A691" s="11"/>
      <c r="B691" s="3" t="s">
        <v>4232</v>
      </c>
      <c r="C691" s="16" t="s">
        <v>4235</v>
      </c>
      <c r="H691" s="11" t="s">
        <v>4236</v>
      </c>
      <c r="I691" s="11"/>
    </row>
    <row r="692" spans="1:230" x14ac:dyDescent="0.45">
      <c r="A692" s="11"/>
      <c r="B692" s="3" t="s">
        <v>4232</v>
      </c>
      <c r="C692" s="16" t="s">
        <v>4237</v>
      </c>
      <c r="H692" s="11" t="s">
        <v>4238</v>
      </c>
      <c r="I692" s="11"/>
    </row>
    <row r="693" spans="1:230" x14ac:dyDescent="0.45">
      <c r="A693" s="11"/>
      <c r="B693" s="3" t="s">
        <v>4232</v>
      </c>
      <c r="C693" s="16" t="s">
        <v>4239</v>
      </c>
      <c r="H693" s="11" t="s">
        <v>4240</v>
      </c>
      <c r="I693" s="11"/>
    </row>
    <row r="694" spans="1:230" x14ac:dyDescent="0.45">
      <c r="A694" s="16" t="s">
        <v>4241</v>
      </c>
      <c r="B694" s="3" t="s">
        <v>89</v>
      </c>
      <c r="C694" s="16" t="s">
        <v>4242</v>
      </c>
      <c r="H694" s="3" t="s">
        <v>4243</v>
      </c>
      <c r="I694" s="3" t="s">
        <v>4244</v>
      </c>
      <c r="K694" s="17" t="s">
        <v>4245</v>
      </c>
      <c r="L694" s="3">
        <v>4.2386861710291282E-2</v>
      </c>
      <c r="M694" s="3">
        <v>3.4359544700433738E-2</v>
      </c>
      <c r="N694" s="3">
        <v>3.1484726950924462E-2</v>
      </c>
      <c r="O694" s="3">
        <v>2.846435340616282E-2</v>
      </c>
      <c r="P694" s="3">
        <v>3.2210027710325113E-2</v>
      </c>
      <c r="Q694" s="3">
        <v>3.3273877816771207E-2</v>
      </c>
      <c r="R694" s="3">
        <v>3.6029393094686737E-2</v>
      </c>
      <c r="S694" s="3">
        <v>3.857141163834784E-2</v>
      </c>
      <c r="T694" s="3">
        <v>4.0874451103765252E-2</v>
      </c>
      <c r="U694" s="3">
        <v>4.1313120336442612E-2</v>
      </c>
      <c r="V694" s="3">
        <v>4.264546406837974E-2</v>
      </c>
      <c r="W694" s="3">
        <v>4.4010659082495657E-2</v>
      </c>
      <c r="X694" s="3">
        <v>4.5425145343866352E-2</v>
      </c>
      <c r="Y694" s="3">
        <v>4.6894548537343733E-2</v>
      </c>
      <c r="Z694" s="3">
        <v>4.8422934764134423E-2</v>
      </c>
      <c r="AA694" s="3">
        <v>5.0012259538240511E-2</v>
      </c>
      <c r="AB694" s="3">
        <v>5.1677421388614399E-2</v>
      </c>
      <c r="AC694" s="3">
        <v>5.3421681942604181E-2</v>
      </c>
      <c r="AD694" s="3">
        <v>5.5247563197054997E-2</v>
      </c>
      <c r="AE694" s="3">
        <v>5.7161390585512388E-2</v>
      </c>
      <c r="AG694" s="17" t="s">
        <v>4246</v>
      </c>
      <c r="AH694" s="3">
        <v>4.2386861710291282E-2</v>
      </c>
      <c r="AI694" s="3">
        <v>3.4359544700433738E-2</v>
      </c>
      <c r="AJ694" s="3">
        <v>3.1484726950924462E-2</v>
      </c>
      <c r="AK694" s="3">
        <v>2.846435340616282E-2</v>
      </c>
      <c r="AL694" s="3">
        <v>3.2210027733754698E-2</v>
      </c>
      <c r="AM694" s="3">
        <v>3.3266554932296598E-2</v>
      </c>
      <c r="AN694" s="3">
        <v>3.6185753785053447E-2</v>
      </c>
      <c r="AO694" s="3">
        <v>3.8899569674130732E-2</v>
      </c>
      <c r="AP694" s="3">
        <v>4.1379292397905033E-2</v>
      </c>
      <c r="AQ694" s="3">
        <v>4.1968281420263168E-2</v>
      </c>
      <c r="AR694" s="3">
        <v>4.3459198246568263E-2</v>
      </c>
      <c r="AS694" s="3">
        <v>4.4979626158596138E-2</v>
      </c>
      <c r="AT694" s="3">
        <v>4.6546871854320993E-2</v>
      </c>
      <c r="AU694" s="3">
        <v>4.8167783665337957E-2</v>
      </c>
      <c r="AV694" s="3">
        <v>4.9846756476074082E-2</v>
      </c>
      <c r="AW694" s="3">
        <v>5.1585901719707727E-2</v>
      </c>
      <c r="AX694" s="3">
        <v>5.3401663433412218E-2</v>
      </c>
      <c r="AY694" s="3">
        <v>5.5297770297921198E-2</v>
      </c>
      <c r="AZ694" s="3">
        <v>5.727743709245707E-2</v>
      </c>
      <c r="BA694" s="3">
        <v>5.9347277629192743E-2</v>
      </c>
      <c r="BC694" s="17" t="s">
        <v>4247</v>
      </c>
      <c r="BD694" s="3">
        <v>4.2386861710291282E-2</v>
      </c>
      <c r="BE694" s="3">
        <v>3.4359544700433738E-2</v>
      </c>
      <c r="BF694" s="3">
        <v>3.1484726950924462E-2</v>
      </c>
      <c r="BG694" s="3">
        <v>2.846435340616282E-2</v>
      </c>
      <c r="BH694" s="3">
        <v>3.2210027788440627E-2</v>
      </c>
      <c r="BI694" s="3">
        <v>3.3270129109610587E-2</v>
      </c>
      <c r="BJ694" s="3">
        <v>3.6104172828319979E-2</v>
      </c>
      <c r="BK694" s="3">
        <v>3.8843138103173892E-2</v>
      </c>
      <c r="BL694" s="3">
        <v>4.1464498643432213E-2</v>
      </c>
      <c r="BM694" s="3">
        <v>4.2301201642033853E-2</v>
      </c>
      <c r="BN694" s="3">
        <v>4.4146967545885103E-2</v>
      </c>
      <c r="BO694" s="3">
        <v>4.6125389502814557E-2</v>
      </c>
      <c r="BP694" s="3">
        <v>4.8251354592226847E-2</v>
      </c>
      <c r="BQ694" s="3">
        <v>5.0529474829257327E-2</v>
      </c>
      <c r="BR694" s="3">
        <v>5.2963498888720602E-2</v>
      </c>
      <c r="BS694" s="3">
        <v>5.555508451484939E-2</v>
      </c>
      <c r="BT694" s="3">
        <v>5.8321718440136783E-2</v>
      </c>
      <c r="BU694" s="3">
        <v>6.1268786204060711E-2</v>
      </c>
      <c r="BV694" s="3">
        <v>6.4401697253925694E-2</v>
      </c>
      <c r="BW694" s="3">
        <v>6.7730529517684365E-2</v>
      </c>
      <c r="BY694" s="17" t="s">
        <v>4248</v>
      </c>
      <c r="BZ694" s="3">
        <v>4.2386861710291282E-2</v>
      </c>
      <c r="CA694" s="3">
        <v>3.4359544700433738E-2</v>
      </c>
      <c r="CB694" s="3">
        <v>3.1484726950924462E-2</v>
      </c>
      <c r="CC694" s="3">
        <v>2.846435340616282E-2</v>
      </c>
      <c r="CD694" s="3">
        <v>3.22100278444779E-2</v>
      </c>
      <c r="CE694" s="3">
        <v>3.3264827968241872E-2</v>
      </c>
      <c r="CF694" s="3">
        <v>3.6222683357717188E-2</v>
      </c>
      <c r="CG694" s="3">
        <v>3.8977111480549102E-2</v>
      </c>
      <c r="CH694" s="3">
        <v>4.14980923504948E-2</v>
      </c>
      <c r="CI694" s="3">
        <v>4.2122039417751743E-2</v>
      </c>
      <c r="CJ694" s="3">
        <v>4.3649866967435648E-2</v>
      </c>
      <c r="CK694" s="3">
        <v>4.5206574962205787E-2</v>
      </c>
      <c r="CL694" s="3">
        <v>4.681022746209023E-2</v>
      </c>
      <c r="CM694" s="3">
        <v>4.8467531461464132E-2</v>
      </c>
      <c r="CN694" s="3">
        <v>5.0182937792041027E-2</v>
      </c>
      <c r="CO694" s="3">
        <v>5.1958665756461991E-2</v>
      </c>
      <c r="CP694" s="3">
        <v>5.3811190886352021E-2</v>
      </c>
      <c r="CQ694" s="3">
        <v>5.5744196518786773E-2</v>
      </c>
      <c r="CR694" s="3">
        <v>5.776096812801898E-2</v>
      </c>
      <c r="CS694" s="3">
        <v>5.9868192736044358E-2</v>
      </c>
      <c r="CU694" s="17" t="s">
        <v>4249</v>
      </c>
      <c r="CV694" s="3">
        <v>4.2386861710291282E-2</v>
      </c>
      <c r="CW694" s="3">
        <v>3.4359544700433738E-2</v>
      </c>
      <c r="CX694" s="3">
        <v>3.1484726950924462E-2</v>
      </c>
      <c r="CY694" s="3">
        <v>2.846435340616282E-2</v>
      </c>
      <c r="CZ694" s="3">
        <v>3.2210027765036717E-2</v>
      </c>
      <c r="DA694" s="3">
        <v>3.3256712497045413E-2</v>
      </c>
      <c r="DB694" s="3">
        <v>3.6399745929494069E-2</v>
      </c>
      <c r="DC694" s="3">
        <v>3.934848403835562E-2</v>
      </c>
      <c r="DD694" s="3">
        <v>4.2069627567387483E-2</v>
      </c>
      <c r="DE694" s="3">
        <v>4.2864035592193067E-2</v>
      </c>
      <c r="DF694" s="3">
        <v>4.4571662660958758E-2</v>
      </c>
      <c r="DG694" s="3">
        <v>4.6304257876127651E-2</v>
      </c>
      <c r="DH694" s="3">
        <v>4.8080473429668327E-2</v>
      </c>
      <c r="DI694" s="3">
        <v>4.9908594374513907E-2</v>
      </c>
      <c r="DJ694" s="3">
        <v>5.1793548857906102E-2</v>
      </c>
      <c r="DK694" s="3">
        <v>5.3737655620858679E-2</v>
      </c>
      <c r="DL694" s="3">
        <v>5.5759415679010438E-2</v>
      </c>
      <c r="DM694" s="3">
        <v>5.7863116711916907E-2</v>
      </c>
      <c r="DN694" s="3">
        <v>6.0052927447718757E-2</v>
      </c>
      <c r="DO694" s="3">
        <v>6.2335870064493787E-2</v>
      </c>
    </row>
    <row r="695" spans="1:230" x14ac:dyDescent="0.45">
      <c r="A695" s="16" t="s">
        <v>4250</v>
      </c>
      <c r="B695" s="3" t="s">
        <v>89</v>
      </c>
      <c r="C695" s="16" t="s">
        <v>4251</v>
      </c>
      <c r="H695" s="3" t="s">
        <v>4252</v>
      </c>
      <c r="I695" s="3" t="s">
        <v>4244</v>
      </c>
      <c r="K695" s="17" t="s">
        <v>4253</v>
      </c>
      <c r="L695" s="3">
        <v>1.3334925309380539E-2</v>
      </c>
      <c r="M695" s="3">
        <v>9.8401544011144371E-3</v>
      </c>
      <c r="N695" s="3">
        <v>8.8272108986903013E-3</v>
      </c>
      <c r="O695" s="3">
        <v>8.0337447686753497E-3</v>
      </c>
      <c r="P695" s="3">
        <v>9.0686602501385324E-3</v>
      </c>
      <c r="Q695" s="3">
        <v>9.349924913067029E-3</v>
      </c>
      <c r="R695" s="3">
        <v>1.013782759180642E-2</v>
      </c>
      <c r="S695" s="3">
        <v>1.0877744076511891E-2</v>
      </c>
      <c r="T695" s="3">
        <v>1.1560861543493259E-2</v>
      </c>
      <c r="U695" s="3">
        <v>1.1722707810462391E-2</v>
      </c>
      <c r="V695" s="3">
        <v>1.2142605172247569E-2</v>
      </c>
      <c r="W695" s="3">
        <v>1.2576522225162491E-2</v>
      </c>
      <c r="X695" s="3">
        <v>1.302660000379084E-2</v>
      </c>
      <c r="Y695" s="3">
        <v>1.34879119590307E-2</v>
      </c>
      <c r="Z695" s="3">
        <v>1.39580895868194E-2</v>
      </c>
      <c r="AA695" s="3">
        <v>1.444034971891154E-2</v>
      </c>
      <c r="AB695" s="3">
        <v>1.493899867586501E-2</v>
      </c>
      <c r="AC695" s="3">
        <v>1.545469800180054E-2</v>
      </c>
      <c r="AD695" s="3">
        <v>1.5987974682255109E-2</v>
      </c>
      <c r="AE695" s="3">
        <v>1.6540209271348381E-2</v>
      </c>
      <c r="AG695" s="17" t="s">
        <v>4254</v>
      </c>
      <c r="AH695" s="3">
        <v>1.3334925309380539E-2</v>
      </c>
      <c r="AI695" s="3">
        <v>9.8401544011144371E-3</v>
      </c>
      <c r="AJ695" s="3">
        <v>8.8272108986903013E-3</v>
      </c>
      <c r="AK695" s="3">
        <v>8.0337447686753497E-3</v>
      </c>
      <c r="AL695" s="3">
        <v>9.0686602502075032E-3</v>
      </c>
      <c r="AM695" s="3">
        <v>9.6768437141089379E-3</v>
      </c>
      <c r="AN695" s="3">
        <v>1.055828775671557E-2</v>
      </c>
      <c r="AO695" s="3">
        <v>1.1393197412228471E-2</v>
      </c>
      <c r="AP695" s="3">
        <v>1.2172466582367911E-2</v>
      </c>
      <c r="AQ695" s="3">
        <v>1.2400613791822159E-2</v>
      </c>
      <c r="AR695" s="3">
        <v>1.290030336860822E-2</v>
      </c>
      <c r="AS695" s="3">
        <v>1.341371790844819E-2</v>
      </c>
      <c r="AT695" s="3">
        <v>1.394517918237285E-2</v>
      </c>
      <c r="AU695" s="3">
        <v>1.4489657742577169E-2</v>
      </c>
      <c r="AV695" s="3">
        <v>1.504397163887131E-2</v>
      </c>
      <c r="AW695" s="3">
        <v>1.561134667012196E-2</v>
      </c>
      <c r="AX695" s="3">
        <v>1.6197313980308631E-2</v>
      </c>
      <c r="AY695" s="3">
        <v>1.6801942467245999E-2</v>
      </c>
      <c r="AZ695" s="3">
        <v>1.7425794597827039E-2</v>
      </c>
      <c r="BA695" s="3">
        <v>1.8069554908137199E-2</v>
      </c>
      <c r="BC695" s="17" t="s">
        <v>4255</v>
      </c>
      <c r="BD695" s="3">
        <v>1.3334925309380539E-2</v>
      </c>
      <c r="BE695" s="3">
        <v>9.8401544011144371E-3</v>
      </c>
      <c r="BF695" s="3">
        <v>8.8272108986903013E-3</v>
      </c>
      <c r="BG695" s="3">
        <v>8.0337447686753497E-3</v>
      </c>
      <c r="BH695" s="3">
        <v>9.0686602503684786E-3</v>
      </c>
      <c r="BI695" s="3">
        <v>9.5048280577893114E-3</v>
      </c>
      <c r="BJ695" s="3">
        <v>1.0540946551987869E-2</v>
      </c>
      <c r="BK695" s="3">
        <v>1.158177314956723E-2</v>
      </c>
      <c r="BL695" s="3">
        <v>1.2617183700483731E-2</v>
      </c>
      <c r="BM695" s="3">
        <v>1.3133867826936761E-2</v>
      </c>
      <c r="BN695" s="3">
        <v>1.39714375070905E-2</v>
      </c>
      <c r="BO695" s="3">
        <v>1.486701709700319E-2</v>
      </c>
      <c r="BP695" s="3">
        <v>1.582987871958361E-2</v>
      </c>
      <c r="BQ695" s="3">
        <v>1.6856139236701061E-2</v>
      </c>
      <c r="BR695" s="3">
        <v>1.794464387252544E-2</v>
      </c>
      <c r="BS695" s="3">
        <v>1.9100600251693859E-2</v>
      </c>
      <c r="BT695" s="3">
        <v>2.0330193041833571E-2</v>
      </c>
      <c r="BU695" s="3">
        <v>2.1634365904268819E-2</v>
      </c>
      <c r="BV695" s="3">
        <v>2.3014533053048441E-2</v>
      </c>
      <c r="BW695" s="3">
        <v>2.4472607558204591E-2</v>
      </c>
      <c r="BY695" s="17" t="s">
        <v>4256</v>
      </c>
      <c r="BZ695" s="3">
        <v>1.3334925309380539E-2</v>
      </c>
      <c r="CA695" s="3">
        <v>9.8401544011144371E-3</v>
      </c>
      <c r="CB695" s="3">
        <v>8.8272108986903013E-3</v>
      </c>
      <c r="CC695" s="3">
        <v>8.0337447686753497E-3</v>
      </c>
      <c r="CD695" s="3">
        <v>9.0686602505334352E-3</v>
      </c>
      <c r="CE695" s="3">
        <v>9.7473406990261757E-3</v>
      </c>
      <c r="CF695" s="3">
        <v>1.0650664388648911E-2</v>
      </c>
      <c r="CG695" s="3">
        <v>1.150790110227233E-2</v>
      </c>
      <c r="CH695" s="3">
        <v>1.230933493057847E-2</v>
      </c>
      <c r="CI695" s="3">
        <v>1.2553014262167759E-2</v>
      </c>
      <c r="CJ695" s="3">
        <v>1.3071432039756669E-2</v>
      </c>
      <c r="CK695" s="3">
        <v>1.360378557495838E-2</v>
      </c>
      <c r="CL695" s="3">
        <v>1.415568394693527E-2</v>
      </c>
      <c r="CM695" s="3">
        <v>1.472105822925574E-2</v>
      </c>
      <c r="CN695" s="3">
        <v>1.529671555472239E-2</v>
      </c>
      <c r="CO695" s="3">
        <v>1.5886084447813031E-2</v>
      </c>
      <c r="CP695" s="3">
        <v>1.6494460172860149E-2</v>
      </c>
      <c r="CQ695" s="3">
        <v>1.7121655444497359E-2</v>
      </c>
      <c r="CR695" s="3">
        <v>1.7768231106946281E-2</v>
      </c>
      <c r="CS695" s="3">
        <v>1.84347321379674E-2</v>
      </c>
      <c r="CU695" s="17" t="s">
        <v>4257</v>
      </c>
      <c r="CV695" s="3">
        <v>1.3334925309380539E-2</v>
      </c>
      <c r="CW695" s="3">
        <v>9.8401544011144371E-3</v>
      </c>
      <c r="CX695" s="3">
        <v>8.8272108986903013E-3</v>
      </c>
      <c r="CY695" s="3">
        <v>8.0337447686753497E-3</v>
      </c>
      <c r="CZ695" s="3">
        <v>9.0686602502995841E-3</v>
      </c>
      <c r="DA695" s="3">
        <v>1.004991905260417E-2</v>
      </c>
      <c r="DB695" s="3">
        <v>1.1055258922514501E-2</v>
      </c>
      <c r="DC695" s="3">
        <v>1.201651751808972E-2</v>
      </c>
      <c r="DD695" s="3">
        <v>1.2924318828022431E-2</v>
      </c>
      <c r="DE695" s="3">
        <v>1.3243929016372859E-2</v>
      </c>
      <c r="DF695" s="3">
        <v>1.3852185499875141E-2</v>
      </c>
      <c r="DG695" s="3">
        <v>1.4473953587235759E-2</v>
      </c>
      <c r="DH695" s="3">
        <v>1.51171284258424E-2</v>
      </c>
      <c r="DI695" s="3">
        <v>1.5776058760970289E-2</v>
      </c>
      <c r="DJ695" s="3">
        <v>1.6446431020932309E-2</v>
      </c>
      <c r="DK695" s="3">
        <v>1.713131068393596E-2</v>
      </c>
      <c r="DL695" s="3">
        <v>1.783797702176847E-2</v>
      </c>
      <c r="DM695" s="3">
        <v>1.856547143689943E-2</v>
      </c>
      <c r="DN695" s="3">
        <v>1.9314516098296541E-2</v>
      </c>
      <c r="DO695" s="3">
        <v>2.008469372431311E-2</v>
      </c>
    </row>
    <row r="696" spans="1:230" x14ac:dyDescent="0.45">
      <c r="A696" s="16" t="s">
        <v>4258</v>
      </c>
      <c r="B696" s="3" t="s">
        <v>89</v>
      </c>
      <c r="C696" s="16" t="s">
        <v>4259</v>
      </c>
      <c r="H696" s="3" t="s">
        <v>4260</v>
      </c>
      <c r="I696" s="3" t="s">
        <v>4244</v>
      </c>
      <c r="K696" s="17" t="s">
        <v>4261</v>
      </c>
      <c r="L696" s="3">
        <v>3.5952296174256992E-2</v>
      </c>
      <c r="M696" s="3">
        <v>3.784006819556944E-2</v>
      </c>
      <c r="N696" s="3">
        <v>3.7405625267079481E-2</v>
      </c>
      <c r="O696" s="3">
        <v>3.9599197937211561E-2</v>
      </c>
      <c r="P696" s="3">
        <v>4.225867546953934E-2</v>
      </c>
      <c r="Q696" s="3">
        <v>4.5668720668977911E-2</v>
      </c>
      <c r="R696" s="3">
        <v>4.968303176695768E-2</v>
      </c>
      <c r="S696" s="3">
        <v>5.3800670372702142E-2</v>
      </c>
      <c r="T696" s="3">
        <v>5.7942075440134362E-2</v>
      </c>
      <c r="U696" s="3">
        <v>6.2349436479808951E-2</v>
      </c>
      <c r="V696" s="3">
        <v>6.7036681764846187E-2</v>
      </c>
      <c r="W696" s="3">
        <v>7.2020056832172469E-2</v>
      </c>
      <c r="X696" s="3">
        <v>7.7340737658933817E-2</v>
      </c>
      <c r="Y696" s="3">
        <v>8.3027766996160324E-2</v>
      </c>
      <c r="Z696" s="3">
        <v>8.9107085607794151E-2</v>
      </c>
      <c r="AA696" s="3">
        <v>9.5603232288968304E-2</v>
      </c>
      <c r="AB696" s="3">
        <v>0.1025780958000428</v>
      </c>
      <c r="AC696" s="3">
        <v>0.1100635429441093</v>
      </c>
      <c r="AD696" s="3">
        <v>0.11808847099478791</v>
      </c>
      <c r="AE696" s="3">
        <v>0.12668706839840199</v>
      </c>
      <c r="AG696" s="17" t="s">
        <v>4262</v>
      </c>
      <c r="AH696" s="3">
        <v>3.5952296174256992E-2</v>
      </c>
      <c r="AI696" s="3">
        <v>3.784006819556944E-2</v>
      </c>
      <c r="AJ696" s="3">
        <v>3.7405625267079481E-2</v>
      </c>
      <c r="AK696" s="3">
        <v>3.9599197937211561E-2</v>
      </c>
      <c r="AL696" s="3">
        <v>4.2258675500278321E-2</v>
      </c>
      <c r="AM696" s="3">
        <v>4.5658669938870543E-2</v>
      </c>
      <c r="AN696" s="3">
        <v>4.9898646643571791E-2</v>
      </c>
      <c r="AO696" s="3">
        <v>5.4258395966954337E-2</v>
      </c>
      <c r="AP696" s="3">
        <v>5.865771935853422E-2</v>
      </c>
      <c r="AQ696" s="3">
        <v>6.3338200437773162E-2</v>
      </c>
      <c r="AR696" s="3">
        <v>6.8315833963939018E-2</v>
      </c>
      <c r="AS696" s="3">
        <v>7.3605696887197591E-2</v>
      </c>
      <c r="AT696" s="3">
        <v>7.9250586380680568E-2</v>
      </c>
      <c r="AU696" s="3">
        <v>8.5282056094481584E-2</v>
      </c>
      <c r="AV696" s="3">
        <v>9.172717883002518E-2</v>
      </c>
      <c r="AW696" s="3">
        <v>9.8611400294245019E-2</v>
      </c>
      <c r="AX696" s="3">
        <v>0.1060006633527787</v>
      </c>
      <c r="AY696" s="3">
        <v>0.1139288074538308</v>
      </c>
      <c r="AZ696" s="3">
        <v>0.1224272090449222</v>
      </c>
      <c r="BA696" s="3">
        <v>0.13153166050117179</v>
      </c>
      <c r="BC696" s="17" t="s">
        <v>4263</v>
      </c>
      <c r="BD696" s="3">
        <v>3.5952296174256992E-2</v>
      </c>
      <c r="BE696" s="3">
        <v>3.784006819556944E-2</v>
      </c>
      <c r="BF696" s="3">
        <v>3.7405625267079481E-2</v>
      </c>
      <c r="BG696" s="3">
        <v>3.9599197937211561E-2</v>
      </c>
      <c r="BH696" s="3">
        <v>4.225867557202477E-2</v>
      </c>
      <c r="BI696" s="3">
        <v>4.5663575531968897E-2</v>
      </c>
      <c r="BJ696" s="3">
        <v>4.9786149903637382E-2</v>
      </c>
      <c r="BK696" s="3">
        <v>5.4179683360422601E-2</v>
      </c>
      <c r="BL696" s="3">
        <v>5.8778504508499238E-2</v>
      </c>
      <c r="BM696" s="3">
        <v>6.3840641019629302E-2</v>
      </c>
      <c r="BN696" s="3">
        <v>6.9396975244803163E-2</v>
      </c>
      <c r="BO696" s="3">
        <v>7.5480650429978105E-2</v>
      </c>
      <c r="BP696" s="3">
        <v>8.2152634382478745E-2</v>
      </c>
      <c r="BQ696" s="3">
        <v>8.9463479091200254E-2</v>
      </c>
      <c r="BR696" s="3">
        <v>9.7462556793668123E-2</v>
      </c>
      <c r="BS696" s="3">
        <v>0.1061988740109875</v>
      </c>
      <c r="BT696" s="3">
        <v>0.1157668215754579</v>
      </c>
      <c r="BU696" s="3">
        <v>0.12623076317120091</v>
      </c>
      <c r="BV696" s="3">
        <v>0.13765490309608269</v>
      </c>
      <c r="BW696" s="3">
        <v>0.15011150249801</v>
      </c>
      <c r="BY696" s="17" t="s">
        <v>4264</v>
      </c>
      <c r="BZ696" s="3">
        <v>3.5952296174256992E-2</v>
      </c>
      <c r="CA696" s="3">
        <v>3.784006819556944E-2</v>
      </c>
      <c r="CB696" s="3">
        <v>3.7405625267079481E-2</v>
      </c>
      <c r="CC696" s="3">
        <v>3.9599197937211561E-2</v>
      </c>
      <c r="CD696" s="3">
        <v>4.2258675645544128E-2</v>
      </c>
      <c r="CE696" s="3">
        <v>4.5656299663922283E-2</v>
      </c>
      <c r="CF696" s="3">
        <v>4.9949570985454862E-2</v>
      </c>
      <c r="CG696" s="3">
        <v>5.4366553822475273E-2</v>
      </c>
      <c r="CH696" s="3">
        <v>5.8826125676646378E-2</v>
      </c>
      <c r="CI696" s="3">
        <v>6.357025079900476E-2</v>
      </c>
      <c r="CJ696" s="3">
        <v>6.861555630586974E-2</v>
      </c>
      <c r="CK696" s="3">
        <v>7.3977081139892445E-2</v>
      </c>
      <c r="CL696" s="3">
        <v>7.9698974972886583E-2</v>
      </c>
      <c r="CM696" s="3">
        <v>8.5812765760116982E-2</v>
      </c>
      <c r="CN696" s="3">
        <v>9.2345814140906729E-2</v>
      </c>
      <c r="CO696" s="3">
        <v>9.9323974513523025E-2</v>
      </c>
      <c r="CP696" s="3">
        <v>0.106813562781032</v>
      </c>
      <c r="CQ696" s="3">
        <v>0.1148485698002205</v>
      </c>
      <c r="CR696" s="3">
        <v>0.1234607286675773</v>
      </c>
      <c r="CS696" s="3">
        <v>0.1326861671899611</v>
      </c>
      <c r="CU696" s="17" t="s">
        <v>4265</v>
      </c>
      <c r="CV696" s="3">
        <v>3.5952296174256992E-2</v>
      </c>
      <c r="CW696" s="3">
        <v>3.784006819556944E-2</v>
      </c>
      <c r="CX696" s="3">
        <v>3.7405625267079481E-2</v>
      </c>
      <c r="CY696" s="3">
        <v>3.9599197937211561E-2</v>
      </c>
      <c r="CZ696" s="3">
        <v>4.2258675541319478E-2</v>
      </c>
      <c r="DA696" s="3">
        <v>4.5645161100836558E-2</v>
      </c>
      <c r="DB696" s="3">
        <v>5.0193732893905843E-2</v>
      </c>
      <c r="DC696" s="3">
        <v>5.488455644979294E-2</v>
      </c>
      <c r="DD696" s="3">
        <v>5.963631237664193E-2</v>
      </c>
      <c r="DE696" s="3">
        <v>6.4690065593187268E-2</v>
      </c>
      <c r="DF696" s="3">
        <v>7.0064576170205881E-2</v>
      </c>
      <c r="DG696" s="3">
        <v>7.5773354758430445E-2</v>
      </c>
      <c r="DH696" s="3">
        <v>8.1861692546976686E-2</v>
      </c>
      <c r="DI696" s="3">
        <v>8.8364197419091711E-2</v>
      </c>
      <c r="DJ696" s="3">
        <v>9.530963405033524E-2</v>
      </c>
      <c r="DK696" s="3">
        <v>0.1027246843157985</v>
      </c>
      <c r="DL696" s="3">
        <v>0.1106807292156437</v>
      </c>
      <c r="DM696" s="3">
        <v>0.11921413552543079</v>
      </c>
      <c r="DN696" s="3">
        <v>0.12835965915398159</v>
      </c>
      <c r="DO696" s="3">
        <v>0.13815529247351729</v>
      </c>
    </row>
    <row r="697" spans="1:230" x14ac:dyDescent="0.45">
      <c r="A697" s="16" t="s">
        <v>4266</v>
      </c>
      <c r="B697" s="3" t="s">
        <v>89</v>
      </c>
      <c r="C697" s="16" t="s">
        <v>4267</v>
      </c>
      <c r="H697" s="3" t="s">
        <v>4268</v>
      </c>
      <c r="I697" s="3" t="s">
        <v>4244</v>
      </c>
      <c r="K697" s="17" t="s">
        <v>4269</v>
      </c>
      <c r="L697" s="3">
        <v>1.131060816583276E-2</v>
      </c>
      <c r="M697" s="3">
        <v>1.083693386625122E-2</v>
      </c>
      <c r="N697" s="3">
        <v>1.048722269513582E-2</v>
      </c>
      <c r="O697" s="3">
        <v>1.117642985710453E-2</v>
      </c>
      <c r="P697" s="3">
        <v>1.1897834236611639E-2</v>
      </c>
      <c r="Q697" s="3">
        <v>1.2832862808540849E-2</v>
      </c>
      <c r="R697" s="3">
        <v>1.3979641815446959E-2</v>
      </c>
      <c r="S697" s="3">
        <v>1.5172634306108509E-2</v>
      </c>
      <c r="T697" s="3">
        <v>1.6388239930256301E-2</v>
      </c>
      <c r="U697" s="3">
        <v>1.7691818483994998E-2</v>
      </c>
      <c r="V697" s="3">
        <v>1.9087609350971761E-2</v>
      </c>
      <c r="W697" s="3">
        <v>2.0580510819196769E-2</v>
      </c>
      <c r="X697" s="3">
        <v>2.2179056244166589E-2</v>
      </c>
      <c r="Y697" s="3">
        <v>2.388062677492957E-2</v>
      </c>
      <c r="Z697" s="3">
        <v>2.5685446158773498E-2</v>
      </c>
      <c r="AA697" s="3">
        <v>2.7604113896422589E-2</v>
      </c>
      <c r="AB697" s="3">
        <v>2.9653453987300071E-2</v>
      </c>
      <c r="AC697" s="3">
        <v>3.184098207609698E-2</v>
      </c>
      <c r="AD697" s="3">
        <v>3.4173371190994457E-2</v>
      </c>
      <c r="AE697" s="3">
        <v>3.6658146378515243E-2</v>
      </c>
      <c r="AG697" s="17" t="s">
        <v>4270</v>
      </c>
      <c r="AH697" s="3">
        <v>1.131060816583276E-2</v>
      </c>
      <c r="AI697" s="3">
        <v>1.083693386625122E-2</v>
      </c>
      <c r="AJ697" s="3">
        <v>1.048722269513582E-2</v>
      </c>
      <c r="AK697" s="3">
        <v>1.117642985710453E-2</v>
      </c>
      <c r="AL697" s="3">
        <v>1.189783423670213E-2</v>
      </c>
      <c r="AM697" s="3">
        <v>1.3281562040065189E-2</v>
      </c>
      <c r="AN697" s="3">
        <v>1.455943886268065E-2</v>
      </c>
      <c r="AO697" s="3">
        <v>1.5891605529340231E-2</v>
      </c>
      <c r="AP697" s="3">
        <v>1.7255228093891281E-2</v>
      </c>
      <c r="AQ697" s="3">
        <v>1.8714908862544542E-2</v>
      </c>
      <c r="AR697" s="3">
        <v>2.0278675598528171E-2</v>
      </c>
      <c r="AS697" s="3">
        <v>2.1950517130096731E-2</v>
      </c>
      <c r="AT697" s="3">
        <v>2.374302683208377E-2</v>
      </c>
      <c r="AU697" s="3">
        <v>2.565423838011326E-2</v>
      </c>
      <c r="AV697" s="3">
        <v>2.7683668394651369E-2</v>
      </c>
      <c r="AW697" s="3">
        <v>2.9842586914236229E-2</v>
      </c>
      <c r="AX697" s="3">
        <v>3.2151171256806013E-2</v>
      </c>
      <c r="AY697" s="3">
        <v>3.4616680887641013E-2</v>
      </c>
      <c r="AZ697" s="3">
        <v>3.7246628101713627E-2</v>
      </c>
      <c r="BA697" s="3">
        <v>4.0047642563056408E-2</v>
      </c>
      <c r="BC697" s="17" t="s">
        <v>4271</v>
      </c>
      <c r="BD697" s="3">
        <v>1.131060816583276E-2</v>
      </c>
      <c r="BE697" s="3">
        <v>1.083693386625122E-2</v>
      </c>
      <c r="BF697" s="3">
        <v>1.048722269513582E-2</v>
      </c>
      <c r="BG697" s="3">
        <v>1.117642985710453E-2</v>
      </c>
      <c r="BH697" s="3">
        <v>1.189783423691332E-2</v>
      </c>
      <c r="BI697" s="3">
        <v>1.30454688800671E-2</v>
      </c>
      <c r="BJ697" s="3">
        <v>1.4535526063952701E-2</v>
      </c>
      <c r="BK697" s="3">
        <v>1.6154637154419921E-2</v>
      </c>
      <c r="BL697" s="3">
        <v>1.7885642255098508E-2</v>
      </c>
      <c r="BM697" s="3">
        <v>1.9821530088770651E-2</v>
      </c>
      <c r="BN697" s="3">
        <v>2.1962448537515621E-2</v>
      </c>
      <c r="BO697" s="3">
        <v>2.4328729416299689E-2</v>
      </c>
      <c r="BP697" s="3">
        <v>2.6951911500914309E-2</v>
      </c>
      <c r="BQ697" s="3">
        <v>2.984414275542412E-2</v>
      </c>
      <c r="BR697" s="3">
        <v>3.3021437579922083E-2</v>
      </c>
      <c r="BS697" s="3">
        <v>3.6512629894779158E-2</v>
      </c>
      <c r="BT697" s="3">
        <v>4.0354809381762828E-2</v>
      </c>
      <c r="BU697" s="3">
        <v>4.4572819016281767E-2</v>
      </c>
      <c r="BV697" s="3">
        <v>4.9192233315339583E-2</v>
      </c>
      <c r="BW697" s="3">
        <v>5.4238759341857318E-2</v>
      </c>
      <c r="BY697" s="17" t="s">
        <v>4272</v>
      </c>
      <c r="BZ697" s="3">
        <v>1.131060816583276E-2</v>
      </c>
      <c r="CA697" s="3">
        <v>1.083693386625122E-2</v>
      </c>
      <c r="CB697" s="3">
        <v>1.048722269513582E-2</v>
      </c>
      <c r="CC697" s="3">
        <v>1.117642985710453E-2</v>
      </c>
      <c r="CD697" s="3">
        <v>1.1897834237129741E-2</v>
      </c>
      <c r="CE697" s="3">
        <v>1.337831983697481E-2</v>
      </c>
      <c r="CF697" s="3">
        <v>1.468682238887014E-2</v>
      </c>
      <c r="CG697" s="3">
        <v>1.6051597999318878E-2</v>
      </c>
      <c r="CH697" s="3">
        <v>1.744924748603555E-2</v>
      </c>
      <c r="CI697" s="3">
        <v>1.8944910454482482E-2</v>
      </c>
      <c r="CJ697" s="3">
        <v>2.0547681893083321E-2</v>
      </c>
      <c r="CK697" s="3">
        <v>2.2261548240045882E-2</v>
      </c>
      <c r="CL697" s="3">
        <v>2.4101431712216442E-2</v>
      </c>
      <c r="CM697" s="3">
        <v>2.6063937722360819E-2</v>
      </c>
      <c r="CN697" s="3">
        <v>2.8148763578499509E-2</v>
      </c>
      <c r="CO697" s="3">
        <v>3.036777453466499E-2</v>
      </c>
      <c r="CP697" s="3">
        <v>3.2740997331465439E-2</v>
      </c>
      <c r="CQ697" s="3">
        <v>3.5275378662063393E-2</v>
      </c>
      <c r="CR697" s="3">
        <v>3.7978566334544862E-2</v>
      </c>
      <c r="CS697" s="3">
        <v>4.0856986636375082E-2</v>
      </c>
      <c r="CU697" s="17" t="s">
        <v>4273</v>
      </c>
      <c r="CV697" s="3">
        <v>1.131060816583276E-2</v>
      </c>
      <c r="CW697" s="3">
        <v>1.083693386625122E-2</v>
      </c>
      <c r="CX697" s="3">
        <v>1.048722269513582E-2</v>
      </c>
      <c r="CY697" s="3">
        <v>1.117642985710453E-2</v>
      </c>
      <c r="CZ697" s="3">
        <v>1.1897834236822939E-2</v>
      </c>
      <c r="DA697" s="3">
        <v>1.379361156780721E-2</v>
      </c>
      <c r="DB697" s="3">
        <v>1.524474139200057E-2</v>
      </c>
      <c r="DC697" s="3">
        <v>1.6761032862375111E-2</v>
      </c>
      <c r="DD697" s="3">
        <v>1.8321025391742601E-2</v>
      </c>
      <c r="DE697" s="3">
        <v>1.9987633570757831E-2</v>
      </c>
      <c r="DF697" s="3">
        <v>2.177498994063656E-2</v>
      </c>
      <c r="DG697" s="3">
        <v>2.3685511230018028E-2</v>
      </c>
      <c r="DH697" s="3">
        <v>2.573838465213317E-2</v>
      </c>
      <c r="DI697" s="3">
        <v>2.7931837959384479E-2</v>
      </c>
      <c r="DJ697" s="3">
        <v>3.026445100990344E-2</v>
      </c>
      <c r="DK697" s="3">
        <v>3.2748143952154543E-2</v>
      </c>
      <c r="DL697" s="3">
        <v>3.5407837052432119E-2</v>
      </c>
      <c r="DM697" s="3">
        <v>3.8250041714676948E-2</v>
      </c>
      <c r="DN697" s="3">
        <v>4.1283661071473902E-2</v>
      </c>
      <c r="DO697" s="3">
        <v>4.4513804537461857E-2</v>
      </c>
    </row>
    <row r="698" spans="1:230" x14ac:dyDescent="0.45">
      <c r="A698" s="11"/>
      <c r="B698" s="3" t="s">
        <v>4232</v>
      </c>
      <c r="C698" s="16" t="s">
        <v>4274</v>
      </c>
      <c r="H698" s="11" t="s">
        <v>4275</v>
      </c>
      <c r="I698" s="11"/>
    </row>
    <row r="699" spans="1:230" x14ac:dyDescent="0.45">
      <c r="A699" s="16" t="s">
        <v>4276</v>
      </c>
      <c r="B699" s="3" t="s">
        <v>89</v>
      </c>
      <c r="C699" s="16" t="s">
        <v>4277</v>
      </c>
      <c r="H699" s="3" t="s">
        <v>4278</v>
      </c>
      <c r="I699" s="3" t="s">
        <v>4244</v>
      </c>
      <c r="K699" s="17" t="s">
        <v>4279</v>
      </c>
      <c r="L699" s="3">
        <v>0.14820302298256829</v>
      </c>
      <c r="M699" s="3">
        <v>0.14080483329868199</v>
      </c>
      <c r="N699" s="3">
        <v>0.1357942719546926</v>
      </c>
      <c r="O699" s="3">
        <v>0.13481695309124</v>
      </c>
      <c r="P699" s="3">
        <v>0.1347467971457631</v>
      </c>
      <c r="Q699" s="3">
        <v>0.13534797897995771</v>
      </c>
      <c r="R699" s="3">
        <v>0.13604400540235981</v>
      </c>
      <c r="S699" s="3">
        <v>0.13677842766139489</v>
      </c>
      <c r="T699" s="3">
        <v>0.13754396060703161</v>
      </c>
      <c r="U699" s="3">
        <v>0.1383552803729082</v>
      </c>
      <c r="V699" s="3">
        <v>0.13921034894663339</v>
      </c>
      <c r="W699" s="3">
        <v>0.14010654116768351</v>
      </c>
      <c r="X699" s="3">
        <v>0.14104151002005511</v>
      </c>
      <c r="Y699" s="3">
        <v>0.1420128623746113</v>
      </c>
      <c r="Z699" s="3">
        <v>0.14301847322418079</v>
      </c>
      <c r="AA699" s="3">
        <v>0.14405643699962939</v>
      </c>
      <c r="AB699" s="3">
        <v>0.14512490723867999</v>
      </c>
      <c r="AC699" s="3">
        <v>0.1462221518247348</v>
      </c>
      <c r="AD699" s="3">
        <v>0.1473465529922342</v>
      </c>
      <c r="AE699" s="3">
        <v>0.14849669897014389</v>
      </c>
      <c r="AG699" s="17" t="s">
        <v>4280</v>
      </c>
      <c r="AH699" s="3">
        <v>0.14820302298256829</v>
      </c>
      <c r="AI699" s="3">
        <v>0.14080483329868199</v>
      </c>
      <c r="AJ699" s="3">
        <v>0.1357942719546926</v>
      </c>
      <c r="AK699" s="3">
        <v>0.13481695309124</v>
      </c>
      <c r="AL699" s="3">
        <v>0.13474679714577431</v>
      </c>
      <c r="AM699" s="3">
        <v>0.14117202588694011</v>
      </c>
      <c r="AN699" s="3">
        <v>0.1427728766103121</v>
      </c>
      <c r="AO699" s="3">
        <v>0.14435814396894919</v>
      </c>
      <c r="AP699" s="3">
        <v>0.14591223067350079</v>
      </c>
      <c r="AQ699" s="3">
        <v>0.14747079902085319</v>
      </c>
      <c r="AR699" s="3">
        <v>0.1490238984501481</v>
      </c>
      <c r="AS699" s="3">
        <v>0.15058319053778349</v>
      </c>
      <c r="AT699" s="3">
        <v>0.1521470004127029</v>
      </c>
      <c r="AU699" s="3">
        <v>0.1537103702687691</v>
      </c>
      <c r="AV699" s="3">
        <v>0.1552763822858847</v>
      </c>
      <c r="AW699" s="3">
        <v>0.156848175446057</v>
      </c>
      <c r="AX699" s="3">
        <v>0.1584205344798543</v>
      </c>
      <c r="AY699" s="3">
        <v>0.1599952747834156</v>
      </c>
      <c r="AZ699" s="3">
        <v>0.1615708108512631</v>
      </c>
      <c r="BA699" s="3">
        <v>0.1631502230163937</v>
      </c>
      <c r="BC699" s="17" t="s">
        <v>4281</v>
      </c>
      <c r="BD699" s="3">
        <v>0.14820302298256829</v>
      </c>
      <c r="BE699" s="3">
        <v>0.14080483329868199</v>
      </c>
      <c r="BF699" s="3">
        <v>0.1357942719546926</v>
      </c>
      <c r="BG699" s="3">
        <v>0.13481695309124</v>
      </c>
      <c r="BH699" s="3">
        <v>0.1347467971458004</v>
      </c>
      <c r="BI699" s="3">
        <v>0.13815120000306169</v>
      </c>
      <c r="BJ699" s="3">
        <v>0.14271192333302171</v>
      </c>
      <c r="BK699" s="3">
        <v>0.1475557798414511</v>
      </c>
      <c r="BL699" s="3">
        <v>0.15267885119340119</v>
      </c>
      <c r="BM699" s="3">
        <v>0.15822534137852221</v>
      </c>
      <c r="BN699" s="3">
        <v>0.1640388203018614</v>
      </c>
      <c r="BO699" s="3">
        <v>0.17011969482229969</v>
      </c>
      <c r="BP699" s="3">
        <v>0.1764660846158371</v>
      </c>
      <c r="BQ699" s="3">
        <v>0.1830616659119165</v>
      </c>
      <c r="BR699" s="3">
        <v>0.18989145697402399</v>
      </c>
      <c r="BS699" s="3">
        <v>0.1969460417242882</v>
      </c>
      <c r="BT699" s="3">
        <v>0.2042104045923713</v>
      </c>
      <c r="BU699" s="3">
        <v>0.2116695006729635</v>
      </c>
      <c r="BV699" s="3">
        <v>0.2193078521217878</v>
      </c>
      <c r="BW699" s="3">
        <v>0.22711288631997029</v>
      </c>
      <c r="BY699" s="17" t="s">
        <v>4282</v>
      </c>
      <c r="BZ699" s="3">
        <v>0.14820302298256829</v>
      </c>
      <c r="CA699" s="3">
        <v>0.14080483329868199</v>
      </c>
      <c r="CB699" s="3">
        <v>0.1357942719546926</v>
      </c>
      <c r="CC699" s="3">
        <v>0.13481695309124</v>
      </c>
      <c r="CD699" s="3">
        <v>0.13474679714582721</v>
      </c>
      <c r="CE699" s="3">
        <v>0.1424463299350533</v>
      </c>
      <c r="CF699" s="3">
        <v>0.14426751908807159</v>
      </c>
      <c r="CG699" s="3">
        <v>0.14605858527414581</v>
      </c>
      <c r="CH699" s="3">
        <v>0.14780654534508131</v>
      </c>
      <c r="CI699" s="3">
        <v>0.14954770567432571</v>
      </c>
      <c r="CJ699" s="3">
        <v>0.15127069155755909</v>
      </c>
      <c r="CK699" s="3">
        <v>0.15299051754825169</v>
      </c>
      <c r="CL699" s="3">
        <v>0.15470318223269999</v>
      </c>
      <c r="CM699" s="3">
        <v>0.15640733307292851</v>
      </c>
      <c r="CN699" s="3">
        <v>0.15810609335790571</v>
      </c>
      <c r="CO699" s="3">
        <v>0.15980271063095711</v>
      </c>
      <c r="CP699" s="3">
        <v>0.16149357778042811</v>
      </c>
      <c r="CQ699" s="3">
        <v>0.16318175075704031</v>
      </c>
      <c r="CR699" s="3">
        <v>0.16486591210036339</v>
      </c>
      <c r="CS699" s="3">
        <v>0.1665501844401702</v>
      </c>
      <c r="CU699" s="17" t="s">
        <v>4283</v>
      </c>
      <c r="CV699" s="3">
        <v>0.14820302298256829</v>
      </c>
      <c r="CW699" s="3">
        <v>0.14080483329868199</v>
      </c>
      <c r="CX699" s="3">
        <v>0.1357942719546926</v>
      </c>
      <c r="CY699" s="3">
        <v>0.13481695309124</v>
      </c>
      <c r="CZ699" s="3">
        <v>0.13474679714578919</v>
      </c>
      <c r="DA699" s="3">
        <v>0.14799934087975819</v>
      </c>
      <c r="DB699" s="3">
        <v>0.1508872375755213</v>
      </c>
      <c r="DC699" s="3">
        <v>0.15367988261469559</v>
      </c>
      <c r="DD699" s="3">
        <v>0.1563556584562405</v>
      </c>
      <c r="DE699" s="3">
        <v>0.1589733148303184</v>
      </c>
      <c r="DF699" s="3">
        <v>0.16151542839640931</v>
      </c>
      <c r="DG699" s="3">
        <v>0.16401203415983301</v>
      </c>
      <c r="DH699" s="3">
        <v>0.1664628972305672</v>
      </c>
      <c r="DI699" s="3">
        <v>0.16886219477991851</v>
      </c>
      <c r="DJ699" s="3">
        <v>0.17121863795344169</v>
      </c>
      <c r="DK699" s="3">
        <v>0.17354199198982789</v>
      </c>
      <c r="DL699" s="3">
        <v>0.17582423285186721</v>
      </c>
      <c r="DM699" s="3">
        <v>0.17807193720805559</v>
      </c>
      <c r="DN699" s="3">
        <v>0.18028375600358801</v>
      </c>
      <c r="DO699" s="3">
        <v>0.1824682592942054</v>
      </c>
    </row>
    <row r="700" spans="1:230" ht="15.4" x14ac:dyDescent="0.45">
      <c r="A700" s="5"/>
      <c r="B700" s="15" t="s">
        <v>4284</v>
      </c>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row>
    <row r="701" spans="1:230" x14ac:dyDescent="0.45">
      <c r="A701" s="16" t="s">
        <v>4285</v>
      </c>
      <c r="B701" s="3" t="s">
        <v>89</v>
      </c>
      <c r="C701" s="16" t="s">
        <v>4286</v>
      </c>
      <c r="H701" s="3" t="s">
        <v>4287</v>
      </c>
      <c r="I701" s="3" t="s">
        <v>4288</v>
      </c>
      <c r="K701" s="17" t="s">
        <v>4289</v>
      </c>
      <c r="L701" s="24">
        <v>0</v>
      </c>
      <c r="M701" s="24">
        <v>0</v>
      </c>
      <c r="N701" s="24">
        <v>0</v>
      </c>
      <c r="O701" s="24">
        <v>0</v>
      </c>
      <c r="P701" s="24">
        <v>0</v>
      </c>
      <c r="Q701" s="24">
        <v>0</v>
      </c>
      <c r="R701" s="24">
        <v>0</v>
      </c>
      <c r="S701" s="24">
        <v>0</v>
      </c>
      <c r="T701" s="24">
        <v>0</v>
      </c>
      <c r="U701" s="24">
        <v>0</v>
      </c>
      <c r="V701" s="24">
        <v>0</v>
      </c>
      <c r="W701" s="24">
        <v>0</v>
      </c>
      <c r="X701" s="24">
        <v>0</v>
      </c>
      <c r="Y701" s="24">
        <v>0</v>
      </c>
      <c r="Z701" s="24">
        <v>0</v>
      </c>
      <c r="AA701" s="24">
        <v>0</v>
      </c>
      <c r="AB701" s="24">
        <v>0</v>
      </c>
      <c r="AC701" s="24">
        <v>0</v>
      </c>
      <c r="AD701" s="24">
        <v>0</v>
      </c>
      <c r="AE701" s="24">
        <v>0</v>
      </c>
      <c r="AG701" s="17" t="s">
        <v>4290</v>
      </c>
      <c r="AH701" s="24">
        <v>0</v>
      </c>
      <c r="AI701" s="24">
        <v>3.064747229920783E-3</v>
      </c>
      <c r="AJ701" s="24">
        <v>3.072212737158964E-3</v>
      </c>
      <c r="AK701" s="24">
        <v>3.0780017150391359E-3</v>
      </c>
      <c r="AL701" s="24">
        <v>3.202190463408527E-3</v>
      </c>
      <c r="AM701" s="24">
        <v>2.2242029920239759</v>
      </c>
      <c r="AN701" s="24">
        <v>3.0924311363381491</v>
      </c>
      <c r="AO701" s="24">
        <v>3.140825356853405</v>
      </c>
      <c r="AP701" s="24">
        <v>3.4352952942378181</v>
      </c>
      <c r="AQ701" s="24">
        <v>3.535267722859984</v>
      </c>
      <c r="AR701" s="24">
        <v>3.754388053041843</v>
      </c>
      <c r="AS701" s="24">
        <v>3.9264283253764209</v>
      </c>
      <c r="AT701" s="24">
        <v>4.1706696718270848</v>
      </c>
      <c r="AU701" s="24">
        <v>4.3993037786345326</v>
      </c>
      <c r="AV701" s="24">
        <v>4.6357661781086321</v>
      </c>
      <c r="AW701" s="24">
        <v>4.8702259107011656</v>
      </c>
      <c r="AX701" s="24">
        <v>5.1352776537352156</v>
      </c>
      <c r="AY701" s="24">
        <v>5.4225181991700353</v>
      </c>
      <c r="AZ701" s="24">
        <v>5.7510603301200973</v>
      </c>
      <c r="BA701" s="24">
        <v>6.1048505670433286</v>
      </c>
      <c r="BC701" s="17" t="s">
        <v>4291</v>
      </c>
      <c r="BD701" s="24">
        <v>0</v>
      </c>
      <c r="BE701" s="24">
        <v>1.060977962173126E-2</v>
      </c>
      <c r="BF701" s="24">
        <v>1.063514325783288E-2</v>
      </c>
      <c r="BG701" s="24">
        <v>1.0654694886486739E-2</v>
      </c>
      <c r="BH701" s="24">
        <v>1.1068892424454191E-2</v>
      </c>
      <c r="BI701" s="24">
        <v>1.4408253908236619</v>
      </c>
      <c r="BJ701" s="24">
        <v>3.4779398624240021</v>
      </c>
      <c r="BK701" s="24">
        <v>5.62626573070429</v>
      </c>
      <c r="BL701" s="24">
        <v>7.4107211684362468</v>
      </c>
      <c r="BM701" s="24">
        <v>8.6799125888746431</v>
      </c>
      <c r="BN701" s="24">
        <v>10.21641614326222</v>
      </c>
      <c r="BO701" s="24">
        <v>11.77474837442249</v>
      </c>
      <c r="BP701" s="24">
        <v>13.5265238884712</v>
      </c>
      <c r="BQ701" s="24">
        <v>15.235407168964461</v>
      </c>
      <c r="BR701" s="24">
        <v>17.143460054755341</v>
      </c>
      <c r="BS701" s="24">
        <v>19.015153203926321</v>
      </c>
      <c r="BT701" s="24">
        <v>21.122154173045061</v>
      </c>
      <c r="BU701" s="24">
        <v>23.18097827957796</v>
      </c>
      <c r="BV701" s="24">
        <v>25.56572178917115</v>
      </c>
      <c r="BW701" s="24">
        <v>27.82646503813762</v>
      </c>
      <c r="BY701" s="17" t="s">
        <v>4292</v>
      </c>
      <c r="BZ701" s="24">
        <v>0</v>
      </c>
      <c r="CA701" s="24">
        <v>1.800051647690282E-2</v>
      </c>
      <c r="CB701" s="24">
        <v>1.805283423276904E-2</v>
      </c>
      <c r="CC701" s="24">
        <v>1.8095544904962679E-2</v>
      </c>
      <c r="CD701" s="24">
        <v>1.8816218423538089E-2</v>
      </c>
      <c r="CE701" s="24">
        <v>2.5229555763905469</v>
      </c>
      <c r="CF701" s="24">
        <v>2.762472350049137</v>
      </c>
      <c r="CG701" s="24">
        <v>3.0024595884293031</v>
      </c>
      <c r="CH701" s="24">
        <v>3.283795111235662</v>
      </c>
      <c r="CI701" s="24">
        <v>3.6350590230622539</v>
      </c>
      <c r="CJ701" s="24">
        <v>4.1191358093477106</v>
      </c>
      <c r="CK701" s="24">
        <v>4.518680072299837</v>
      </c>
      <c r="CL701" s="24">
        <v>5.2794603575913186</v>
      </c>
      <c r="CM701" s="24">
        <v>6.0233808179462258</v>
      </c>
      <c r="CN701" s="24">
        <v>6.7629865053708471</v>
      </c>
      <c r="CO701" s="24">
        <v>7.6164283532424406</v>
      </c>
      <c r="CP701" s="24">
        <v>8.4878516499194276</v>
      </c>
      <c r="CQ701" s="24">
        <v>9.4034798304942981</v>
      </c>
      <c r="CR701" s="24">
        <v>10.41747497456709</v>
      </c>
      <c r="CS701" s="24">
        <v>11.459126944729981</v>
      </c>
      <c r="CU701" s="17" t="s">
        <v>4293</v>
      </c>
      <c r="CV701" s="24">
        <v>0</v>
      </c>
      <c r="CW701" s="24">
        <v>7.3107753571015621E-3</v>
      </c>
      <c r="CX701" s="24">
        <v>7.3283934971648526E-3</v>
      </c>
      <c r="CY701" s="24">
        <v>7.3420092037643769E-3</v>
      </c>
      <c r="CZ701" s="24">
        <v>7.6320641651825838E-3</v>
      </c>
      <c r="DA701" s="24">
        <v>4.377433197333243</v>
      </c>
      <c r="DB701" s="24">
        <v>6.1907794348613017</v>
      </c>
      <c r="DC701" s="24">
        <v>6.4329294147364458</v>
      </c>
      <c r="DD701" s="24">
        <v>7.1122848038001933</v>
      </c>
      <c r="DE701" s="24">
        <v>7.121528603408052</v>
      </c>
      <c r="DF701" s="24">
        <v>7.7893534390517019</v>
      </c>
      <c r="DG701" s="24">
        <v>8.3290203304677277</v>
      </c>
      <c r="DH701" s="24">
        <v>9.1133559992131836</v>
      </c>
      <c r="DI701" s="24">
        <v>9.8296368587814129</v>
      </c>
      <c r="DJ701" s="24">
        <v>10.661111598846229</v>
      </c>
      <c r="DK701" s="24">
        <v>11.439758766896199</v>
      </c>
      <c r="DL701" s="24">
        <v>12.36528110106549</v>
      </c>
      <c r="DM701" s="24">
        <v>13.26997146064363</v>
      </c>
      <c r="DN701" s="24">
        <v>14.33288535029407</v>
      </c>
      <c r="DO701" s="24">
        <v>15.3853900775028</v>
      </c>
    </row>
    <row r="702" spans="1:230" x14ac:dyDescent="0.45">
      <c r="A702" s="16" t="s">
        <v>4294</v>
      </c>
      <c r="B702" s="3" t="s">
        <v>89</v>
      </c>
      <c r="C702" s="16" t="s">
        <v>4294</v>
      </c>
      <c r="H702" s="3" t="s">
        <v>4295</v>
      </c>
      <c r="I702" s="3" t="s">
        <v>279</v>
      </c>
      <c r="K702" s="17" t="s">
        <v>4296</v>
      </c>
      <c r="L702" s="3">
        <v>0</v>
      </c>
      <c r="M702" s="3">
        <v>0</v>
      </c>
      <c r="N702" s="3">
        <v>0</v>
      </c>
      <c r="O702" s="3">
        <v>0</v>
      </c>
      <c r="P702" s="3">
        <v>0</v>
      </c>
      <c r="Q702" s="3">
        <v>0</v>
      </c>
      <c r="R702" s="3">
        <v>0</v>
      </c>
      <c r="S702" s="3">
        <v>0</v>
      </c>
      <c r="T702" s="3">
        <v>0</v>
      </c>
      <c r="U702" s="3">
        <v>0</v>
      </c>
      <c r="V702" s="3">
        <v>0</v>
      </c>
      <c r="W702" s="3">
        <v>0</v>
      </c>
      <c r="X702" s="3">
        <v>0</v>
      </c>
      <c r="Y702" s="3">
        <v>0</v>
      </c>
      <c r="Z702" s="3">
        <v>0</v>
      </c>
      <c r="AA702" s="3">
        <v>0</v>
      </c>
      <c r="AB702" s="3">
        <v>0</v>
      </c>
      <c r="AC702" s="3">
        <v>0</v>
      </c>
      <c r="AD702" s="3">
        <v>0</v>
      </c>
      <c r="AE702" s="3">
        <v>0</v>
      </c>
      <c r="AG702" s="17" t="s">
        <v>4297</v>
      </c>
      <c r="AH702" s="3">
        <v>0</v>
      </c>
      <c r="AI702" s="3">
        <v>5.6915831393963801E-4</v>
      </c>
      <c r="AJ702" s="3">
        <v>5.2088823108575996E-4</v>
      </c>
      <c r="AK702" s="3">
        <v>3.5659182699957122E-4</v>
      </c>
      <c r="AL702" s="3">
        <v>4.0169970047070828E-4</v>
      </c>
      <c r="AM702" s="3">
        <v>0.8514115835028605</v>
      </c>
      <c r="AN702" s="3">
        <v>1.0172845284426331</v>
      </c>
      <c r="AO702" s="3">
        <v>1.2984454069809019</v>
      </c>
      <c r="AP702" s="3">
        <v>1.4430368008037819</v>
      </c>
      <c r="AQ702" s="3">
        <v>1.482930244012048</v>
      </c>
      <c r="AR702" s="3">
        <v>1.5682758267110011</v>
      </c>
      <c r="AS702" s="3">
        <v>1.648472188623852</v>
      </c>
      <c r="AT702" s="3">
        <v>1.7360154661340681</v>
      </c>
      <c r="AU702" s="3">
        <v>1.825653940176337</v>
      </c>
      <c r="AV702" s="3">
        <v>1.917534520937187</v>
      </c>
      <c r="AW702" s="3">
        <v>2.0091034349843451</v>
      </c>
      <c r="AX702" s="3">
        <v>2.1083686635769849</v>
      </c>
      <c r="AY702" s="3">
        <v>2.213613737179934</v>
      </c>
      <c r="AZ702" s="3">
        <v>2.328734304135851</v>
      </c>
      <c r="BA702" s="3">
        <v>2.3605848890262862</v>
      </c>
      <c r="BC702" s="17" t="s">
        <v>4298</v>
      </c>
      <c r="BD702" s="3">
        <v>0</v>
      </c>
      <c r="BE702" s="3">
        <v>1.87753588231388E-3</v>
      </c>
      <c r="BF702" s="3">
        <v>1.718091400093189E-3</v>
      </c>
      <c r="BG702" s="3">
        <v>1.1760659595263759E-3</v>
      </c>
      <c r="BH702" s="3">
        <v>1.3250891972790451E-3</v>
      </c>
      <c r="BI702" s="3">
        <v>0.5396064698855213</v>
      </c>
      <c r="BJ702" s="3">
        <v>1.254420051590023</v>
      </c>
      <c r="BK702" s="3">
        <v>2.157782797163287</v>
      </c>
      <c r="BL702" s="3">
        <v>3.0533138491379601</v>
      </c>
      <c r="BM702" s="3">
        <v>3.5094162867862959</v>
      </c>
      <c r="BN702" s="3">
        <v>4.0518749911470779</v>
      </c>
      <c r="BO702" s="3">
        <v>4.5984127667378072</v>
      </c>
      <c r="BP702" s="3">
        <v>5.1680614260365223</v>
      </c>
      <c r="BQ702" s="3">
        <v>5.7404842927264896</v>
      </c>
      <c r="BR702" s="3">
        <v>6.3398726119979996</v>
      </c>
      <c r="BS702" s="3">
        <v>6.9461570146957499</v>
      </c>
      <c r="BT702" s="3">
        <v>7.584910220137786</v>
      </c>
      <c r="BU702" s="3">
        <v>8.2321962914842164</v>
      </c>
      <c r="BV702" s="3">
        <v>8.9228088952205216</v>
      </c>
      <c r="BW702" s="3">
        <v>9.2668210101714656</v>
      </c>
      <c r="BY702" s="17" t="s">
        <v>4299</v>
      </c>
      <c r="BZ702" s="3">
        <v>0</v>
      </c>
      <c r="CA702" s="3">
        <v>3.2276911312803191E-3</v>
      </c>
      <c r="CB702" s="3">
        <v>2.9546939729216109E-3</v>
      </c>
      <c r="CC702" s="3">
        <v>2.023105083979143E-3</v>
      </c>
      <c r="CD702" s="3">
        <v>2.2797457213462428E-3</v>
      </c>
      <c r="CE702" s="3">
        <v>1.010976667490312</v>
      </c>
      <c r="CF702" s="3">
        <v>1.1400102403569849</v>
      </c>
      <c r="CG702" s="3">
        <v>1.265408678581857</v>
      </c>
      <c r="CH702" s="3">
        <v>1.395171295264823</v>
      </c>
      <c r="CI702" s="3">
        <v>1.4684191858777851</v>
      </c>
      <c r="CJ702" s="3">
        <v>1.5896916665340031</v>
      </c>
      <c r="CK702" s="3">
        <v>1.701945331720754</v>
      </c>
      <c r="CL702" s="3">
        <v>1.8512242033659121</v>
      </c>
      <c r="CM702" s="3">
        <v>2.0022799590411031</v>
      </c>
      <c r="CN702" s="3">
        <v>2.1558246831613062</v>
      </c>
      <c r="CO702" s="3">
        <v>2.3207350327471721</v>
      </c>
      <c r="CP702" s="3">
        <v>2.4925044109253731</v>
      </c>
      <c r="CQ702" s="3">
        <v>2.6716421073598728</v>
      </c>
      <c r="CR702" s="3">
        <v>2.865045635539373</v>
      </c>
      <c r="CS702" s="3">
        <v>2.951559496902989</v>
      </c>
      <c r="CU702" s="17" t="s">
        <v>4300</v>
      </c>
      <c r="CV702" s="3">
        <v>0</v>
      </c>
      <c r="CW702" s="3">
        <v>1.3209560947984201E-3</v>
      </c>
      <c r="CX702" s="3">
        <v>1.2088426661699229E-3</v>
      </c>
      <c r="CY702" s="3">
        <v>8.2751012853403449E-4</v>
      </c>
      <c r="CZ702" s="3">
        <v>9.3229135553104245E-4</v>
      </c>
      <c r="DA702" s="3">
        <v>1.6739008186325159</v>
      </c>
      <c r="DB702" s="3">
        <v>2.008743447963206</v>
      </c>
      <c r="DC702" s="3">
        <v>2.393504071950419</v>
      </c>
      <c r="DD702" s="3">
        <v>2.8520899312934032</v>
      </c>
      <c r="DE702" s="3">
        <v>2.912807570689842</v>
      </c>
      <c r="DF702" s="3">
        <v>3.1016471858956032</v>
      </c>
      <c r="DG702" s="3">
        <v>3.2761987140974589</v>
      </c>
      <c r="DH702" s="3">
        <v>3.475649862415612</v>
      </c>
      <c r="DI702" s="3">
        <v>3.6753234724729889</v>
      </c>
      <c r="DJ702" s="3">
        <v>3.8885404052007781</v>
      </c>
      <c r="DK702" s="3">
        <v>4.0972505788964826</v>
      </c>
      <c r="DL702" s="3">
        <v>4.3283182504917006</v>
      </c>
      <c r="DM702" s="3">
        <v>4.5646329615045689</v>
      </c>
      <c r="DN702" s="3">
        <v>4.8261141974852464</v>
      </c>
      <c r="DO702" s="3">
        <v>4.9076327898295871</v>
      </c>
    </row>
    <row r="703" spans="1:230" x14ac:dyDescent="0.45">
      <c r="A703" s="16" t="s">
        <v>4301</v>
      </c>
      <c r="B703" s="3" t="s">
        <v>89</v>
      </c>
      <c r="C703" s="16" t="s">
        <v>4301</v>
      </c>
      <c r="H703" s="3" t="s">
        <v>4302</v>
      </c>
      <c r="I703" s="3" t="s">
        <v>4288</v>
      </c>
      <c r="K703" s="17" t="s">
        <v>4303</v>
      </c>
      <c r="L703" s="3">
        <v>0</v>
      </c>
      <c r="M703" s="3">
        <v>0</v>
      </c>
      <c r="N703" s="3">
        <v>0</v>
      </c>
      <c r="O703" s="3">
        <v>0</v>
      </c>
      <c r="P703" s="3">
        <v>0</v>
      </c>
      <c r="Q703" s="3">
        <v>0</v>
      </c>
      <c r="R703" s="3">
        <v>0</v>
      </c>
      <c r="S703" s="3">
        <v>0</v>
      </c>
      <c r="T703" s="3">
        <v>0</v>
      </c>
      <c r="U703" s="3">
        <v>0</v>
      </c>
      <c r="V703" s="3">
        <v>0</v>
      </c>
      <c r="W703" s="3">
        <v>0</v>
      </c>
      <c r="X703" s="3">
        <v>0</v>
      </c>
      <c r="Y703" s="3">
        <v>0</v>
      </c>
      <c r="Z703" s="3">
        <v>0</v>
      </c>
      <c r="AA703" s="3">
        <v>0</v>
      </c>
      <c r="AB703" s="3">
        <v>0</v>
      </c>
      <c r="AC703" s="3">
        <v>0</v>
      </c>
      <c r="AD703" s="3">
        <v>0</v>
      </c>
      <c r="AE703" s="3">
        <v>0</v>
      </c>
      <c r="AG703" s="17" t="s">
        <v>4304</v>
      </c>
      <c r="AH703" s="3">
        <v>0</v>
      </c>
      <c r="AI703" s="3">
        <v>0</v>
      </c>
      <c r="AJ703" s="3">
        <v>0</v>
      </c>
      <c r="AK703" s="3">
        <v>0</v>
      </c>
      <c r="AL703" s="3">
        <v>1.0299638954586499E-8</v>
      </c>
      <c r="AM703" s="3">
        <v>6.3928742708503322E-2</v>
      </c>
      <c r="AN703" s="3">
        <v>6.8937668125557239E-2</v>
      </c>
      <c r="AO703" s="3">
        <v>7.3922988972522335E-2</v>
      </c>
      <c r="AP703" s="3">
        <v>7.9138580062879355E-2</v>
      </c>
      <c r="AQ703" s="3">
        <v>8.1408477982655006E-2</v>
      </c>
      <c r="AR703" s="3">
        <v>8.6093387933516161E-2</v>
      </c>
      <c r="AS703" s="3">
        <v>9.1460113740244847E-2</v>
      </c>
      <c r="AT703" s="3">
        <v>9.6965728295478351E-2</v>
      </c>
      <c r="AU703" s="3">
        <v>0.10242530970486349</v>
      </c>
      <c r="AV703" s="3">
        <v>0.1077697610803208</v>
      </c>
      <c r="AW703" s="3">
        <v>0.1126410572127098</v>
      </c>
      <c r="AX703" s="3">
        <v>0.11700335737739299</v>
      </c>
      <c r="AY703" s="3">
        <v>0.1211174668244451</v>
      </c>
      <c r="AZ703" s="3">
        <v>0.12552122782165459</v>
      </c>
      <c r="BA703" s="3">
        <v>0.13058584624004771</v>
      </c>
      <c r="BC703" s="17" t="s">
        <v>4305</v>
      </c>
      <c r="BD703" s="3">
        <v>0</v>
      </c>
      <c r="BE703" s="3">
        <v>0</v>
      </c>
      <c r="BF703" s="3">
        <v>0</v>
      </c>
      <c r="BG703" s="3">
        <v>0</v>
      </c>
      <c r="BH703" s="3">
        <v>3.4338846188351227E-8</v>
      </c>
      <c r="BI703" s="3">
        <v>3.3966268120332863E-2</v>
      </c>
      <c r="BJ703" s="3">
        <v>8.0296114885992517E-2</v>
      </c>
      <c r="BK703" s="3">
        <v>0.12805756766850579</v>
      </c>
      <c r="BL703" s="3">
        <v>0.1774193571332103</v>
      </c>
      <c r="BM703" s="3">
        <v>0.21985424305199411</v>
      </c>
      <c r="BN703" s="3">
        <v>0.26822735081848492</v>
      </c>
      <c r="BO703" s="3">
        <v>0.31985657200987822</v>
      </c>
      <c r="BP703" s="3">
        <v>0.37543549231684009</v>
      </c>
      <c r="BQ703" s="3">
        <v>0.43509625247762668</v>
      </c>
      <c r="BR703" s="3">
        <v>0.49945343886820293</v>
      </c>
      <c r="BS703" s="3">
        <v>0.56818726964235244</v>
      </c>
      <c r="BT703" s="3">
        <v>0.64262236361113922</v>
      </c>
      <c r="BU703" s="3">
        <v>0.72196788803683287</v>
      </c>
      <c r="BV703" s="3">
        <v>0.80970386395386118</v>
      </c>
      <c r="BW703" s="3">
        <v>0.90208269995485668</v>
      </c>
      <c r="BY703" s="17" t="s">
        <v>4306</v>
      </c>
      <c r="BZ703" s="3">
        <v>0</v>
      </c>
      <c r="CA703" s="3">
        <v>0</v>
      </c>
      <c r="CB703" s="3">
        <v>0</v>
      </c>
      <c r="CC703" s="3">
        <v>0</v>
      </c>
      <c r="CD703" s="3">
        <v>5.8971210928749538E-8</v>
      </c>
      <c r="CE703" s="3">
        <v>7.7681256940585502E-2</v>
      </c>
      <c r="CF703" s="3">
        <v>8.3548103509912292E-2</v>
      </c>
      <c r="CG703" s="3">
        <v>8.9470807334922256E-2</v>
      </c>
      <c r="CH703" s="3">
        <v>9.5479029424436521E-2</v>
      </c>
      <c r="CI703" s="3">
        <v>9.780566255739559E-2</v>
      </c>
      <c r="CJ703" s="3">
        <v>0.10272075418593089</v>
      </c>
      <c r="CK703" s="3">
        <v>0.10811234267940931</v>
      </c>
      <c r="CL703" s="3">
        <v>0.1133301521054052</v>
      </c>
      <c r="CM703" s="3">
        <v>0.1182597111964611</v>
      </c>
      <c r="CN703" s="3">
        <v>0.1225260801381285</v>
      </c>
      <c r="CO703" s="3">
        <v>0.12571943310152131</v>
      </c>
      <c r="CP703" s="3">
        <v>0.1275279935512969</v>
      </c>
      <c r="CQ703" s="3">
        <v>0.12770564088044681</v>
      </c>
      <c r="CR703" s="3">
        <v>0.12628333430863189</v>
      </c>
      <c r="CS703" s="3">
        <v>0.1231141699371905</v>
      </c>
      <c r="CU703" s="17" t="s">
        <v>4307</v>
      </c>
      <c r="CV703" s="3">
        <v>0</v>
      </c>
      <c r="CW703" s="3">
        <v>0</v>
      </c>
      <c r="CX703" s="3">
        <v>0</v>
      </c>
      <c r="CY703" s="3">
        <v>0</v>
      </c>
      <c r="CZ703" s="3">
        <v>2.4050923172800369E-8</v>
      </c>
      <c r="DA703" s="3">
        <v>0.13695321240538119</v>
      </c>
      <c r="DB703" s="3">
        <v>0.14769234929428329</v>
      </c>
      <c r="DC703" s="3">
        <v>0.15836163797620451</v>
      </c>
      <c r="DD703" s="3">
        <v>0.169556673333561</v>
      </c>
      <c r="DE703" s="3">
        <v>0.1745005239254015</v>
      </c>
      <c r="DF703" s="3">
        <v>0.1844930528839048</v>
      </c>
      <c r="DG703" s="3">
        <v>0.19602891368300249</v>
      </c>
      <c r="DH703" s="3">
        <v>0.20777657224205179</v>
      </c>
      <c r="DI703" s="3">
        <v>0.2192413992650688</v>
      </c>
      <c r="DJ703" s="3">
        <v>0.23026156644143461</v>
      </c>
      <c r="DK703" s="3">
        <v>0.2397576801788002</v>
      </c>
      <c r="DL703" s="3">
        <v>0.2476489133946034</v>
      </c>
      <c r="DM703" s="3">
        <v>0.25387904030326508</v>
      </c>
      <c r="DN703" s="3">
        <v>0.25954328815829342</v>
      </c>
      <c r="DO703" s="3">
        <v>0.26459215987505869</v>
      </c>
    </row>
    <row r="704" spans="1:230" x14ac:dyDescent="0.45">
      <c r="A704" s="16" t="s">
        <v>4308</v>
      </c>
      <c r="B704" s="3" t="s">
        <v>89</v>
      </c>
      <c r="C704" s="16" t="s">
        <v>4308</v>
      </c>
      <c r="H704" s="3" t="s">
        <v>4302</v>
      </c>
      <c r="I704" s="3" t="s">
        <v>4288</v>
      </c>
      <c r="K704" s="17" t="s">
        <v>4309</v>
      </c>
      <c r="L704" s="3">
        <v>0</v>
      </c>
      <c r="M704" s="3">
        <v>0</v>
      </c>
      <c r="N704" s="3">
        <v>0</v>
      </c>
      <c r="O704" s="3">
        <v>0</v>
      </c>
      <c r="P704" s="3">
        <v>0</v>
      </c>
      <c r="Q704" s="3">
        <v>0</v>
      </c>
      <c r="R704" s="3">
        <v>0</v>
      </c>
      <c r="S704" s="3">
        <v>0</v>
      </c>
      <c r="T704" s="3">
        <v>0</v>
      </c>
      <c r="U704" s="3">
        <v>0</v>
      </c>
      <c r="V704" s="3">
        <v>0</v>
      </c>
      <c r="W704" s="3">
        <v>0</v>
      </c>
      <c r="X704" s="3">
        <v>0</v>
      </c>
      <c r="Y704" s="3">
        <v>0</v>
      </c>
      <c r="Z704" s="3">
        <v>0</v>
      </c>
      <c r="AA704" s="3">
        <v>0</v>
      </c>
      <c r="AB704" s="3">
        <v>0</v>
      </c>
      <c r="AC704" s="3">
        <v>0</v>
      </c>
      <c r="AD704" s="3">
        <v>0</v>
      </c>
      <c r="AE704" s="3">
        <v>0</v>
      </c>
      <c r="AG704" s="17" t="s">
        <v>4310</v>
      </c>
      <c r="AH704" s="3">
        <v>0</v>
      </c>
      <c r="AI704" s="3">
        <v>0</v>
      </c>
      <c r="AJ704" s="3">
        <v>0</v>
      </c>
      <c r="AK704" s="3">
        <v>0</v>
      </c>
      <c r="AL704" s="3">
        <v>1.35128446317907E-8</v>
      </c>
      <c r="AM704" s="3">
        <v>8.7742820645991662E-2</v>
      </c>
      <c r="AN704" s="3">
        <v>9.5062171777940269E-2</v>
      </c>
      <c r="AO704" s="3">
        <v>0.1031102102242355</v>
      </c>
      <c r="AP704" s="3">
        <v>0.1121838569669763</v>
      </c>
      <c r="AQ704" s="3">
        <v>0.1228610350794563</v>
      </c>
      <c r="AR704" s="3">
        <v>0.13533479292668529</v>
      </c>
      <c r="AS704" s="3">
        <v>0.14966743799729229</v>
      </c>
      <c r="AT704" s="3">
        <v>0.16509360393319411</v>
      </c>
      <c r="AU704" s="3">
        <v>0.1813461268725686</v>
      </c>
      <c r="AV704" s="3">
        <v>0.19831613621296651</v>
      </c>
      <c r="AW704" s="3">
        <v>0.2153241876573794</v>
      </c>
      <c r="AX704" s="3">
        <v>0.2322480742939923</v>
      </c>
      <c r="AY704" s="3">
        <v>0.24953571333520241</v>
      </c>
      <c r="AZ704" s="3">
        <v>0.26829436473023932</v>
      </c>
      <c r="BA704" s="3">
        <v>0.28941804712968472</v>
      </c>
      <c r="BC704" s="17" t="s">
        <v>4311</v>
      </c>
      <c r="BD704" s="3">
        <v>0</v>
      </c>
      <c r="BE704" s="3">
        <v>0</v>
      </c>
      <c r="BF704" s="3">
        <v>0</v>
      </c>
      <c r="BG704" s="3">
        <v>0</v>
      </c>
      <c r="BH704" s="3">
        <v>4.5051627093347692E-8</v>
      </c>
      <c r="BI704" s="3">
        <v>4.6619033089471573E-2</v>
      </c>
      <c r="BJ704" s="3">
        <v>0.1107249965648841</v>
      </c>
      <c r="BK704" s="3">
        <v>0.17861889659266789</v>
      </c>
      <c r="BL704" s="3">
        <v>0.25150296818556273</v>
      </c>
      <c r="BM704" s="3">
        <v>0.33180229550211532</v>
      </c>
      <c r="BN704" s="3">
        <v>0.42164089312323649</v>
      </c>
      <c r="BO704" s="3">
        <v>0.52342066614170335</v>
      </c>
      <c r="BP704" s="3">
        <v>0.63921552037587737</v>
      </c>
      <c r="BQ704" s="3">
        <v>0.77034690381649185</v>
      </c>
      <c r="BR704" s="3">
        <v>0.91908597756655785</v>
      </c>
      <c r="BS704" s="3">
        <v>1.086144477869827</v>
      </c>
      <c r="BT704" s="3">
        <v>1.275585673713137</v>
      </c>
      <c r="BU704" s="3">
        <v>1.487454920168622</v>
      </c>
      <c r="BV704" s="3">
        <v>1.7306951785699769</v>
      </c>
      <c r="BW704" s="3">
        <v>1.9992902821220211</v>
      </c>
      <c r="BY704" s="17" t="s">
        <v>4312</v>
      </c>
      <c r="BZ704" s="3">
        <v>0</v>
      </c>
      <c r="CA704" s="3">
        <v>0</v>
      </c>
      <c r="CB704" s="3">
        <v>0</v>
      </c>
      <c r="CC704" s="3">
        <v>0</v>
      </c>
      <c r="CD704" s="3">
        <v>7.7368615981815479E-8</v>
      </c>
      <c r="CE704" s="3">
        <v>0.1066182800805557</v>
      </c>
      <c r="CF704" s="3">
        <v>0.1152093533699899</v>
      </c>
      <c r="CG704" s="3">
        <v>0.1247968173563035</v>
      </c>
      <c r="CH704" s="3">
        <v>0.13534745975712659</v>
      </c>
      <c r="CI704" s="3">
        <v>0.14760753715348779</v>
      </c>
      <c r="CJ704" s="3">
        <v>0.16147223765617399</v>
      </c>
      <c r="CK704" s="3">
        <v>0.17691752921571641</v>
      </c>
      <c r="CL704" s="3">
        <v>0.19295563055396431</v>
      </c>
      <c r="CM704" s="3">
        <v>0.20938126184185149</v>
      </c>
      <c r="CN704" s="3">
        <v>0.22547047107401461</v>
      </c>
      <c r="CO704" s="3">
        <v>0.24032475790964841</v>
      </c>
      <c r="CP704" s="3">
        <v>0.25313915416403338</v>
      </c>
      <c r="CQ704" s="3">
        <v>0.26310918672218919</v>
      </c>
      <c r="CR704" s="3">
        <v>0.2699233232683988</v>
      </c>
      <c r="CS704" s="3">
        <v>0.2728585345437417</v>
      </c>
      <c r="CU704" s="17" t="s">
        <v>4313</v>
      </c>
      <c r="CV704" s="3">
        <v>0</v>
      </c>
      <c r="CW704" s="3">
        <v>0</v>
      </c>
      <c r="CX704" s="3">
        <v>0</v>
      </c>
      <c r="CY704" s="3">
        <v>0</v>
      </c>
      <c r="CZ704" s="3">
        <v>3.1554153453161857E-8</v>
      </c>
      <c r="DA704" s="3">
        <v>0.1879696149785125</v>
      </c>
      <c r="DB704" s="3">
        <v>0.20366159547679399</v>
      </c>
      <c r="DC704" s="3">
        <v>0.22088800804916331</v>
      </c>
      <c r="DD704" s="3">
        <v>0.24035712510807031</v>
      </c>
      <c r="DE704" s="3">
        <v>0.26335481908837721</v>
      </c>
      <c r="DF704" s="3">
        <v>0.29001447971517319</v>
      </c>
      <c r="DG704" s="3">
        <v>0.32078623221105129</v>
      </c>
      <c r="DH704" s="3">
        <v>0.35375986678301019</v>
      </c>
      <c r="DI704" s="3">
        <v>0.3881714267831477</v>
      </c>
      <c r="DJ704" s="3">
        <v>0.42372353540782881</v>
      </c>
      <c r="DK704" s="3">
        <v>0.45831980803969941</v>
      </c>
      <c r="DL704" s="3">
        <v>0.49157549429440039</v>
      </c>
      <c r="DM704" s="3">
        <v>0.52306152930656891</v>
      </c>
      <c r="DN704" s="3">
        <v>0.55475876730082208</v>
      </c>
      <c r="DO704" s="3">
        <v>0.58641689280855713</v>
      </c>
    </row>
    <row r="705" spans="1:230" x14ac:dyDescent="0.45">
      <c r="A705" s="16" t="s">
        <v>4314</v>
      </c>
      <c r="B705" s="3" t="s">
        <v>89</v>
      </c>
      <c r="C705" s="16" t="s">
        <v>4315</v>
      </c>
      <c r="H705" s="3" t="s">
        <v>4316</v>
      </c>
      <c r="I705" s="3" t="s">
        <v>4288</v>
      </c>
      <c r="K705" s="17" t="s">
        <v>4317</v>
      </c>
      <c r="L705" s="24">
        <v>0</v>
      </c>
      <c r="M705" s="24">
        <v>0</v>
      </c>
      <c r="N705" s="24">
        <v>0</v>
      </c>
      <c r="O705" s="24">
        <v>0</v>
      </c>
      <c r="P705" s="24">
        <v>0</v>
      </c>
      <c r="Q705" s="24">
        <v>0</v>
      </c>
      <c r="R705" s="24">
        <v>0</v>
      </c>
      <c r="S705" s="24">
        <v>0</v>
      </c>
      <c r="T705" s="24">
        <v>0</v>
      </c>
      <c r="U705" s="24">
        <v>0</v>
      </c>
      <c r="V705" s="24">
        <v>0</v>
      </c>
      <c r="W705" s="24">
        <v>0</v>
      </c>
      <c r="X705" s="24">
        <v>0</v>
      </c>
      <c r="Y705" s="24">
        <v>0</v>
      </c>
      <c r="Z705" s="24">
        <v>0</v>
      </c>
      <c r="AA705" s="24">
        <v>0</v>
      </c>
      <c r="AB705" s="24">
        <v>0</v>
      </c>
      <c r="AC705" s="24">
        <v>0</v>
      </c>
      <c r="AD705" s="24">
        <v>0</v>
      </c>
      <c r="AE705" s="24">
        <v>0</v>
      </c>
      <c r="AG705" s="17" t="s">
        <v>4318</v>
      </c>
      <c r="AH705" s="24">
        <v>0</v>
      </c>
      <c r="AI705" s="24">
        <v>-6.7165741087675456E-3</v>
      </c>
      <c r="AJ705" s="24">
        <v>-6.0026023027551102E-3</v>
      </c>
      <c r="AK705" s="24">
        <v>-5.6425003915572709E-3</v>
      </c>
      <c r="AL705" s="24">
        <v>-5.9188613226797632E-3</v>
      </c>
      <c r="AM705" s="24">
        <v>-2.9687222580500792</v>
      </c>
      <c r="AN705" s="24">
        <v>-5.0739213381294634</v>
      </c>
      <c r="AO705" s="24">
        <v>-4.8563323528592299</v>
      </c>
      <c r="AP705" s="24">
        <v>-5.1101879798947456</v>
      </c>
      <c r="AQ705" s="24">
        <v>-4.8163986397961889</v>
      </c>
      <c r="AR705" s="24">
        <v>-4.8657122998262379</v>
      </c>
      <c r="AS705" s="24">
        <v>-4.8670058673052559</v>
      </c>
      <c r="AT705" s="24">
        <v>-4.9578290838675869</v>
      </c>
      <c r="AU705" s="24">
        <v>-5.0121561948350433</v>
      </c>
      <c r="AV705" s="24">
        <v>-5.0599363148954639</v>
      </c>
      <c r="AW705" s="24">
        <v>-5.0898656380250804</v>
      </c>
      <c r="AX705" s="24">
        <v>-5.1434584271780697</v>
      </c>
      <c r="AY705" s="24">
        <v>-5.2074893309799943</v>
      </c>
      <c r="AZ705" s="24">
        <v>-5.3030360076888421</v>
      </c>
      <c r="BA705" s="24">
        <v>-5.4076185957114644</v>
      </c>
      <c r="BC705" s="17" t="s">
        <v>4319</v>
      </c>
      <c r="BD705" s="24">
        <v>0</v>
      </c>
      <c r="BE705" s="24">
        <v>-2.3200440833909871E-2</v>
      </c>
      <c r="BF705" s="24">
        <v>-2.072086592570296E-2</v>
      </c>
      <c r="BG705" s="24">
        <v>-1.953164747419258E-2</v>
      </c>
      <c r="BH705" s="24">
        <v>-2.0395302855005931E-2</v>
      </c>
      <c r="BI705" s="24">
        <v>-2.00687561855892</v>
      </c>
      <c r="BJ705" s="24">
        <v>-4.9034200188362886</v>
      </c>
      <c r="BK705" s="24">
        <v>-7.5326756161331403</v>
      </c>
      <c r="BL705" s="24">
        <v>-9.1207586571098389</v>
      </c>
      <c r="BM705" s="24">
        <v>-9.6729128095897075</v>
      </c>
      <c r="BN705" s="24">
        <v>-10.45694281048084</v>
      </c>
      <c r="BO705" s="24">
        <v>-11.20477001320004</v>
      </c>
      <c r="BP705" s="24">
        <v>-11.85921383282888</v>
      </c>
      <c r="BQ705" s="24">
        <v>-12.20603099326231</v>
      </c>
      <c r="BR705" s="24">
        <v>-12.45744713365508</v>
      </c>
      <c r="BS705" s="24">
        <v>-12.429491729920921</v>
      </c>
      <c r="BT705" s="24">
        <v>-12.32149519300776</v>
      </c>
      <c r="BU705" s="24">
        <v>-11.95741170739972</v>
      </c>
      <c r="BV705" s="24">
        <v>-11.547320640837739</v>
      </c>
      <c r="BW705" s="24">
        <v>-10.878731511429651</v>
      </c>
      <c r="BY705" s="17" t="s">
        <v>4320</v>
      </c>
      <c r="BZ705" s="24">
        <v>0</v>
      </c>
      <c r="CA705" s="24">
        <v>-3.9385190460842087E-2</v>
      </c>
      <c r="CB705" s="24">
        <v>-3.5200153482754369E-2</v>
      </c>
      <c r="CC705" s="24">
        <v>-3.3172419850393611E-2</v>
      </c>
      <c r="CD705" s="24">
        <v>-3.4698831115382148E-2</v>
      </c>
      <c r="CE705" s="24">
        <v>-3.5424711077098312</v>
      </c>
      <c r="CF705" s="24">
        <v>-3.5179995099418622</v>
      </c>
      <c r="CG705" s="24">
        <v>-3.538840098118841</v>
      </c>
      <c r="CH705" s="24">
        <v>-3.6218914698098459</v>
      </c>
      <c r="CI705" s="24">
        <v>-3.7530304368317871</v>
      </c>
      <c r="CJ705" s="24">
        <v>-4.1188809044099113</v>
      </c>
      <c r="CK705" s="24">
        <v>-4.3074358821476926</v>
      </c>
      <c r="CL705" s="24">
        <v>-4.8938595986250641</v>
      </c>
      <c r="CM705" s="24">
        <v>-5.4006762553063803</v>
      </c>
      <c r="CN705" s="24">
        <v>-5.8190823010407744</v>
      </c>
      <c r="CO705" s="24">
        <v>-6.3036990710095164</v>
      </c>
      <c r="CP705" s="24">
        <v>-6.7435647038072224</v>
      </c>
      <c r="CQ705" s="24">
        <v>-7.1587261694813504</v>
      </c>
      <c r="CR705" s="24">
        <v>-7.6153956132675429</v>
      </c>
      <c r="CS705" s="24">
        <v>-8.032471734752427</v>
      </c>
      <c r="CU705" s="17" t="s">
        <v>4321</v>
      </c>
      <c r="CV705" s="24">
        <v>0</v>
      </c>
      <c r="CW705" s="24">
        <v>-1.6001605417941409E-2</v>
      </c>
      <c r="CX705" s="24">
        <v>-1.429533888495311E-2</v>
      </c>
      <c r="CY705" s="24">
        <v>-1.3459060788037091E-2</v>
      </c>
      <c r="CZ705" s="24">
        <v>-1.4081588363934449E-2</v>
      </c>
      <c r="DA705" s="24">
        <v>-5.1784899615721196</v>
      </c>
      <c r="DB705" s="24">
        <v>-9.2844545512035666</v>
      </c>
      <c r="DC705" s="24">
        <v>-9.0903076477742353</v>
      </c>
      <c r="DD705" s="24">
        <v>-9.5933331021548973</v>
      </c>
      <c r="DE705" s="24">
        <v>-8.9691076494627655</v>
      </c>
      <c r="DF705" s="24">
        <v>-9.2254411242989676</v>
      </c>
      <c r="DG705" s="24">
        <v>-9.4222380685751332</v>
      </c>
      <c r="DH705" s="24">
        <v>-9.7943946246406863</v>
      </c>
      <c r="DI705" s="24">
        <v>-10.006427365947159</v>
      </c>
      <c r="DJ705" s="24">
        <v>-10.279636991424219</v>
      </c>
      <c r="DK705" s="24">
        <v>-10.430114071255909</v>
      </c>
      <c r="DL705" s="24">
        <v>-10.681536766619439</v>
      </c>
      <c r="DM705" s="24">
        <v>-10.860173072330619</v>
      </c>
      <c r="DN705" s="24">
        <v>-11.1480329077246</v>
      </c>
      <c r="DO705" s="24">
        <v>-11.375255171021809</v>
      </c>
    </row>
    <row r="706" spans="1:230" x14ac:dyDescent="0.45">
      <c r="A706" s="16" t="s">
        <v>4322</v>
      </c>
      <c r="B706" s="3" t="s">
        <v>89</v>
      </c>
      <c r="C706" s="16" t="s">
        <v>4323</v>
      </c>
      <c r="H706" s="3" t="s">
        <v>4324</v>
      </c>
      <c r="I706" s="3" t="s">
        <v>279</v>
      </c>
      <c r="K706" s="17" t="s">
        <v>4325</v>
      </c>
      <c r="L706" s="24">
        <v>0</v>
      </c>
      <c r="M706" s="24">
        <v>0</v>
      </c>
      <c r="N706" s="24">
        <v>0</v>
      </c>
      <c r="O706" s="24">
        <v>0</v>
      </c>
      <c r="P706" s="24">
        <v>0</v>
      </c>
      <c r="Q706" s="24">
        <v>0</v>
      </c>
      <c r="R706" s="24">
        <v>0</v>
      </c>
      <c r="S706" s="24">
        <v>0</v>
      </c>
      <c r="T706" s="24">
        <v>0</v>
      </c>
      <c r="U706" s="24">
        <v>0</v>
      </c>
      <c r="V706" s="24">
        <v>0</v>
      </c>
      <c r="W706" s="24">
        <v>0</v>
      </c>
      <c r="X706" s="24">
        <v>0</v>
      </c>
      <c r="Y706" s="24">
        <v>0</v>
      </c>
      <c r="Z706" s="24">
        <v>0</v>
      </c>
      <c r="AA706" s="24">
        <v>0</v>
      </c>
      <c r="AB706" s="24">
        <v>0</v>
      </c>
      <c r="AC706" s="24">
        <v>0</v>
      </c>
      <c r="AD706" s="24">
        <v>0</v>
      </c>
      <c r="AE706" s="24">
        <v>0</v>
      </c>
      <c r="AG706" s="17" t="s">
        <v>4326</v>
      </c>
      <c r="AH706" s="24">
        <v>0</v>
      </c>
      <c r="AI706" s="24">
        <v>1.035047965262797E-2</v>
      </c>
      <c r="AJ706" s="24">
        <v>9.5957032709998343E-3</v>
      </c>
      <c r="AK706" s="24">
        <v>9.0770939335959779E-3</v>
      </c>
      <c r="AL706" s="24">
        <v>9.5227767262885329E-3</v>
      </c>
      <c r="AM706" s="24">
        <v>6.2712405779677063</v>
      </c>
      <c r="AN706" s="24">
        <v>9.4230087611473046</v>
      </c>
      <c r="AO706" s="24">
        <v>9.5484903372346572</v>
      </c>
      <c r="AP706" s="24">
        <v>10.25738978320722</v>
      </c>
      <c r="AQ706" s="24">
        <v>10.11821530453873</v>
      </c>
      <c r="AR706" s="24">
        <v>10.491620142809269</v>
      </c>
      <c r="AS706" s="24">
        <v>10.766988559427871</v>
      </c>
      <c r="AT706" s="24">
        <v>11.21243323255986</v>
      </c>
      <c r="AU706" s="24">
        <v>11.608581193751069</v>
      </c>
      <c r="AV706" s="24">
        <v>12.00851214077962</v>
      </c>
      <c r="AW706" s="24">
        <v>12.387067834413919</v>
      </c>
      <c r="AX706" s="24">
        <v>12.82669327558841</v>
      </c>
      <c r="AY706" s="24">
        <v>13.30479162072915</v>
      </c>
      <c r="AZ706" s="24">
        <v>13.86756224192319</v>
      </c>
      <c r="BA706" s="24">
        <v>14.384443886744579</v>
      </c>
      <c r="BC706" s="17" t="s">
        <v>4327</v>
      </c>
      <c r="BD706" s="24">
        <v>0</v>
      </c>
      <c r="BE706" s="24">
        <v>3.5687756337955012E-2</v>
      </c>
      <c r="BF706" s="24">
        <v>3.3074100583629029E-2</v>
      </c>
      <c r="BG706" s="24">
        <v>3.136240832020569E-2</v>
      </c>
      <c r="BH706" s="24">
        <v>3.2789368623519367E-2</v>
      </c>
      <c r="BI706" s="24">
        <v>4.1078014336436084</v>
      </c>
      <c r="BJ706" s="24">
        <v>9.9146544410636572</v>
      </c>
      <c r="BK706" s="24">
        <v>15.75501985062817</v>
      </c>
      <c r="BL706" s="24">
        <v>20.186845854147361</v>
      </c>
      <c r="BM706" s="24">
        <v>22.627187164013709</v>
      </c>
      <c r="BN706" s="24">
        <v>25.66781687745862</v>
      </c>
      <c r="BO706" s="24">
        <v>28.712429619136159</v>
      </c>
      <c r="BP706" s="24">
        <v>31.89841392888658</v>
      </c>
      <c r="BQ706" s="24">
        <v>34.75627680124164</v>
      </c>
      <c r="BR706" s="24">
        <v>37.767609960139872</v>
      </c>
      <c r="BS706" s="24">
        <v>40.49265661275679</v>
      </c>
      <c r="BT706" s="24">
        <v>43.433548025269062</v>
      </c>
      <c r="BU706" s="24">
        <v>46.105124989227399</v>
      </c>
      <c r="BV706" s="24">
        <v>49.139995739730999</v>
      </c>
      <c r="BW706" s="24">
        <v>51.473466929909833</v>
      </c>
      <c r="BY706" s="17" t="s">
        <v>4328</v>
      </c>
      <c r="BZ706" s="24">
        <v>0</v>
      </c>
      <c r="CA706" s="24">
        <v>6.0613398069025229E-2</v>
      </c>
      <c r="CB706" s="24">
        <v>5.6207681688445033E-2</v>
      </c>
      <c r="CC706" s="24">
        <v>5.3291069839335431E-2</v>
      </c>
      <c r="CD706" s="24">
        <v>5.5794939768746131E-2</v>
      </c>
      <c r="CE706" s="24">
        <v>7.3521539224154804</v>
      </c>
      <c r="CF706" s="24">
        <v>7.710835253255059</v>
      </c>
      <c r="CG706" s="24">
        <v>8.1132279789161927</v>
      </c>
      <c r="CH706" s="24">
        <v>8.6257987486506327</v>
      </c>
      <c r="CI706" s="24">
        <v>9.197922704965638</v>
      </c>
      <c r="CJ706" s="24">
        <v>10.190442125954631</v>
      </c>
      <c r="CK706" s="24">
        <v>10.91355932293374</v>
      </c>
      <c r="CL706" s="24">
        <v>12.43323524901869</v>
      </c>
      <c r="CM706" s="24">
        <v>13.858282635218661</v>
      </c>
      <c r="CN706" s="24">
        <v>15.19166711472773</v>
      </c>
      <c r="CO706" s="24">
        <v>16.713379046631371</v>
      </c>
      <c r="CP706" s="24">
        <v>18.211270369031741</v>
      </c>
      <c r="CQ706" s="24">
        <v>19.73080694078018</v>
      </c>
      <c r="CR706" s="24">
        <v>21.399258485384909</v>
      </c>
      <c r="CS706" s="24">
        <v>22.942346985086989</v>
      </c>
      <c r="CU706" s="17" t="s">
        <v>4329</v>
      </c>
      <c r="CV706" s="24">
        <v>0</v>
      </c>
      <c r="CW706" s="24">
        <v>2.4633336869841389E-2</v>
      </c>
      <c r="CX706" s="24">
        <v>2.2832575048287888E-2</v>
      </c>
      <c r="CY706" s="24">
        <v>2.16285801203355E-2</v>
      </c>
      <c r="CZ706" s="24">
        <v>2.2646002821681919E-2</v>
      </c>
      <c r="DA706" s="24">
        <v>11.71599987736459</v>
      </c>
      <c r="DB706" s="24">
        <v>17.99688710064018</v>
      </c>
      <c r="DC706" s="24">
        <v>18.458616505250021</v>
      </c>
      <c r="DD706" s="24">
        <v>20.133834203298431</v>
      </c>
      <c r="DE706" s="24">
        <v>19.61128786827511</v>
      </c>
      <c r="DF706" s="24">
        <v>20.766090096570942</v>
      </c>
      <c r="DG706" s="24">
        <v>21.72381946247846</v>
      </c>
      <c r="DH706" s="24">
        <v>23.128500759337811</v>
      </c>
      <c r="DI706" s="24">
        <v>24.306125230604781</v>
      </c>
      <c r="DJ706" s="24">
        <v>25.673559290092239</v>
      </c>
      <c r="DK706" s="24">
        <v>26.85659714906139</v>
      </c>
      <c r="DL706" s="24">
        <v>28.306024736524758</v>
      </c>
      <c r="DM706" s="24">
        <v>29.662609353006761</v>
      </c>
      <c r="DN706" s="24">
        <v>31.311426408602781</v>
      </c>
      <c r="DO706" s="24">
        <v>32.707948669441294</v>
      </c>
    </row>
    <row r="707" spans="1:230" x14ac:dyDescent="0.45">
      <c r="A707" s="16" t="s">
        <v>4330</v>
      </c>
      <c r="B707" s="3" t="s">
        <v>89</v>
      </c>
      <c r="C707" s="16" t="s">
        <v>4330</v>
      </c>
      <c r="H707" s="3" t="s">
        <v>4324</v>
      </c>
      <c r="I707" s="3" t="s">
        <v>279</v>
      </c>
      <c r="K707" s="17" t="s">
        <v>4331</v>
      </c>
      <c r="L707" s="3">
        <v>0</v>
      </c>
      <c r="M707" s="3">
        <v>0</v>
      </c>
      <c r="N707" s="3">
        <v>0</v>
      </c>
      <c r="O707" s="3">
        <v>0</v>
      </c>
      <c r="P707" s="3">
        <v>0</v>
      </c>
      <c r="Q707" s="3">
        <v>0</v>
      </c>
      <c r="R707" s="3">
        <v>0</v>
      </c>
      <c r="S707" s="3">
        <v>0</v>
      </c>
      <c r="T707" s="3">
        <v>0</v>
      </c>
      <c r="U707" s="3">
        <v>0</v>
      </c>
      <c r="V707" s="3">
        <v>0</v>
      </c>
      <c r="W707" s="3">
        <v>0</v>
      </c>
      <c r="X707" s="3">
        <v>0</v>
      </c>
      <c r="Y707" s="3">
        <v>0</v>
      </c>
      <c r="Z707" s="3">
        <v>0</v>
      </c>
      <c r="AA707" s="3">
        <v>0</v>
      </c>
      <c r="AB707" s="3">
        <v>0</v>
      </c>
      <c r="AC707" s="3">
        <v>0</v>
      </c>
      <c r="AD707" s="3">
        <v>0</v>
      </c>
      <c r="AE707" s="3">
        <v>0</v>
      </c>
      <c r="AG707" s="17" t="s">
        <v>4332</v>
      </c>
      <c r="AH707" s="3">
        <v>0</v>
      </c>
      <c r="AI707" s="3">
        <v>5.4000686534990259E-6</v>
      </c>
      <c r="AJ707" s="3">
        <v>5.2864123266068084E-6</v>
      </c>
      <c r="AK707" s="3">
        <v>5.0735246873134319E-6</v>
      </c>
      <c r="AL707" s="3">
        <v>5.0635476644340197E-6</v>
      </c>
      <c r="AM707" s="3">
        <v>3.3550563378980211E-3</v>
      </c>
      <c r="AN707" s="3">
        <v>4.420054446551607E-3</v>
      </c>
      <c r="AO707" s="3">
        <v>4.2662451480739993E-3</v>
      </c>
      <c r="AP707" s="3">
        <v>4.4507305826321959E-3</v>
      </c>
      <c r="AQ707" s="3">
        <v>4.3709409332689233E-3</v>
      </c>
      <c r="AR707" s="3">
        <v>4.4319768630634894E-3</v>
      </c>
      <c r="AS707" s="3">
        <v>4.4277399339501004E-3</v>
      </c>
      <c r="AT707" s="3">
        <v>4.4950740500199369E-3</v>
      </c>
      <c r="AU707" s="3">
        <v>4.5340078511549517E-3</v>
      </c>
      <c r="AV707" s="3">
        <v>4.5709644499857217E-3</v>
      </c>
      <c r="AW707" s="3">
        <v>4.5966802044968714E-3</v>
      </c>
      <c r="AX707" s="3">
        <v>4.6418269554737469E-3</v>
      </c>
      <c r="AY707" s="3">
        <v>4.6965283649285502E-3</v>
      </c>
      <c r="AZ707" s="3">
        <v>4.7752483707414386E-3</v>
      </c>
      <c r="BA707" s="3">
        <v>4.8620172745770544E-3</v>
      </c>
      <c r="BC707" s="17" t="s">
        <v>4333</v>
      </c>
      <c r="BD707" s="3">
        <v>0</v>
      </c>
      <c r="BE707" s="3">
        <v>1.8694376422464262E-5</v>
      </c>
      <c r="BF707" s="3">
        <v>1.8300084409333009E-5</v>
      </c>
      <c r="BG707" s="3">
        <v>1.7562322099516871E-5</v>
      </c>
      <c r="BH707" s="3">
        <v>1.7502976485682569E-5</v>
      </c>
      <c r="BI707" s="3">
        <v>2.173385422383791E-3</v>
      </c>
      <c r="BJ707" s="3">
        <v>4.9710673822633928E-3</v>
      </c>
      <c r="BK707" s="3">
        <v>7.6422679226709096E-3</v>
      </c>
      <c r="BL707" s="3">
        <v>9.6012483698397471E-3</v>
      </c>
      <c r="BM707" s="3">
        <v>1.073168659521377E-2</v>
      </c>
      <c r="BN707" s="3">
        <v>1.2060266368491409E-2</v>
      </c>
      <c r="BO707" s="3">
        <v>1.327810398389135E-2</v>
      </c>
      <c r="BP707" s="3">
        <v>1.4578648347234191E-2</v>
      </c>
      <c r="BQ707" s="3">
        <v>1.5701906300516429E-2</v>
      </c>
      <c r="BR707" s="3">
        <v>1.6903817718435549E-2</v>
      </c>
      <c r="BS707" s="3">
        <v>1.794713015794773E-2</v>
      </c>
      <c r="BT707" s="3">
        <v>1.9092518693083361E-2</v>
      </c>
      <c r="BU707" s="3">
        <v>2.0077410165906698E-2</v>
      </c>
      <c r="BV707" s="3">
        <v>2.1227854397767899E-2</v>
      </c>
      <c r="BW707" s="3">
        <v>2.2161517668623929E-2</v>
      </c>
      <c r="BY707" s="17" t="s">
        <v>4334</v>
      </c>
      <c r="BZ707" s="3">
        <v>0</v>
      </c>
      <c r="CA707" s="3">
        <v>3.171681625966528E-5</v>
      </c>
      <c r="CB707" s="3">
        <v>3.1063840164451997E-5</v>
      </c>
      <c r="CC707" s="3">
        <v>2.982720683914552E-5</v>
      </c>
      <c r="CD707" s="3">
        <v>2.9753638935821001E-5</v>
      </c>
      <c r="CE707" s="3">
        <v>3.8057039430117881E-3</v>
      </c>
      <c r="CF707" s="3">
        <v>3.9484398054435432E-3</v>
      </c>
      <c r="CG707" s="3">
        <v>4.0783001905771452E-3</v>
      </c>
      <c r="CH707" s="3">
        <v>4.2544486214007764E-3</v>
      </c>
      <c r="CI707" s="3">
        <v>4.4943210880497792E-3</v>
      </c>
      <c r="CJ707" s="3">
        <v>4.8625539888063054E-3</v>
      </c>
      <c r="CK707" s="3">
        <v>5.0956081575609614E-3</v>
      </c>
      <c r="CL707" s="3">
        <v>5.6901090517488522E-3</v>
      </c>
      <c r="CM707" s="3">
        <v>6.2078131661871486E-3</v>
      </c>
      <c r="CN707" s="3">
        <v>6.6684491201831507E-3</v>
      </c>
      <c r="CO707" s="3">
        <v>7.1886368481165188E-3</v>
      </c>
      <c r="CP707" s="3">
        <v>7.6722508965023153E-3</v>
      </c>
      <c r="CQ707" s="3">
        <v>8.144501895763049E-3</v>
      </c>
      <c r="CR707" s="3">
        <v>8.6498884630032014E-3</v>
      </c>
      <c r="CS707" s="3">
        <v>9.1262632139793558E-3</v>
      </c>
      <c r="CU707" s="17" t="s">
        <v>4335</v>
      </c>
      <c r="CV707" s="3">
        <v>0</v>
      </c>
      <c r="CW707" s="3">
        <v>1.288154809415644E-5</v>
      </c>
      <c r="CX707" s="3">
        <v>1.261009996119709E-5</v>
      </c>
      <c r="CY707" s="3">
        <v>1.2101963675906329E-5</v>
      </c>
      <c r="CZ707" s="3">
        <v>1.20684016519384E-5</v>
      </c>
      <c r="DA707" s="3">
        <v>6.6030551371004456E-3</v>
      </c>
      <c r="DB707" s="3">
        <v>8.8485663745712616E-3</v>
      </c>
      <c r="DC707" s="3">
        <v>8.7379751451754518E-3</v>
      </c>
      <c r="DD707" s="3">
        <v>9.214597517063508E-3</v>
      </c>
      <c r="DE707" s="3">
        <v>8.8049288824156614E-3</v>
      </c>
      <c r="DF707" s="3">
        <v>9.1951694210540922E-3</v>
      </c>
      <c r="DG707" s="3">
        <v>9.3924383362731338E-3</v>
      </c>
      <c r="DH707" s="3">
        <v>9.8222140049539514E-3</v>
      </c>
      <c r="DI707" s="3">
        <v>1.013061450954179E-2</v>
      </c>
      <c r="DJ707" s="3">
        <v>1.05120837081431E-2</v>
      </c>
      <c r="DK707" s="3">
        <v>1.079722247636776E-2</v>
      </c>
      <c r="DL707" s="3">
        <v>1.117709674085237E-2</v>
      </c>
      <c r="DM707" s="3">
        <v>1.1493331156775871E-2</v>
      </c>
      <c r="DN707" s="3">
        <v>1.190095104002957E-2</v>
      </c>
      <c r="DO707" s="3">
        <v>1.225321267268197E-2</v>
      </c>
    </row>
    <row r="708" spans="1:230" x14ac:dyDescent="0.45">
      <c r="A708" s="16" t="s">
        <v>4336</v>
      </c>
      <c r="B708" s="3" t="s">
        <v>89</v>
      </c>
      <c r="C708" s="16" t="s">
        <v>4336</v>
      </c>
      <c r="H708" s="3" t="s">
        <v>4295</v>
      </c>
      <c r="I708" s="3" t="s">
        <v>279</v>
      </c>
      <c r="K708" s="17" t="s">
        <v>4337</v>
      </c>
      <c r="L708" s="3">
        <v>0</v>
      </c>
      <c r="M708" s="3">
        <v>0</v>
      </c>
      <c r="N708" s="3">
        <v>0</v>
      </c>
      <c r="O708" s="3">
        <v>0</v>
      </c>
      <c r="P708" s="3">
        <v>0</v>
      </c>
      <c r="Q708" s="3">
        <v>0</v>
      </c>
      <c r="R708" s="3">
        <v>0</v>
      </c>
      <c r="S708" s="3">
        <v>0</v>
      </c>
      <c r="T708" s="3">
        <v>0</v>
      </c>
      <c r="U708" s="3">
        <v>0</v>
      </c>
      <c r="V708" s="3">
        <v>0</v>
      </c>
      <c r="W708" s="3">
        <v>0</v>
      </c>
      <c r="X708" s="3">
        <v>0</v>
      </c>
      <c r="Y708" s="3">
        <v>0</v>
      </c>
      <c r="Z708" s="3">
        <v>0</v>
      </c>
      <c r="AA708" s="3">
        <v>0</v>
      </c>
      <c r="AB708" s="3">
        <v>0</v>
      </c>
      <c r="AC708" s="3">
        <v>0</v>
      </c>
      <c r="AD708" s="3">
        <v>0</v>
      </c>
      <c r="AE708" s="3">
        <v>0</v>
      </c>
      <c r="AG708" s="17" t="s">
        <v>4338</v>
      </c>
      <c r="AH708" s="3">
        <v>0</v>
      </c>
      <c r="AI708" s="3">
        <v>1.002853984164704E-6</v>
      </c>
      <c r="AJ708" s="3">
        <v>8.9630185185112003E-7</v>
      </c>
      <c r="AK708" s="3">
        <v>5.8777661777668029E-7</v>
      </c>
      <c r="AL708" s="3">
        <v>6.3519818804194747E-7</v>
      </c>
      <c r="AM708" s="3">
        <v>1.2842954710674489E-3</v>
      </c>
      <c r="AN708" s="3">
        <v>1.4540187978689849E-3</v>
      </c>
      <c r="AO708" s="3">
        <v>1.76370405488604E-3</v>
      </c>
      <c r="AP708" s="3">
        <v>1.8695825165231041E-3</v>
      </c>
      <c r="AQ708" s="3">
        <v>1.833468074517152E-3</v>
      </c>
      <c r="AR708" s="3">
        <v>1.851316933861834E-3</v>
      </c>
      <c r="AS708" s="3">
        <v>1.8589429208226301E-3</v>
      </c>
      <c r="AT708" s="3">
        <v>1.8710467829579881E-3</v>
      </c>
      <c r="AU708" s="3">
        <v>1.88155438104815E-3</v>
      </c>
      <c r="AV708" s="3">
        <v>1.890729987248914E-3</v>
      </c>
      <c r="AW708" s="3">
        <v>1.8962582347744959E-3</v>
      </c>
      <c r="AX708" s="3">
        <v>1.9057747515461661E-3</v>
      </c>
      <c r="AY708" s="3">
        <v>1.917245700946158E-3</v>
      </c>
      <c r="AZ708" s="3">
        <v>1.933605988007815E-3</v>
      </c>
      <c r="BA708" s="3">
        <v>1.8800139958396959E-3</v>
      </c>
      <c r="BC708" s="17" t="s">
        <v>4339</v>
      </c>
      <c r="BD708" s="3">
        <v>0</v>
      </c>
      <c r="BE708" s="3">
        <v>3.3082084437237208E-6</v>
      </c>
      <c r="BF708" s="3">
        <v>2.956351116520951E-6</v>
      </c>
      <c r="BG708" s="3">
        <v>1.938530329730554E-6</v>
      </c>
      <c r="BH708" s="3">
        <v>2.0953320505823581E-6</v>
      </c>
      <c r="BI708" s="3">
        <v>8.1395902858343093E-4</v>
      </c>
      <c r="BJ708" s="3">
        <v>1.7929598695735321E-3</v>
      </c>
      <c r="BK708" s="3">
        <v>2.930959013339716E-3</v>
      </c>
      <c r="BL708" s="3">
        <v>3.9558396477668211E-3</v>
      </c>
      <c r="BM708" s="3">
        <v>4.3389786862833247E-3</v>
      </c>
      <c r="BN708" s="3">
        <v>4.7831539944944764E-3</v>
      </c>
      <c r="BO708" s="3">
        <v>5.1855208226980727E-3</v>
      </c>
      <c r="BP708" s="3">
        <v>5.5700452524471578E-3</v>
      </c>
      <c r="BQ708" s="3">
        <v>5.9162545171481742E-3</v>
      </c>
      <c r="BR708" s="3">
        <v>6.2512497855757672E-3</v>
      </c>
      <c r="BS708" s="3">
        <v>6.556012602335768E-3</v>
      </c>
      <c r="BT708" s="3">
        <v>6.8560734372512403E-3</v>
      </c>
      <c r="BU708" s="3">
        <v>7.130034786150265E-3</v>
      </c>
      <c r="BV708" s="3">
        <v>7.4088300580302264E-3</v>
      </c>
      <c r="BW708" s="3">
        <v>7.3802697276648139E-3</v>
      </c>
      <c r="BY708" s="17" t="s">
        <v>4340</v>
      </c>
      <c r="BZ708" s="3">
        <v>0</v>
      </c>
      <c r="CA708" s="3">
        <v>5.6871749588478084E-6</v>
      </c>
      <c r="CB708" s="3">
        <v>5.0841956518440954E-6</v>
      </c>
      <c r="CC708" s="3">
        <v>3.334719905595305E-6</v>
      </c>
      <c r="CD708" s="3">
        <v>3.6049077201169329E-6</v>
      </c>
      <c r="CE708" s="3">
        <v>1.5249883611764461E-3</v>
      </c>
      <c r="CF708" s="3">
        <v>1.629432349452734E-3</v>
      </c>
      <c r="CG708" s="3">
        <v>1.71882961386272E-3</v>
      </c>
      <c r="CH708" s="3">
        <v>1.8075684970259361E-3</v>
      </c>
      <c r="CI708" s="3">
        <v>1.8155268652633361E-3</v>
      </c>
      <c r="CJ708" s="3">
        <v>1.876597886511818E-3</v>
      </c>
      <c r="CK708" s="3">
        <v>1.9192433138168869E-3</v>
      </c>
      <c r="CL708" s="3">
        <v>1.9952167234748922E-3</v>
      </c>
      <c r="CM708" s="3">
        <v>2.0635885838554981E-3</v>
      </c>
      <c r="CN708" s="3">
        <v>2.125689175969725E-3</v>
      </c>
      <c r="CO708" s="3">
        <v>2.1903864380236728E-3</v>
      </c>
      <c r="CP708" s="3">
        <v>2.252998755160818E-3</v>
      </c>
      <c r="CQ708" s="3">
        <v>2.3139512819106132E-3</v>
      </c>
      <c r="CR708" s="3">
        <v>2.378918619851021E-3</v>
      </c>
      <c r="CS708" s="3">
        <v>2.350677236614895E-3</v>
      </c>
      <c r="CU708" s="17" t="s">
        <v>4341</v>
      </c>
      <c r="CV708" s="3">
        <v>0</v>
      </c>
      <c r="CW708" s="3">
        <v>2.327517757591321E-6</v>
      </c>
      <c r="CX708" s="3">
        <v>2.080077559107609E-6</v>
      </c>
      <c r="CY708" s="3">
        <v>1.3639995863569409E-6</v>
      </c>
      <c r="CZ708" s="3">
        <v>1.474210160143426E-6</v>
      </c>
      <c r="DA708" s="3">
        <v>2.5249635805296902E-3</v>
      </c>
      <c r="DB708" s="3">
        <v>2.8711246969479192E-3</v>
      </c>
      <c r="DC708" s="3">
        <v>3.2511438789719479E-3</v>
      </c>
      <c r="DD708" s="3">
        <v>3.69513616570807E-3</v>
      </c>
      <c r="DE708" s="3">
        <v>3.6013424836645919E-3</v>
      </c>
      <c r="DF708" s="3">
        <v>3.661429871144459E-3</v>
      </c>
      <c r="DG708" s="3">
        <v>3.6944914502099308E-3</v>
      </c>
      <c r="DH708" s="3">
        <v>3.7459939848593989E-3</v>
      </c>
      <c r="DI708" s="3">
        <v>3.7878596974039399E-3</v>
      </c>
      <c r="DJ708" s="3">
        <v>3.834183880636896E-3</v>
      </c>
      <c r="DK708" s="3">
        <v>3.867120534900468E-3</v>
      </c>
      <c r="DL708" s="3">
        <v>3.9124085749068808E-3</v>
      </c>
      <c r="DM708" s="3">
        <v>3.953500457126227E-3</v>
      </c>
      <c r="DN708" s="3">
        <v>4.0072426014825489E-3</v>
      </c>
      <c r="DO708" s="3">
        <v>3.9085306248517176E-3</v>
      </c>
    </row>
    <row r="709" spans="1:230" x14ac:dyDescent="0.45">
      <c r="A709" s="16" t="s">
        <v>4342</v>
      </c>
      <c r="B709" s="3" t="s">
        <v>89</v>
      </c>
      <c r="C709" s="16" t="s">
        <v>4342</v>
      </c>
      <c r="H709" s="3" t="s">
        <v>4343</v>
      </c>
      <c r="I709" s="3" t="s">
        <v>279</v>
      </c>
      <c r="K709" s="17" t="s">
        <v>4344</v>
      </c>
      <c r="L709" s="3">
        <v>0</v>
      </c>
      <c r="M709" s="3">
        <v>0</v>
      </c>
      <c r="N709" s="3">
        <v>0</v>
      </c>
      <c r="O709" s="3">
        <v>0</v>
      </c>
      <c r="P709" s="3">
        <v>0</v>
      </c>
      <c r="Q709" s="3">
        <v>0</v>
      </c>
      <c r="R709" s="3">
        <v>0</v>
      </c>
      <c r="S709" s="3">
        <v>0</v>
      </c>
      <c r="T709" s="3">
        <v>0</v>
      </c>
      <c r="U709" s="3">
        <v>0</v>
      </c>
      <c r="V709" s="3">
        <v>0</v>
      </c>
      <c r="W709" s="3">
        <v>0</v>
      </c>
      <c r="X709" s="3">
        <v>0</v>
      </c>
      <c r="Y709" s="3">
        <v>0</v>
      </c>
      <c r="Z709" s="3">
        <v>0</v>
      </c>
      <c r="AA709" s="3">
        <v>0</v>
      </c>
      <c r="AB709" s="3">
        <v>0</v>
      </c>
      <c r="AC709" s="3">
        <v>0</v>
      </c>
      <c r="AD709" s="3">
        <v>0</v>
      </c>
      <c r="AE709" s="3">
        <v>0</v>
      </c>
      <c r="AG709" s="17" t="s">
        <v>4345</v>
      </c>
      <c r="AH709" s="3">
        <v>0</v>
      </c>
      <c r="AI709" s="3">
        <v>0</v>
      </c>
      <c r="AJ709" s="3">
        <v>0</v>
      </c>
      <c r="AK709" s="3">
        <v>0</v>
      </c>
      <c r="AL709" s="3">
        <v>3.9910984370110779E-11</v>
      </c>
      <c r="AM709" s="3">
        <v>3.4226860068125898E-4</v>
      </c>
      <c r="AN709" s="3">
        <v>3.421373533405343E-4</v>
      </c>
      <c r="AO709" s="3">
        <v>3.4350170896618618E-4</v>
      </c>
      <c r="AP709" s="3">
        <v>3.4834461985023629E-4</v>
      </c>
      <c r="AQ709" s="3">
        <v>3.5066101725381469E-4</v>
      </c>
      <c r="AR709" s="3">
        <v>3.5797317962668948E-4</v>
      </c>
      <c r="AS709" s="3">
        <v>3.6658744859420207E-4</v>
      </c>
      <c r="AT709" s="3">
        <v>3.7498095982292483E-4</v>
      </c>
      <c r="AU709" s="3">
        <v>3.828413879085966E-4</v>
      </c>
      <c r="AV709" s="3">
        <v>3.8974971629798772E-4</v>
      </c>
      <c r="AW709" s="3">
        <v>3.9440220968068202E-4</v>
      </c>
      <c r="AX709" s="3">
        <v>3.9734830919692799E-4</v>
      </c>
      <c r="AY709" s="3">
        <v>3.994269020867338E-4</v>
      </c>
      <c r="AZ709" s="3">
        <v>4.0248469850348893E-4</v>
      </c>
      <c r="BA709" s="3">
        <v>4.0728043779781622E-4</v>
      </c>
      <c r="BC709" s="17" t="s">
        <v>4346</v>
      </c>
      <c r="BD709" s="3">
        <v>0</v>
      </c>
      <c r="BE709" s="3">
        <v>0</v>
      </c>
      <c r="BF709" s="3">
        <v>0</v>
      </c>
      <c r="BG709" s="3">
        <v>0</v>
      </c>
      <c r="BH709" s="3">
        <v>1.3305930338533671E-10</v>
      </c>
      <c r="BI709" s="3">
        <v>1.8175679412159201E-4</v>
      </c>
      <c r="BJ709" s="3">
        <v>3.9859917835321259E-4</v>
      </c>
      <c r="BK709" s="3">
        <v>5.9534571947493845E-4</v>
      </c>
      <c r="BL709" s="3">
        <v>7.8001214392612195E-4</v>
      </c>
      <c r="BM709" s="3">
        <v>9.4576472475458803E-4</v>
      </c>
      <c r="BN709" s="3">
        <v>1.112699510450806E-3</v>
      </c>
      <c r="BO709" s="3">
        <v>1.279346964015031E-3</v>
      </c>
      <c r="BP709" s="3">
        <v>1.449202043654226E-3</v>
      </c>
      <c r="BQ709" s="3">
        <v>1.6225601426385181E-3</v>
      </c>
      <c r="BR709" s="3">
        <v>1.801293550077442E-3</v>
      </c>
      <c r="BS709" s="3">
        <v>1.983799910901877E-3</v>
      </c>
      <c r="BT709" s="3">
        <v>2.1738922248920991E-3</v>
      </c>
      <c r="BU709" s="3">
        <v>2.3684270201381752E-3</v>
      </c>
      <c r="BV709" s="3">
        <v>2.5774482803217779E-3</v>
      </c>
      <c r="BW709" s="3">
        <v>2.788619825640356E-3</v>
      </c>
      <c r="BY709" s="17" t="s">
        <v>4347</v>
      </c>
      <c r="BZ709" s="3">
        <v>0</v>
      </c>
      <c r="CA709" s="3">
        <v>0</v>
      </c>
      <c r="CB709" s="3">
        <v>0</v>
      </c>
      <c r="CC709" s="3">
        <v>0</v>
      </c>
      <c r="CD709" s="3">
        <v>2.2850782393848331E-10</v>
      </c>
      <c r="CE709" s="3">
        <v>4.1595065901913652E-4</v>
      </c>
      <c r="CF709" s="3">
        <v>4.1500576342562862E-4</v>
      </c>
      <c r="CG709" s="3">
        <v>4.1635164854086042E-4</v>
      </c>
      <c r="CH709" s="3">
        <v>4.2098979977004612E-4</v>
      </c>
      <c r="CI709" s="3">
        <v>4.2211815441136577E-4</v>
      </c>
      <c r="CJ709" s="3">
        <v>4.2819962814665799E-4</v>
      </c>
      <c r="CK709" s="3">
        <v>4.3471697695695363E-4</v>
      </c>
      <c r="CL709" s="3">
        <v>4.404800320220773E-4</v>
      </c>
      <c r="CM709" s="3">
        <v>4.4517152110406469E-4</v>
      </c>
      <c r="CN709" s="3">
        <v>4.4743048489344058E-4</v>
      </c>
      <c r="CO709" s="3">
        <v>4.4597677678286861E-4</v>
      </c>
      <c r="CP709" s="3">
        <v>4.4052000356860718E-4</v>
      </c>
      <c r="CQ709" s="3">
        <v>4.3042386797925448E-4</v>
      </c>
      <c r="CR709" s="3">
        <v>4.1627694415116701E-4</v>
      </c>
      <c r="CS709" s="3">
        <v>3.9756331207925922E-4</v>
      </c>
      <c r="CU709" s="17" t="s">
        <v>4348</v>
      </c>
      <c r="CV709" s="3">
        <v>0</v>
      </c>
      <c r="CW709" s="3">
        <v>0</v>
      </c>
      <c r="CX709" s="3">
        <v>0</v>
      </c>
      <c r="CY709" s="3">
        <v>0</v>
      </c>
      <c r="CZ709" s="3">
        <v>9.3195730695398103E-11</v>
      </c>
      <c r="DA709" s="3">
        <v>7.3336271010164544E-4</v>
      </c>
      <c r="DB709" s="3">
        <v>7.3310885598981245E-4</v>
      </c>
      <c r="DC709" s="3">
        <v>7.3604002414353719E-4</v>
      </c>
      <c r="DD709" s="3">
        <v>7.464229468541585E-4</v>
      </c>
      <c r="DE709" s="3">
        <v>7.5152735927358537E-4</v>
      </c>
      <c r="DF709" s="3">
        <v>7.6689633671127874E-4</v>
      </c>
      <c r="DG709" s="3">
        <v>7.8527127637512161E-4</v>
      </c>
      <c r="DH709" s="3">
        <v>8.0305590364938991E-4</v>
      </c>
      <c r="DI709" s="3">
        <v>8.1907192532545644E-4</v>
      </c>
      <c r="DJ709" s="3">
        <v>8.3246854017691768E-4</v>
      </c>
      <c r="DK709" s="3">
        <v>8.395147106789099E-4</v>
      </c>
      <c r="DL709" s="3">
        <v>8.4143919229938326E-4</v>
      </c>
      <c r="DM709" s="3">
        <v>8.3825440673555266E-4</v>
      </c>
      <c r="DN709" s="3">
        <v>8.3397326976359049E-4</v>
      </c>
      <c r="DO709" s="3">
        <v>8.280131532628235E-4</v>
      </c>
    </row>
    <row r="710" spans="1:230" x14ac:dyDescent="0.45">
      <c r="A710" s="16" t="s">
        <v>4349</v>
      </c>
      <c r="B710" s="3" t="s">
        <v>89</v>
      </c>
      <c r="C710" s="16" t="s">
        <v>4349</v>
      </c>
      <c r="H710" s="3" t="s">
        <v>4324</v>
      </c>
      <c r="I710" s="3" t="s">
        <v>279</v>
      </c>
      <c r="K710" s="17" t="s">
        <v>4350</v>
      </c>
      <c r="L710" s="3">
        <v>0</v>
      </c>
      <c r="M710" s="3">
        <v>0</v>
      </c>
      <c r="N710" s="3">
        <v>0</v>
      </c>
      <c r="O710" s="3">
        <v>0</v>
      </c>
      <c r="P710" s="3">
        <v>0</v>
      </c>
      <c r="Q710" s="3">
        <v>0</v>
      </c>
      <c r="R710" s="3">
        <v>0</v>
      </c>
      <c r="S710" s="3">
        <v>0</v>
      </c>
      <c r="T710" s="3">
        <v>0</v>
      </c>
      <c r="U710" s="3">
        <v>0</v>
      </c>
      <c r="V710" s="3">
        <v>0</v>
      </c>
      <c r="W710" s="3">
        <v>0</v>
      </c>
      <c r="X710" s="3">
        <v>0</v>
      </c>
      <c r="Y710" s="3">
        <v>0</v>
      </c>
      <c r="Z710" s="3">
        <v>0</v>
      </c>
      <c r="AA710" s="3">
        <v>0</v>
      </c>
      <c r="AB710" s="3">
        <v>0</v>
      </c>
      <c r="AC710" s="3">
        <v>0</v>
      </c>
      <c r="AD710" s="3">
        <v>0</v>
      </c>
      <c r="AE710" s="3">
        <v>0</v>
      </c>
      <c r="AG710" s="17" t="s">
        <v>4351</v>
      </c>
      <c r="AH710" s="3">
        <v>0</v>
      </c>
      <c r="AI710" s="3">
        <v>-1.1834568590048539E-5</v>
      </c>
      <c r="AJ710" s="3">
        <v>-1.032878694277776E-5</v>
      </c>
      <c r="AK710" s="3">
        <v>-9.3006332306015408E-6</v>
      </c>
      <c r="AL710" s="3">
        <v>-9.3593547195385608E-6</v>
      </c>
      <c r="AM710" s="3">
        <v>-4.4781121431125542E-3</v>
      </c>
      <c r="AN710" s="3">
        <v>-7.2522257031109767E-3</v>
      </c>
      <c r="AO710" s="3">
        <v>-6.596452200887999E-3</v>
      </c>
      <c r="AP710" s="3">
        <v>-6.6207030188253939E-3</v>
      </c>
      <c r="AQ710" s="3">
        <v>-5.9549079775477326E-3</v>
      </c>
      <c r="AR710" s="3">
        <v>-5.7438719787320236E-3</v>
      </c>
      <c r="AS710" s="3">
        <v>-5.488406880665769E-3</v>
      </c>
      <c r="AT710" s="3">
        <v>-5.343460550200887E-3</v>
      </c>
      <c r="AU710" s="3">
        <v>-5.1656254448631204E-3</v>
      </c>
      <c r="AV710" s="3">
        <v>-4.9892052631557333E-3</v>
      </c>
      <c r="AW710" s="3">
        <v>-4.8039834395465098E-3</v>
      </c>
      <c r="AX710" s="3">
        <v>-4.6492216354198333E-3</v>
      </c>
      <c r="AY710" s="3">
        <v>-4.5102884775478896E-3</v>
      </c>
      <c r="AZ710" s="3">
        <v>-4.4032426373747519E-3</v>
      </c>
      <c r="BA710" s="3">
        <v>-4.3067286804051664E-3</v>
      </c>
      <c r="BC710" s="17" t="s">
        <v>4352</v>
      </c>
      <c r="BD710" s="3">
        <v>0</v>
      </c>
      <c r="BE710" s="3">
        <v>-4.0879055888009979E-5</v>
      </c>
      <c r="BF710" s="3">
        <v>-3.5654770818019468E-5</v>
      </c>
      <c r="BG710" s="3">
        <v>-3.2194360113590488E-5</v>
      </c>
      <c r="BH710" s="3">
        <v>-3.2250607612815983E-5</v>
      </c>
      <c r="BI710" s="3">
        <v>-3.0272330302424742E-3</v>
      </c>
      <c r="BJ710" s="3">
        <v>-7.0085258174032222E-3</v>
      </c>
      <c r="BK710" s="3">
        <v>-1.023178214262082E-2</v>
      </c>
      <c r="BL710" s="3">
        <v>-1.1816754024056219E-2</v>
      </c>
      <c r="BM710" s="3">
        <v>-1.195941406926127E-2</v>
      </c>
      <c r="BN710" s="3">
        <v>-1.234420308707302E-2</v>
      </c>
      <c r="BO710" s="3">
        <v>-1.2635352928138881E-2</v>
      </c>
      <c r="BP710" s="3">
        <v>-1.278165104124235E-2</v>
      </c>
      <c r="BQ710" s="3">
        <v>-1.2579772423005821E-2</v>
      </c>
      <c r="BR710" s="3">
        <v>-1.228330890682371E-2</v>
      </c>
      <c r="BS710" s="3">
        <v>-1.1731365163440531E-2</v>
      </c>
      <c r="BT710" s="3">
        <v>-1.1137518236631779E-2</v>
      </c>
      <c r="BU710" s="3">
        <v>-1.0356502494270481E-2</v>
      </c>
      <c r="BV710" s="3">
        <v>-9.5880274091017775E-3</v>
      </c>
      <c r="BW710" s="3">
        <v>-8.6640254258792387E-3</v>
      </c>
      <c r="BY710" s="17" t="s">
        <v>4353</v>
      </c>
      <c r="BZ710" s="3">
        <v>0</v>
      </c>
      <c r="CA710" s="3">
        <v>-6.9396500417158257E-5</v>
      </c>
      <c r="CB710" s="3">
        <v>-6.0569544230769827E-5</v>
      </c>
      <c r="CC710" s="3">
        <v>-5.467868657336282E-5</v>
      </c>
      <c r="CD710" s="3">
        <v>-5.486843685926889E-5</v>
      </c>
      <c r="CE710" s="3">
        <v>-5.3435725895356482E-3</v>
      </c>
      <c r="CF710" s="3">
        <v>-5.0283251886080408E-3</v>
      </c>
      <c r="CG710" s="3">
        <v>-4.8068764363054291E-3</v>
      </c>
      <c r="CH710" s="3">
        <v>-4.6924825236119572E-3</v>
      </c>
      <c r="CI710" s="3">
        <v>-4.6401788057175387E-3</v>
      </c>
      <c r="CJ710" s="3">
        <v>-4.8622530788389158E-3</v>
      </c>
      <c r="CK710" s="3">
        <v>-4.8573931033075689E-3</v>
      </c>
      <c r="CL710" s="3">
        <v>-5.2745153697544029E-3</v>
      </c>
      <c r="CM710" s="3">
        <v>-5.566041759158878E-3</v>
      </c>
      <c r="CN710" s="3">
        <v>-5.7377394173169158E-3</v>
      </c>
      <c r="CO710" s="3">
        <v>-5.9496395580226954E-3</v>
      </c>
      <c r="CP710" s="3">
        <v>-6.0955731177155378E-3</v>
      </c>
      <c r="CQ710" s="3">
        <v>-6.2002854166301347E-3</v>
      </c>
      <c r="CR710" s="3">
        <v>-6.3232523060748223E-3</v>
      </c>
      <c r="CS710" s="3">
        <v>-6.3972108576660323E-3</v>
      </c>
      <c r="CU710" s="17" t="s">
        <v>4354</v>
      </c>
      <c r="CV710" s="3">
        <v>0</v>
      </c>
      <c r="CW710" s="3">
        <v>-2.8194745386985501E-5</v>
      </c>
      <c r="CX710" s="3">
        <v>-2.4598249587469091E-5</v>
      </c>
      <c r="CY710" s="3">
        <v>-2.2184808033900051E-5</v>
      </c>
      <c r="CZ710" s="3">
        <v>-2.2266880963671431E-5</v>
      </c>
      <c r="DA710" s="3">
        <v>-7.8113938469724599E-3</v>
      </c>
      <c r="DB710" s="3">
        <v>-1.327039885888869E-2</v>
      </c>
      <c r="DC710" s="3">
        <v>-1.2347544511570529E-2</v>
      </c>
      <c r="DD710" s="3">
        <v>-1.2429016247528081E-2</v>
      </c>
      <c r="DE710" s="3">
        <v>-1.108924212625605E-2</v>
      </c>
      <c r="DF710" s="3">
        <v>-1.0890441008440889E-2</v>
      </c>
      <c r="DG710" s="3">
        <v>-1.062523400561894E-2</v>
      </c>
      <c r="DH710" s="3">
        <v>-1.0556225397153059E-2</v>
      </c>
      <c r="DI710" s="3">
        <v>-1.031281823718434E-2</v>
      </c>
      <c r="DJ710" s="3">
        <v>-1.013594159870442E-2</v>
      </c>
      <c r="DK710" s="3">
        <v>-9.8442864378510582E-3</v>
      </c>
      <c r="DL710" s="3">
        <v>-9.655144012147808E-3</v>
      </c>
      <c r="DM710" s="3">
        <v>-9.4061668414576801E-3</v>
      </c>
      <c r="DN710" s="3">
        <v>-9.2564888774992454E-3</v>
      </c>
      <c r="DO710" s="3">
        <v>-9.0594661633160763E-3</v>
      </c>
    </row>
    <row r="711" spans="1:230" x14ac:dyDescent="0.45">
      <c r="A711" s="16" t="s">
        <v>4355</v>
      </c>
      <c r="B711" s="3" t="s">
        <v>89</v>
      </c>
      <c r="C711" s="16" t="s">
        <v>4356</v>
      </c>
      <c r="H711" s="3" t="s">
        <v>4324</v>
      </c>
      <c r="I711" s="3" t="s">
        <v>279</v>
      </c>
      <c r="K711" s="17" t="s">
        <v>4357</v>
      </c>
      <c r="L711" s="21">
        <v>0</v>
      </c>
      <c r="M711" s="21">
        <v>0</v>
      </c>
      <c r="N711" s="21">
        <v>0</v>
      </c>
      <c r="O711" s="21">
        <v>0</v>
      </c>
      <c r="P711" s="21">
        <v>0</v>
      </c>
      <c r="Q711" s="21">
        <v>0</v>
      </c>
      <c r="R711" s="21">
        <v>0</v>
      </c>
      <c r="S711" s="21">
        <v>0</v>
      </c>
      <c r="T711" s="21">
        <v>0</v>
      </c>
      <c r="U711" s="21">
        <v>0</v>
      </c>
      <c r="V711" s="21">
        <v>0</v>
      </c>
      <c r="W711" s="21">
        <v>0</v>
      </c>
      <c r="X711" s="21">
        <v>0</v>
      </c>
      <c r="Y711" s="21">
        <v>0</v>
      </c>
      <c r="Z711" s="21">
        <v>0</v>
      </c>
      <c r="AA711" s="21">
        <v>0</v>
      </c>
      <c r="AB711" s="21">
        <v>0</v>
      </c>
      <c r="AC711" s="21">
        <v>0</v>
      </c>
      <c r="AD711" s="21">
        <v>0</v>
      </c>
      <c r="AE711" s="21">
        <v>0</v>
      </c>
      <c r="AG711" s="17" t="s">
        <v>4358</v>
      </c>
      <c r="AH711" s="21">
        <v>0</v>
      </c>
      <c r="AI711" s="21">
        <v>1.823749122771227E-5</v>
      </c>
      <c r="AJ711" s="21">
        <v>1.6511501121235689E-5</v>
      </c>
      <c r="AK711" s="21">
        <v>1.496193453569165E-5</v>
      </c>
      <c r="AL711" s="21">
        <v>1.50581404829989E-5</v>
      </c>
      <c r="AM711" s="21">
        <v>9.459732552759283E-3</v>
      </c>
      <c r="AN711" s="21">
        <v>1.34684363008721E-2</v>
      </c>
      <c r="AO711" s="21">
        <v>1.2969903112814219E-2</v>
      </c>
      <c r="AP711" s="21">
        <v>1.328936073783093E-2</v>
      </c>
      <c r="AQ711" s="21">
        <v>1.2509978002587621E-2</v>
      </c>
      <c r="AR711" s="21">
        <v>1.238513895528404E-2</v>
      </c>
      <c r="AS711" s="21">
        <v>1.2141677184032701E-2</v>
      </c>
      <c r="AT711" s="21">
        <v>1.208456234300174E-2</v>
      </c>
      <c r="AU711" s="21">
        <v>1.196402906497482E-2</v>
      </c>
      <c r="AV711" s="21">
        <v>1.1840649416688361E-2</v>
      </c>
      <c r="AW711" s="21">
        <v>1.169132408849856E-2</v>
      </c>
      <c r="AX711" s="21">
        <v>1.1594171651636681E-2</v>
      </c>
      <c r="AY711" s="21">
        <v>1.152348944550933E-2</v>
      </c>
      <c r="AZ711" s="21">
        <v>1.151458169462749E-2</v>
      </c>
      <c r="BA711" s="21">
        <v>1.1456040388619731E-2</v>
      </c>
      <c r="BC711" s="17" t="s">
        <v>4359</v>
      </c>
      <c r="BD711" s="21">
        <v>0</v>
      </c>
      <c r="BE711" s="21">
        <v>6.2881640754197961E-5</v>
      </c>
      <c r="BF711" s="21">
        <v>5.6911206343873423E-5</v>
      </c>
      <c r="BG711" s="21">
        <v>5.1695212542837922E-5</v>
      </c>
      <c r="BH711" s="21">
        <v>5.18490492083843E-5</v>
      </c>
      <c r="BI711" s="21">
        <v>6.1963342753312868E-3</v>
      </c>
      <c r="BJ711" s="21">
        <v>1.417115224759336E-2</v>
      </c>
      <c r="BK711" s="21">
        <v>2.140035479810639E-2</v>
      </c>
      <c r="BL711" s="21">
        <v>2.615385418558891E-2</v>
      </c>
      <c r="BM711" s="21">
        <v>2.797584407551296E-2</v>
      </c>
      <c r="BN711" s="21">
        <v>3.0300322960509711E-2</v>
      </c>
      <c r="BO711" s="21">
        <v>3.2378324698743341E-2</v>
      </c>
      <c r="BP711" s="21">
        <v>3.4379546684577933E-2</v>
      </c>
      <c r="BQ711" s="21">
        <v>3.5820493383308942E-2</v>
      </c>
      <c r="BR711" s="21">
        <v>3.7239669960912457E-2</v>
      </c>
      <c r="BS711" s="21">
        <v>3.821830783462591E-2</v>
      </c>
      <c r="BT711" s="21">
        <v>3.9260002591858467E-2</v>
      </c>
      <c r="BU711" s="21">
        <v>3.9932374466465609E-2</v>
      </c>
      <c r="BV711" s="21">
        <v>4.0802160145221679E-2</v>
      </c>
      <c r="BW711" s="21">
        <v>4.0994432647808339E-2</v>
      </c>
      <c r="BY711" s="17" t="s">
        <v>4360</v>
      </c>
      <c r="BZ711" s="21">
        <v>0</v>
      </c>
      <c r="CA711" s="21">
        <v>1.068004916356713E-4</v>
      </c>
      <c r="CB711" s="21">
        <v>9.6717580047065937E-5</v>
      </c>
      <c r="CC711" s="21">
        <v>8.7840613318103633E-5</v>
      </c>
      <c r="CD711" s="21">
        <v>8.8227212023030772E-5</v>
      </c>
      <c r="CE711" s="21">
        <v>1.109021555274302E-2</v>
      </c>
      <c r="CF711" s="21">
        <v>1.102120310692995E-2</v>
      </c>
      <c r="CG711" s="21">
        <v>1.102035788928615E-2</v>
      </c>
      <c r="CH711" s="21">
        <v>1.117548944180871E-2</v>
      </c>
      <c r="CI711" s="21">
        <v>1.1372144913442021E-2</v>
      </c>
      <c r="CJ711" s="21">
        <v>1.2029604582303699E-2</v>
      </c>
      <c r="CK711" s="21">
        <v>1.2306961551642371E-2</v>
      </c>
      <c r="CL711" s="21">
        <v>1.340032117700023E-2</v>
      </c>
      <c r="CM711" s="21">
        <v>1.428261503030559E-2</v>
      </c>
      <c r="CN711" s="21">
        <v>1.4979308198363231E-2</v>
      </c>
      <c r="CO711" s="21">
        <v>1.577463962094575E-2</v>
      </c>
      <c r="CP711" s="21">
        <v>1.6461342772947279E-2</v>
      </c>
      <c r="CQ711" s="21">
        <v>1.708916246228305E-2</v>
      </c>
      <c r="CR711" s="21">
        <v>1.7768336333080208E-2</v>
      </c>
      <c r="CS711" s="21">
        <v>1.8271714620339548E-2</v>
      </c>
      <c r="CU711" s="17" t="s">
        <v>4361</v>
      </c>
      <c r="CV711" s="21">
        <v>0</v>
      </c>
      <c r="CW711" s="21">
        <v>4.3403811238733257E-5</v>
      </c>
      <c r="CX711" s="21">
        <v>3.9288427107773791E-5</v>
      </c>
      <c r="CY711" s="21">
        <v>3.5650771296163323E-5</v>
      </c>
      <c r="CZ711" s="21">
        <v>3.580958597148395E-5</v>
      </c>
      <c r="DA711" s="21">
        <v>1.767277527470424E-2</v>
      </c>
      <c r="DB711" s="21">
        <v>2.5723198786397679E-2</v>
      </c>
      <c r="DC711" s="21">
        <v>2.5072703559861461E-2</v>
      </c>
      <c r="DD711" s="21">
        <v>2.6085172877153819E-2</v>
      </c>
      <c r="DE711" s="21">
        <v>2.4247040851609891E-2</v>
      </c>
      <c r="DF711" s="21">
        <v>2.4513936637350721E-2</v>
      </c>
      <c r="DG711" s="21">
        <v>2.4497435068477132E-2</v>
      </c>
      <c r="DH711" s="21">
        <v>2.4927489290615799E-2</v>
      </c>
      <c r="DI711" s="21">
        <v>2.5050364369455531E-2</v>
      </c>
      <c r="DJ711" s="21">
        <v>2.5314677727661331E-2</v>
      </c>
      <c r="DK711" s="21">
        <v>2.5348144159798199E-2</v>
      </c>
      <c r="DL711" s="21">
        <v>2.558608852020644E-2</v>
      </c>
      <c r="DM711" s="21">
        <v>2.569125286209533E-2</v>
      </c>
      <c r="DN711" s="21">
        <v>2.5998655788774961E-2</v>
      </c>
      <c r="DO711" s="21">
        <v>2.6049222614112591E-2</v>
      </c>
    </row>
    <row r="712" spans="1:230" ht="15.4" x14ac:dyDescent="0.45">
      <c r="A712" s="5"/>
      <c r="B712" s="15" t="s">
        <v>4362</v>
      </c>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row>
    <row r="713" spans="1:230" x14ac:dyDescent="0.45">
      <c r="A713" s="11" t="s">
        <v>4363</v>
      </c>
      <c r="B713" s="3" t="s">
        <v>4364</v>
      </c>
      <c r="C713" s="16" t="s">
        <v>4363</v>
      </c>
      <c r="H713" s="11" t="s">
        <v>4365</v>
      </c>
      <c r="I713" s="11" t="s">
        <v>4366</v>
      </c>
    </row>
    <row r="714" spans="1:230" x14ac:dyDescent="0.45">
      <c r="A714" s="11" t="s">
        <v>4367</v>
      </c>
      <c r="B714" s="3" t="s">
        <v>4364</v>
      </c>
      <c r="C714" s="16" t="s">
        <v>4367</v>
      </c>
      <c r="H714" s="11" t="s">
        <v>4368</v>
      </c>
      <c r="I714" s="11" t="s">
        <v>4366</v>
      </c>
    </row>
    <row r="715" spans="1:230" x14ac:dyDescent="0.45">
      <c r="A715" s="11" t="s">
        <v>4369</v>
      </c>
      <c r="B715" s="3" t="s">
        <v>4364</v>
      </c>
      <c r="C715" s="16" t="s">
        <v>4369</v>
      </c>
      <c r="H715" s="11" t="s">
        <v>4370</v>
      </c>
      <c r="I715" s="11" t="s">
        <v>4366</v>
      </c>
    </row>
    <row r="716" spans="1:230" x14ac:dyDescent="0.45">
      <c r="A716" s="11" t="s">
        <v>4371</v>
      </c>
      <c r="B716" s="3" t="s">
        <v>4364</v>
      </c>
      <c r="C716" s="16" t="s">
        <v>4371</v>
      </c>
      <c r="H716" s="11" t="s">
        <v>4372</v>
      </c>
      <c r="I716" s="11" t="s">
        <v>4366</v>
      </c>
    </row>
    <row r="717" spans="1:230" x14ac:dyDescent="0.45">
      <c r="A717" s="11" t="s">
        <v>4373</v>
      </c>
      <c r="B717" s="3" t="s">
        <v>4364</v>
      </c>
      <c r="C717" s="16" t="s">
        <v>4373</v>
      </c>
      <c r="H717" s="11" t="s">
        <v>4374</v>
      </c>
      <c r="I717" s="11" t="s">
        <v>4366</v>
      </c>
    </row>
    <row r="718" spans="1:230" x14ac:dyDescent="0.45">
      <c r="A718" s="11" t="s">
        <v>4375</v>
      </c>
      <c r="B718" s="3" t="s">
        <v>4364</v>
      </c>
      <c r="C718" s="16" t="s">
        <v>4375</v>
      </c>
      <c r="H718" s="11" t="s">
        <v>4376</v>
      </c>
      <c r="I718" s="11" t="s">
        <v>4366</v>
      </c>
    </row>
    <row r="719" spans="1:230" x14ac:dyDescent="0.45">
      <c r="A719" s="11" t="s">
        <v>4377</v>
      </c>
      <c r="B719" s="3" t="s">
        <v>4364</v>
      </c>
      <c r="C719" s="16" t="s">
        <v>4377</v>
      </c>
      <c r="H719" s="11" t="s">
        <v>4378</v>
      </c>
      <c r="I719" s="11" t="s">
        <v>4366</v>
      </c>
    </row>
    <row r="720" spans="1:230" x14ac:dyDescent="0.45">
      <c r="A720" s="11" t="s">
        <v>4379</v>
      </c>
      <c r="B720" s="3" t="s">
        <v>4364</v>
      </c>
      <c r="C720" s="16" t="s">
        <v>4379</v>
      </c>
      <c r="H720" s="11" t="s">
        <v>4380</v>
      </c>
      <c r="I720" s="11" t="s">
        <v>4366</v>
      </c>
    </row>
    <row r="721" spans="1:9" x14ac:dyDescent="0.45">
      <c r="A721" s="11" t="s">
        <v>4381</v>
      </c>
      <c r="B721" s="3" t="s">
        <v>4364</v>
      </c>
      <c r="C721" s="16" t="s">
        <v>4381</v>
      </c>
      <c r="H721" s="11" t="s">
        <v>4382</v>
      </c>
      <c r="I721" s="11" t="s">
        <v>4366</v>
      </c>
    </row>
    <row r="722" spans="1:9" x14ac:dyDescent="0.45">
      <c r="A722" s="11" t="s">
        <v>4383</v>
      </c>
      <c r="B722" s="3" t="s">
        <v>4364</v>
      </c>
      <c r="C722" s="16" t="s">
        <v>4383</v>
      </c>
      <c r="H722" s="11" t="s">
        <v>4384</v>
      </c>
      <c r="I722" s="11" t="s">
        <v>4366</v>
      </c>
    </row>
    <row r="723" spans="1:9" x14ac:dyDescent="0.45">
      <c r="A723" s="11" t="s">
        <v>4385</v>
      </c>
      <c r="B723" s="3" t="s">
        <v>4364</v>
      </c>
      <c r="C723" s="16" t="s">
        <v>4385</v>
      </c>
      <c r="H723" s="11" t="s">
        <v>4386</v>
      </c>
      <c r="I723" s="11" t="s">
        <v>4366</v>
      </c>
    </row>
    <row r="724" spans="1:9" x14ac:dyDescent="0.45">
      <c r="A724" s="11" t="s">
        <v>4387</v>
      </c>
      <c r="B724" s="3" t="s">
        <v>4364</v>
      </c>
      <c r="C724" s="16" t="s">
        <v>4387</v>
      </c>
      <c r="H724" s="11" t="s">
        <v>4388</v>
      </c>
      <c r="I724" s="11" t="s">
        <v>4366</v>
      </c>
    </row>
    <row r="725" spans="1:9" x14ac:dyDescent="0.45">
      <c r="A725" s="11" t="s">
        <v>4389</v>
      </c>
      <c r="B725" s="3" t="s">
        <v>4364</v>
      </c>
      <c r="C725" s="16" t="s">
        <v>4389</v>
      </c>
      <c r="H725" s="11" t="s">
        <v>4390</v>
      </c>
      <c r="I725" s="11" t="s">
        <v>4366</v>
      </c>
    </row>
    <row r="726" spans="1:9" x14ac:dyDescent="0.45">
      <c r="A726" s="11" t="s">
        <v>4391</v>
      </c>
      <c r="B726" s="3" t="s">
        <v>4364</v>
      </c>
      <c r="C726" s="16" t="s">
        <v>4391</v>
      </c>
      <c r="H726" s="11" t="s">
        <v>4392</v>
      </c>
      <c r="I726" s="11" t="s">
        <v>4366</v>
      </c>
    </row>
    <row r="727" spans="1:9" x14ac:dyDescent="0.45">
      <c r="A727" s="11" t="s">
        <v>4393</v>
      </c>
      <c r="B727" s="3" t="s">
        <v>4364</v>
      </c>
      <c r="C727" s="16" t="s">
        <v>4393</v>
      </c>
      <c r="H727" s="11" t="s">
        <v>4394</v>
      </c>
      <c r="I727" s="11" t="s">
        <v>4366</v>
      </c>
    </row>
    <row r="728" spans="1:9" x14ac:dyDescent="0.45">
      <c r="A728" s="11" t="s">
        <v>4395</v>
      </c>
      <c r="B728" s="3" t="s">
        <v>4364</v>
      </c>
      <c r="C728" s="16" t="s">
        <v>4395</v>
      </c>
      <c r="H728" s="11" t="s">
        <v>4396</v>
      </c>
      <c r="I728" s="11" t="s">
        <v>4366</v>
      </c>
    </row>
    <row r="729" spans="1:9" x14ac:dyDescent="0.45">
      <c r="A729" s="11" t="s">
        <v>4397</v>
      </c>
      <c r="B729" s="3" t="s">
        <v>4364</v>
      </c>
      <c r="C729" s="16" t="s">
        <v>4397</v>
      </c>
      <c r="H729" s="11" t="s">
        <v>4398</v>
      </c>
      <c r="I729" s="11" t="s">
        <v>4366</v>
      </c>
    </row>
    <row r="730" spans="1:9" x14ac:dyDescent="0.45">
      <c r="A730" s="11" t="s">
        <v>4399</v>
      </c>
      <c r="B730" s="3" t="s">
        <v>4364</v>
      </c>
      <c r="C730" s="16" t="s">
        <v>4399</v>
      </c>
      <c r="H730" s="11" t="s">
        <v>4400</v>
      </c>
      <c r="I730" s="11" t="s">
        <v>4366</v>
      </c>
    </row>
    <row r="731" spans="1:9" x14ac:dyDescent="0.45">
      <c r="A731" s="11" t="s">
        <v>4401</v>
      </c>
      <c r="B731" s="3" t="s">
        <v>4364</v>
      </c>
      <c r="C731" s="16" t="s">
        <v>4401</v>
      </c>
      <c r="H731" s="11" t="s">
        <v>4402</v>
      </c>
      <c r="I731" s="11" t="s">
        <v>4366</v>
      </c>
    </row>
    <row r="732" spans="1:9" x14ac:dyDescent="0.45">
      <c r="A732" s="11" t="s">
        <v>4403</v>
      </c>
      <c r="B732" s="3" t="s">
        <v>4364</v>
      </c>
      <c r="C732" s="16" t="s">
        <v>4403</v>
      </c>
      <c r="H732" s="11" t="s">
        <v>4404</v>
      </c>
      <c r="I732" s="11" t="s">
        <v>4366</v>
      </c>
    </row>
    <row r="733" spans="1:9" x14ac:dyDescent="0.45">
      <c r="A733" s="11" t="s">
        <v>4405</v>
      </c>
      <c r="B733" s="3" t="s">
        <v>4364</v>
      </c>
      <c r="C733" s="16" t="s">
        <v>4405</v>
      </c>
      <c r="H733" s="11" t="s">
        <v>4406</v>
      </c>
      <c r="I733" s="11" t="s">
        <v>4366</v>
      </c>
    </row>
    <row r="734" spans="1:9" x14ac:dyDescent="0.45">
      <c r="A734" s="11" t="s">
        <v>4407</v>
      </c>
      <c r="B734" s="3" t="s">
        <v>4364</v>
      </c>
      <c r="C734" s="16" t="s">
        <v>4407</v>
      </c>
      <c r="H734" s="11" t="s">
        <v>4408</v>
      </c>
      <c r="I734" s="11" t="s">
        <v>4366</v>
      </c>
    </row>
    <row r="735" spans="1:9" x14ac:dyDescent="0.45">
      <c r="A735" s="11" t="s">
        <v>4409</v>
      </c>
      <c r="B735" s="3" t="s">
        <v>4364</v>
      </c>
      <c r="C735" s="16" t="s">
        <v>4409</v>
      </c>
      <c r="H735" s="11" t="s">
        <v>4410</v>
      </c>
      <c r="I735" s="11" t="s">
        <v>4366</v>
      </c>
    </row>
    <row r="736" spans="1:9" x14ac:dyDescent="0.45">
      <c r="A736" s="11" t="s">
        <v>4411</v>
      </c>
      <c r="B736" s="3" t="s">
        <v>4364</v>
      </c>
      <c r="C736" s="16" t="s">
        <v>4411</v>
      </c>
      <c r="H736" s="11" t="s">
        <v>4412</v>
      </c>
      <c r="I736" s="11" t="s">
        <v>4366</v>
      </c>
    </row>
    <row r="737" spans="1:9" x14ac:dyDescent="0.45">
      <c r="A737" s="11" t="s">
        <v>4413</v>
      </c>
      <c r="B737" s="3" t="s">
        <v>4364</v>
      </c>
      <c r="C737" s="16" t="s">
        <v>4413</v>
      </c>
      <c r="H737" s="11" t="s">
        <v>4414</v>
      </c>
      <c r="I737" s="11" t="s">
        <v>4366</v>
      </c>
    </row>
    <row r="738" spans="1:9" x14ac:dyDescent="0.45">
      <c r="A738" s="11" t="s">
        <v>4415</v>
      </c>
      <c r="B738" s="3" t="s">
        <v>4364</v>
      </c>
      <c r="C738" s="16" t="s">
        <v>4415</v>
      </c>
      <c r="H738" s="11" t="s">
        <v>4416</v>
      </c>
      <c r="I738" s="11" t="s">
        <v>4366</v>
      </c>
    </row>
    <row r="739" spans="1:9" x14ac:dyDescent="0.45">
      <c r="A739" s="11" t="s">
        <v>4417</v>
      </c>
      <c r="B739" s="3" t="s">
        <v>4364</v>
      </c>
      <c r="C739" s="16" t="s">
        <v>4417</v>
      </c>
      <c r="H739" s="11" t="s">
        <v>4418</v>
      </c>
      <c r="I739" s="11" t="s">
        <v>4366</v>
      </c>
    </row>
    <row r="740" spans="1:9" x14ac:dyDescent="0.45">
      <c r="A740" s="11" t="s">
        <v>4419</v>
      </c>
      <c r="B740" s="3" t="s">
        <v>4364</v>
      </c>
      <c r="C740" s="16" t="s">
        <v>4419</v>
      </c>
      <c r="H740" s="11" t="s">
        <v>4420</v>
      </c>
      <c r="I740" s="11" t="s">
        <v>4366</v>
      </c>
    </row>
    <row r="741" spans="1:9" x14ac:dyDescent="0.45">
      <c r="A741" s="11" t="s">
        <v>4421</v>
      </c>
      <c r="B741" s="3" t="s">
        <v>4364</v>
      </c>
      <c r="C741" s="16" t="s">
        <v>4421</v>
      </c>
      <c r="H741" s="11" t="s">
        <v>4422</v>
      </c>
      <c r="I741" s="11" t="s">
        <v>4366</v>
      </c>
    </row>
    <row r="742" spans="1:9" x14ac:dyDescent="0.45">
      <c r="A742" s="11" t="s">
        <v>4423</v>
      </c>
      <c r="B742" s="3" t="s">
        <v>4364</v>
      </c>
      <c r="C742" s="16" t="s">
        <v>4423</v>
      </c>
      <c r="H742" s="11" t="s">
        <v>4424</v>
      </c>
      <c r="I742" s="11" t="s">
        <v>4366</v>
      </c>
    </row>
    <row r="743" spans="1:9" x14ac:dyDescent="0.45">
      <c r="A743" s="11" t="s">
        <v>4425</v>
      </c>
      <c r="B743" s="3" t="s">
        <v>4364</v>
      </c>
      <c r="C743" s="16" t="s">
        <v>4425</v>
      </c>
      <c r="H743" s="11" t="s">
        <v>4426</v>
      </c>
      <c r="I743" s="11" t="s">
        <v>4366</v>
      </c>
    </row>
    <row r="744" spans="1:9" x14ac:dyDescent="0.45">
      <c r="A744" s="11" t="s">
        <v>4427</v>
      </c>
      <c r="B744" s="3" t="s">
        <v>4364</v>
      </c>
      <c r="C744" s="16" t="s">
        <v>4427</v>
      </c>
      <c r="H744" s="11" t="s">
        <v>4428</v>
      </c>
      <c r="I744" s="11" t="s">
        <v>4366</v>
      </c>
    </row>
    <row r="745" spans="1:9" x14ac:dyDescent="0.45">
      <c r="A745" s="11" t="s">
        <v>4429</v>
      </c>
      <c r="B745" s="3" t="s">
        <v>4364</v>
      </c>
      <c r="C745" s="16" t="s">
        <v>4429</v>
      </c>
      <c r="H745" s="11" t="s">
        <v>4430</v>
      </c>
      <c r="I745" s="11" t="s">
        <v>4366</v>
      </c>
    </row>
    <row r="746" spans="1:9" x14ac:dyDescent="0.45">
      <c r="A746" s="11" t="s">
        <v>4431</v>
      </c>
      <c r="B746" s="3" t="s">
        <v>4364</v>
      </c>
      <c r="C746" s="16" t="s">
        <v>4431</v>
      </c>
      <c r="H746" s="11" t="s">
        <v>4432</v>
      </c>
      <c r="I746" s="11" t="s">
        <v>4366</v>
      </c>
    </row>
    <row r="747" spans="1:9" x14ac:dyDescent="0.45">
      <c r="A747" s="11" t="s">
        <v>4433</v>
      </c>
      <c r="B747" s="3" t="s">
        <v>4364</v>
      </c>
      <c r="C747" s="16" t="s">
        <v>4433</v>
      </c>
      <c r="H747" s="11" t="s">
        <v>4434</v>
      </c>
      <c r="I747" s="11" t="s">
        <v>4366</v>
      </c>
    </row>
    <row r="748" spans="1:9" x14ac:dyDescent="0.45">
      <c r="A748" s="11" t="s">
        <v>4435</v>
      </c>
      <c r="B748" s="3" t="s">
        <v>4364</v>
      </c>
      <c r="C748" s="16" t="s">
        <v>4435</v>
      </c>
      <c r="H748" s="11" t="s">
        <v>4436</v>
      </c>
      <c r="I748" s="11" t="s">
        <v>4366</v>
      </c>
    </row>
    <row r="749" spans="1:9" x14ac:dyDescent="0.45">
      <c r="A749" s="11" t="s">
        <v>4437</v>
      </c>
      <c r="B749" s="3" t="s">
        <v>4364</v>
      </c>
      <c r="C749" s="16" t="s">
        <v>4437</v>
      </c>
      <c r="H749" s="11" t="s">
        <v>4438</v>
      </c>
      <c r="I749" s="11" t="s">
        <v>4366</v>
      </c>
    </row>
    <row r="750" spans="1:9" x14ac:dyDescent="0.45">
      <c r="A750" s="11" t="s">
        <v>4439</v>
      </c>
      <c r="B750" s="3" t="s">
        <v>4364</v>
      </c>
      <c r="C750" s="16" t="s">
        <v>4439</v>
      </c>
      <c r="H750" s="11" t="s">
        <v>4440</v>
      </c>
      <c r="I750" s="11" t="s">
        <v>4366</v>
      </c>
    </row>
    <row r="751" spans="1:9" x14ac:dyDescent="0.45">
      <c r="A751" s="11" t="s">
        <v>4441</v>
      </c>
      <c r="B751" s="3" t="s">
        <v>4364</v>
      </c>
      <c r="C751" s="16" t="s">
        <v>4441</v>
      </c>
      <c r="H751" s="11" t="s">
        <v>4442</v>
      </c>
      <c r="I751" s="11" t="s">
        <v>4366</v>
      </c>
    </row>
    <row r="752" spans="1:9" x14ac:dyDescent="0.45">
      <c r="A752" s="11" t="s">
        <v>4443</v>
      </c>
      <c r="B752" s="3" t="s">
        <v>4364</v>
      </c>
      <c r="C752" s="16" t="s">
        <v>4443</v>
      </c>
      <c r="H752" s="11" t="s">
        <v>4444</v>
      </c>
      <c r="I752" s="11" t="s">
        <v>4366</v>
      </c>
    </row>
    <row r="753" spans="1:9" x14ac:dyDescent="0.45">
      <c r="A753" s="11" t="s">
        <v>4445</v>
      </c>
      <c r="B753" s="3" t="s">
        <v>4364</v>
      </c>
      <c r="C753" s="16" t="s">
        <v>4445</v>
      </c>
      <c r="H753" s="11" t="s">
        <v>4446</v>
      </c>
      <c r="I753" s="11" t="s">
        <v>4366</v>
      </c>
    </row>
    <row r="754" spans="1:9" x14ac:dyDescent="0.45">
      <c r="A754" s="11" t="s">
        <v>4447</v>
      </c>
      <c r="B754" s="3" t="s">
        <v>4364</v>
      </c>
      <c r="C754" s="16" t="s">
        <v>4447</v>
      </c>
      <c r="H754" s="11" t="s">
        <v>4448</v>
      </c>
      <c r="I754" s="11" t="s">
        <v>4366</v>
      </c>
    </row>
    <row r="755" spans="1:9" x14ac:dyDescent="0.45">
      <c r="A755" s="11" t="s">
        <v>4449</v>
      </c>
      <c r="B755" s="3" t="s">
        <v>4364</v>
      </c>
      <c r="C755" s="16" t="s">
        <v>4449</v>
      </c>
      <c r="H755" s="11" t="s">
        <v>4450</v>
      </c>
      <c r="I755" s="11" t="s">
        <v>4366</v>
      </c>
    </row>
    <row r="756" spans="1:9" x14ac:dyDescent="0.45">
      <c r="A756" s="11" t="s">
        <v>4451</v>
      </c>
      <c r="B756" s="3" t="s">
        <v>4364</v>
      </c>
      <c r="C756" s="16" t="s">
        <v>4451</v>
      </c>
      <c r="H756" s="11" t="s">
        <v>4452</v>
      </c>
      <c r="I756" s="11" t="s">
        <v>4366</v>
      </c>
    </row>
    <row r="757" spans="1:9" x14ac:dyDescent="0.45">
      <c r="A757" s="11" t="s">
        <v>4453</v>
      </c>
      <c r="B757" s="3" t="s">
        <v>4364</v>
      </c>
      <c r="C757" s="16" t="s">
        <v>4453</v>
      </c>
      <c r="H757" s="11" t="s">
        <v>4454</v>
      </c>
      <c r="I757" s="11" t="s">
        <v>4366</v>
      </c>
    </row>
    <row r="758" spans="1:9" x14ac:dyDescent="0.45">
      <c r="A758" s="11" t="s">
        <v>4455</v>
      </c>
      <c r="B758" s="3" t="s">
        <v>4364</v>
      </c>
      <c r="C758" s="16" t="s">
        <v>4455</v>
      </c>
      <c r="H758" s="11" t="s">
        <v>4456</v>
      </c>
      <c r="I758" s="11" t="s">
        <v>4366</v>
      </c>
    </row>
    <row r="759" spans="1:9" x14ac:dyDescent="0.45">
      <c r="A759" s="11" t="s">
        <v>4457</v>
      </c>
      <c r="B759" s="3" t="s">
        <v>4364</v>
      </c>
      <c r="C759" s="16" t="s">
        <v>4457</v>
      </c>
      <c r="H759" s="11" t="s">
        <v>4458</v>
      </c>
      <c r="I759" s="11" t="s">
        <v>4366</v>
      </c>
    </row>
    <row r="760" spans="1:9" x14ac:dyDescent="0.45">
      <c r="A760" s="11" t="s">
        <v>4459</v>
      </c>
      <c r="B760" s="3" t="s">
        <v>4364</v>
      </c>
      <c r="C760" s="16" t="s">
        <v>4459</v>
      </c>
      <c r="H760" s="11" t="s">
        <v>4460</v>
      </c>
      <c r="I760" s="11" t="s">
        <v>4366</v>
      </c>
    </row>
    <row r="761" spans="1:9" x14ac:dyDescent="0.45">
      <c r="A761" s="11" t="s">
        <v>4461</v>
      </c>
      <c r="B761" s="3" t="s">
        <v>4364</v>
      </c>
      <c r="C761" s="16" t="s">
        <v>4461</v>
      </c>
      <c r="H761" s="11" t="s">
        <v>4462</v>
      </c>
      <c r="I761" s="11" t="s">
        <v>4366</v>
      </c>
    </row>
    <row r="762" spans="1:9" x14ac:dyDescent="0.45">
      <c r="A762" s="11" t="s">
        <v>4463</v>
      </c>
      <c r="B762" s="3" t="s">
        <v>4364</v>
      </c>
      <c r="C762" s="16" t="s">
        <v>4463</v>
      </c>
      <c r="H762" s="11" t="s">
        <v>4464</v>
      </c>
      <c r="I762" s="11" t="s">
        <v>4366</v>
      </c>
    </row>
    <row r="763" spans="1:9" x14ac:dyDescent="0.45">
      <c r="A763" s="11" t="s">
        <v>4465</v>
      </c>
      <c r="B763" s="3" t="s">
        <v>4364</v>
      </c>
      <c r="C763" s="16" t="s">
        <v>4465</v>
      </c>
      <c r="H763" s="11" t="s">
        <v>4466</v>
      </c>
      <c r="I763" s="11" t="s">
        <v>4366</v>
      </c>
    </row>
    <row r="764" spans="1:9" x14ac:dyDescent="0.45">
      <c r="A764" s="11" t="s">
        <v>4467</v>
      </c>
      <c r="B764" s="3" t="s">
        <v>4364</v>
      </c>
      <c r="C764" s="16" t="s">
        <v>4467</v>
      </c>
      <c r="H764" s="11" t="s">
        <v>4468</v>
      </c>
      <c r="I764" s="11" t="s">
        <v>4366</v>
      </c>
    </row>
    <row r="765" spans="1:9" x14ac:dyDescent="0.45">
      <c r="A765" s="11" t="s">
        <v>4469</v>
      </c>
      <c r="B765" s="3" t="s">
        <v>4364</v>
      </c>
      <c r="C765" s="16" t="s">
        <v>4469</v>
      </c>
      <c r="H765" s="11" t="s">
        <v>4470</v>
      </c>
      <c r="I765" s="11" t="s">
        <v>4366</v>
      </c>
    </row>
    <row r="766" spans="1:9" x14ac:dyDescent="0.45">
      <c r="A766" s="11" t="s">
        <v>4471</v>
      </c>
      <c r="B766" s="3" t="s">
        <v>4364</v>
      </c>
      <c r="C766" s="16" t="s">
        <v>4471</v>
      </c>
      <c r="H766" s="11" t="s">
        <v>4472</v>
      </c>
      <c r="I766" s="11" t="s">
        <v>4366</v>
      </c>
    </row>
    <row r="767" spans="1:9" x14ac:dyDescent="0.45">
      <c r="A767" s="11" t="s">
        <v>4473</v>
      </c>
      <c r="B767" s="3" t="s">
        <v>4364</v>
      </c>
      <c r="C767" s="16" t="s">
        <v>4473</v>
      </c>
      <c r="H767" s="11" t="s">
        <v>4474</v>
      </c>
      <c r="I767" s="11" t="s">
        <v>4366</v>
      </c>
    </row>
    <row r="768" spans="1:9" x14ac:dyDescent="0.45">
      <c r="A768" s="11" t="s">
        <v>4475</v>
      </c>
      <c r="B768" s="3" t="s">
        <v>4364</v>
      </c>
      <c r="C768" s="16" t="s">
        <v>4475</v>
      </c>
      <c r="H768" s="11" t="s">
        <v>4476</v>
      </c>
      <c r="I768" s="11" t="s">
        <v>4366</v>
      </c>
    </row>
    <row r="769" spans="1:9" x14ac:dyDescent="0.45">
      <c r="A769" s="11" t="s">
        <v>4477</v>
      </c>
      <c r="B769" s="3" t="s">
        <v>4364</v>
      </c>
      <c r="C769" s="16" t="s">
        <v>4477</v>
      </c>
      <c r="H769" s="11" t="s">
        <v>4478</v>
      </c>
      <c r="I769" s="11" t="s">
        <v>4366</v>
      </c>
    </row>
    <row r="770" spans="1:9" x14ac:dyDescent="0.45">
      <c r="A770" s="11" t="s">
        <v>4479</v>
      </c>
      <c r="B770" s="3" t="s">
        <v>4364</v>
      </c>
      <c r="C770" s="16" t="s">
        <v>4479</v>
      </c>
      <c r="H770" s="11" t="s">
        <v>4480</v>
      </c>
      <c r="I770" s="11"/>
    </row>
    <row r="771" spans="1:9" x14ac:dyDescent="0.45">
      <c r="A771" s="11" t="s">
        <v>4481</v>
      </c>
      <c r="B771" s="3" t="s">
        <v>4364</v>
      </c>
      <c r="C771" s="16" t="s">
        <v>4481</v>
      </c>
      <c r="H771" s="11" t="s">
        <v>4482</v>
      </c>
      <c r="I771" s="11"/>
    </row>
    <row r="772" spans="1:9" x14ac:dyDescent="0.45">
      <c r="A772" s="11" t="s">
        <v>4483</v>
      </c>
      <c r="B772" s="3" t="s">
        <v>4364</v>
      </c>
      <c r="C772" s="16" t="s">
        <v>4483</v>
      </c>
      <c r="H772" s="11" t="s">
        <v>4484</v>
      </c>
      <c r="I772" s="11"/>
    </row>
    <row r="773" spans="1:9" x14ac:dyDescent="0.45">
      <c r="A773" s="11" t="s">
        <v>4485</v>
      </c>
      <c r="B773" s="3" t="s">
        <v>4364</v>
      </c>
      <c r="C773" s="16" t="s">
        <v>4485</v>
      </c>
      <c r="H773" s="11" t="s">
        <v>4486</v>
      </c>
      <c r="I773" s="11"/>
    </row>
    <row r="774" spans="1:9" x14ac:dyDescent="0.45">
      <c r="A774" s="11" t="s">
        <v>4487</v>
      </c>
      <c r="B774" s="3" t="s">
        <v>4364</v>
      </c>
      <c r="C774" s="16" t="s">
        <v>4487</v>
      </c>
      <c r="H774" s="11" t="s">
        <v>4488</v>
      </c>
      <c r="I774" s="11"/>
    </row>
    <row r="775" spans="1:9" x14ac:dyDescent="0.45">
      <c r="A775" s="11" t="s">
        <v>4489</v>
      </c>
      <c r="B775" s="3" t="s">
        <v>4364</v>
      </c>
      <c r="C775" s="16" t="s">
        <v>4489</v>
      </c>
      <c r="H775" s="11" t="s">
        <v>4490</v>
      </c>
      <c r="I775" s="11"/>
    </row>
    <row r="776" spans="1:9" x14ac:dyDescent="0.45">
      <c r="A776" s="11" t="s">
        <v>4491</v>
      </c>
      <c r="B776" s="3" t="s">
        <v>4364</v>
      </c>
      <c r="C776" s="16" t="s">
        <v>4491</v>
      </c>
      <c r="H776" s="11" t="s">
        <v>4492</v>
      </c>
      <c r="I776" s="11"/>
    </row>
    <row r="777" spans="1:9" x14ac:dyDescent="0.45">
      <c r="A777" s="11" t="s">
        <v>4493</v>
      </c>
      <c r="B777" s="3" t="s">
        <v>4364</v>
      </c>
      <c r="C777" s="16" t="s">
        <v>4493</v>
      </c>
      <c r="H777" s="11" t="s">
        <v>4494</v>
      </c>
      <c r="I777" s="11"/>
    </row>
    <row r="778" spans="1:9" x14ac:dyDescent="0.45">
      <c r="A778" s="11" t="s">
        <v>4495</v>
      </c>
      <c r="B778" s="3" t="s">
        <v>4364</v>
      </c>
      <c r="C778" s="16" t="s">
        <v>4495</v>
      </c>
      <c r="H778" s="11" t="s">
        <v>4496</v>
      </c>
      <c r="I778" s="11"/>
    </row>
    <row r="779" spans="1:9" x14ac:dyDescent="0.45">
      <c r="A779" s="11" t="s">
        <v>4497</v>
      </c>
      <c r="B779" s="3" t="s">
        <v>4364</v>
      </c>
      <c r="C779" s="16" t="s">
        <v>4497</v>
      </c>
      <c r="H779" s="11" t="s">
        <v>4498</v>
      </c>
      <c r="I779" s="11"/>
    </row>
    <row r="780" spans="1:9" x14ac:dyDescent="0.45">
      <c r="A780" s="11" t="s">
        <v>4499</v>
      </c>
      <c r="B780" s="3" t="s">
        <v>4364</v>
      </c>
      <c r="C780" s="16" t="s">
        <v>4499</v>
      </c>
      <c r="H780" s="11" t="s">
        <v>4500</v>
      </c>
      <c r="I780" s="11"/>
    </row>
    <row r="781" spans="1:9" x14ac:dyDescent="0.45">
      <c r="A781" s="11" t="s">
        <v>4501</v>
      </c>
      <c r="B781" s="3" t="s">
        <v>4364</v>
      </c>
      <c r="C781" s="16" t="s">
        <v>4501</v>
      </c>
      <c r="H781" s="11" t="s">
        <v>4502</v>
      </c>
      <c r="I781" s="11"/>
    </row>
    <row r="782" spans="1:9" x14ac:dyDescent="0.45">
      <c r="A782" s="11" t="s">
        <v>4503</v>
      </c>
      <c r="B782" s="3" t="s">
        <v>4364</v>
      </c>
      <c r="C782" s="16" t="s">
        <v>4503</v>
      </c>
      <c r="H782" s="11" t="s">
        <v>4504</v>
      </c>
      <c r="I782" s="11"/>
    </row>
    <row r="783" spans="1:9" x14ac:dyDescent="0.45">
      <c r="A783" s="11" t="s">
        <v>4505</v>
      </c>
      <c r="B783" s="3" t="s">
        <v>4364</v>
      </c>
      <c r="C783" s="16" t="s">
        <v>4505</v>
      </c>
      <c r="H783" s="11" t="s">
        <v>4506</v>
      </c>
      <c r="I783" s="11"/>
    </row>
    <row r="784" spans="1:9" x14ac:dyDescent="0.45">
      <c r="A784" s="11" t="s">
        <v>4507</v>
      </c>
      <c r="B784" s="3" t="s">
        <v>4364</v>
      </c>
      <c r="C784" s="16" t="s">
        <v>4507</v>
      </c>
      <c r="H784" s="11" t="s">
        <v>4508</v>
      </c>
      <c r="I784" s="11"/>
    </row>
    <row r="785" spans="1:9" x14ac:dyDescent="0.45">
      <c r="A785" s="11" t="s">
        <v>4509</v>
      </c>
      <c r="B785" s="3" t="s">
        <v>4364</v>
      </c>
      <c r="C785" s="16" t="s">
        <v>4509</v>
      </c>
      <c r="H785" s="11" t="s">
        <v>4510</v>
      </c>
      <c r="I785" s="11"/>
    </row>
    <row r="786" spans="1:9" x14ac:dyDescent="0.45">
      <c r="A786" s="11" t="s">
        <v>4511</v>
      </c>
      <c r="B786" s="3" t="s">
        <v>4364</v>
      </c>
      <c r="C786" s="16" t="s">
        <v>4511</v>
      </c>
      <c r="H786" s="11" t="s">
        <v>4512</v>
      </c>
      <c r="I786" s="11"/>
    </row>
    <row r="787" spans="1:9" x14ac:dyDescent="0.45">
      <c r="A787" s="11" t="s">
        <v>4513</v>
      </c>
      <c r="B787" s="3" t="s">
        <v>4364</v>
      </c>
      <c r="C787" s="16" t="s">
        <v>4513</v>
      </c>
      <c r="H787" s="11" t="s">
        <v>4514</v>
      </c>
      <c r="I787" s="11"/>
    </row>
    <row r="788" spans="1:9" x14ac:dyDescent="0.45">
      <c r="A788" s="11" t="s">
        <v>4515</v>
      </c>
      <c r="B788" s="3" t="s">
        <v>4364</v>
      </c>
      <c r="C788" s="16" t="s">
        <v>4515</v>
      </c>
      <c r="H788" s="11" t="s">
        <v>4516</v>
      </c>
      <c r="I788" s="11"/>
    </row>
    <row r="789" spans="1:9" x14ac:dyDescent="0.45">
      <c r="A789" s="11" t="s">
        <v>4517</v>
      </c>
      <c r="B789" s="3" t="s">
        <v>4364</v>
      </c>
      <c r="C789" s="16" t="s">
        <v>4517</v>
      </c>
      <c r="H789" s="11" t="s">
        <v>4518</v>
      </c>
      <c r="I789" s="11"/>
    </row>
    <row r="790" spans="1:9" x14ac:dyDescent="0.45">
      <c r="A790" s="11" t="s">
        <v>4519</v>
      </c>
      <c r="B790" s="3" t="s">
        <v>4364</v>
      </c>
      <c r="C790" s="16" t="s">
        <v>4519</v>
      </c>
      <c r="H790" s="11" t="s">
        <v>4520</v>
      </c>
      <c r="I790" s="11"/>
    </row>
    <row r="791" spans="1:9" x14ac:dyDescent="0.45">
      <c r="A791" s="11" t="s">
        <v>4521</v>
      </c>
      <c r="B791" s="3" t="s">
        <v>4364</v>
      </c>
      <c r="C791" s="16" t="s">
        <v>4521</v>
      </c>
      <c r="H791" s="11" t="s">
        <v>4522</v>
      </c>
      <c r="I791" s="11"/>
    </row>
    <row r="792" spans="1:9" x14ac:dyDescent="0.45">
      <c r="A792" s="11" t="s">
        <v>4523</v>
      </c>
      <c r="B792" s="3" t="s">
        <v>4364</v>
      </c>
      <c r="C792" s="16" t="s">
        <v>4523</v>
      </c>
      <c r="H792" s="11" t="s">
        <v>4524</v>
      </c>
      <c r="I792" s="11"/>
    </row>
    <row r="793" spans="1:9" x14ac:dyDescent="0.45">
      <c r="A793" s="11" t="s">
        <v>4525</v>
      </c>
      <c r="B793" s="3" t="s">
        <v>4364</v>
      </c>
      <c r="C793" s="16" t="s">
        <v>4525</v>
      </c>
      <c r="H793" s="11" t="s">
        <v>4526</v>
      </c>
      <c r="I793" s="11"/>
    </row>
    <row r="794" spans="1:9" x14ac:dyDescent="0.45">
      <c r="A794" s="11" t="s">
        <v>4527</v>
      </c>
      <c r="B794" s="3" t="s">
        <v>4364</v>
      </c>
      <c r="C794" s="16" t="s">
        <v>4527</v>
      </c>
      <c r="H794" s="11" t="s">
        <v>4528</v>
      </c>
      <c r="I794" s="11"/>
    </row>
    <row r="795" spans="1:9" x14ac:dyDescent="0.45">
      <c r="A795" s="11" t="s">
        <v>4529</v>
      </c>
      <c r="B795" s="3" t="s">
        <v>4364</v>
      </c>
      <c r="C795" s="16" t="s">
        <v>4529</v>
      </c>
      <c r="H795" s="11" t="s">
        <v>4530</v>
      </c>
      <c r="I795" s="11"/>
    </row>
    <row r="796" spans="1:9" x14ac:dyDescent="0.45">
      <c r="A796" s="11" t="s">
        <v>4531</v>
      </c>
      <c r="B796" s="3" t="s">
        <v>4364</v>
      </c>
      <c r="C796" s="16" t="s">
        <v>4531</v>
      </c>
      <c r="H796" s="11" t="s">
        <v>4532</v>
      </c>
      <c r="I796" s="11"/>
    </row>
    <row r="797" spans="1:9" x14ac:dyDescent="0.45">
      <c r="A797" s="11" t="s">
        <v>4533</v>
      </c>
      <c r="B797" s="3" t="s">
        <v>4364</v>
      </c>
      <c r="C797" s="16" t="s">
        <v>4533</v>
      </c>
      <c r="H797" s="11" t="s">
        <v>4534</v>
      </c>
      <c r="I797" s="11"/>
    </row>
    <row r="798" spans="1:9" x14ac:dyDescent="0.45">
      <c r="A798" s="11" t="s">
        <v>4535</v>
      </c>
      <c r="B798" s="3" t="s">
        <v>4364</v>
      </c>
      <c r="C798" s="16" t="s">
        <v>4535</v>
      </c>
      <c r="H798" s="11" t="s">
        <v>4536</v>
      </c>
      <c r="I798" s="11" t="s">
        <v>4366</v>
      </c>
    </row>
    <row r="799" spans="1:9" x14ac:dyDescent="0.45">
      <c r="A799" s="11" t="s">
        <v>4537</v>
      </c>
      <c r="B799" s="3" t="s">
        <v>4364</v>
      </c>
      <c r="C799" s="16" t="s">
        <v>4537</v>
      </c>
      <c r="H799" s="11" t="s">
        <v>4538</v>
      </c>
      <c r="I799" s="11" t="s">
        <v>4366</v>
      </c>
    </row>
    <row r="800" spans="1:9" x14ac:dyDescent="0.45">
      <c r="A800" s="11" t="s">
        <v>4539</v>
      </c>
      <c r="B800" s="3" t="s">
        <v>4364</v>
      </c>
      <c r="C800" s="16" t="s">
        <v>4539</v>
      </c>
      <c r="H800" s="11" t="s">
        <v>4540</v>
      </c>
      <c r="I800" s="11" t="s">
        <v>4366</v>
      </c>
    </row>
    <row r="801" spans="1:230" x14ac:dyDescent="0.45">
      <c r="A801" s="11" t="s">
        <v>4541</v>
      </c>
      <c r="B801" s="3" t="s">
        <v>4364</v>
      </c>
      <c r="C801" s="16" t="s">
        <v>4541</v>
      </c>
      <c r="H801" s="11" t="s">
        <v>4542</v>
      </c>
      <c r="I801" s="11" t="s">
        <v>4366</v>
      </c>
    </row>
    <row r="802" spans="1:230" x14ac:dyDescent="0.45">
      <c r="A802" s="11" t="s">
        <v>4543</v>
      </c>
      <c r="B802" s="3" t="s">
        <v>4364</v>
      </c>
      <c r="C802" s="16" t="s">
        <v>4543</v>
      </c>
      <c r="H802" s="11" t="s">
        <v>4544</v>
      </c>
      <c r="I802" s="11" t="s">
        <v>4366</v>
      </c>
    </row>
    <row r="803" spans="1:230" x14ac:dyDescent="0.45">
      <c r="A803" s="11" t="s">
        <v>4545</v>
      </c>
      <c r="B803" s="3" t="s">
        <v>4364</v>
      </c>
      <c r="C803" s="16" t="s">
        <v>4546</v>
      </c>
      <c r="H803" s="11" t="s">
        <v>4547</v>
      </c>
      <c r="I803" s="11"/>
    </row>
    <row r="804" spans="1:230" x14ac:dyDescent="0.45">
      <c r="A804" s="11" t="s">
        <v>4548</v>
      </c>
      <c r="B804" s="3" t="s">
        <v>4364</v>
      </c>
      <c r="C804" s="16" t="s">
        <v>4549</v>
      </c>
      <c r="H804" s="11" t="s">
        <v>4550</v>
      </c>
      <c r="I804" s="11"/>
    </row>
    <row r="805" spans="1:230" ht="15.4" x14ac:dyDescent="0.45">
      <c r="A805" s="5"/>
      <c r="B805" s="15" t="s">
        <v>4551</v>
      </c>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row>
    <row r="806" spans="1:230" x14ac:dyDescent="0.45">
      <c r="A806" s="11" t="s">
        <v>4535</v>
      </c>
      <c r="B806" s="3" t="s">
        <v>4364</v>
      </c>
      <c r="C806" s="16" t="s">
        <v>4552</v>
      </c>
      <c r="H806" s="11" t="s">
        <v>4553</v>
      </c>
      <c r="I806" s="11" t="s">
        <v>4366</v>
      </c>
    </row>
    <row r="807" spans="1:230" x14ac:dyDescent="0.45">
      <c r="A807" s="11" t="s">
        <v>4537</v>
      </c>
      <c r="B807" s="3" t="s">
        <v>4364</v>
      </c>
      <c r="C807" s="16" t="s">
        <v>4554</v>
      </c>
      <c r="H807" s="11" t="s">
        <v>4555</v>
      </c>
      <c r="I807" s="11" t="s">
        <v>4366</v>
      </c>
    </row>
    <row r="808" spans="1:230" x14ac:dyDescent="0.45">
      <c r="A808" s="11" t="s">
        <v>4539</v>
      </c>
      <c r="B808" s="3" t="s">
        <v>4364</v>
      </c>
      <c r="C808" s="16" t="s">
        <v>4556</v>
      </c>
      <c r="H808" s="11" t="s">
        <v>4557</v>
      </c>
      <c r="I808" s="11" t="s">
        <v>4366</v>
      </c>
    </row>
    <row r="809" spans="1:230" x14ac:dyDescent="0.45">
      <c r="A809" s="11" t="s">
        <v>4541</v>
      </c>
      <c r="B809" s="3" t="s">
        <v>4364</v>
      </c>
      <c r="C809" s="16" t="s">
        <v>4558</v>
      </c>
      <c r="H809" s="11" t="s">
        <v>4559</v>
      </c>
      <c r="I809" s="11" t="s">
        <v>4366</v>
      </c>
    </row>
    <row r="810" spans="1:230" x14ac:dyDescent="0.45">
      <c r="A810" s="11" t="s">
        <v>4560</v>
      </c>
      <c r="B810" s="3" t="s">
        <v>4364</v>
      </c>
      <c r="C810" s="16" t="s">
        <v>4561</v>
      </c>
      <c r="H810" s="11" t="s">
        <v>4562</v>
      </c>
      <c r="I810" s="11" t="s">
        <v>4366</v>
      </c>
    </row>
    <row r="811" spans="1:230" x14ac:dyDescent="0.45">
      <c r="A811" s="11" t="s">
        <v>4563</v>
      </c>
      <c r="B811" s="3" t="s">
        <v>4364</v>
      </c>
      <c r="C811" s="16" t="s">
        <v>4564</v>
      </c>
      <c r="H811" s="11" t="s">
        <v>4565</v>
      </c>
      <c r="I811" s="11" t="s">
        <v>4366</v>
      </c>
    </row>
    <row r="812" spans="1:230" x14ac:dyDescent="0.45">
      <c r="A812" s="11" t="s">
        <v>4566</v>
      </c>
      <c r="B812" s="3" t="s">
        <v>4364</v>
      </c>
      <c r="C812" s="16" t="s">
        <v>4567</v>
      </c>
      <c r="H812" s="11" t="s">
        <v>4568</v>
      </c>
      <c r="I812" s="11" t="s">
        <v>4366</v>
      </c>
    </row>
    <row r="813" spans="1:230" x14ac:dyDescent="0.45">
      <c r="A813" s="11" t="s">
        <v>4569</v>
      </c>
      <c r="B813" s="3" t="s">
        <v>4364</v>
      </c>
      <c r="C813" s="16" t="s">
        <v>4570</v>
      </c>
      <c r="H813" s="11" t="s">
        <v>4571</v>
      </c>
      <c r="I813" s="11" t="s">
        <v>4366</v>
      </c>
    </row>
    <row r="814" spans="1:230" x14ac:dyDescent="0.45">
      <c r="A814" s="11" t="s">
        <v>4572</v>
      </c>
      <c r="B814" s="3" t="s">
        <v>4364</v>
      </c>
      <c r="C814" s="16" t="s">
        <v>4573</v>
      </c>
      <c r="H814" s="11" t="s">
        <v>4574</v>
      </c>
      <c r="I814" s="11" t="s">
        <v>4366</v>
      </c>
    </row>
    <row r="815" spans="1:230" x14ac:dyDescent="0.45">
      <c r="A815" s="11" t="s">
        <v>4575</v>
      </c>
      <c r="B815" s="3" t="s">
        <v>4364</v>
      </c>
      <c r="C815" s="16" t="s">
        <v>4576</v>
      </c>
      <c r="H815" s="11" t="s">
        <v>4577</v>
      </c>
      <c r="I815" s="11" t="s">
        <v>4366</v>
      </c>
    </row>
    <row r="816" spans="1:230" x14ac:dyDescent="0.45">
      <c r="A816" s="11" t="s">
        <v>4578</v>
      </c>
      <c r="B816" s="3" t="s">
        <v>4364</v>
      </c>
      <c r="C816" s="16" t="s">
        <v>4579</v>
      </c>
      <c r="H816" s="11" t="s">
        <v>4580</v>
      </c>
      <c r="I816" s="11" t="s">
        <v>4366</v>
      </c>
    </row>
    <row r="817" spans="1:230" x14ac:dyDescent="0.45">
      <c r="A817" s="11" t="s">
        <v>4581</v>
      </c>
      <c r="B817" s="3" t="s">
        <v>4364</v>
      </c>
      <c r="C817" s="16" t="s">
        <v>4582</v>
      </c>
      <c r="H817" s="11" t="s">
        <v>4583</v>
      </c>
      <c r="I817" s="11" t="s">
        <v>4366</v>
      </c>
    </row>
    <row r="818" spans="1:230" x14ac:dyDescent="0.45">
      <c r="A818" s="11" t="s">
        <v>4584</v>
      </c>
      <c r="B818" s="3" t="s">
        <v>4364</v>
      </c>
      <c r="C818" s="16" t="s">
        <v>4585</v>
      </c>
      <c r="H818" s="11" t="s">
        <v>4586</v>
      </c>
      <c r="I818" s="11" t="s">
        <v>4366</v>
      </c>
    </row>
    <row r="819" spans="1:230" x14ac:dyDescent="0.45">
      <c r="A819" s="11" t="s">
        <v>4587</v>
      </c>
      <c r="B819" s="3" t="s">
        <v>4364</v>
      </c>
      <c r="C819" s="16" t="s">
        <v>4588</v>
      </c>
      <c r="H819" s="11" t="s">
        <v>4589</v>
      </c>
      <c r="I819" s="11" t="s">
        <v>4366</v>
      </c>
    </row>
    <row r="820" spans="1:230" x14ac:dyDescent="0.45">
      <c r="A820" s="11" t="s">
        <v>4590</v>
      </c>
      <c r="B820" s="3" t="s">
        <v>4364</v>
      </c>
      <c r="C820" s="16" t="s">
        <v>4591</v>
      </c>
      <c r="H820" s="11" t="s">
        <v>4592</v>
      </c>
      <c r="I820" s="11" t="s">
        <v>4366</v>
      </c>
    </row>
    <row r="821" spans="1:230" ht="15.4" x14ac:dyDescent="0.45">
      <c r="A821" s="5"/>
      <c r="B821" s="15" t="s">
        <v>4593</v>
      </c>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row>
    <row r="822" spans="1:230" x14ac:dyDescent="0.45">
      <c r="A822" s="11" t="s">
        <v>4517</v>
      </c>
      <c r="B822" s="3" t="s">
        <v>4364</v>
      </c>
      <c r="C822" s="16" t="s">
        <v>4517</v>
      </c>
      <c r="H822" s="11" t="s">
        <v>4594</v>
      </c>
      <c r="I822" s="11"/>
    </row>
    <row r="823" spans="1:230" x14ac:dyDescent="0.45">
      <c r="A823" s="11" t="s">
        <v>4515</v>
      </c>
      <c r="B823" s="3" t="s">
        <v>4364</v>
      </c>
      <c r="C823" s="16" t="s">
        <v>4515</v>
      </c>
      <c r="H823" s="11" t="s">
        <v>4595</v>
      </c>
      <c r="I823" s="11"/>
    </row>
    <row r="824" spans="1:230" x14ac:dyDescent="0.45">
      <c r="A824" s="11" t="s">
        <v>4519</v>
      </c>
      <c r="B824" s="3" t="s">
        <v>4364</v>
      </c>
      <c r="C824" s="16" t="s">
        <v>4519</v>
      </c>
      <c r="H824" s="11" t="s">
        <v>4596</v>
      </c>
      <c r="I824" s="11"/>
    </row>
    <row r="825" spans="1:230" x14ac:dyDescent="0.45">
      <c r="A825" s="11" t="s">
        <v>4511</v>
      </c>
      <c r="B825" s="3" t="s">
        <v>4364</v>
      </c>
      <c r="C825" s="16" t="s">
        <v>4511</v>
      </c>
      <c r="H825" s="11" t="s">
        <v>4597</v>
      </c>
      <c r="I825" s="11"/>
    </row>
    <row r="826" spans="1:230" x14ac:dyDescent="0.45">
      <c r="A826" s="11" t="s">
        <v>4521</v>
      </c>
      <c r="B826" s="3" t="s">
        <v>4364</v>
      </c>
      <c r="C826" s="16" t="s">
        <v>4521</v>
      </c>
      <c r="H826" s="11" t="s">
        <v>4598</v>
      </c>
      <c r="I826" s="11"/>
    </row>
    <row r="827" spans="1:230" x14ac:dyDescent="0.45">
      <c r="A827" s="11" t="s">
        <v>4507</v>
      </c>
      <c r="B827" s="3" t="s">
        <v>4364</v>
      </c>
      <c r="C827" s="16" t="s">
        <v>4507</v>
      </c>
      <c r="H827" s="11" t="s">
        <v>4599</v>
      </c>
      <c r="I827" s="11"/>
    </row>
    <row r="828" spans="1:230" x14ac:dyDescent="0.45">
      <c r="A828" s="11" t="s">
        <v>4509</v>
      </c>
      <c r="B828" s="3" t="s">
        <v>4364</v>
      </c>
      <c r="C828" s="16" t="s">
        <v>4509</v>
      </c>
      <c r="H828" s="11" t="s">
        <v>4600</v>
      </c>
      <c r="I828" s="11"/>
    </row>
    <row r="829" spans="1:230" x14ac:dyDescent="0.45">
      <c r="A829" s="11" t="s">
        <v>4533</v>
      </c>
      <c r="B829" s="3" t="s">
        <v>4364</v>
      </c>
      <c r="C829" s="16" t="s">
        <v>4533</v>
      </c>
      <c r="H829" s="11" t="s">
        <v>4601</v>
      </c>
      <c r="I829" s="11"/>
    </row>
    <row r="830" spans="1:230" x14ac:dyDescent="0.45">
      <c r="A830" s="11" t="s">
        <v>4531</v>
      </c>
      <c r="B830" s="3" t="s">
        <v>4364</v>
      </c>
      <c r="C830" s="16" t="s">
        <v>4531</v>
      </c>
      <c r="H830" s="11" t="s">
        <v>4602</v>
      </c>
      <c r="I830" s="11"/>
    </row>
    <row r="831" spans="1:230" x14ac:dyDescent="0.45">
      <c r="A831" s="11" t="s">
        <v>4525</v>
      </c>
      <c r="B831" s="3" t="s">
        <v>4364</v>
      </c>
      <c r="C831" s="16" t="s">
        <v>4525</v>
      </c>
      <c r="H831" s="11" t="s">
        <v>4603</v>
      </c>
      <c r="I831" s="11"/>
    </row>
    <row r="832" spans="1:230" x14ac:dyDescent="0.45">
      <c r="A832" s="11" t="s">
        <v>4513</v>
      </c>
      <c r="B832" s="3" t="s">
        <v>4364</v>
      </c>
      <c r="C832" s="16" t="s">
        <v>4513</v>
      </c>
      <c r="H832" s="11" t="s">
        <v>4604</v>
      </c>
      <c r="I832" s="11"/>
    </row>
    <row r="833" spans="1:230" x14ac:dyDescent="0.45">
      <c r="A833" s="11" t="s">
        <v>4527</v>
      </c>
      <c r="B833" s="3" t="s">
        <v>4364</v>
      </c>
      <c r="C833" s="16" t="s">
        <v>4527</v>
      </c>
      <c r="H833" s="11" t="s">
        <v>4605</v>
      </c>
      <c r="I833" s="11"/>
    </row>
    <row r="834" spans="1:230" x14ac:dyDescent="0.45">
      <c r="A834" s="11" t="s">
        <v>4529</v>
      </c>
      <c r="B834" s="3" t="s">
        <v>4364</v>
      </c>
      <c r="C834" s="16" t="s">
        <v>4529</v>
      </c>
      <c r="H834" s="11" t="s">
        <v>4606</v>
      </c>
      <c r="I834" s="11"/>
    </row>
    <row r="835" spans="1:230" x14ac:dyDescent="0.45">
      <c r="A835" s="11" t="s">
        <v>4523</v>
      </c>
      <c r="B835" s="3" t="s">
        <v>4364</v>
      </c>
      <c r="C835" s="16" t="s">
        <v>4523</v>
      </c>
      <c r="H835" s="11" t="s">
        <v>4607</v>
      </c>
      <c r="I835" s="11"/>
    </row>
    <row r="836" spans="1:230" ht="15.4" x14ac:dyDescent="0.45">
      <c r="A836" s="5"/>
      <c r="B836" s="15" t="s">
        <v>4608</v>
      </c>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row>
    <row r="837" spans="1:230" x14ac:dyDescent="0.45">
      <c r="A837" s="11" t="s">
        <v>4609</v>
      </c>
      <c r="B837" s="3" t="s">
        <v>4364</v>
      </c>
      <c r="C837" s="16" t="s">
        <v>4610</v>
      </c>
      <c r="H837" s="11" t="s">
        <v>4611</v>
      </c>
      <c r="I837" s="11"/>
    </row>
    <row r="838" spans="1:230" x14ac:dyDescent="0.45">
      <c r="A838" s="11" t="s">
        <v>4612</v>
      </c>
      <c r="B838" s="3" t="s">
        <v>4364</v>
      </c>
      <c r="C838" s="16" t="s">
        <v>4613</v>
      </c>
      <c r="H838" s="11" t="s">
        <v>4614</v>
      </c>
      <c r="I838" s="11"/>
    </row>
    <row r="839" spans="1:230" x14ac:dyDescent="0.45">
      <c r="A839" s="11" t="s">
        <v>4615</v>
      </c>
      <c r="B839" s="3" t="s">
        <v>4364</v>
      </c>
      <c r="C839" s="16" t="s">
        <v>4616</v>
      </c>
      <c r="H839" s="11" t="s">
        <v>4617</v>
      </c>
      <c r="I839" s="11"/>
    </row>
    <row r="840" spans="1:230" x14ac:dyDescent="0.45">
      <c r="A840" s="11" t="s">
        <v>4618</v>
      </c>
      <c r="B840" s="3" t="s">
        <v>4364</v>
      </c>
      <c r="C840" s="16" t="s">
        <v>4619</v>
      </c>
      <c r="H840" s="11" t="s">
        <v>4620</v>
      </c>
      <c r="I840" s="11"/>
    </row>
    <row r="841" spans="1:230" x14ac:dyDescent="0.45">
      <c r="A841" s="11" t="s">
        <v>4621</v>
      </c>
      <c r="B841" s="3" t="s">
        <v>4364</v>
      </c>
      <c r="C841" s="16" t="s">
        <v>4622</v>
      </c>
      <c r="H841" s="11" t="s">
        <v>4623</v>
      </c>
      <c r="I841" s="11"/>
    </row>
    <row r="842" spans="1:230" x14ac:dyDescent="0.45">
      <c r="A842" s="11" t="s">
        <v>4624</v>
      </c>
      <c r="B842" s="3" t="s">
        <v>4364</v>
      </c>
      <c r="C842" s="16" t="s">
        <v>4625</v>
      </c>
      <c r="H842" s="11" t="s">
        <v>4626</v>
      </c>
      <c r="I842" s="11"/>
    </row>
    <row r="843" spans="1:230" x14ac:dyDescent="0.45">
      <c r="A843" s="11" t="s">
        <v>4627</v>
      </c>
      <c r="B843" s="3" t="s">
        <v>4364</v>
      </c>
      <c r="C843" s="16" t="s">
        <v>4628</v>
      </c>
      <c r="H843" s="11" t="s">
        <v>4629</v>
      </c>
      <c r="I843" s="11"/>
    </row>
    <row r="844" spans="1:230" x14ac:dyDescent="0.45">
      <c r="A844" s="11" t="s">
        <v>4630</v>
      </c>
      <c r="B844" s="3" t="s">
        <v>4364</v>
      </c>
      <c r="C844" s="16" t="s">
        <v>4631</v>
      </c>
      <c r="H844" s="11" t="s">
        <v>4632</v>
      </c>
      <c r="I844" s="11"/>
    </row>
    <row r="845" spans="1:230" x14ac:dyDescent="0.45">
      <c r="A845" s="11" t="s">
        <v>4633</v>
      </c>
      <c r="B845" s="3" t="s">
        <v>4364</v>
      </c>
      <c r="C845" s="16" t="s">
        <v>4634</v>
      </c>
      <c r="H845" s="11" t="s">
        <v>4635</v>
      </c>
      <c r="I845" s="11"/>
    </row>
    <row r="846" spans="1:230" x14ac:dyDescent="0.45">
      <c r="A846" s="11" t="s">
        <v>4636</v>
      </c>
      <c r="B846" s="3" t="s">
        <v>4364</v>
      </c>
      <c r="C846" s="16" t="s">
        <v>4637</v>
      </c>
      <c r="H846" s="11" t="s">
        <v>4638</v>
      </c>
      <c r="I846" s="11"/>
    </row>
    <row r="847" spans="1:230" x14ac:dyDescent="0.45">
      <c r="A847" s="11" t="s">
        <v>4639</v>
      </c>
      <c r="B847" s="3" t="s">
        <v>4364</v>
      </c>
      <c r="C847" s="16" t="s">
        <v>4640</v>
      </c>
      <c r="H847" s="11" t="s">
        <v>4641</v>
      </c>
      <c r="I847" s="11"/>
    </row>
    <row r="848" spans="1:230" x14ac:dyDescent="0.45">
      <c r="A848" s="11" t="s">
        <v>4642</v>
      </c>
      <c r="B848" s="3" t="s">
        <v>4364</v>
      </c>
      <c r="C848" s="16" t="s">
        <v>4643</v>
      </c>
      <c r="H848" s="11" t="s">
        <v>4644</v>
      </c>
      <c r="I848" s="11"/>
    </row>
    <row r="849" spans="1:230" ht="15.4" x14ac:dyDescent="0.45">
      <c r="A849" s="5"/>
      <c r="B849" s="15" t="s">
        <v>4645</v>
      </c>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row>
    <row r="850" spans="1:230" x14ac:dyDescent="0.45">
      <c r="A850" s="11" t="s">
        <v>4646</v>
      </c>
      <c r="B850" s="3" t="s">
        <v>4364</v>
      </c>
      <c r="C850" s="16" t="s">
        <v>4647</v>
      </c>
      <c r="H850" s="11" t="s">
        <v>4611</v>
      </c>
      <c r="I850" s="11"/>
    </row>
    <row r="851" spans="1:230" x14ac:dyDescent="0.45">
      <c r="A851" s="11" t="s">
        <v>4648</v>
      </c>
      <c r="B851" s="3" t="s">
        <v>4364</v>
      </c>
      <c r="C851" s="16" t="s">
        <v>4649</v>
      </c>
      <c r="H851" s="11" t="s">
        <v>4638</v>
      </c>
      <c r="I851" s="11"/>
    </row>
    <row r="852" spans="1:230" x14ac:dyDescent="0.45">
      <c r="A852" s="11" t="s">
        <v>4650</v>
      </c>
      <c r="B852" s="3" t="s">
        <v>4364</v>
      </c>
      <c r="C852" s="16" t="s">
        <v>4651</v>
      </c>
      <c r="H852" s="11" t="s">
        <v>4635</v>
      </c>
      <c r="I852" s="11"/>
    </row>
    <row r="853" spans="1:230" x14ac:dyDescent="0.45">
      <c r="A853" s="11" t="s">
        <v>4652</v>
      </c>
      <c r="B853" s="3" t="s">
        <v>4364</v>
      </c>
      <c r="C853" s="16" t="s">
        <v>4653</v>
      </c>
      <c r="H853" s="11" t="s">
        <v>4626</v>
      </c>
      <c r="I853" s="11"/>
    </row>
    <row r="854" spans="1:230" x14ac:dyDescent="0.45">
      <c r="A854" s="11" t="s">
        <v>4654</v>
      </c>
      <c r="B854" s="3" t="s">
        <v>4364</v>
      </c>
      <c r="C854" s="16" t="s">
        <v>4655</v>
      </c>
      <c r="H854" s="11" t="s">
        <v>4632</v>
      </c>
      <c r="I854" s="11"/>
    </row>
    <row r="855" spans="1:230" x14ac:dyDescent="0.45">
      <c r="A855" s="11" t="s">
        <v>4656</v>
      </c>
      <c r="B855" s="3" t="s">
        <v>4364</v>
      </c>
      <c r="C855" s="16" t="s">
        <v>4657</v>
      </c>
      <c r="H855" s="11" t="s">
        <v>4629</v>
      </c>
      <c r="I855" s="11"/>
    </row>
    <row r="856" spans="1:230" x14ac:dyDescent="0.45">
      <c r="A856" s="11" t="s">
        <v>4658</v>
      </c>
      <c r="B856" s="3" t="s">
        <v>4364</v>
      </c>
      <c r="C856" s="16" t="s">
        <v>4659</v>
      </c>
      <c r="H856" s="11" t="s">
        <v>4614</v>
      </c>
      <c r="I856" s="11"/>
    </row>
    <row r="857" spans="1:230" x14ac:dyDescent="0.45">
      <c r="A857" s="11" t="s">
        <v>4660</v>
      </c>
      <c r="B857" s="3" t="s">
        <v>4364</v>
      </c>
      <c r="C857" s="16" t="s">
        <v>4661</v>
      </c>
      <c r="H857" s="11" t="s">
        <v>4623</v>
      </c>
      <c r="I857" s="11"/>
    </row>
    <row r="858" spans="1:230" x14ac:dyDescent="0.45">
      <c r="A858" s="11" t="s">
        <v>4662</v>
      </c>
      <c r="B858" s="3" t="s">
        <v>4364</v>
      </c>
      <c r="C858" s="16" t="s">
        <v>4663</v>
      </c>
      <c r="H858" s="11" t="s">
        <v>4641</v>
      </c>
      <c r="I858" s="11"/>
    </row>
    <row r="859" spans="1:230" x14ac:dyDescent="0.45">
      <c r="A859" s="11" t="s">
        <v>4664</v>
      </c>
      <c r="B859" s="3" t="s">
        <v>4364</v>
      </c>
      <c r="C859" s="16" t="s">
        <v>4665</v>
      </c>
      <c r="H859" s="11" t="s">
        <v>4620</v>
      </c>
      <c r="I859" s="11"/>
    </row>
    <row r="860" spans="1:230" x14ac:dyDescent="0.45">
      <c r="A860" s="11" t="s">
        <v>4666</v>
      </c>
      <c r="B860" s="3" t="s">
        <v>4364</v>
      </c>
      <c r="C860" s="16" t="s">
        <v>4667</v>
      </c>
      <c r="H860" s="11" t="s">
        <v>4617</v>
      </c>
      <c r="I860" s="11"/>
    </row>
    <row r="861" spans="1:230" ht="15.4" x14ac:dyDescent="0.45">
      <c r="A861" s="5"/>
      <c r="B861" s="15" t="s">
        <v>4668</v>
      </c>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row>
    <row r="862" spans="1:230" x14ac:dyDescent="0.45">
      <c r="A862" s="11"/>
      <c r="B862" s="3" t="s">
        <v>89</v>
      </c>
      <c r="C862" s="16" t="s">
        <v>4669</v>
      </c>
      <c r="H862" s="11" t="s">
        <v>4670</v>
      </c>
      <c r="I862" s="11"/>
    </row>
    <row r="863" spans="1:230" x14ac:dyDescent="0.45">
      <c r="A863" s="11"/>
      <c r="B863" s="3" t="s">
        <v>89</v>
      </c>
      <c r="C863" s="16" t="s">
        <v>4671</v>
      </c>
      <c r="H863" s="11" t="s">
        <v>4672</v>
      </c>
      <c r="I863" s="11"/>
    </row>
    <row r="864" spans="1:230" x14ac:dyDescent="0.45">
      <c r="A864" s="11"/>
      <c r="B864" s="3" t="s">
        <v>89</v>
      </c>
      <c r="C864" s="16" t="s">
        <v>4673</v>
      </c>
      <c r="H864" s="11" t="s">
        <v>4674</v>
      </c>
      <c r="I864" s="11"/>
    </row>
    <row r="865" spans="1:230" ht="15.4" x14ac:dyDescent="0.45">
      <c r="A865" s="5"/>
      <c r="B865" s="15" t="s">
        <v>4675</v>
      </c>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row>
    <row r="866" spans="1:230" x14ac:dyDescent="0.45">
      <c r="A866" s="16" t="s">
        <v>259</v>
      </c>
      <c r="B866" s="3" t="s">
        <v>89</v>
      </c>
      <c r="C866" s="16"/>
      <c r="H866" s="3" t="s">
        <v>261</v>
      </c>
      <c r="I866" s="3" t="s">
        <v>262</v>
      </c>
      <c r="K866" s="17" t="s">
        <v>263</v>
      </c>
      <c r="L866" s="3">
        <v>546.97092411895414</v>
      </c>
      <c r="M866" s="3">
        <v>567.5385678541237</v>
      </c>
      <c r="N866" s="3">
        <v>581.15268869519412</v>
      </c>
      <c r="O866" s="3">
        <v>606.67916384359228</v>
      </c>
      <c r="P866" s="3">
        <v>632.400576753819</v>
      </c>
      <c r="Q866" s="3">
        <v>662.94057923851824</v>
      </c>
      <c r="R866" s="3">
        <v>699.63643519160053</v>
      </c>
      <c r="S866" s="3">
        <v>736.20367509151083</v>
      </c>
      <c r="T866" s="3">
        <v>771.84975150892149</v>
      </c>
      <c r="U866" s="3">
        <v>808.81159842533975</v>
      </c>
      <c r="V866" s="3">
        <v>847.1136400397902</v>
      </c>
      <c r="W866" s="3">
        <v>886.77934656237903</v>
      </c>
      <c r="X866" s="3">
        <v>927.83113813410637</v>
      </c>
      <c r="Y866" s="3">
        <v>970.29028688468065</v>
      </c>
      <c r="Z866" s="3">
        <v>1014.176817350464</v>
      </c>
      <c r="AA866" s="3">
        <v>1059.5094054915301</v>
      </c>
      <c r="AB866" s="3">
        <v>1106.3052765634829</v>
      </c>
      <c r="AC866" s="3">
        <v>1154.58010211603</v>
      </c>
      <c r="AD866" s="3">
        <v>1204.347896406307</v>
      </c>
      <c r="AE866" s="3">
        <v>1255.6209125304661</v>
      </c>
      <c r="AG866" s="17" t="s">
        <v>264</v>
      </c>
      <c r="AH866" s="3">
        <v>546.97092411895414</v>
      </c>
      <c r="AI866" s="3">
        <v>567.5385678541237</v>
      </c>
      <c r="AJ866" s="3">
        <v>581.15268869519412</v>
      </c>
      <c r="AK866" s="3">
        <v>606.67916384359228</v>
      </c>
      <c r="AL866" s="3">
        <v>632.400576753819</v>
      </c>
      <c r="AM866" s="3">
        <v>662.94057923851824</v>
      </c>
      <c r="AN866" s="3">
        <v>699.63643519160053</v>
      </c>
      <c r="AO866" s="3">
        <v>736.20367509151083</v>
      </c>
      <c r="AP866" s="3">
        <v>771.84975150892149</v>
      </c>
      <c r="AQ866" s="3">
        <v>808.81159842533975</v>
      </c>
      <c r="AR866" s="3">
        <v>847.1136400397902</v>
      </c>
      <c r="AS866" s="3">
        <v>886.77934656237903</v>
      </c>
      <c r="AT866" s="3">
        <v>927.83113813410637</v>
      </c>
      <c r="AU866" s="3">
        <v>970.29028688468065</v>
      </c>
      <c r="AV866" s="3">
        <v>1014.176817350464</v>
      </c>
      <c r="AW866" s="3">
        <v>1059.5094054915301</v>
      </c>
      <c r="AX866" s="3">
        <v>1106.3052765634829</v>
      </c>
      <c r="AY866" s="3">
        <v>1154.58010211603</v>
      </c>
      <c r="AZ866" s="3">
        <v>1204.347896406307</v>
      </c>
      <c r="BA866" s="3">
        <v>1255.6209125304661</v>
      </c>
      <c r="BC866" s="17" t="s">
        <v>265</v>
      </c>
      <c r="BD866" s="3">
        <v>546.97092411895414</v>
      </c>
      <c r="BE866" s="3">
        <v>567.5385678541237</v>
      </c>
      <c r="BF866" s="3">
        <v>581.15268869519412</v>
      </c>
      <c r="BG866" s="3">
        <v>606.67916384359228</v>
      </c>
      <c r="BH866" s="3">
        <v>632.400576753819</v>
      </c>
      <c r="BI866" s="3">
        <v>662.94057923851824</v>
      </c>
      <c r="BJ866" s="3">
        <v>699.63643519160053</v>
      </c>
      <c r="BK866" s="3">
        <v>736.20367509151083</v>
      </c>
      <c r="BL866" s="3">
        <v>771.84975150892149</v>
      </c>
      <c r="BM866" s="3">
        <v>808.81159842533975</v>
      </c>
      <c r="BN866" s="3">
        <v>847.1136400397902</v>
      </c>
      <c r="BO866" s="3">
        <v>886.77934656237903</v>
      </c>
      <c r="BP866" s="3">
        <v>927.83113813410637</v>
      </c>
      <c r="BQ866" s="3">
        <v>970.29028688468065</v>
      </c>
      <c r="BR866" s="3">
        <v>1014.176817350464</v>
      </c>
      <c r="BS866" s="3">
        <v>1059.5094054915301</v>
      </c>
      <c r="BT866" s="3">
        <v>1106.3052765634829</v>
      </c>
      <c r="BU866" s="3">
        <v>1154.58010211603</v>
      </c>
      <c r="BV866" s="3">
        <v>1204.347896406307</v>
      </c>
      <c r="BW866" s="3">
        <v>1255.6209125304661</v>
      </c>
      <c r="BY866" s="17" t="s">
        <v>266</v>
      </c>
      <c r="BZ866" s="3">
        <v>546.97092411895414</v>
      </c>
      <c r="CA866" s="3">
        <v>567.5385678541237</v>
      </c>
      <c r="CB866" s="3">
        <v>581.15268869519412</v>
      </c>
      <c r="CC866" s="3">
        <v>606.67916384359228</v>
      </c>
      <c r="CD866" s="3">
        <v>632.400576753819</v>
      </c>
      <c r="CE866" s="3">
        <v>662.94057923851824</v>
      </c>
      <c r="CF866" s="3">
        <v>699.63643519160053</v>
      </c>
      <c r="CG866" s="3">
        <v>736.20367509151083</v>
      </c>
      <c r="CH866" s="3">
        <v>771.84975150892149</v>
      </c>
      <c r="CI866" s="3">
        <v>808.81159842533975</v>
      </c>
      <c r="CJ866" s="3">
        <v>847.1136400397902</v>
      </c>
      <c r="CK866" s="3">
        <v>886.77934656237903</v>
      </c>
      <c r="CL866" s="3">
        <v>927.83113813410637</v>
      </c>
      <c r="CM866" s="3">
        <v>970.29028688468065</v>
      </c>
      <c r="CN866" s="3">
        <v>1014.176817350464</v>
      </c>
      <c r="CO866" s="3">
        <v>1059.5094054915301</v>
      </c>
      <c r="CP866" s="3">
        <v>1106.3052765634829</v>
      </c>
      <c r="CQ866" s="3">
        <v>1154.58010211603</v>
      </c>
      <c r="CR866" s="3">
        <v>1204.347896406307</v>
      </c>
      <c r="CS866" s="3">
        <v>1255.6209125304661</v>
      </c>
      <c r="CU866" s="17" t="s">
        <v>267</v>
      </c>
      <c r="CV866" s="3">
        <v>546.97092411895414</v>
      </c>
      <c r="CW866" s="3">
        <v>567.5385678541237</v>
      </c>
      <c r="CX866" s="3">
        <v>581.15268869519412</v>
      </c>
      <c r="CY866" s="3">
        <v>606.67916384359228</v>
      </c>
      <c r="CZ866" s="3">
        <v>632.400576753819</v>
      </c>
      <c r="DA866" s="3">
        <v>662.94057923851824</v>
      </c>
      <c r="DB866" s="3">
        <v>699.63643519160053</v>
      </c>
      <c r="DC866" s="3">
        <v>736.20367509151083</v>
      </c>
      <c r="DD866" s="3">
        <v>771.84975150892149</v>
      </c>
      <c r="DE866" s="3">
        <v>808.81159842533975</v>
      </c>
      <c r="DF866" s="3">
        <v>847.1136400397902</v>
      </c>
      <c r="DG866" s="3">
        <v>886.77934656237903</v>
      </c>
      <c r="DH866" s="3">
        <v>927.83113813410637</v>
      </c>
      <c r="DI866" s="3">
        <v>970.29028688468065</v>
      </c>
      <c r="DJ866" s="3">
        <v>1014.176817350464</v>
      </c>
      <c r="DK866" s="3">
        <v>1059.5094054915301</v>
      </c>
      <c r="DL866" s="3">
        <v>1106.3052765634829</v>
      </c>
      <c r="DM866" s="3">
        <v>1154.58010211603</v>
      </c>
      <c r="DN866" s="3">
        <v>1204.347896406307</v>
      </c>
      <c r="DO866" s="3">
        <v>1255.6209125304661</v>
      </c>
    </row>
    <row r="867" spans="1:230" x14ac:dyDescent="0.45">
      <c r="A867" s="16" t="s">
        <v>410</v>
      </c>
      <c r="B867" s="3" t="s">
        <v>89</v>
      </c>
      <c r="C867" s="16"/>
      <c r="H867" s="3" t="s">
        <v>412</v>
      </c>
      <c r="I867" s="3" t="s">
        <v>348</v>
      </c>
      <c r="K867" s="17" t="s">
        <v>413</v>
      </c>
      <c r="L867" s="19">
        <v>81.319958038839701</v>
      </c>
      <c r="M867" s="19">
        <v>77.206533928821415</v>
      </c>
      <c r="N867" s="19">
        <v>88.112668037049389</v>
      </c>
      <c r="O867" s="19">
        <v>98.828714682558655</v>
      </c>
      <c r="P867" s="19">
        <v>102.3253499061277</v>
      </c>
      <c r="Q867" s="19">
        <v>105.0046936976205</v>
      </c>
      <c r="R867" s="19">
        <v>107.8396746145152</v>
      </c>
      <c r="S867" s="19">
        <v>110.846926263396</v>
      </c>
      <c r="T867" s="19">
        <v>112.7165806866704</v>
      </c>
      <c r="U867" s="19">
        <v>111.3348607790458</v>
      </c>
      <c r="V867" s="19">
        <v>109.56151808367601</v>
      </c>
      <c r="W867" s="19">
        <v>110.6866845664146</v>
      </c>
      <c r="X867" s="19">
        <v>111.192322554483</v>
      </c>
      <c r="Y867" s="19">
        <v>112.1497455258402</v>
      </c>
      <c r="Z867" s="19">
        <v>113.1078636934526</v>
      </c>
      <c r="AA867" s="19">
        <v>114.1226815014539</v>
      </c>
      <c r="AB867" s="19">
        <v>115.1796752789207</v>
      </c>
      <c r="AC867" s="19">
        <v>116.281550495627</v>
      </c>
      <c r="AD867" s="19">
        <v>117.4399728094749</v>
      </c>
      <c r="AE867" s="19">
        <v>118.6589420043022</v>
      </c>
      <c r="AG867" s="17" t="s">
        <v>414</v>
      </c>
      <c r="AH867" s="19">
        <v>81.319958038839701</v>
      </c>
      <c r="AI867" s="19">
        <v>77.153109617669571</v>
      </c>
      <c r="AJ867" s="19">
        <v>88.061173157563474</v>
      </c>
      <c r="AK867" s="19">
        <v>98.779082053913385</v>
      </c>
      <c r="AL867" s="19">
        <v>102.27569432598651</v>
      </c>
      <c r="AM867" s="19">
        <v>104.953833174054</v>
      </c>
      <c r="AN867" s="19">
        <v>97.764484897511693</v>
      </c>
      <c r="AO867" s="19">
        <v>102.72479733532739</v>
      </c>
      <c r="AP867" s="19">
        <v>103.54499998950089</v>
      </c>
      <c r="AQ867" s="19">
        <v>103.5932125027018</v>
      </c>
      <c r="AR867" s="19">
        <v>101.9416840589933</v>
      </c>
      <c r="AS867" s="19">
        <v>103.69468147707219</v>
      </c>
      <c r="AT867" s="19">
        <v>104.01511714163679</v>
      </c>
      <c r="AU867" s="19">
        <v>105.1535107362925</v>
      </c>
      <c r="AV867" s="19">
        <v>106.2972191597455</v>
      </c>
      <c r="AW867" s="19">
        <v>107.5418819839249</v>
      </c>
      <c r="AX867" s="19">
        <v>108.7423919952376</v>
      </c>
      <c r="AY867" s="19">
        <v>109.964580561639</v>
      </c>
      <c r="AZ867" s="19">
        <v>111.137334802502</v>
      </c>
      <c r="BA867" s="19">
        <v>112.3510283744688</v>
      </c>
      <c r="BC867" s="17" t="s">
        <v>415</v>
      </c>
      <c r="BD867" s="19">
        <v>81.319958038839701</v>
      </c>
      <c r="BE867" s="19">
        <v>77.021599057567983</v>
      </c>
      <c r="BF867" s="19">
        <v>87.934420293265134</v>
      </c>
      <c r="BG867" s="19">
        <v>98.656920941788599</v>
      </c>
      <c r="BH867" s="19">
        <v>102.1537181633486</v>
      </c>
      <c r="BI867" s="19">
        <v>104.8290859959549</v>
      </c>
      <c r="BJ867" s="19">
        <v>102.3286897943353</v>
      </c>
      <c r="BK867" s="19">
        <v>96.669777967384832</v>
      </c>
      <c r="BL867" s="19">
        <v>94.241401665997174</v>
      </c>
      <c r="BM867" s="19">
        <v>93.289369838555274</v>
      </c>
      <c r="BN867" s="19">
        <v>88.84094958750353</v>
      </c>
      <c r="BO867" s="19">
        <v>87.546299847907207</v>
      </c>
      <c r="BP867" s="19">
        <v>84.031242220904943</v>
      </c>
      <c r="BQ867" s="19">
        <v>82.259394321025042</v>
      </c>
      <c r="BR867" s="19">
        <v>79.22156429738655</v>
      </c>
      <c r="BS867" s="19">
        <v>77.545950719298702</v>
      </c>
      <c r="BT867" s="19">
        <v>74.573167551754224</v>
      </c>
      <c r="BU867" s="19">
        <v>73.183689896508753</v>
      </c>
      <c r="BV867" s="19">
        <v>70.011079486949697</v>
      </c>
      <c r="BW867" s="19">
        <v>69.208218074718943</v>
      </c>
      <c r="BY867" s="17" t="s">
        <v>416</v>
      </c>
      <c r="BZ867" s="19">
        <v>81.319958038839701</v>
      </c>
      <c r="CA867" s="19">
        <v>76.892767875783122</v>
      </c>
      <c r="CB867" s="19">
        <v>87.810091957257356</v>
      </c>
      <c r="CC867" s="19">
        <v>98.536941574623299</v>
      </c>
      <c r="CD867" s="19">
        <v>102.03358683378541</v>
      </c>
      <c r="CE867" s="19">
        <v>104.70593565546331</v>
      </c>
      <c r="CF867" s="19">
        <v>107.5380287115628</v>
      </c>
      <c r="CG867" s="19">
        <v>110.5953658861139</v>
      </c>
      <c r="CH867" s="19">
        <v>112.3232840691918</v>
      </c>
      <c r="CI867" s="19">
        <v>109.86598516013819</v>
      </c>
      <c r="CJ867" s="19">
        <v>105.8142503171125</v>
      </c>
      <c r="CK867" s="19">
        <v>105.835203844253</v>
      </c>
      <c r="CL867" s="19">
        <v>101.444212184893</v>
      </c>
      <c r="CM867" s="19">
        <v>98.306384502469939</v>
      </c>
      <c r="CN867" s="19">
        <v>95.459468498731425</v>
      </c>
      <c r="CO867" s="19">
        <v>91.975388848047743</v>
      </c>
      <c r="CP867" s="19">
        <v>89.015499364509139</v>
      </c>
      <c r="CQ867" s="19">
        <v>86.262123302211776</v>
      </c>
      <c r="CR867" s="19">
        <v>83.335227028885726</v>
      </c>
      <c r="CS867" s="19">
        <v>80.810527908489519</v>
      </c>
      <c r="CU867" s="17" t="s">
        <v>417</v>
      </c>
      <c r="CV867" s="19">
        <v>81.319958038839701</v>
      </c>
      <c r="CW867" s="19">
        <v>77.079098721451217</v>
      </c>
      <c r="CX867" s="19">
        <v>87.989838412383577</v>
      </c>
      <c r="CY867" s="19">
        <v>98.710330165924631</v>
      </c>
      <c r="CZ867" s="19">
        <v>102.2070056621294</v>
      </c>
      <c r="DA867" s="19">
        <v>104.88355195342869</v>
      </c>
      <c r="DB867" s="19">
        <v>86.5106231629657</v>
      </c>
      <c r="DC867" s="19">
        <v>91.459313279315396</v>
      </c>
      <c r="DD867" s="19">
        <v>90.038122403500353</v>
      </c>
      <c r="DE867" s="19">
        <v>94.021006601700037</v>
      </c>
      <c r="DF867" s="19">
        <v>89.698138843717373</v>
      </c>
      <c r="DG867" s="19">
        <v>89.910324505014387</v>
      </c>
      <c r="DH867" s="19">
        <v>86.965524854248969</v>
      </c>
      <c r="DI867" s="19">
        <v>85.834218371170778</v>
      </c>
      <c r="DJ867" s="19">
        <v>83.891911566000616</v>
      </c>
      <c r="DK867" s="19">
        <v>82.874714693692979</v>
      </c>
      <c r="DL867" s="19">
        <v>81.107663783308581</v>
      </c>
      <c r="DM867" s="19">
        <v>80.190448339998071</v>
      </c>
      <c r="DN867" s="19">
        <v>78.625522631811123</v>
      </c>
      <c r="DO867" s="19">
        <v>77.833003215246421</v>
      </c>
    </row>
    <row r="868" spans="1:230" x14ac:dyDescent="0.45">
      <c r="A868" s="16" t="s">
        <v>345</v>
      </c>
      <c r="B868" s="3" t="s">
        <v>89</v>
      </c>
      <c r="C868" s="16"/>
      <c r="H868" s="3" t="s">
        <v>347</v>
      </c>
      <c r="I868" s="3" t="s">
        <v>348</v>
      </c>
      <c r="K868" s="17" t="s">
        <v>349</v>
      </c>
      <c r="L868" s="19">
        <v>211.05353640000001</v>
      </c>
      <c r="M868" s="19">
        <v>207.04102830294221</v>
      </c>
      <c r="N868" s="19">
        <v>242.71474311576381</v>
      </c>
      <c r="O868" s="19">
        <v>257.68997748983497</v>
      </c>
      <c r="P868" s="19">
        <v>264.57773753673689</v>
      </c>
      <c r="Q868" s="19">
        <v>271.55231492051871</v>
      </c>
      <c r="R868" s="19">
        <v>279.61463350408837</v>
      </c>
      <c r="S868" s="19">
        <v>287.62218124538617</v>
      </c>
      <c r="T868" s="19">
        <v>294.15935922164368</v>
      </c>
      <c r="U868" s="19">
        <v>297.48408684570808</v>
      </c>
      <c r="V868" s="19">
        <v>300.43720378961552</v>
      </c>
      <c r="W868" s="19">
        <v>306.34351053084748</v>
      </c>
      <c r="X868" s="19">
        <v>311.68393210140539</v>
      </c>
      <c r="Y868" s="19">
        <v>317.52871593879098</v>
      </c>
      <c r="Z868" s="19">
        <v>323.42567658890391</v>
      </c>
      <c r="AA868" s="19">
        <v>329.42969215015819</v>
      </c>
      <c r="AB868" s="19">
        <v>335.52508070341258</v>
      </c>
      <c r="AC868" s="19">
        <v>341.7133561710508</v>
      </c>
      <c r="AD868" s="19">
        <v>348.00495779395749</v>
      </c>
      <c r="AE868" s="19">
        <v>354.40262232420667</v>
      </c>
      <c r="AG868" s="17" t="s">
        <v>350</v>
      </c>
      <c r="AH868" s="19">
        <v>211.05353640000001</v>
      </c>
      <c r="AI868" s="19">
        <v>206.98760399179039</v>
      </c>
      <c r="AJ868" s="19">
        <v>242.66324823627789</v>
      </c>
      <c r="AK868" s="19">
        <v>257.64034486118982</v>
      </c>
      <c r="AL868" s="19">
        <v>264.52808195659583</v>
      </c>
      <c r="AM868" s="19">
        <v>248.50895853227971</v>
      </c>
      <c r="AN868" s="19">
        <v>245.8389413846545</v>
      </c>
      <c r="AO868" s="19">
        <v>255.18012253591391</v>
      </c>
      <c r="AP868" s="19">
        <v>259.89699142201619</v>
      </c>
      <c r="AQ868" s="19">
        <v>264.03258022036431</v>
      </c>
      <c r="AR868" s="19">
        <v>266.41116283973389</v>
      </c>
      <c r="AS868" s="19">
        <v>272.37444608891138</v>
      </c>
      <c r="AT868" s="19">
        <v>277.01861466642379</v>
      </c>
      <c r="AU868" s="19">
        <v>282.49852349518648</v>
      </c>
      <c r="AV868" s="19">
        <v>288.05975792980138</v>
      </c>
      <c r="AW868" s="19">
        <v>293.83681659393051</v>
      </c>
      <c r="AX868" s="19">
        <v>299.55370548296128</v>
      </c>
      <c r="AY868" s="19">
        <v>305.30261819864143</v>
      </c>
      <c r="AZ868" s="19">
        <v>310.9631779607115</v>
      </c>
      <c r="BA868" s="19">
        <v>316.68102204919029</v>
      </c>
      <c r="BC868" s="17" t="s">
        <v>351</v>
      </c>
      <c r="BD868" s="19">
        <v>211.05353640000001</v>
      </c>
      <c r="BE868" s="19">
        <v>206.85609343168881</v>
      </c>
      <c r="BF868" s="19">
        <v>242.53649537197961</v>
      </c>
      <c r="BG868" s="19">
        <v>257.51818374906497</v>
      </c>
      <c r="BH868" s="19">
        <v>264.40610579395792</v>
      </c>
      <c r="BI868" s="19">
        <v>256.511647265009</v>
      </c>
      <c r="BJ868" s="19">
        <v>243.24367863414051</v>
      </c>
      <c r="BK868" s="19">
        <v>229.39518523804171</v>
      </c>
      <c r="BL868" s="19">
        <v>220.28322414594101</v>
      </c>
      <c r="BM868" s="19">
        <v>215.21492403928411</v>
      </c>
      <c r="BN868" s="19">
        <v>207.32838465195391</v>
      </c>
      <c r="BO868" s="19">
        <v>203.19027482156659</v>
      </c>
      <c r="BP868" s="19">
        <v>197.33803146051781</v>
      </c>
      <c r="BQ868" s="19">
        <v>193.627236833236</v>
      </c>
      <c r="BR868" s="19">
        <v>188.9813407358086</v>
      </c>
      <c r="BS868" s="19">
        <v>185.9934460035681</v>
      </c>
      <c r="BT868" s="19">
        <v>181.9407095740375</v>
      </c>
      <c r="BU868" s="19">
        <v>179.6578176908038</v>
      </c>
      <c r="BV868" s="19">
        <v>175.72158349541999</v>
      </c>
      <c r="BW868" s="19">
        <v>174.25869525754109</v>
      </c>
      <c r="BY868" s="17" t="s">
        <v>352</v>
      </c>
      <c r="BZ868" s="19">
        <v>211.05353640000001</v>
      </c>
      <c r="CA868" s="19">
        <v>206.7272622499039</v>
      </c>
      <c r="CB868" s="19">
        <v>242.41216703597181</v>
      </c>
      <c r="CC868" s="19">
        <v>257.39820438189957</v>
      </c>
      <c r="CD868" s="19">
        <v>264.28597446439471</v>
      </c>
      <c r="CE868" s="19">
        <v>244.9890036472554</v>
      </c>
      <c r="CF868" s="19">
        <v>251.83345797676989</v>
      </c>
      <c r="CG868" s="19">
        <v>258.77434742832821</v>
      </c>
      <c r="CH868" s="19">
        <v>263.94460502233051</v>
      </c>
      <c r="CI868" s="19">
        <v>265.14983333921731</v>
      </c>
      <c r="CJ868" s="19">
        <v>264.68423589173591</v>
      </c>
      <c r="CK868" s="19">
        <v>268.48302628516291</v>
      </c>
      <c r="CL868" s="19">
        <v>267.93010833306431</v>
      </c>
      <c r="CM868" s="19">
        <v>268.65853005369621</v>
      </c>
      <c r="CN868" s="19">
        <v>269.88922021715217</v>
      </c>
      <c r="CO868" s="19">
        <v>270.56974833537078</v>
      </c>
      <c r="CP868" s="19">
        <v>271.75789572051087</v>
      </c>
      <c r="CQ868" s="19">
        <v>273.17764569827648</v>
      </c>
      <c r="CR868" s="19">
        <v>274.39707925412188</v>
      </c>
      <c r="CS868" s="19">
        <v>276.05871740837449</v>
      </c>
      <c r="CU868" s="17" t="s">
        <v>353</v>
      </c>
      <c r="CV868" s="19">
        <v>211.05353640000001</v>
      </c>
      <c r="CW868" s="19">
        <v>206.913593095572</v>
      </c>
      <c r="CX868" s="19">
        <v>242.59191349109801</v>
      </c>
      <c r="CY868" s="19">
        <v>257.57159297320089</v>
      </c>
      <c r="CZ868" s="19">
        <v>264.45939329273858</v>
      </c>
      <c r="DA868" s="19">
        <v>226.16316752596961</v>
      </c>
      <c r="DB868" s="19">
        <v>211.61098715110819</v>
      </c>
      <c r="DC868" s="19">
        <v>220.31939479863331</v>
      </c>
      <c r="DD868" s="19">
        <v>222.05405130772681</v>
      </c>
      <c r="DE868" s="19">
        <v>229.52180441626049</v>
      </c>
      <c r="DF868" s="19">
        <v>228.54136312776311</v>
      </c>
      <c r="DG868" s="19">
        <v>232.39383558900909</v>
      </c>
      <c r="DH868" s="19">
        <v>233.2313114959745</v>
      </c>
      <c r="DI868" s="19">
        <v>235.87704785807699</v>
      </c>
      <c r="DJ868" s="19">
        <v>237.80395800274749</v>
      </c>
      <c r="DK868" s="19">
        <v>240.82192639814451</v>
      </c>
      <c r="DL868" s="19">
        <v>243.01640633613141</v>
      </c>
      <c r="DM868" s="19">
        <v>246.0466416484756</v>
      </c>
      <c r="DN868" s="19">
        <v>248.32062498733939</v>
      </c>
      <c r="DO868" s="19">
        <v>251.36393501958679</v>
      </c>
    </row>
    <row r="869" spans="1:230" x14ac:dyDescent="0.45">
      <c r="A869" s="11"/>
      <c r="B869" s="3" t="s">
        <v>89</v>
      </c>
      <c r="C869" s="16"/>
      <c r="H869" s="11" t="s">
        <v>4676</v>
      </c>
      <c r="I869" s="11"/>
    </row>
    <row r="870" spans="1:230" x14ac:dyDescent="0.45">
      <c r="A870" s="16" t="s">
        <v>2722</v>
      </c>
      <c r="B870" s="3" t="s">
        <v>89</v>
      </c>
      <c r="C870" s="16"/>
      <c r="H870" s="3" t="s">
        <v>2724</v>
      </c>
      <c r="I870" s="3" t="s">
        <v>2725</v>
      </c>
      <c r="K870" s="17" t="s">
        <v>2726</v>
      </c>
      <c r="L870" s="20">
        <v>24192.484884399881</v>
      </c>
      <c r="M870" s="20">
        <v>23573.901564728279</v>
      </c>
      <c r="N870" s="20">
        <v>26717.986434678049</v>
      </c>
      <c r="O870" s="20">
        <v>30251.40341301123</v>
      </c>
      <c r="P870" s="20">
        <v>31717.865066752569</v>
      </c>
      <c r="Q870" s="20">
        <v>32965.922250881478</v>
      </c>
      <c r="R870" s="20">
        <v>34278.232342247429</v>
      </c>
      <c r="S870" s="20">
        <v>35661.743863061558</v>
      </c>
      <c r="T870" s="20">
        <v>36740.92385438177</v>
      </c>
      <c r="U870" s="20">
        <v>37863.937855073287</v>
      </c>
      <c r="V870" s="20">
        <v>38972.248517430147</v>
      </c>
      <c r="W870" s="20">
        <v>40913.623165403587</v>
      </c>
      <c r="X870" s="20">
        <v>42886.679329757462</v>
      </c>
      <c r="Y870" s="20">
        <v>44961.674882251711</v>
      </c>
      <c r="Z870" s="20">
        <v>47090.46178101845</v>
      </c>
      <c r="AA870" s="20">
        <v>49273.840720568383</v>
      </c>
      <c r="AB870" s="20">
        <v>51510.801851748249</v>
      </c>
      <c r="AC870" s="20">
        <v>53802.096513605124</v>
      </c>
      <c r="AD870" s="20">
        <v>56150.510710655501</v>
      </c>
      <c r="AE870" s="20">
        <v>58557.473172250036</v>
      </c>
      <c r="AG870" s="17" t="s">
        <v>2727</v>
      </c>
      <c r="AH870" s="20">
        <v>24192.484884399881</v>
      </c>
      <c r="AI870" s="20">
        <v>23573.901564728279</v>
      </c>
      <c r="AJ870" s="20">
        <v>26717.986434678049</v>
      </c>
      <c r="AK870" s="20">
        <v>30251.40341301123</v>
      </c>
      <c r="AL870" s="20">
        <v>31717.3399316914</v>
      </c>
      <c r="AM870" s="20">
        <v>32964.548965223548</v>
      </c>
      <c r="AN870" s="20">
        <v>31384.93060647518</v>
      </c>
      <c r="AO870" s="20">
        <v>32730.118463515821</v>
      </c>
      <c r="AP870" s="20">
        <v>33467.475740331764</v>
      </c>
      <c r="AQ870" s="20">
        <v>34953.584023673982</v>
      </c>
      <c r="AR870" s="20">
        <v>36107.167188701133</v>
      </c>
      <c r="AS870" s="20">
        <v>38040.649680135954</v>
      </c>
      <c r="AT870" s="20">
        <v>39968.481150810992</v>
      </c>
      <c r="AU870" s="20">
        <v>42006.628512023177</v>
      </c>
      <c r="AV870" s="20">
        <v>44107.286414970571</v>
      </c>
      <c r="AW870" s="20">
        <v>46278.553384883053</v>
      </c>
      <c r="AX870" s="20">
        <v>48483.760094194702</v>
      </c>
      <c r="AY870" s="20">
        <v>50733.20375268651</v>
      </c>
      <c r="AZ870" s="20">
        <v>53010.072879308813</v>
      </c>
      <c r="BA870" s="20">
        <v>55335.082982056563</v>
      </c>
      <c r="BC870" s="17" t="s">
        <v>2728</v>
      </c>
      <c r="BD870" s="20">
        <v>24192.484884399881</v>
      </c>
      <c r="BE870" s="20">
        <v>23573.901564728279</v>
      </c>
      <c r="BF870" s="20">
        <v>26717.986434678049</v>
      </c>
      <c r="BG870" s="20">
        <v>30251.40341301123</v>
      </c>
      <c r="BH870" s="20">
        <v>31716.114857555549</v>
      </c>
      <c r="BI870" s="20">
        <v>32961.290455631162</v>
      </c>
      <c r="BJ870" s="20">
        <v>32732.974724130701</v>
      </c>
      <c r="BK870" s="20">
        <v>32283.814784415459</v>
      </c>
      <c r="BL870" s="20">
        <v>31782.216351621119</v>
      </c>
      <c r="BM870" s="20">
        <v>31796.40445409017</v>
      </c>
      <c r="BN870" s="20">
        <v>31789.367186674281</v>
      </c>
      <c r="BO870" s="20">
        <v>32153.8344841861</v>
      </c>
      <c r="BP870" s="20">
        <v>32588.64560420554</v>
      </c>
      <c r="BQ870" s="20">
        <v>33287.491826382051</v>
      </c>
      <c r="BR870" s="20">
        <v>34050.256107363231</v>
      </c>
      <c r="BS870" s="20">
        <v>35054.642068321482</v>
      </c>
      <c r="BT870" s="20">
        <v>36085.024071191299</v>
      </c>
      <c r="BU870" s="20">
        <v>37365.071815351781</v>
      </c>
      <c r="BV870" s="20">
        <v>38592.652393996759</v>
      </c>
      <c r="BW870" s="20">
        <v>40126.892221557253</v>
      </c>
      <c r="BY870" s="17" t="s">
        <v>2729</v>
      </c>
      <c r="BZ870" s="20">
        <v>24192.484884399881</v>
      </c>
      <c r="CA870" s="20">
        <v>23573.901564728279</v>
      </c>
      <c r="CB870" s="20">
        <v>26717.986434678049</v>
      </c>
      <c r="CC870" s="20">
        <v>30251.40341301123</v>
      </c>
      <c r="CD870" s="20">
        <v>31714.859364795961</v>
      </c>
      <c r="CE870" s="20">
        <v>32957.993694467114</v>
      </c>
      <c r="CF870" s="20">
        <v>34266.665063680754</v>
      </c>
      <c r="CG870" s="20">
        <v>35661.913315853883</v>
      </c>
      <c r="CH870" s="20">
        <v>36697.592418706947</v>
      </c>
      <c r="CI870" s="20">
        <v>37834.720495694273</v>
      </c>
      <c r="CJ870" s="20">
        <v>38915.809758544739</v>
      </c>
      <c r="CK870" s="20">
        <v>40917.629188476298</v>
      </c>
      <c r="CL870" s="20">
        <v>42975.090315440357</v>
      </c>
      <c r="CM870" s="20">
        <v>45118.084113866753</v>
      </c>
      <c r="CN870" s="20">
        <v>47433.403366443948</v>
      </c>
      <c r="CO870" s="20">
        <v>49803.627150380147</v>
      </c>
      <c r="CP870" s="20">
        <v>52222.163080823419</v>
      </c>
      <c r="CQ870" s="20">
        <v>54714.231077921359</v>
      </c>
      <c r="CR870" s="20">
        <v>57231.200070424988</v>
      </c>
      <c r="CS870" s="20">
        <v>59810.415669876267</v>
      </c>
      <c r="CU870" s="17" t="s">
        <v>2730</v>
      </c>
      <c r="CV870" s="20">
        <v>24192.484884399881</v>
      </c>
      <c r="CW870" s="20">
        <v>23573.901564728279</v>
      </c>
      <c r="CX870" s="20">
        <v>26717.986434678049</v>
      </c>
      <c r="CY870" s="20">
        <v>30251.40341301123</v>
      </c>
      <c r="CZ870" s="20">
        <v>31716.639043647421</v>
      </c>
      <c r="DA870" s="20">
        <v>32962.694477627207</v>
      </c>
      <c r="DB870" s="20">
        <v>28156.583079565389</v>
      </c>
      <c r="DC870" s="20">
        <v>29497.778140892631</v>
      </c>
      <c r="DD870" s="20">
        <v>29939.764750505012</v>
      </c>
      <c r="DE870" s="20">
        <v>31380.733633988919</v>
      </c>
      <c r="DF870" s="20">
        <v>32745.59102499548</v>
      </c>
      <c r="DG870" s="20">
        <v>34651.625648862981</v>
      </c>
      <c r="DH870" s="20">
        <v>36673.574038371808</v>
      </c>
      <c r="DI870" s="20">
        <v>38921.911658173267</v>
      </c>
      <c r="DJ870" s="20">
        <v>41233.300459455517</v>
      </c>
      <c r="DK870" s="20">
        <v>43694.972637653147</v>
      </c>
      <c r="DL870" s="20">
        <v>46152.34583588846</v>
      </c>
      <c r="DM870" s="20">
        <v>48690.432452004738</v>
      </c>
      <c r="DN870" s="20">
        <v>51192.677683446163</v>
      </c>
      <c r="DO870" s="20">
        <v>53765.663292816811</v>
      </c>
    </row>
    <row r="871" spans="1:230" x14ac:dyDescent="0.45">
      <c r="A871" s="11"/>
      <c r="B871" s="3" t="s">
        <v>89</v>
      </c>
      <c r="C871" s="16"/>
      <c r="H871" s="11" t="s">
        <v>4677</v>
      </c>
      <c r="I871" s="11"/>
    </row>
    <row r="872" spans="1:230" x14ac:dyDescent="0.45">
      <c r="A872" s="16" t="s">
        <v>4678</v>
      </c>
      <c r="B872" s="3" t="s">
        <v>89</v>
      </c>
      <c r="C872" s="16"/>
      <c r="H872" s="3" t="s">
        <v>4679</v>
      </c>
      <c r="I872" s="3" t="s">
        <v>175</v>
      </c>
      <c r="K872" s="17" t="s">
        <v>4680</v>
      </c>
      <c r="L872" s="22">
        <v>5.0480918562033447E-2</v>
      </c>
      <c r="M872" s="22">
        <v>7.3382533596806798E-2</v>
      </c>
      <c r="N872" s="22">
        <v>6.2391643354338423E-2</v>
      </c>
      <c r="O872" s="22">
        <v>8.4103959305542708E-2</v>
      </c>
      <c r="P872" s="22">
        <v>0.10920499728946741</v>
      </c>
      <c r="Q872" s="22">
        <v>0.13436797968374289</v>
      </c>
      <c r="R872" s="22">
        <v>0.15887972198764061</v>
      </c>
      <c r="S872" s="22">
        <v>0.18277619812250651</v>
      </c>
      <c r="T872" s="22">
        <v>0.2082313921075592</v>
      </c>
      <c r="U872" s="22">
        <v>0.23188566128295859</v>
      </c>
      <c r="V872" s="22">
        <v>0.25589381480125611</v>
      </c>
      <c r="W872" s="22">
        <v>0.2729775452101032</v>
      </c>
      <c r="X872" s="22">
        <v>0.288298347334771</v>
      </c>
      <c r="Y872" s="22">
        <v>0.30313872521471952</v>
      </c>
      <c r="Z872" s="22">
        <v>0.31702656808191831</v>
      </c>
      <c r="AA872" s="22">
        <v>0.33015482273548119</v>
      </c>
      <c r="AB872" s="22">
        <v>0.34255755890319428</v>
      </c>
      <c r="AC872" s="22">
        <v>0.35429853904999747</v>
      </c>
      <c r="AD872" s="22">
        <v>0.36541852898110061</v>
      </c>
      <c r="AE872" s="22">
        <v>0.37596341439845171</v>
      </c>
      <c r="AG872" s="17" t="s">
        <v>4681</v>
      </c>
      <c r="AH872" s="22">
        <v>5.0480918562033447E-2</v>
      </c>
      <c r="AI872" s="22">
        <v>7.4009279559525978E-2</v>
      </c>
      <c r="AJ872" s="22">
        <v>6.2924485159776042E-2</v>
      </c>
      <c r="AK872" s="22">
        <v>8.4557356588977617E-2</v>
      </c>
      <c r="AL872" s="22">
        <v>0.1096233738900544</v>
      </c>
      <c r="AM872" s="22">
        <v>0.13475960932669731</v>
      </c>
      <c r="AN872" s="22">
        <v>0.17391690521629069</v>
      </c>
      <c r="AO872" s="22">
        <v>0.16067130604583979</v>
      </c>
      <c r="AP872" s="22">
        <v>0.18817160959036719</v>
      </c>
      <c r="AQ872" s="22">
        <v>0.2115693297847622</v>
      </c>
      <c r="AR872" s="22">
        <v>0.23523015117700349</v>
      </c>
      <c r="AS872" s="22">
        <v>0.25139896108589432</v>
      </c>
      <c r="AT872" s="22">
        <v>0.26784151072256568</v>
      </c>
      <c r="AU872" s="22">
        <v>0.28367974501802318</v>
      </c>
      <c r="AV872" s="22">
        <v>0.29836293728442609</v>
      </c>
      <c r="AW872" s="22">
        <v>0.31211490455552232</v>
      </c>
      <c r="AX872" s="22">
        <v>0.32522376722343921</v>
      </c>
      <c r="AY872" s="22">
        <v>0.33771273921529432</v>
      </c>
      <c r="AZ872" s="22">
        <v>0.34970712736067922</v>
      </c>
      <c r="BA872" s="22">
        <v>0.36112909711960689</v>
      </c>
      <c r="BC872" s="17" t="s">
        <v>4682</v>
      </c>
      <c r="BD872" s="22">
        <v>5.0480918562033447E-2</v>
      </c>
      <c r="BE872" s="22">
        <v>7.556478326050306E-2</v>
      </c>
      <c r="BF872" s="22">
        <v>6.4246930695440171E-2</v>
      </c>
      <c r="BG872" s="22">
        <v>8.5682632797446479E-2</v>
      </c>
      <c r="BH872" s="22">
        <v>0.11066152356880921</v>
      </c>
      <c r="BI872" s="22">
        <v>0.13573111869460591</v>
      </c>
      <c r="BJ872" s="22">
        <v>0.16768361047814401</v>
      </c>
      <c r="BK872" s="22">
        <v>0.20317290772497509</v>
      </c>
      <c r="BL872" s="22">
        <v>0.20915786924954291</v>
      </c>
      <c r="BM872" s="22">
        <v>0.21274487858983249</v>
      </c>
      <c r="BN872" s="22">
        <v>0.24307544935752329</v>
      </c>
      <c r="BO872" s="22">
        <v>0.25577886985585768</v>
      </c>
      <c r="BP872" s="22">
        <v>0.28212445077840959</v>
      </c>
      <c r="BQ872" s="22">
        <v>0.30306002539355498</v>
      </c>
      <c r="BR872" s="22">
        <v>0.32420854409467598</v>
      </c>
      <c r="BS872" s="22">
        <v>0.34217354941973971</v>
      </c>
      <c r="BT872" s="22">
        <v>0.3588306683446284</v>
      </c>
      <c r="BU872" s="22">
        <v>0.37247458183555171</v>
      </c>
      <c r="BV872" s="22">
        <v>0.38591655451855728</v>
      </c>
      <c r="BW872" s="22">
        <v>0.39613560571907502</v>
      </c>
      <c r="BY872" s="17" t="s">
        <v>4683</v>
      </c>
      <c r="BZ872" s="22">
        <v>5.0480918562033447E-2</v>
      </c>
      <c r="CA872" s="22">
        <v>7.7079224080130515E-2</v>
      </c>
      <c r="CB872" s="22">
        <v>6.5536105515226817E-2</v>
      </c>
      <c r="CC872" s="22">
        <v>8.6781050344266419E-2</v>
      </c>
      <c r="CD872" s="22">
        <v>0.1116765735655461</v>
      </c>
      <c r="CE872" s="22">
        <v>0.13668274697619159</v>
      </c>
      <c r="CF872" s="22">
        <v>0.161048637025275</v>
      </c>
      <c r="CG872" s="22">
        <v>0.18473345304964739</v>
      </c>
      <c r="CH872" s="22">
        <v>0.21031011705750249</v>
      </c>
      <c r="CI872" s="22">
        <v>0.23559776283737421</v>
      </c>
      <c r="CJ872" s="22">
        <v>0.25948923314692002</v>
      </c>
      <c r="CK872" s="22">
        <v>0.27589775661489269</v>
      </c>
      <c r="CL872" s="22">
        <v>0.29033507325412811</v>
      </c>
      <c r="CM872" s="22">
        <v>0.30456930643941371</v>
      </c>
      <c r="CN872" s="22">
        <v>0.31716625007457572</v>
      </c>
      <c r="CO872" s="22">
        <v>0.32906418122220249</v>
      </c>
      <c r="CP872" s="22">
        <v>0.34053969779077592</v>
      </c>
      <c r="CQ872" s="22">
        <v>0.35136777524339807</v>
      </c>
      <c r="CR872" s="22">
        <v>0.36189793536332049</v>
      </c>
      <c r="CS872" s="22">
        <v>0.37196199002508579</v>
      </c>
      <c r="CU872" s="17" t="s">
        <v>4684</v>
      </c>
      <c r="CV872" s="22">
        <v>5.0480918562033447E-2</v>
      </c>
      <c r="CW872" s="22">
        <v>7.4882559497316967E-2</v>
      </c>
      <c r="CX872" s="22">
        <v>6.3666923223016467E-2</v>
      </c>
      <c r="CY872" s="22">
        <v>8.5189100927821962E-2</v>
      </c>
      <c r="CZ872" s="22">
        <v>0.1102062393871357</v>
      </c>
      <c r="DA872" s="22">
        <v>0.13530510502031501</v>
      </c>
      <c r="DB872" s="22">
        <v>0.19446409239977119</v>
      </c>
      <c r="DC872" s="22">
        <v>0.1788353018599653</v>
      </c>
      <c r="DD872" s="22">
        <v>0.20099646728761281</v>
      </c>
      <c r="DE872" s="22">
        <v>0.19574076057638209</v>
      </c>
      <c r="DF872" s="22">
        <v>0.21783118396535889</v>
      </c>
      <c r="DG872" s="22">
        <v>0.23627698478147699</v>
      </c>
      <c r="DH872" s="22">
        <v>0.25234278039218949</v>
      </c>
      <c r="DI872" s="22">
        <v>0.26674309351627512</v>
      </c>
      <c r="DJ872" s="22">
        <v>0.28022301753427442</v>
      </c>
      <c r="DK872" s="22">
        <v>0.29256871157915459</v>
      </c>
      <c r="DL872" s="22">
        <v>0.30470892476549188</v>
      </c>
      <c r="DM872" s="22">
        <v>0.31629125466812807</v>
      </c>
      <c r="DN872" s="22">
        <v>0.32790914847333918</v>
      </c>
      <c r="DO872" s="22">
        <v>0.33900545390222359</v>
      </c>
    </row>
    <row r="873" spans="1:230" x14ac:dyDescent="0.45">
      <c r="A873" s="16" t="s">
        <v>4685</v>
      </c>
      <c r="B873" s="3" t="s">
        <v>89</v>
      </c>
      <c r="C873" s="16"/>
      <c r="H873" s="3" t="s">
        <v>4686</v>
      </c>
      <c r="I873" s="3" t="s">
        <v>4687</v>
      </c>
      <c r="K873" s="17" t="s">
        <v>4688</v>
      </c>
      <c r="L873" s="25">
        <v>0.38371834382049402</v>
      </c>
      <c r="M873" s="25">
        <v>0.37386816290097602</v>
      </c>
      <c r="N873" s="25">
        <v>0.37647012708511479</v>
      </c>
      <c r="O873" s="25">
        <v>0.37293531776221578</v>
      </c>
      <c r="P873" s="25">
        <v>0.36827749888265721</v>
      </c>
      <c r="Q873" s="25">
        <v>0.36361297854402191</v>
      </c>
      <c r="R873" s="25">
        <v>0.35913360454911258</v>
      </c>
      <c r="S873" s="25">
        <v>0.35482725562879402</v>
      </c>
      <c r="T873" s="25">
        <v>0.35021409987134461</v>
      </c>
      <c r="U873" s="25">
        <v>0.3356613102865329</v>
      </c>
      <c r="V873" s="25">
        <v>0.3209212475050825</v>
      </c>
      <c r="W873" s="25">
        <v>0.3088327382696669</v>
      </c>
      <c r="X873" s="25">
        <v>0.29597039697620509</v>
      </c>
      <c r="Y873" s="25">
        <v>0.28474211424488488</v>
      </c>
      <c r="Z873" s="25">
        <v>0.27419260923907879</v>
      </c>
      <c r="AA873" s="25">
        <v>0.26439390916624278</v>
      </c>
      <c r="AB873" s="25">
        <v>0.25525451527059478</v>
      </c>
      <c r="AC873" s="25">
        <v>0.2467217907874788</v>
      </c>
      <c r="AD873" s="25">
        <v>0.2387581060340849</v>
      </c>
      <c r="AE873" s="25">
        <v>0.2313204547752099</v>
      </c>
      <c r="AG873" s="17" t="s">
        <v>4689</v>
      </c>
      <c r="AH873" s="25">
        <v>0.38371834382049402</v>
      </c>
      <c r="AI873" s="25">
        <v>0.37360945877260521</v>
      </c>
      <c r="AJ873" s="25">
        <v>0.37625011009713599</v>
      </c>
      <c r="AK873" s="25">
        <v>0.37274802644516641</v>
      </c>
      <c r="AL873" s="25">
        <v>0.36810487880144982</v>
      </c>
      <c r="AM873" s="25">
        <v>0.3634519979900927</v>
      </c>
      <c r="AN873" s="25">
        <v>0.35559515699223571</v>
      </c>
      <c r="AO873" s="25">
        <v>0.35828086144420668</v>
      </c>
      <c r="AP873" s="25">
        <v>0.35318485236127201</v>
      </c>
      <c r="AQ873" s="25">
        <v>0.33832608357977301</v>
      </c>
      <c r="AR873" s="25">
        <v>0.3222955288829405</v>
      </c>
      <c r="AS873" s="25">
        <v>0.31117482234378507</v>
      </c>
      <c r="AT873" s="25">
        <v>0.29708088668714938</v>
      </c>
      <c r="AU873" s="25">
        <v>0.28576026812248589</v>
      </c>
      <c r="AV873" s="25">
        <v>0.27511068431339342</v>
      </c>
      <c r="AW873" s="25">
        <v>0.26527342901172613</v>
      </c>
      <c r="AX873" s="25">
        <v>0.25603449575347298</v>
      </c>
      <c r="AY873" s="25">
        <v>0.24743232010110641</v>
      </c>
      <c r="AZ873" s="25">
        <v>0.23933018153865709</v>
      </c>
      <c r="BA873" s="25">
        <v>0.2317780902986642</v>
      </c>
      <c r="BC873" s="17" t="s">
        <v>4690</v>
      </c>
      <c r="BD873" s="25">
        <v>0.38371834382049402</v>
      </c>
      <c r="BE873" s="25">
        <v>0.37297262651236418</v>
      </c>
      <c r="BF873" s="25">
        <v>0.37570854589310188</v>
      </c>
      <c r="BG873" s="25">
        <v>0.37228704510674893</v>
      </c>
      <c r="BH873" s="25">
        <v>0.36768007066295533</v>
      </c>
      <c r="BI873" s="25">
        <v>0.36305588990564569</v>
      </c>
      <c r="BJ873" s="25">
        <v>0.3568681850918638</v>
      </c>
      <c r="BK873" s="25">
        <v>0.34182338287333047</v>
      </c>
      <c r="BL873" s="25">
        <v>0.33849592980211057</v>
      </c>
      <c r="BM873" s="25">
        <v>0.33492690842242512</v>
      </c>
      <c r="BN873" s="25">
        <v>0.31902682592771869</v>
      </c>
      <c r="BO873" s="25">
        <v>0.31081424676010849</v>
      </c>
      <c r="BP873" s="25">
        <v>0.29435428756284732</v>
      </c>
      <c r="BQ873" s="25">
        <v>0.28209820873395708</v>
      </c>
      <c r="BR873" s="25">
        <v>0.26559440668169237</v>
      </c>
      <c r="BS873" s="25">
        <v>0.25252796654203208</v>
      </c>
      <c r="BT873" s="25">
        <v>0.2359127890145408</v>
      </c>
      <c r="BU873" s="25">
        <v>0.22358588097692389</v>
      </c>
      <c r="BV873" s="25">
        <v>0.20708948117717729</v>
      </c>
      <c r="BW873" s="25">
        <v>0.19688745073396241</v>
      </c>
      <c r="BY873" s="17" t="s">
        <v>4691</v>
      </c>
      <c r="BZ873" s="25">
        <v>0.38371834382049402</v>
      </c>
      <c r="CA873" s="25">
        <v>0.37234876898622948</v>
      </c>
      <c r="CB873" s="25">
        <v>0.37517734072703612</v>
      </c>
      <c r="CC873" s="25">
        <v>0.37183429669691259</v>
      </c>
      <c r="CD873" s="25">
        <v>0.36726222228856198</v>
      </c>
      <c r="CE873" s="25">
        <v>0.36266565530556671</v>
      </c>
      <c r="CF873" s="25">
        <v>0.35824993917623182</v>
      </c>
      <c r="CG873" s="25">
        <v>0.35402031450198801</v>
      </c>
      <c r="CH873" s="25">
        <v>0.34940419403171108</v>
      </c>
      <c r="CI873" s="25">
        <v>0.33148861584155098</v>
      </c>
      <c r="CJ873" s="25">
        <v>0.31039447448868351</v>
      </c>
      <c r="CK873" s="25">
        <v>0.29526745596151688</v>
      </c>
      <c r="CL873" s="25">
        <v>0.26946748532283432</v>
      </c>
      <c r="CM873" s="25">
        <v>0.2487293118071123</v>
      </c>
      <c r="CN873" s="25">
        <v>0.2297368273603759</v>
      </c>
      <c r="CO873" s="25">
        <v>0.21081744871890709</v>
      </c>
      <c r="CP873" s="25">
        <v>0.19458379519284411</v>
      </c>
      <c r="CQ873" s="25">
        <v>0.17997647331538921</v>
      </c>
      <c r="CR873" s="25">
        <v>0.1662232096953144</v>
      </c>
      <c r="CS873" s="25">
        <v>0.15423644870137959</v>
      </c>
      <c r="CU873" s="17" t="s">
        <v>4692</v>
      </c>
      <c r="CV873" s="25">
        <v>0.38371834382049402</v>
      </c>
      <c r="CW873" s="25">
        <v>0.37325106529998381</v>
      </c>
      <c r="CX873" s="25">
        <v>0.37594532531213593</v>
      </c>
      <c r="CY873" s="25">
        <v>0.37248858760417569</v>
      </c>
      <c r="CZ873" s="25">
        <v>0.36786578753600158</v>
      </c>
      <c r="DA873" s="25">
        <v>0.36322905040387932</v>
      </c>
      <c r="DB873" s="25">
        <v>0.35074006976179573</v>
      </c>
      <c r="DC873" s="25">
        <v>0.35394397594171589</v>
      </c>
      <c r="DD873" s="25">
        <v>0.34330010809827949</v>
      </c>
      <c r="DE873" s="25">
        <v>0.34202487890766131</v>
      </c>
      <c r="DF873" s="25">
        <v>0.31269899996058531</v>
      </c>
      <c r="DG873" s="25">
        <v>0.29619781126849343</v>
      </c>
      <c r="DH873" s="25">
        <v>0.27070094995394861</v>
      </c>
      <c r="DI873" s="25">
        <v>0.25174577345412252</v>
      </c>
      <c r="DJ873" s="25">
        <v>0.2322565044963702</v>
      </c>
      <c r="DK873" s="25">
        <v>0.21651424175491049</v>
      </c>
      <c r="DL873" s="25">
        <v>0.20061527883352831</v>
      </c>
      <c r="DM873" s="25">
        <v>0.18800738273231879</v>
      </c>
      <c r="DN873" s="25">
        <v>0.1753281267620149</v>
      </c>
      <c r="DO873" s="25">
        <v>0.16525502495427741</v>
      </c>
    </row>
    <row r="874" spans="1:230" x14ac:dyDescent="0.45">
      <c r="A874" s="11"/>
      <c r="B874" s="3" t="s">
        <v>89</v>
      </c>
      <c r="C874" s="16" t="s">
        <v>3835</v>
      </c>
      <c r="H874" s="11" t="s">
        <v>4693</v>
      </c>
      <c r="I874" s="11"/>
    </row>
    <row r="875" spans="1:230" x14ac:dyDescent="0.45">
      <c r="A875" s="11"/>
      <c r="B875" s="3" t="s">
        <v>89</v>
      </c>
      <c r="C875" s="16" t="s">
        <v>3843</v>
      </c>
      <c r="H875" s="11" t="s">
        <v>4694</v>
      </c>
      <c r="I875" s="11"/>
    </row>
    <row r="876" spans="1:230" x14ac:dyDescent="0.45">
      <c r="A876" s="11"/>
      <c r="B876" s="3" t="s">
        <v>89</v>
      </c>
      <c r="C876" s="16" t="s">
        <v>3827</v>
      </c>
      <c r="H876" s="11" t="s">
        <v>4695</v>
      </c>
      <c r="I876" s="11"/>
    </row>
    <row r="877" spans="1:230" ht="15.4" x14ac:dyDescent="0.45">
      <c r="A877" s="5"/>
      <c r="B877" s="15" t="s">
        <v>2360</v>
      </c>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row>
    <row r="878" spans="1:230" x14ac:dyDescent="0.45">
      <c r="A878" s="11"/>
      <c r="B878" s="3" t="s">
        <v>89</v>
      </c>
      <c r="C878" s="16" t="s">
        <v>4696</v>
      </c>
      <c r="H878" s="11" t="s">
        <v>4697</v>
      </c>
      <c r="I878" s="11"/>
    </row>
    <row r="879" spans="1:230" x14ac:dyDescent="0.45">
      <c r="A879" s="11"/>
      <c r="B879" s="3" t="s">
        <v>89</v>
      </c>
      <c r="C879" s="16" t="s">
        <v>4698</v>
      </c>
      <c r="H879" s="11" t="s">
        <v>4699</v>
      </c>
      <c r="I879" s="11"/>
    </row>
    <row r="880" spans="1:230" x14ac:dyDescent="0.45">
      <c r="A880" s="11"/>
      <c r="B880" s="3" t="s">
        <v>89</v>
      </c>
      <c r="C880" s="16" t="s">
        <v>4700</v>
      </c>
      <c r="H880" s="11" t="s">
        <v>4701</v>
      </c>
      <c r="I880" s="11"/>
    </row>
    <row r="881" spans="1:9" x14ac:dyDescent="0.45">
      <c r="A881" s="11"/>
      <c r="B881" s="3" t="s">
        <v>89</v>
      </c>
      <c r="C881" s="16" t="s">
        <v>4702</v>
      </c>
      <c r="H881" s="11" t="s">
        <v>4703</v>
      </c>
      <c r="I881" s="11"/>
    </row>
    <row r="882" spans="1:9" x14ac:dyDescent="0.45">
      <c r="A882" s="11"/>
      <c r="B882" s="3" t="s">
        <v>89</v>
      </c>
      <c r="C882" s="16" t="s">
        <v>4704</v>
      </c>
      <c r="H882" s="11" t="s">
        <v>4705</v>
      </c>
      <c r="I882" s="11"/>
    </row>
    <row r="883" spans="1:9" x14ac:dyDescent="0.45">
      <c r="A883" s="11"/>
      <c r="B883" s="3" t="s">
        <v>89</v>
      </c>
      <c r="C883" s="16" t="s">
        <v>4706</v>
      </c>
      <c r="H883" s="11" t="s">
        <v>4707</v>
      </c>
      <c r="I883" s="11"/>
    </row>
    <row r="884" spans="1:9" x14ac:dyDescent="0.45">
      <c r="A884" s="11"/>
      <c r="B884" s="3" t="s">
        <v>89</v>
      </c>
      <c r="C884" s="16" t="s">
        <v>4708</v>
      </c>
      <c r="H884" s="11" t="s">
        <v>4709</v>
      </c>
      <c r="I884" s="11"/>
    </row>
    <row r="885" spans="1:9" x14ac:dyDescent="0.45">
      <c r="A885" s="11"/>
      <c r="B885" s="3" t="s">
        <v>89</v>
      </c>
      <c r="C885" s="16" t="s">
        <v>4710</v>
      </c>
      <c r="H885" s="11" t="s">
        <v>4711</v>
      </c>
      <c r="I885" s="11"/>
    </row>
    <row r="886" spans="1:9" x14ac:dyDescent="0.45">
      <c r="A886" s="11"/>
      <c r="B886" s="3" t="s">
        <v>89</v>
      </c>
      <c r="C886" s="16" t="s">
        <v>4712</v>
      </c>
      <c r="H886" s="11" t="s">
        <v>4713</v>
      </c>
      <c r="I886" s="11"/>
    </row>
    <row r="887" spans="1:9" x14ac:dyDescent="0.45">
      <c r="A887" s="11"/>
      <c r="B887" s="3" t="s">
        <v>89</v>
      </c>
      <c r="C887" s="16" t="s">
        <v>4714</v>
      </c>
      <c r="H887" s="11" t="s">
        <v>4715</v>
      </c>
      <c r="I887" s="11"/>
    </row>
    <row r="888" spans="1:9" x14ac:dyDescent="0.45">
      <c r="A888" s="11"/>
      <c r="B888" s="3" t="s">
        <v>89</v>
      </c>
      <c r="C888" s="16" t="s">
        <v>4716</v>
      </c>
      <c r="H888" s="11" t="s">
        <v>4717</v>
      </c>
      <c r="I888" s="11"/>
    </row>
    <row r="889" spans="1:9" x14ac:dyDescent="0.45">
      <c r="A889" s="11"/>
      <c r="B889" s="3" t="s">
        <v>89</v>
      </c>
      <c r="C889" s="16" t="s">
        <v>4718</v>
      </c>
      <c r="H889" s="11" t="s">
        <v>4719</v>
      </c>
      <c r="I889" s="11"/>
    </row>
    <row r="890" spans="1:9" x14ac:dyDescent="0.45">
      <c r="A890" s="11"/>
      <c r="B890" s="3" t="s">
        <v>89</v>
      </c>
      <c r="C890" s="16" t="s">
        <v>4720</v>
      </c>
      <c r="H890" s="11" t="s">
        <v>4721</v>
      </c>
      <c r="I890" s="11"/>
    </row>
    <row r="891" spans="1:9" x14ac:dyDescent="0.45">
      <c r="A891" s="11"/>
      <c r="B891" s="3" t="s">
        <v>89</v>
      </c>
      <c r="C891" s="16" t="s">
        <v>4722</v>
      </c>
      <c r="H891" s="11" t="s">
        <v>4723</v>
      </c>
      <c r="I891" s="11"/>
    </row>
    <row r="892" spans="1:9" x14ac:dyDescent="0.45">
      <c r="A892" s="11"/>
      <c r="B892" s="3" t="s">
        <v>89</v>
      </c>
      <c r="C892" s="16" t="s">
        <v>4724</v>
      </c>
      <c r="H892" s="11" t="s">
        <v>4725</v>
      </c>
      <c r="I892" s="11"/>
    </row>
    <row r="893" spans="1:9" x14ac:dyDescent="0.45">
      <c r="A893" s="11"/>
      <c r="B893" s="3" t="s">
        <v>89</v>
      </c>
      <c r="C893" s="16" t="s">
        <v>4726</v>
      </c>
      <c r="H893" s="11" t="s">
        <v>4727</v>
      </c>
      <c r="I893" s="11"/>
    </row>
    <row r="894" spans="1:9" x14ac:dyDescent="0.45">
      <c r="A894" s="11"/>
      <c r="B894" s="3" t="s">
        <v>89</v>
      </c>
      <c r="C894" s="16" t="s">
        <v>4728</v>
      </c>
      <c r="H894" s="11" t="s">
        <v>4729</v>
      </c>
      <c r="I894" s="11"/>
    </row>
    <row r="895" spans="1:9" x14ac:dyDescent="0.45">
      <c r="A895" s="11"/>
      <c r="B895" s="3" t="s">
        <v>89</v>
      </c>
      <c r="C895" s="16" t="s">
        <v>4730</v>
      </c>
      <c r="H895" s="11" t="s">
        <v>4731</v>
      </c>
      <c r="I895" s="11"/>
    </row>
    <row r="896" spans="1:9" x14ac:dyDescent="0.45">
      <c r="A896" s="11"/>
      <c r="B896" s="3" t="s">
        <v>89</v>
      </c>
      <c r="C896" s="16" t="s">
        <v>4732</v>
      </c>
      <c r="H896" s="11" t="s">
        <v>4733</v>
      </c>
      <c r="I896" s="11"/>
    </row>
    <row r="897" spans="1:230" ht="15.4" x14ac:dyDescent="0.45">
      <c r="A897" s="5"/>
      <c r="B897" s="15" t="s">
        <v>4734</v>
      </c>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row>
    <row r="898" spans="1:230" x14ac:dyDescent="0.45">
      <c r="A898" s="16" t="s">
        <v>3783</v>
      </c>
      <c r="B898" s="3" t="s">
        <v>89</v>
      </c>
      <c r="C898" s="16" t="s">
        <v>4735</v>
      </c>
      <c r="H898" s="3" t="s">
        <v>3785</v>
      </c>
      <c r="I898" s="3" t="s">
        <v>2363</v>
      </c>
      <c r="K898" s="17" t="s">
        <v>3786</v>
      </c>
      <c r="L898" s="20">
        <v>14392.22063055141</v>
      </c>
      <c r="M898" s="20">
        <v>14024.22256596097</v>
      </c>
      <c r="N898" s="20">
        <v>15894.65312924199</v>
      </c>
      <c r="O898" s="20">
        <v>17996.6991561344</v>
      </c>
      <c r="P898" s="20">
        <v>18869.103944966089</v>
      </c>
      <c r="Q898" s="20">
        <v>19611.578909375829</v>
      </c>
      <c r="R898" s="20">
        <v>20392.278224096361</v>
      </c>
      <c r="S898" s="20">
        <v>21215.335596979399</v>
      </c>
      <c r="T898" s="20">
        <v>21857.34474194211</v>
      </c>
      <c r="U898" s="20">
        <v>22525.430940874608</v>
      </c>
      <c r="V898" s="20">
        <v>23184.770056143348</v>
      </c>
      <c r="W898" s="20">
        <v>24339.70277155903</v>
      </c>
      <c r="X898" s="20">
        <v>25513.482966918851</v>
      </c>
      <c r="Y898" s="20">
        <v>26747.907373572809</v>
      </c>
      <c r="Z898" s="20">
        <v>28014.332499758781</v>
      </c>
      <c r="AA898" s="20">
        <v>29313.23468232726</v>
      </c>
      <c r="AB898" s="20">
        <v>30644.01315736803</v>
      </c>
      <c r="AC898" s="20">
        <v>32007.11489993905</v>
      </c>
      <c r="AD898" s="20">
        <v>33404.197316952901</v>
      </c>
      <c r="AE898" s="20">
        <v>34836.110366077577</v>
      </c>
      <c r="AG898" s="17" t="s">
        <v>3787</v>
      </c>
      <c r="AH898" s="20">
        <v>14392.22063055141</v>
      </c>
      <c r="AI898" s="20">
        <v>14024.22256596097</v>
      </c>
      <c r="AJ898" s="20">
        <v>15894.65312924199</v>
      </c>
      <c r="AK898" s="20">
        <v>17996.6991561344</v>
      </c>
      <c r="AL898" s="20">
        <v>18868.79153970068</v>
      </c>
      <c r="AM898" s="20">
        <v>19610.761935415849</v>
      </c>
      <c r="AN898" s="20">
        <v>18671.039701845879</v>
      </c>
      <c r="AO898" s="20">
        <v>19471.298150722771</v>
      </c>
      <c r="AP898" s="20">
        <v>19909.955389207629</v>
      </c>
      <c r="AQ898" s="20">
        <v>20794.048048434339</v>
      </c>
      <c r="AR898" s="20">
        <v>21480.319983958689</v>
      </c>
      <c r="AS898" s="20">
        <v>22630.55761911712</v>
      </c>
      <c r="AT898" s="20">
        <v>23777.433436010451</v>
      </c>
      <c r="AU898" s="20">
        <v>24989.936684035929</v>
      </c>
      <c r="AV898" s="20">
        <v>26239.627741113971</v>
      </c>
      <c r="AW898" s="20">
        <v>27531.324457186311</v>
      </c>
      <c r="AX898" s="20">
        <v>28843.212080472629</v>
      </c>
      <c r="AY898" s="20">
        <v>30181.416468475989</v>
      </c>
      <c r="AZ898" s="20">
        <v>31535.936393726399</v>
      </c>
      <c r="BA898" s="20">
        <v>32919.095607296244</v>
      </c>
      <c r="BC898" s="17" t="s">
        <v>3788</v>
      </c>
      <c r="BD898" s="20">
        <v>14392.22063055141</v>
      </c>
      <c r="BE898" s="20">
        <v>14024.22256596097</v>
      </c>
      <c r="BF898" s="20">
        <v>15894.65312924199</v>
      </c>
      <c r="BG898" s="20">
        <v>17996.6991561344</v>
      </c>
      <c r="BH898" s="20">
        <v>18868.062737457501</v>
      </c>
      <c r="BI898" s="20">
        <v>19608.823433058431</v>
      </c>
      <c r="BJ898" s="20">
        <v>19472.997353311679</v>
      </c>
      <c r="BK898" s="20">
        <v>19205.790037416849</v>
      </c>
      <c r="BL898" s="20">
        <v>18907.38682058276</v>
      </c>
      <c r="BM898" s="20">
        <v>18915.827388058118</v>
      </c>
      <c r="BN898" s="20">
        <v>18911.640885275559</v>
      </c>
      <c r="BO898" s="20">
        <v>19128.464158431481</v>
      </c>
      <c r="BP898" s="20">
        <v>19387.13529543289</v>
      </c>
      <c r="BQ898" s="20">
        <v>19802.882130222781</v>
      </c>
      <c r="BR898" s="20">
        <v>20256.654112449549</v>
      </c>
      <c r="BS898" s="20">
        <v>20854.167944427209</v>
      </c>
      <c r="BT898" s="20">
        <v>21467.146941413768</v>
      </c>
      <c r="BU898" s="20">
        <v>22228.65323725843</v>
      </c>
      <c r="BV898" s="20">
        <v>22958.946574799429</v>
      </c>
      <c r="BW898" s="20">
        <v>23871.672911260561</v>
      </c>
      <c r="BY898" s="17" t="s">
        <v>3789</v>
      </c>
      <c r="BZ898" s="20">
        <v>14392.22063055141</v>
      </c>
      <c r="CA898" s="20">
        <v>14024.22256596097</v>
      </c>
      <c r="CB898" s="20">
        <v>15894.65312924199</v>
      </c>
      <c r="CC898" s="20">
        <v>17996.6991561344</v>
      </c>
      <c r="CD898" s="20">
        <v>18867.315839035022</v>
      </c>
      <c r="CE898" s="20">
        <v>19606.862174664919</v>
      </c>
      <c r="CF898" s="20">
        <v>20385.396796825778</v>
      </c>
      <c r="CG898" s="20">
        <v>21215.436405225639</v>
      </c>
      <c r="CH898" s="20">
        <v>21831.56667137803</v>
      </c>
      <c r="CI898" s="20">
        <v>22508.049399274631</v>
      </c>
      <c r="CJ898" s="20">
        <v>23151.19437866025</v>
      </c>
      <c r="CK898" s="20">
        <v>24342.085973127159</v>
      </c>
      <c r="CL898" s="20">
        <v>25566.079069311509</v>
      </c>
      <c r="CM898" s="20">
        <v>26840.95594550806</v>
      </c>
      <c r="CN898" s="20">
        <v>28218.350027698521</v>
      </c>
      <c r="CO898" s="20">
        <v>29628.40706835363</v>
      </c>
      <c r="CP898" s="20">
        <v>31067.205227376169</v>
      </c>
      <c r="CQ898" s="20">
        <v>32549.747951364719</v>
      </c>
      <c r="CR898" s="20">
        <v>34047.104392154637</v>
      </c>
      <c r="CS898" s="20">
        <v>35581.49162597696</v>
      </c>
      <c r="CU898" s="17" t="s">
        <v>3790</v>
      </c>
      <c r="CV898" s="20">
        <v>14392.22063055141</v>
      </c>
      <c r="CW898" s="20">
        <v>14024.22256596097</v>
      </c>
      <c r="CX898" s="20">
        <v>15894.65312924199</v>
      </c>
      <c r="CY898" s="20">
        <v>17996.6991561344</v>
      </c>
      <c r="CZ898" s="20">
        <v>18868.374578176699</v>
      </c>
      <c r="DA898" s="20">
        <v>19609.658692207449</v>
      </c>
      <c r="DB898" s="20">
        <v>16750.48089602674</v>
      </c>
      <c r="DC898" s="20">
        <v>17548.364012352449</v>
      </c>
      <c r="DD898" s="20">
        <v>17811.303881145861</v>
      </c>
      <c r="DE898" s="20">
        <v>18668.54290359257</v>
      </c>
      <c r="DF898" s="20">
        <v>19480.502848776701</v>
      </c>
      <c r="DG898" s="20">
        <v>20614.41162115999</v>
      </c>
      <c r="DH898" s="20">
        <v>21817.27802634535</v>
      </c>
      <c r="DI898" s="20">
        <v>23154.824426840041</v>
      </c>
      <c r="DJ898" s="20">
        <v>24529.880265460859</v>
      </c>
      <c r="DK898" s="20">
        <v>25994.340376855049</v>
      </c>
      <c r="DL898" s="20">
        <v>27456.2430052788</v>
      </c>
      <c r="DM898" s="20">
        <v>28966.16241757324</v>
      </c>
      <c r="DN898" s="20">
        <v>30454.759625124771</v>
      </c>
      <c r="DO898" s="20">
        <v>31985.440609167661</v>
      </c>
    </row>
    <row r="899" spans="1:230" ht="15.4" x14ac:dyDescent="0.45">
      <c r="A899" s="5"/>
      <c r="B899" s="15" t="s">
        <v>4736</v>
      </c>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row>
    <row r="900" spans="1:230" x14ac:dyDescent="0.45">
      <c r="A900" s="11"/>
      <c r="B900" s="3" t="s">
        <v>89</v>
      </c>
      <c r="C900" s="16" t="s">
        <v>4737</v>
      </c>
      <c r="H900" s="11" t="s">
        <v>4738</v>
      </c>
      <c r="I900" s="11" t="s">
        <v>4739</v>
      </c>
    </row>
    <row r="901" spans="1:230" x14ac:dyDescent="0.45">
      <c r="A901" s="16" t="s">
        <v>4740</v>
      </c>
      <c r="B901" s="3" t="s">
        <v>89</v>
      </c>
      <c r="C901" s="16" t="s">
        <v>4741</v>
      </c>
      <c r="H901" s="3" t="s">
        <v>4742</v>
      </c>
      <c r="I901" s="3" t="s">
        <v>4743</v>
      </c>
      <c r="K901" s="17" t="s">
        <v>4744</v>
      </c>
      <c r="L901" s="3">
        <v>0</v>
      </c>
      <c r="M901" s="3">
        <v>0</v>
      </c>
      <c r="N901" s="3">
        <v>0</v>
      </c>
      <c r="O901" s="3">
        <v>0</v>
      </c>
      <c r="P901" s="3">
        <v>0</v>
      </c>
      <c r="Q901" s="3">
        <v>0</v>
      </c>
      <c r="R901" s="3">
        <v>0</v>
      </c>
      <c r="S901" s="3">
        <v>0</v>
      </c>
      <c r="T901" s="3">
        <v>0</v>
      </c>
      <c r="U901" s="3">
        <v>0</v>
      </c>
      <c r="V901" s="3">
        <v>0</v>
      </c>
      <c r="W901" s="3">
        <v>0</v>
      </c>
      <c r="X901" s="3">
        <v>0</v>
      </c>
      <c r="Y901" s="3">
        <v>0</v>
      </c>
      <c r="Z901" s="3">
        <v>0</v>
      </c>
      <c r="AA901" s="3">
        <v>0</v>
      </c>
      <c r="AB901" s="3">
        <v>0</v>
      </c>
      <c r="AC901" s="3">
        <v>0</v>
      </c>
      <c r="AD901" s="3">
        <v>0</v>
      </c>
      <c r="AE901" s="3">
        <v>0</v>
      </c>
      <c r="AG901" s="17" t="s">
        <v>4745</v>
      </c>
      <c r="AH901" s="3">
        <v>0</v>
      </c>
      <c r="AI901" s="3">
        <v>0</v>
      </c>
      <c r="AJ901" s="3">
        <v>0</v>
      </c>
      <c r="AK901" s="3">
        <v>0</v>
      </c>
      <c r="AL901" s="3">
        <v>0</v>
      </c>
      <c r="AM901" s="3">
        <v>0</v>
      </c>
      <c r="AN901" s="3">
        <v>0</v>
      </c>
      <c r="AO901" s="3">
        <v>0</v>
      </c>
      <c r="AP901" s="3">
        <v>0</v>
      </c>
      <c r="AQ901" s="3">
        <v>0</v>
      </c>
      <c r="AR901" s="3">
        <v>0</v>
      </c>
      <c r="AS901" s="3">
        <v>0</v>
      </c>
      <c r="AT901" s="3">
        <v>0</v>
      </c>
      <c r="AU901" s="3">
        <v>0</v>
      </c>
      <c r="AV901" s="3">
        <v>0</v>
      </c>
      <c r="AW901" s="3">
        <v>0</v>
      </c>
      <c r="AX901" s="3">
        <v>0</v>
      </c>
      <c r="AY901" s="3">
        <v>0</v>
      </c>
      <c r="AZ901" s="3">
        <v>0</v>
      </c>
      <c r="BA901" s="3">
        <v>0</v>
      </c>
      <c r="BC901" s="17" t="s">
        <v>4746</v>
      </c>
      <c r="BD901" s="3">
        <v>0</v>
      </c>
      <c r="BE901" s="3">
        <v>0</v>
      </c>
      <c r="BF901" s="3">
        <v>0</v>
      </c>
      <c r="BG901" s="3">
        <v>0</v>
      </c>
      <c r="BH901" s="3">
        <v>0</v>
      </c>
      <c r="BI901" s="3">
        <v>0</v>
      </c>
      <c r="BJ901" s="3">
        <v>0</v>
      </c>
      <c r="BK901" s="3">
        <v>0</v>
      </c>
      <c r="BL901" s="3">
        <v>0</v>
      </c>
      <c r="BM901" s="3">
        <v>0</v>
      </c>
      <c r="BN901" s="3">
        <v>0</v>
      </c>
      <c r="BO901" s="3">
        <v>0</v>
      </c>
      <c r="BP901" s="3">
        <v>0</v>
      </c>
      <c r="BQ901" s="3">
        <v>0</v>
      </c>
      <c r="BR901" s="3">
        <v>0</v>
      </c>
      <c r="BS901" s="3">
        <v>0</v>
      </c>
      <c r="BT901" s="3">
        <v>0</v>
      </c>
      <c r="BU901" s="3">
        <v>0</v>
      </c>
      <c r="BV901" s="3">
        <v>0</v>
      </c>
      <c r="BW901" s="3">
        <v>0</v>
      </c>
      <c r="BY901" s="17" t="s">
        <v>4747</v>
      </c>
      <c r="BZ901" s="3">
        <v>0</v>
      </c>
      <c r="CA901" s="3">
        <v>0</v>
      </c>
      <c r="CB901" s="3">
        <v>0</v>
      </c>
      <c r="CC901" s="3">
        <v>0</v>
      </c>
      <c r="CD901" s="3">
        <v>0</v>
      </c>
      <c r="CE901" s="3">
        <v>0</v>
      </c>
      <c r="CF901" s="3">
        <v>0</v>
      </c>
      <c r="CG901" s="3">
        <v>0</v>
      </c>
      <c r="CH901" s="3">
        <v>0</v>
      </c>
      <c r="CI901" s="3">
        <v>0</v>
      </c>
      <c r="CJ901" s="3">
        <v>0</v>
      </c>
      <c r="CK901" s="3">
        <v>0</v>
      </c>
      <c r="CL901" s="3">
        <v>0</v>
      </c>
      <c r="CM901" s="3">
        <v>0</v>
      </c>
      <c r="CN901" s="3">
        <v>0</v>
      </c>
      <c r="CO901" s="3">
        <v>0</v>
      </c>
      <c r="CP901" s="3">
        <v>0</v>
      </c>
      <c r="CQ901" s="3">
        <v>0</v>
      </c>
      <c r="CR901" s="3">
        <v>0</v>
      </c>
      <c r="CS901" s="3">
        <v>0</v>
      </c>
      <c r="CU901" s="17" t="s">
        <v>4748</v>
      </c>
      <c r="CV901" s="3">
        <v>0</v>
      </c>
      <c r="CW901" s="3">
        <v>0</v>
      </c>
      <c r="CX901" s="3">
        <v>0</v>
      </c>
      <c r="CY901" s="3">
        <v>0</v>
      </c>
      <c r="CZ901" s="3">
        <v>0</v>
      </c>
      <c r="DA901" s="3">
        <v>0</v>
      </c>
      <c r="DB901" s="3">
        <v>0</v>
      </c>
      <c r="DC901" s="3">
        <v>0</v>
      </c>
      <c r="DD901" s="3">
        <v>0</v>
      </c>
      <c r="DE901" s="3">
        <v>0</v>
      </c>
      <c r="DF901" s="3">
        <v>0</v>
      </c>
      <c r="DG901" s="3">
        <v>0</v>
      </c>
      <c r="DH901" s="3">
        <v>0</v>
      </c>
      <c r="DI901" s="3">
        <v>0</v>
      </c>
      <c r="DJ901" s="3">
        <v>0</v>
      </c>
      <c r="DK901" s="3">
        <v>0</v>
      </c>
      <c r="DL901" s="3">
        <v>0</v>
      </c>
      <c r="DM901" s="3">
        <v>0</v>
      </c>
      <c r="DN901" s="3">
        <v>0</v>
      </c>
      <c r="DO901" s="3">
        <v>0</v>
      </c>
    </row>
    <row r="902" spans="1:230" ht="15.4" x14ac:dyDescent="0.45">
      <c r="A902" s="5"/>
      <c r="B902" s="15" t="s">
        <v>4749</v>
      </c>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row>
    <row r="903" spans="1:230" x14ac:dyDescent="0.45">
      <c r="A903" s="16" t="s">
        <v>4750</v>
      </c>
      <c r="B903" s="3" t="s">
        <v>89</v>
      </c>
      <c r="C903" s="16" t="s">
        <v>4751</v>
      </c>
      <c r="H903" s="3" t="s">
        <v>4752</v>
      </c>
      <c r="I903" s="3" t="s">
        <v>4743</v>
      </c>
      <c r="K903" s="17" t="s">
        <v>4753</v>
      </c>
      <c r="L903" s="3">
        <v>0</v>
      </c>
      <c r="M903" s="3">
        <v>0</v>
      </c>
      <c r="N903" s="3">
        <v>0</v>
      </c>
      <c r="O903" s="3">
        <v>0</v>
      </c>
      <c r="P903" s="3">
        <v>0</v>
      </c>
      <c r="Q903" s="3">
        <v>0</v>
      </c>
      <c r="R903" s="3">
        <v>0</v>
      </c>
      <c r="S903" s="3">
        <v>0</v>
      </c>
      <c r="T903" s="3">
        <v>0</v>
      </c>
      <c r="U903" s="3">
        <v>0</v>
      </c>
      <c r="V903" s="3">
        <v>0</v>
      </c>
      <c r="W903" s="3">
        <v>0</v>
      </c>
      <c r="X903" s="3">
        <v>0</v>
      </c>
      <c r="Y903" s="3">
        <v>0</v>
      </c>
      <c r="Z903" s="3">
        <v>0</v>
      </c>
      <c r="AA903" s="3">
        <v>0</v>
      </c>
      <c r="AB903" s="3">
        <v>0</v>
      </c>
      <c r="AC903" s="3">
        <v>0</v>
      </c>
      <c r="AD903" s="3">
        <v>0</v>
      </c>
      <c r="AE903" s="3">
        <v>0</v>
      </c>
      <c r="AG903" s="17" t="s">
        <v>4754</v>
      </c>
      <c r="AH903" s="3">
        <v>0</v>
      </c>
      <c r="AI903" s="3">
        <v>0</v>
      </c>
      <c r="AJ903" s="3">
        <v>0</v>
      </c>
      <c r="AK903" s="3">
        <v>0</v>
      </c>
      <c r="AL903" s="3">
        <v>0</v>
      </c>
      <c r="AM903" s="3">
        <v>0</v>
      </c>
      <c r="AN903" s="3">
        <v>0</v>
      </c>
      <c r="AO903" s="3">
        <v>0</v>
      </c>
      <c r="AP903" s="3">
        <v>0</v>
      </c>
      <c r="AQ903" s="3">
        <v>0</v>
      </c>
      <c r="AR903" s="3">
        <v>0</v>
      </c>
      <c r="AS903" s="3">
        <v>0</v>
      </c>
      <c r="AT903" s="3">
        <v>0</v>
      </c>
      <c r="AU903" s="3">
        <v>0</v>
      </c>
      <c r="AV903" s="3">
        <v>0</v>
      </c>
      <c r="AW903" s="3">
        <v>0</v>
      </c>
      <c r="AX903" s="3">
        <v>0</v>
      </c>
      <c r="AY903" s="3">
        <v>0</v>
      </c>
      <c r="AZ903" s="3">
        <v>0</v>
      </c>
      <c r="BA903" s="3">
        <v>0</v>
      </c>
      <c r="BC903" s="17" t="s">
        <v>4755</v>
      </c>
      <c r="BD903" s="3">
        <v>0</v>
      </c>
      <c r="BE903" s="3">
        <v>0</v>
      </c>
      <c r="BF903" s="3">
        <v>0</v>
      </c>
      <c r="BG903" s="3">
        <v>0</v>
      </c>
      <c r="BH903" s="3">
        <v>0</v>
      </c>
      <c r="BI903" s="3">
        <v>0</v>
      </c>
      <c r="BJ903" s="3">
        <v>0</v>
      </c>
      <c r="BK903" s="3">
        <v>0</v>
      </c>
      <c r="BL903" s="3">
        <v>0</v>
      </c>
      <c r="BM903" s="3">
        <v>0</v>
      </c>
      <c r="BN903" s="3">
        <v>0</v>
      </c>
      <c r="BO903" s="3">
        <v>0</v>
      </c>
      <c r="BP903" s="3">
        <v>0</v>
      </c>
      <c r="BQ903" s="3">
        <v>0</v>
      </c>
      <c r="BR903" s="3">
        <v>0</v>
      </c>
      <c r="BS903" s="3">
        <v>0</v>
      </c>
      <c r="BT903" s="3">
        <v>0</v>
      </c>
      <c r="BU903" s="3">
        <v>0</v>
      </c>
      <c r="BV903" s="3">
        <v>0</v>
      </c>
      <c r="BW903" s="3">
        <v>0</v>
      </c>
      <c r="BY903" s="17" t="s">
        <v>4756</v>
      </c>
      <c r="BZ903" s="3">
        <v>0</v>
      </c>
      <c r="CA903" s="3">
        <v>0</v>
      </c>
      <c r="CB903" s="3">
        <v>0</v>
      </c>
      <c r="CC903" s="3">
        <v>0</v>
      </c>
      <c r="CD903" s="3">
        <v>0</v>
      </c>
      <c r="CE903" s="3">
        <v>0</v>
      </c>
      <c r="CF903" s="3">
        <v>0</v>
      </c>
      <c r="CG903" s="3">
        <v>0</v>
      </c>
      <c r="CH903" s="3">
        <v>0</v>
      </c>
      <c r="CI903" s="3">
        <v>0</v>
      </c>
      <c r="CJ903" s="3">
        <v>0</v>
      </c>
      <c r="CK903" s="3">
        <v>0</v>
      </c>
      <c r="CL903" s="3">
        <v>0</v>
      </c>
      <c r="CM903" s="3">
        <v>0</v>
      </c>
      <c r="CN903" s="3">
        <v>0</v>
      </c>
      <c r="CO903" s="3">
        <v>0</v>
      </c>
      <c r="CP903" s="3">
        <v>0</v>
      </c>
      <c r="CQ903" s="3">
        <v>0</v>
      </c>
      <c r="CR903" s="3">
        <v>0</v>
      </c>
      <c r="CS903" s="3">
        <v>0</v>
      </c>
      <c r="CU903" s="17" t="s">
        <v>4757</v>
      </c>
      <c r="CV903" s="3">
        <v>0</v>
      </c>
      <c r="CW903" s="3">
        <v>0</v>
      </c>
      <c r="CX903" s="3">
        <v>0</v>
      </c>
      <c r="CY903" s="3">
        <v>0</v>
      </c>
      <c r="CZ903" s="3">
        <v>0</v>
      </c>
      <c r="DA903" s="3">
        <v>0</v>
      </c>
      <c r="DB903" s="3">
        <v>0</v>
      </c>
      <c r="DC903" s="3">
        <v>0</v>
      </c>
      <c r="DD903" s="3">
        <v>0</v>
      </c>
      <c r="DE903" s="3">
        <v>0</v>
      </c>
      <c r="DF903" s="3">
        <v>0</v>
      </c>
      <c r="DG903" s="3">
        <v>0</v>
      </c>
      <c r="DH903" s="3">
        <v>0</v>
      </c>
      <c r="DI903" s="3">
        <v>0</v>
      </c>
      <c r="DJ903" s="3">
        <v>0</v>
      </c>
      <c r="DK903" s="3">
        <v>0</v>
      </c>
      <c r="DL903" s="3">
        <v>0</v>
      </c>
      <c r="DM903" s="3">
        <v>0</v>
      </c>
      <c r="DN903" s="3">
        <v>0</v>
      </c>
      <c r="DO903" s="3">
        <v>0</v>
      </c>
    </row>
    <row r="904" spans="1:230" x14ac:dyDescent="0.45">
      <c r="A904" s="16" t="s">
        <v>4758</v>
      </c>
      <c r="B904" s="3" t="s">
        <v>89</v>
      </c>
      <c r="C904" s="16" t="s">
        <v>4759</v>
      </c>
      <c r="H904" s="3" t="s">
        <v>4760</v>
      </c>
      <c r="I904" s="3" t="s">
        <v>4743</v>
      </c>
      <c r="K904" s="17" t="s">
        <v>4761</v>
      </c>
      <c r="L904" s="3">
        <v>505.92572936869988</v>
      </c>
      <c r="M904" s="3">
        <v>0</v>
      </c>
      <c r="N904" s="3">
        <v>3182.2501908586378</v>
      </c>
      <c r="O904" s="3">
        <v>3434.5805106752218</v>
      </c>
      <c r="P904" s="3">
        <v>3706.1259251982929</v>
      </c>
      <c r="Q904" s="3">
        <v>3998.3582352297808</v>
      </c>
      <c r="R904" s="3">
        <v>4312.8615894778868</v>
      </c>
      <c r="S904" s="3">
        <v>4651.3410769888396</v>
      </c>
      <c r="T904" s="3">
        <v>1103.75874957722</v>
      </c>
      <c r="U904" s="3">
        <v>1517.7418527799621</v>
      </c>
      <c r="V904" s="3">
        <v>1279.8056987830671</v>
      </c>
      <c r="W904" s="3">
        <v>5379.7379203371074</v>
      </c>
      <c r="X904" s="3">
        <v>3296.680683909462</v>
      </c>
      <c r="Y904" s="3">
        <v>3657.31927060006</v>
      </c>
      <c r="Z904" s="3">
        <v>3589.8981605660442</v>
      </c>
      <c r="AA904" s="3">
        <v>3658.5138306618601</v>
      </c>
      <c r="AB904" s="3">
        <v>3720.4116150990299</v>
      </c>
      <c r="AC904" s="3">
        <v>3792.4943442190552</v>
      </c>
      <c r="AD904" s="3">
        <v>3878.7562602044118</v>
      </c>
      <c r="AE904" s="3">
        <v>3964.5463668790289</v>
      </c>
      <c r="AG904" s="17" t="s">
        <v>4762</v>
      </c>
      <c r="AH904" s="3">
        <v>467.45703788053657</v>
      </c>
      <c r="AI904" s="3">
        <v>0</v>
      </c>
      <c r="AJ904" s="3">
        <v>3182.2435731236969</v>
      </c>
      <c r="AK904" s="3">
        <v>3434.5670281054709</v>
      </c>
      <c r="AL904" s="3">
        <v>3706.1053017183872</v>
      </c>
      <c r="AM904" s="3">
        <v>3998.3301639672632</v>
      </c>
      <c r="AN904" s="3">
        <v>0</v>
      </c>
      <c r="AO904" s="3">
        <v>4176.8862259223142</v>
      </c>
      <c r="AP904" s="3">
        <v>1341.83821462071</v>
      </c>
      <c r="AQ904" s="3">
        <v>4275.2471114174396</v>
      </c>
      <c r="AR904" s="3">
        <v>850.7983972381428</v>
      </c>
      <c r="AS904" s="3">
        <v>5062.0784848892145</v>
      </c>
      <c r="AT904" s="3">
        <v>3157.8685173961321</v>
      </c>
      <c r="AU904" s="3">
        <v>3659.2623673224498</v>
      </c>
      <c r="AV904" s="3">
        <v>3610.6713772001431</v>
      </c>
      <c r="AW904" s="3">
        <v>3734.4498370100068</v>
      </c>
      <c r="AX904" s="3">
        <v>3652.519338893323</v>
      </c>
      <c r="AY904" s="3">
        <v>3724.569013128691</v>
      </c>
      <c r="AZ904" s="3">
        <v>3686.6007289514741</v>
      </c>
      <c r="BA904" s="3">
        <v>3798.4023909921261</v>
      </c>
      <c r="BC904" s="17" t="s">
        <v>4763</v>
      </c>
      <c r="BD904" s="3">
        <v>371.17912278575079</v>
      </c>
      <c r="BE904" s="3">
        <v>0</v>
      </c>
      <c r="BF904" s="3">
        <v>3182.2273400621079</v>
      </c>
      <c r="BG904" s="3">
        <v>3434.5339579131792</v>
      </c>
      <c r="BH904" s="3">
        <v>3706.0547192671429</v>
      </c>
      <c r="BI904" s="3">
        <v>3998.261318609817</v>
      </c>
      <c r="BJ904" s="3">
        <v>1243.6686247032239</v>
      </c>
      <c r="BK904" s="3">
        <v>98.346951145657926</v>
      </c>
      <c r="BL904" s="3">
        <v>85.953470834273475</v>
      </c>
      <c r="BM904" s="3">
        <v>248.59056438856351</v>
      </c>
      <c r="BN904" s="3">
        <v>150.3798171158069</v>
      </c>
      <c r="BO904" s="3">
        <v>239.63505504159309</v>
      </c>
      <c r="BP904" s="3">
        <v>193.24018017434361</v>
      </c>
      <c r="BQ904" s="3">
        <v>229.83906254109789</v>
      </c>
      <c r="BR904" s="3">
        <v>195.11009242308629</v>
      </c>
      <c r="BS904" s="3">
        <v>216.07550367566179</v>
      </c>
      <c r="BT904" s="3">
        <v>177.5606884976163</v>
      </c>
      <c r="BU904" s="3">
        <v>193.6936880759479</v>
      </c>
      <c r="BV904" s="3">
        <v>147.5030684372885</v>
      </c>
      <c r="BW904" s="3">
        <v>169.14784074717079</v>
      </c>
      <c r="BY904" s="17" t="s">
        <v>4764</v>
      </c>
      <c r="BZ904" s="3">
        <v>278.03129325807492</v>
      </c>
      <c r="CA904" s="3">
        <v>0</v>
      </c>
      <c r="CB904" s="3">
        <v>3182.2173414276322</v>
      </c>
      <c r="CC904" s="3">
        <v>3434.513583803227</v>
      </c>
      <c r="CD904" s="3">
        <v>3706.0235490337541</v>
      </c>
      <c r="CE904" s="3">
        <v>3998.2188850313041</v>
      </c>
      <c r="CF904" s="3">
        <v>4312.6835777987926</v>
      </c>
      <c r="CG904" s="3">
        <v>4651.122543038864</v>
      </c>
      <c r="CH904" s="3">
        <v>9.857883096672742</v>
      </c>
      <c r="CI904" s="3">
        <v>4.3630554284566738</v>
      </c>
      <c r="CJ904" s="3">
        <v>1.014393433209404</v>
      </c>
      <c r="CK904" s="3">
        <v>1668.901565424256</v>
      </c>
      <c r="CL904" s="3">
        <v>7.4300159724011421E-3</v>
      </c>
      <c r="CM904" s="3">
        <v>3.1729688450979088E-4</v>
      </c>
      <c r="CN904" s="3">
        <v>3.246507236771686E-4</v>
      </c>
      <c r="CO904" s="3">
        <v>2.9671159257964422E-4</v>
      </c>
      <c r="CP904" s="3">
        <v>2.7301555771866638E-4</v>
      </c>
      <c r="CQ904" s="3">
        <v>2.474204855091544E-4</v>
      </c>
      <c r="CR904" s="3">
        <v>2.0959790763703089E-4</v>
      </c>
      <c r="CS904" s="3">
        <v>1.931992192611887E-4</v>
      </c>
      <c r="CU904" s="17" t="s">
        <v>4765</v>
      </c>
      <c r="CV904" s="3">
        <v>413.53844667256601</v>
      </c>
      <c r="CW904" s="3">
        <v>0</v>
      </c>
      <c r="CX904" s="3">
        <v>3182.2344279872618</v>
      </c>
      <c r="CY904" s="3">
        <v>3434.5483971764629</v>
      </c>
      <c r="CZ904" s="3">
        <v>3706.0768043056528</v>
      </c>
      <c r="DA904" s="3">
        <v>3998.2913768306821</v>
      </c>
      <c r="DB904" s="3">
        <v>0</v>
      </c>
      <c r="DC904" s="3">
        <v>429.54419787051069</v>
      </c>
      <c r="DD904" s="3">
        <v>150.41724725994979</v>
      </c>
      <c r="DE904" s="3">
        <v>1961.3227800408861</v>
      </c>
      <c r="DF904" s="3">
        <v>718.23984933033319</v>
      </c>
      <c r="DG904" s="3">
        <v>1189.485352036304</v>
      </c>
      <c r="DH904" s="3">
        <v>1004.717899426752</v>
      </c>
      <c r="DI904" s="3">
        <v>1110.3543222493729</v>
      </c>
      <c r="DJ904" s="3">
        <v>1068.266625793691</v>
      </c>
      <c r="DK904" s="3">
        <v>1133.0404589530301</v>
      </c>
      <c r="DL904" s="3">
        <v>1070.1679817854149</v>
      </c>
      <c r="DM904" s="3">
        <v>1107.645346251182</v>
      </c>
      <c r="DN904" s="3">
        <v>1046.310385502715</v>
      </c>
      <c r="DO904" s="3">
        <v>1084.544516670843</v>
      </c>
    </row>
    <row r="905" spans="1:230" x14ac:dyDescent="0.45">
      <c r="A905" s="16" t="s">
        <v>4766</v>
      </c>
      <c r="B905" s="3" t="s">
        <v>89</v>
      </c>
      <c r="C905" s="16" t="s">
        <v>4767</v>
      </c>
      <c r="H905" s="3" t="s">
        <v>4768</v>
      </c>
      <c r="I905" s="3" t="s">
        <v>4743</v>
      </c>
      <c r="K905" s="17" t="s">
        <v>4769</v>
      </c>
      <c r="L905" s="3">
        <v>25.952772457954989</v>
      </c>
      <c r="M905" s="3">
        <v>0</v>
      </c>
      <c r="N905" s="3">
        <v>3499.6592809721142</v>
      </c>
      <c r="O905" s="3">
        <v>3777.1579352744961</v>
      </c>
      <c r="P905" s="3">
        <v>4075.7882670035892</v>
      </c>
      <c r="Q905" s="3">
        <v>4397.1688796717799</v>
      </c>
      <c r="R905" s="3">
        <v>4743.0419306823487</v>
      </c>
      <c r="S905" s="3">
        <v>5115.2825808013049</v>
      </c>
      <c r="T905" s="3">
        <v>40.733349839755221</v>
      </c>
      <c r="U905" s="3">
        <v>48.123702803399297</v>
      </c>
      <c r="V905" s="3">
        <v>48.393728765657528</v>
      </c>
      <c r="W905" s="3">
        <v>84.187580110701234</v>
      </c>
      <c r="X905" s="3">
        <v>66.519752313743268</v>
      </c>
      <c r="Y905" s="3">
        <v>68.300078821573422</v>
      </c>
      <c r="Z905" s="3">
        <v>66.438498031626025</v>
      </c>
      <c r="AA905" s="3">
        <v>64.831815954068261</v>
      </c>
      <c r="AB905" s="3">
        <v>63.058955198656733</v>
      </c>
      <c r="AC905" s="3">
        <v>60.730939086678212</v>
      </c>
      <c r="AD905" s="3">
        <v>58.211156019610712</v>
      </c>
      <c r="AE905" s="3">
        <v>55.763475702321188</v>
      </c>
      <c r="AG905" s="17" t="s">
        <v>4770</v>
      </c>
      <c r="AH905" s="3">
        <v>21.456958668952499</v>
      </c>
      <c r="AI905" s="3">
        <v>0</v>
      </c>
      <c r="AJ905" s="3">
        <v>3499.652003160465</v>
      </c>
      <c r="AK905" s="3">
        <v>3777.1431079047011</v>
      </c>
      <c r="AL905" s="3">
        <v>4075.7655864635531</v>
      </c>
      <c r="AM905" s="3">
        <v>4397.1380084804823</v>
      </c>
      <c r="AN905" s="3">
        <v>0</v>
      </c>
      <c r="AO905" s="3">
        <v>4593.5038948554366</v>
      </c>
      <c r="AP905" s="3">
        <v>23.768212513153351</v>
      </c>
      <c r="AQ905" s="3">
        <v>40.034216647014361</v>
      </c>
      <c r="AR905" s="3">
        <v>23.771380245212331</v>
      </c>
      <c r="AS905" s="3">
        <v>47.631851122473357</v>
      </c>
      <c r="AT905" s="3">
        <v>37.15866378538815</v>
      </c>
      <c r="AU905" s="3">
        <v>39.114408733897562</v>
      </c>
      <c r="AV905" s="3">
        <v>38.259084999537862</v>
      </c>
      <c r="AW905" s="3">
        <v>37.623719484108697</v>
      </c>
      <c r="AX905" s="3">
        <v>36.064753080390233</v>
      </c>
      <c r="AY905" s="3">
        <v>34.735275853448258</v>
      </c>
      <c r="AZ905" s="3">
        <v>32.858056470073812</v>
      </c>
      <c r="BA905" s="3">
        <v>31.546165585166051</v>
      </c>
      <c r="BC905" s="17" t="s">
        <v>4771</v>
      </c>
      <c r="BD905" s="3">
        <v>12.50808468796086</v>
      </c>
      <c r="BE905" s="3">
        <v>0</v>
      </c>
      <c r="BF905" s="3">
        <v>3499.6341509548752</v>
      </c>
      <c r="BG905" s="3">
        <v>3777.1067391723768</v>
      </c>
      <c r="BH905" s="3">
        <v>4075.7099587365242</v>
      </c>
      <c r="BI905" s="3">
        <v>4397.0622962392417</v>
      </c>
      <c r="BJ905" s="3">
        <v>8.9903337036725226</v>
      </c>
      <c r="BK905" s="3">
        <v>1.443580644663425</v>
      </c>
      <c r="BL905" s="3">
        <v>0.90753137070424039</v>
      </c>
      <c r="BM905" s="3">
        <v>2.1836749783367031</v>
      </c>
      <c r="BN905" s="3">
        <v>1.2474408459898321</v>
      </c>
      <c r="BO905" s="3">
        <v>1.722757827526348</v>
      </c>
      <c r="BP905" s="3">
        <v>1.2704411446206001</v>
      </c>
      <c r="BQ905" s="3">
        <v>1.338619885746166</v>
      </c>
      <c r="BR905" s="3">
        <v>1.00862124634943</v>
      </c>
      <c r="BS905" s="3">
        <v>0.97015083802473645</v>
      </c>
      <c r="BT905" s="3">
        <v>0.69005761710787106</v>
      </c>
      <c r="BU905" s="3">
        <v>0.63868842188185371</v>
      </c>
      <c r="BV905" s="3">
        <v>0.4113797524019443</v>
      </c>
      <c r="BW905" s="3">
        <v>0.39514530213216909</v>
      </c>
      <c r="BY905" s="17" t="s">
        <v>4772</v>
      </c>
      <c r="BZ905" s="3">
        <v>2.1774543412819081</v>
      </c>
      <c r="CA905" s="3">
        <v>0</v>
      </c>
      <c r="CB905" s="3">
        <v>3499.6231550206021</v>
      </c>
      <c r="CC905" s="3">
        <v>3777.0843328753508</v>
      </c>
      <c r="CD905" s="3">
        <v>4075.6756794718449</v>
      </c>
      <c r="CE905" s="3">
        <v>4397.0156301828474</v>
      </c>
      <c r="CF905" s="3">
        <v>4742.8461634775431</v>
      </c>
      <c r="CG905" s="3">
        <v>5115.0422494884378</v>
      </c>
      <c r="CH905" s="3">
        <v>1.4978543507691949E-6</v>
      </c>
      <c r="CI905" s="3">
        <v>5.0359900527398398E-8</v>
      </c>
      <c r="CJ905" s="3">
        <v>3.8589988715677748E-10</v>
      </c>
      <c r="CK905" s="3">
        <v>5.0135692704629442E-13</v>
      </c>
      <c r="CL905" s="3">
        <v>7.2103085096914819E-18</v>
      </c>
      <c r="CM905" s="3">
        <v>1.4035113291488089E-22</v>
      </c>
      <c r="CN905" s="3">
        <v>9.917954121161609E-23</v>
      </c>
      <c r="CO905" s="3">
        <v>6.2925817644522661E-23</v>
      </c>
      <c r="CP905" s="3">
        <v>4.0465788959152889E-23</v>
      </c>
      <c r="CQ905" s="3">
        <v>2.5803919301161769E-23</v>
      </c>
      <c r="CR905" s="3">
        <v>1.547863346606292E-23</v>
      </c>
      <c r="CS905" s="3">
        <v>1.017017549453969E-23</v>
      </c>
      <c r="CU905" s="17" t="s">
        <v>4773</v>
      </c>
      <c r="CV905" s="3">
        <v>16.06706527040005</v>
      </c>
      <c r="CW905" s="3">
        <v>0</v>
      </c>
      <c r="CX905" s="3">
        <v>3499.6419458552009</v>
      </c>
      <c r="CY905" s="3">
        <v>3777.1226186597619</v>
      </c>
      <c r="CZ905" s="3">
        <v>4075.7342466162818</v>
      </c>
      <c r="DA905" s="3">
        <v>4397.0953525752648</v>
      </c>
      <c r="DB905" s="3">
        <v>0</v>
      </c>
      <c r="DC905" s="3">
        <v>9.5511548467649714</v>
      </c>
      <c r="DD905" s="3">
        <v>2.9625668020839839</v>
      </c>
      <c r="DE905" s="3">
        <v>19.266289472172449</v>
      </c>
      <c r="DF905" s="3">
        <v>13.01522705254969</v>
      </c>
      <c r="DG905" s="3">
        <v>20.131671361785031</v>
      </c>
      <c r="DH905" s="3">
        <v>17.757868111827499</v>
      </c>
      <c r="DI905" s="3">
        <v>18.957632425176271</v>
      </c>
      <c r="DJ905" s="3">
        <v>17.56995495630331</v>
      </c>
      <c r="DK905" s="3">
        <v>17.755399645516651</v>
      </c>
      <c r="DL905" s="3">
        <v>15.988548372500651</v>
      </c>
      <c r="DM905" s="3">
        <v>15.6421825011795</v>
      </c>
      <c r="DN905" s="3">
        <v>13.932720083688221</v>
      </c>
      <c r="DO905" s="3">
        <v>13.620248002441731</v>
      </c>
    </row>
    <row r="906" spans="1:230" x14ac:dyDescent="0.45">
      <c r="A906" s="16" t="s">
        <v>4774</v>
      </c>
      <c r="B906" s="3" t="s">
        <v>89</v>
      </c>
      <c r="C906" s="16" t="s">
        <v>4775</v>
      </c>
      <c r="H906" s="3" t="s">
        <v>4776</v>
      </c>
      <c r="I906" s="3" t="s">
        <v>4743</v>
      </c>
      <c r="K906" s="17" t="s">
        <v>4777</v>
      </c>
      <c r="L906" s="3">
        <v>0</v>
      </c>
      <c r="M906" s="3">
        <v>0</v>
      </c>
      <c r="N906" s="3">
        <v>0</v>
      </c>
      <c r="O906" s="3">
        <v>0</v>
      </c>
      <c r="P906" s="3">
        <v>0</v>
      </c>
      <c r="Q906" s="3">
        <v>0</v>
      </c>
      <c r="R906" s="3">
        <v>0</v>
      </c>
      <c r="S906" s="3">
        <v>0</v>
      </c>
      <c r="T906" s="3">
        <v>0</v>
      </c>
      <c r="U906" s="3">
        <v>0</v>
      </c>
      <c r="V906" s="3">
        <v>0</v>
      </c>
      <c r="W906" s="3">
        <v>0</v>
      </c>
      <c r="X906" s="3">
        <v>0</v>
      </c>
      <c r="Y906" s="3">
        <v>0</v>
      </c>
      <c r="Z906" s="3">
        <v>0</v>
      </c>
      <c r="AA906" s="3">
        <v>0</v>
      </c>
      <c r="AB906" s="3">
        <v>0</v>
      </c>
      <c r="AC906" s="3">
        <v>0</v>
      </c>
      <c r="AD906" s="3">
        <v>0</v>
      </c>
      <c r="AE906" s="3">
        <v>0</v>
      </c>
      <c r="AG906" s="17" t="s">
        <v>4778</v>
      </c>
      <c r="AH906" s="3">
        <v>0</v>
      </c>
      <c r="AI906" s="3">
        <v>0</v>
      </c>
      <c r="AJ906" s="3">
        <v>0</v>
      </c>
      <c r="AK906" s="3">
        <v>0</v>
      </c>
      <c r="AL906" s="3">
        <v>0</v>
      </c>
      <c r="AM906" s="3">
        <v>0</v>
      </c>
      <c r="AN906" s="3">
        <v>0</v>
      </c>
      <c r="AO906" s="3">
        <v>0</v>
      </c>
      <c r="AP906" s="3">
        <v>0</v>
      </c>
      <c r="AQ906" s="3">
        <v>0</v>
      </c>
      <c r="AR906" s="3">
        <v>0</v>
      </c>
      <c r="AS906" s="3">
        <v>0</v>
      </c>
      <c r="AT906" s="3">
        <v>0</v>
      </c>
      <c r="AU906" s="3">
        <v>0</v>
      </c>
      <c r="AV906" s="3">
        <v>0</v>
      </c>
      <c r="AW906" s="3">
        <v>0</v>
      </c>
      <c r="AX906" s="3">
        <v>0</v>
      </c>
      <c r="AY906" s="3">
        <v>0</v>
      </c>
      <c r="AZ906" s="3">
        <v>0</v>
      </c>
      <c r="BA906" s="3">
        <v>0</v>
      </c>
      <c r="BC906" s="17" t="s">
        <v>4779</v>
      </c>
      <c r="BD906" s="3">
        <v>0</v>
      </c>
      <c r="BE906" s="3">
        <v>0</v>
      </c>
      <c r="BF906" s="3">
        <v>0</v>
      </c>
      <c r="BG906" s="3">
        <v>0</v>
      </c>
      <c r="BH906" s="3">
        <v>0</v>
      </c>
      <c r="BI906" s="3">
        <v>0</v>
      </c>
      <c r="BJ906" s="3">
        <v>0</v>
      </c>
      <c r="BK906" s="3">
        <v>0</v>
      </c>
      <c r="BL906" s="3">
        <v>0</v>
      </c>
      <c r="BM906" s="3">
        <v>0</v>
      </c>
      <c r="BN906" s="3">
        <v>0</v>
      </c>
      <c r="BO906" s="3">
        <v>0</v>
      </c>
      <c r="BP906" s="3">
        <v>0</v>
      </c>
      <c r="BQ906" s="3">
        <v>0</v>
      </c>
      <c r="BR906" s="3">
        <v>0</v>
      </c>
      <c r="BS906" s="3">
        <v>0</v>
      </c>
      <c r="BT906" s="3">
        <v>0</v>
      </c>
      <c r="BU906" s="3">
        <v>0</v>
      </c>
      <c r="BV906" s="3">
        <v>0</v>
      </c>
      <c r="BW906" s="3">
        <v>0</v>
      </c>
      <c r="BY906" s="17" t="s">
        <v>4780</v>
      </c>
      <c r="BZ906" s="3">
        <v>0</v>
      </c>
      <c r="CA906" s="3">
        <v>0</v>
      </c>
      <c r="CB906" s="3">
        <v>0</v>
      </c>
      <c r="CC906" s="3">
        <v>0</v>
      </c>
      <c r="CD906" s="3">
        <v>0</v>
      </c>
      <c r="CE906" s="3">
        <v>0</v>
      </c>
      <c r="CF906" s="3">
        <v>0</v>
      </c>
      <c r="CG906" s="3">
        <v>0</v>
      </c>
      <c r="CH906" s="3">
        <v>0</v>
      </c>
      <c r="CI906" s="3">
        <v>0</v>
      </c>
      <c r="CJ906" s="3">
        <v>0</v>
      </c>
      <c r="CK906" s="3">
        <v>0</v>
      </c>
      <c r="CL906" s="3">
        <v>0</v>
      </c>
      <c r="CM906" s="3">
        <v>0</v>
      </c>
      <c r="CN906" s="3">
        <v>0</v>
      </c>
      <c r="CO906" s="3">
        <v>0</v>
      </c>
      <c r="CP906" s="3">
        <v>0</v>
      </c>
      <c r="CQ906" s="3">
        <v>0</v>
      </c>
      <c r="CR906" s="3">
        <v>0</v>
      </c>
      <c r="CS906" s="3">
        <v>0</v>
      </c>
      <c r="CU906" s="17" t="s">
        <v>4781</v>
      </c>
      <c r="CV906" s="3">
        <v>0</v>
      </c>
      <c r="CW906" s="3">
        <v>0</v>
      </c>
      <c r="CX906" s="3">
        <v>0</v>
      </c>
      <c r="CY906" s="3">
        <v>0</v>
      </c>
      <c r="CZ906" s="3">
        <v>0</v>
      </c>
      <c r="DA906" s="3">
        <v>0</v>
      </c>
      <c r="DB906" s="3">
        <v>0</v>
      </c>
      <c r="DC906" s="3">
        <v>0</v>
      </c>
      <c r="DD906" s="3">
        <v>0</v>
      </c>
      <c r="DE906" s="3">
        <v>0</v>
      </c>
      <c r="DF906" s="3">
        <v>0</v>
      </c>
      <c r="DG906" s="3">
        <v>0</v>
      </c>
      <c r="DH906" s="3">
        <v>0</v>
      </c>
      <c r="DI906" s="3">
        <v>0</v>
      </c>
      <c r="DJ906" s="3">
        <v>0</v>
      </c>
      <c r="DK906" s="3">
        <v>0</v>
      </c>
      <c r="DL906" s="3">
        <v>0</v>
      </c>
      <c r="DM906" s="3">
        <v>0</v>
      </c>
      <c r="DN906" s="3">
        <v>0</v>
      </c>
      <c r="DO906" s="3">
        <v>0</v>
      </c>
    </row>
    <row r="907" spans="1:230" x14ac:dyDescent="0.45">
      <c r="A907" s="16" t="s">
        <v>4782</v>
      </c>
      <c r="B907" s="3" t="s">
        <v>89</v>
      </c>
      <c r="C907" s="16" t="s">
        <v>4783</v>
      </c>
      <c r="H907" s="3" t="s">
        <v>4784</v>
      </c>
      <c r="I907" s="3" t="s">
        <v>4743</v>
      </c>
      <c r="K907" s="17" t="s">
        <v>4785</v>
      </c>
      <c r="L907" s="3">
        <v>728.1715580469762</v>
      </c>
      <c r="M907" s="3">
        <v>0</v>
      </c>
      <c r="N907" s="3">
        <v>1156.0679540848589</v>
      </c>
      <c r="O907" s="3">
        <v>1247.73610683473</v>
      </c>
      <c r="P907" s="3">
        <v>1346.384840586273</v>
      </c>
      <c r="Q907" s="3">
        <v>1452.5488404333239</v>
      </c>
      <c r="R907" s="3">
        <v>1566.803605926897</v>
      </c>
      <c r="S907" s="3">
        <v>1689.768572588081</v>
      </c>
      <c r="T907" s="3">
        <v>1652.260895620183</v>
      </c>
      <c r="U907" s="3">
        <v>1866.29530802522</v>
      </c>
      <c r="V907" s="3">
        <v>1923.9079112773579</v>
      </c>
      <c r="W907" s="3">
        <v>1977.7342906821841</v>
      </c>
      <c r="X907" s="3">
        <v>2117.694037956237</v>
      </c>
      <c r="Y907" s="3">
        <v>2216.4589687972521</v>
      </c>
      <c r="Z907" s="3">
        <v>2324.0493021407769</v>
      </c>
      <c r="AA907" s="3">
        <v>2431.678826660263</v>
      </c>
      <c r="AB907" s="3">
        <v>2542.0417380001782</v>
      </c>
      <c r="AC907" s="3">
        <v>2654.9906822518269</v>
      </c>
      <c r="AD907" s="3">
        <v>2770.6577592629419</v>
      </c>
      <c r="AE907" s="3">
        <v>2889.28922404068</v>
      </c>
      <c r="AG907" s="17" t="s">
        <v>4786</v>
      </c>
      <c r="AH907" s="3">
        <v>747.62438265180788</v>
      </c>
      <c r="AI907" s="3">
        <v>0</v>
      </c>
      <c r="AJ907" s="3">
        <v>1156.0655499523</v>
      </c>
      <c r="AK907" s="3">
        <v>1247.731208801611</v>
      </c>
      <c r="AL907" s="3">
        <v>1346.3773483581981</v>
      </c>
      <c r="AM907" s="3">
        <v>1452.5386425277279</v>
      </c>
      <c r="AN907" s="3">
        <v>0</v>
      </c>
      <c r="AO907" s="3">
        <v>1517.4056167922899</v>
      </c>
      <c r="AP907" s="3">
        <v>1636.590821416255</v>
      </c>
      <c r="AQ907" s="3">
        <v>1687.2565895990549</v>
      </c>
      <c r="AR907" s="3">
        <v>1603.513012203656</v>
      </c>
      <c r="AS907" s="3">
        <v>1838.983853077822</v>
      </c>
      <c r="AT907" s="3">
        <v>1975.9922170053039</v>
      </c>
      <c r="AU907" s="3">
        <v>2070.4758055488342</v>
      </c>
      <c r="AV907" s="3">
        <v>2176.711155298166</v>
      </c>
      <c r="AW907" s="3">
        <v>2283.4192033265472</v>
      </c>
      <c r="AX907" s="3">
        <v>2394.0433260428649</v>
      </c>
      <c r="AY907" s="3">
        <v>2504.3533648515449</v>
      </c>
      <c r="AZ907" s="3">
        <v>2617.405911639803</v>
      </c>
      <c r="BA907" s="3">
        <v>2730.9095098648781</v>
      </c>
      <c r="BC907" s="17" t="s">
        <v>4787</v>
      </c>
      <c r="BD907" s="3">
        <v>795.90381717100843</v>
      </c>
      <c r="BE907" s="3">
        <v>0</v>
      </c>
      <c r="BF907" s="3">
        <v>1156.0596527031289</v>
      </c>
      <c r="BG907" s="3">
        <v>1247.719194853225</v>
      </c>
      <c r="BH907" s="3">
        <v>1346.3589724457411</v>
      </c>
      <c r="BI907" s="3">
        <v>1452.513631951326</v>
      </c>
      <c r="BJ907" s="3">
        <v>1566.758631822122</v>
      </c>
      <c r="BK907" s="3">
        <v>362.85065174354349</v>
      </c>
      <c r="BL907" s="3">
        <v>383.65258237293949</v>
      </c>
      <c r="BM907" s="3">
        <v>1440.957205355312</v>
      </c>
      <c r="BN907" s="3">
        <v>818.42036984470383</v>
      </c>
      <c r="BO907" s="3">
        <v>1566.998383697377</v>
      </c>
      <c r="BP907" s="3">
        <v>1431.259531444533</v>
      </c>
      <c r="BQ907" s="3">
        <v>1628.480815270442</v>
      </c>
      <c r="BR907" s="3">
        <v>1676.4037739784919</v>
      </c>
      <c r="BS907" s="3">
        <v>1717.2854425488031</v>
      </c>
      <c r="BT907" s="3">
        <v>1779.317650622231</v>
      </c>
      <c r="BU907" s="3">
        <v>1831.4339360378281</v>
      </c>
      <c r="BV907" s="3">
        <v>1907.600549749628</v>
      </c>
      <c r="BW907" s="3">
        <v>1965.288124518351</v>
      </c>
      <c r="BY907" s="17" t="s">
        <v>4788</v>
      </c>
      <c r="BZ907" s="3">
        <v>859.10955231748017</v>
      </c>
      <c r="CA907" s="3">
        <v>0</v>
      </c>
      <c r="CB907" s="3">
        <v>1156.0560203360269</v>
      </c>
      <c r="CC907" s="3">
        <v>1247.7117932178419</v>
      </c>
      <c r="CD907" s="3">
        <v>1346.347648726429</v>
      </c>
      <c r="CE907" s="3">
        <v>1452.4982164128371</v>
      </c>
      <c r="CF907" s="3">
        <v>1566.738936719478</v>
      </c>
      <c r="CG907" s="3">
        <v>1689.6891821940851</v>
      </c>
      <c r="CH907" s="3">
        <v>1822.015617167343</v>
      </c>
      <c r="CI907" s="3">
        <v>1861.8869217548149</v>
      </c>
      <c r="CJ907" s="3">
        <v>1923.208114395906</v>
      </c>
      <c r="CK907" s="3">
        <v>1973.53307388488</v>
      </c>
      <c r="CL907" s="3">
        <v>2121.1806101462539</v>
      </c>
      <c r="CM907" s="3">
        <v>2225.388961469921</v>
      </c>
      <c r="CN907" s="3">
        <v>2335.4323770695519</v>
      </c>
      <c r="CO907" s="3">
        <v>2458.6727011617968</v>
      </c>
      <c r="CP907" s="3">
        <v>2578.2228636114442</v>
      </c>
      <c r="CQ907" s="3">
        <v>2699.7996444412788</v>
      </c>
      <c r="CR907" s="3">
        <v>2826.3669076730398</v>
      </c>
      <c r="CS907" s="3">
        <v>2951.5367881276702</v>
      </c>
      <c r="CU907" s="17" t="s">
        <v>4789</v>
      </c>
      <c r="CV907" s="3">
        <v>774.729082915155</v>
      </c>
      <c r="CW907" s="3">
        <v>0</v>
      </c>
      <c r="CX907" s="3">
        <v>1156.0622276493591</v>
      </c>
      <c r="CY907" s="3">
        <v>1247.724440440014</v>
      </c>
      <c r="CZ907" s="3">
        <v>1346.36699563806</v>
      </c>
      <c r="DA907" s="3">
        <v>1452.524551691703</v>
      </c>
      <c r="DB907" s="3">
        <v>0</v>
      </c>
      <c r="DC907" s="3">
        <v>1031.4434497162561</v>
      </c>
      <c r="DD907" s="3">
        <v>367.07339237109142</v>
      </c>
      <c r="DE907" s="3">
        <v>1498.270601165277</v>
      </c>
      <c r="DF907" s="3">
        <v>1621.6629595928121</v>
      </c>
      <c r="DG907" s="3">
        <v>1684.710838814221</v>
      </c>
      <c r="DH907" s="3">
        <v>1807.911595106146</v>
      </c>
      <c r="DI907" s="3">
        <v>1913.663856719879</v>
      </c>
      <c r="DJ907" s="3">
        <v>2036.6569542221109</v>
      </c>
      <c r="DK907" s="3">
        <v>2153.6981271291188</v>
      </c>
      <c r="DL907" s="3">
        <v>2282.95652112173</v>
      </c>
      <c r="DM907" s="3">
        <v>2403.4709897580201</v>
      </c>
      <c r="DN907" s="3">
        <v>2532.6564292238681</v>
      </c>
      <c r="DO907" s="3">
        <v>2653.7185272060929</v>
      </c>
    </row>
    <row r="908" spans="1:230" x14ac:dyDescent="0.45">
      <c r="A908" s="16" t="s">
        <v>4790</v>
      </c>
      <c r="B908" s="3" t="s">
        <v>89</v>
      </c>
      <c r="C908" s="16" t="s">
        <v>4791</v>
      </c>
      <c r="H908" s="3" t="s">
        <v>4792</v>
      </c>
      <c r="I908" s="3" t="s">
        <v>4743</v>
      </c>
      <c r="K908" s="17" t="s">
        <v>4793</v>
      </c>
      <c r="L908" s="3">
        <v>800.461706635204</v>
      </c>
      <c r="M908" s="3">
        <v>0</v>
      </c>
      <c r="N908" s="3">
        <v>1456.754416922789</v>
      </c>
      <c r="O908" s="3">
        <v>1572.2649160571029</v>
      </c>
      <c r="P908" s="3">
        <v>1696.57160417922</v>
      </c>
      <c r="Q908" s="3">
        <v>1830.3482348253019</v>
      </c>
      <c r="R908" s="3">
        <v>1974.3199915885059</v>
      </c>
      <c r="S908" s="3">
        <v>2129.2674215189909</v>
      </c>
      <c r="T908" s="3">
        <v>2296.0306690380862</v>
      </c>
      <c r="U908" s="3">
        <v>2351.707720676472</v>
      </c>
      <c r="V908" s="3">
        <v>2424.3050225577531</v>
      </c>
      <c r="W908" s="3">
        <v>2492.1313260789962</v>
      </c>
      <c r="X908" s="3">
        <v>2668.493778919642</v>
      </c>
      <c r="Y908" s="3">
        <v>2792.9468863095221</v>
      </c>
      <c r="Z908" s="3">
        <v>2928.520831389978</v>
      </c>
      <c r="AA908" s="3">
        <v>3064.1441610403331</v>
      </c>
      <c r="AB908" s="3">
        <v>3203.211815316889</v>
      </c>
      <c r="AC908" s="3">
        <v>3345.5381144275698</v>
      </c>
      <c r="AD908" s="3">
        <v>3491.2895166121179</v>
      </c>
      <c r="AE908" s="3">
        <v>3640.7763263540169</v>
      </c>
      <c r="AG908" s="17" t="s">
        <v>4794</v>
      </c>
      <c r="AH908" s="3">
        <v>821.84573490434229</v>
      </c>
      <c r="AI908" s="3">
        <v>0</v>
      </c>
      <c r="AJ908" s="3">
        <v>1456.7513874895169</v>
      </c>
      <c r="AK908" s="3">
        <v>1572.258744074431</v>
      </c>
      <c r="AL908" s="3">
        <v>1696.5621632667701</v>
      </c>
      <c r="AM908" s="3">
        <v>1830.335384504551</v>
      </c>
      <c r="AN908" s="3">
        <v>0</v>
      </c>
      <c r="AO908" s="3">
        <v>1912.0738765529011</v>
      </c>
      <c r="AP908" s="3">
        <v>2062.258450612173</v>
      </c>
      <c r="AQ908" s="3">
        <v>2126.1020865561391</v>
      </c>
      <c r="AR908" s="3">
        <v>2268.0166896699152</v>
      </c>
      <c r="AS908" s="3">
        <v>2317.2927172273849</v>
      </c>
      <c r="AT908" s="3">
        <v>2489.93614930376</v>
      </c>
      <c r="AU908" s="3">
        <v>2608.9943624919802</v>
      </c>
      <c r="AV908" s="3">
        <v>2742.860900729504</v>
      </c>
      <c r="AW908" s="3">
        <v>2877.3230832831282</v>
      </c>
      <c r="AX908" s="3">
        <v>3016.7198884759268</v>
      </c>
      <c r="AY908" s="3">
        <v>3155.7209183874211</v>
      </c>
      <c r="AZ908" s="3">
        <v>3298.1777664440151</v>
      </c>
      <c r="BA908" s="3">
        <v>3441.2029817583648</v>
      </c>
      <c r="BC908" s="17" t="s">
        <v>4795</v>
      </c>
      <c r="BD908" s="3">
        <v>874.91817109544183</v>
      </c>
      <c r="BE908" s="3">
        <v>0</v>
      </c>
      <c r="BF908" s="3">
        <v>1456.7439564005861</v>
      </c>
      <c r="BG908" s="3">
        <v>1572.24360536886</v>
      </c>
      <c r="BH908" s="3">
        <v>1696.539007887761</v>
      </c>
      <c r="BI908" s="3">
        <v>1830.303868824599</v>
      </c>
      <c r="BJ908" s="3">
        <v>1974.2633199840841</v>
      </c>
      <c r="BK908" s="3">
        <v>562.28495002554087</v>
      </c>
      <c r="BL908" s="3">
        <v>635.53122444988821</v>
      </c>
      <c r="BM908" s="3">
        <v>1943.879271751952</v>
      </c>
      <c r="BN908" s="3">
        <v>1391.783729938109</v>
      </c>
      <c r="BO908" s="3">
        <v>1974.5654299093781</v>
      </c>
      <c r="BP908" s="3">
        <v>2020.5492346621611</v>
      </c>
      <c r="BQ908" s="3">
        <v>2052.039079655267</v>
      </c>
      <c r="BR908" s="3">
        <v>2112.4265175418432</v>
      </c>
      <c r="BS908" s="3">
        <v>2163.9412672159801</v>
      </c>
      <c r="BT908" s="3">
        <v>2242.107687090469</v>
      </c>
      <c r="BU908" s="3">
        <v>2307.7791112524501</v>
      </c>
      <c r="BV908" s="3">
        <v>2403.756212386224</v>
      </c>
      <c r="BW908" s="3">
        <v>2476.4479854337901</v>
      </c>
      <c r="BY908" s="17" t="s">
        <v>4796</v>
      </c>
      <c r="BZ908" s="3">
        <v>906.17504139426933</v>
      </c>
      <c r="CA908" s="3">
        <v>0</v>
      </c>
      <c r="CB908" s="3">
        <v>1456.739379276205</v>
      </c>
      <c r="CC908" s="3">
        <v>1572.2342786117281</v>
      </c>
      <c r="CD908" s="3">
        <v>1696.524738935781</v>
      </c>
      <c r="CE908" s="3">
        <v>1830.284443795384</v>
      </c>
      <c r="CF908" s="3">
        <v>1974.2385023012939</v>
      </c>
      <c r="CG908" s="3">
        <v>2129.1673821513168</v>
      </c>
      <c r="CH908" s="3">
        <v>2295.911143140293</v>
      </c>
      <c r="CI908" s="3">
        <v>2346.1527391131281</v>
      </c>
      <c r="CJ908" s="3">
        <v>2423.4232126309198</v>
      </c>
      <c r="CK908" s="3">
        <v>2486.837397547979</v>
      </c>
      <c r="CL908" s="3">
        <v>2672.8871879919911</v>
      </c>
      <c r="CM908" s="3">
        <v>2804.199517457228</v>
      </c>
      <c r="CN908" s="3">
        <v>2942.8645770340499</v>
      </c>
      <c r="CO908" s="3">
        <v>3098.1589832408981</v>
      </c>
      <c r="CP908" s="3">
        <v>3248.8034385058322</v>
      </c>
      <c r="CQ908" s="3">
        <v>3402.001623649986</v>
      </c>
      <c r="CR908" s="3">
        <v>3561.4882862628701</v>
      </c>
      <c r="CS908" s="3">
        <v>3719.2141150722318</v>
      </c>
      <c r="CU908" s="17" t="s">
        <v>4797</v>
      </c>
      <c r="CV908" s="3">
        <v>851.64128842585853</v>
      </c>
      <c r="CW908" s="3">
        <v>0</v>
      </c>
      <c r="CX908" s="3">
        <v>1456.747201075158</v>
      </c>
      <c r="CY908" s="3">
        <v>1572.250215301865</v>
      </c>
      <c r="CZ908" s="3">
        <v>1696.5491178651259</v>
      </c>
      <c r="DA908" s="3">
        <v>1830.317628725104</v>
      </c>
      <c r="DB908" s="3">
        <v>0</v>
      </c>
      <c r="DC908" s="3">
        <v>1605.883386665105</v>
      </c>
      <c r="DD908" s="3">
        <v>609.28126775390467</v>
      </c>
      <c r="DE908" s="3">
        <v>1887.9619561125471</v>
      </c>
      <c r="DF908" s="3">
        <v>2043.447939889445</v>
      </c>
      <c r="DG908" s="3">
        <v>2122.8942009927619</v>
      </c>
      <c r="DH908" s="3">
        <v>2278.138748047576</v>
      </c>
      <c r="DI908" s="3">
        <v>2411.396549771981</v>
      </c>
      <c r="DJ908" s="3">
        <v>2566.3794272095129</v>
      </c>
      <c r="DK908" s="3">
        <v>2713.8623195357491</v>
      </c>
      <c r="DL908" s="3">
        <v>2876.740060163148</v>
      </c>
      <c r="DM908" s="3">
        <v>3028.5996319717892</v>
      </c>
      <c r="DN908" s="3">
        <v>3191.385443029892</v>
      </c>
      <c r="DO908" s="3">
        <v>3343.9350793504918</v>
      </c>
    </row>
    <row r="909" spans="1:230" x14ac:dyDescent="0.45">
      <c r="A909" s="16" t="s">
        <v>4798</v>
      </c>
      <c r="B909" s="3" t="s">
        <v>89</v>
      </c>
      <c r="C909" s="16" t="s">
        <v>4799</v>
      </c>
      <c r="H909" s="3" t="s">
        <v>4800</v>
      </c>
      <c r="I909" s="3" t="s">
        <v>4743</v>
      </c>
      <c r="K909" s="17" t="s">
        <v>4801</v>
      </c>
      <c r="L909" s="3">
        <v>0</v>
      </c>
      <c r="M909" s="3">
        <v>0</v>
      </c>
      <c r="N909" s="3">
        <v>0</v>
      </c>
      <c r="O909" s="3">
        <v>0</v>
      </c>
      <c r="P909" s="3">
        <v>0</v>
      </c>
      <c r="Q909" s="3">
        <v>0</v>
      </c>
      <c r="R909" s="3">
        <v>0</v>
      </c>
      <c r="S909" s="3">
        <v>0</v>
      </c>
      <c r="T909" s="3">
        <v>413.95207752566472</v>
      </c>
      <c r="U909" s="3">
        <v>480.20214413713393</v>
      </c>
      <c r="V909" s="3">
        <v>476.64630909949432</v>
      </c>
      <c r="W909" s="3">
        <v>838.31963747110456</v>
      </c>
      <c r="X909" s="3">
        <v>678.0832687857212</v>
      </c>
      <c r="Y909" s="3">
        <v>716.83721354033355</v>
      </c>
      <c r="Z909" s="3">
        <v>719.46561505046839</v>
      </c>
      <c r="AA909" s="3">
        <v>729.58569632525553</v>
      </c>
      <c r="AB909" s="3">
        <v>738.11964281136875</v>
      </c>
      <c r="AC909" s="3">
        <v>744.32201147595947</v>
      </c>
      <c r="AD909" s="3">
        <v>749.55719532606815</v>
      </c>
      <c r="AE909" s="3">
        <v>754.31215399007067</v>
      </c>
      <c r="AG909" s="17" t="s">
        <v>4802</v>
      </c>
      <c r="AH909" s="3">
        <v>0</v>
      </c>
      <c r="AI909" s="3">
        <v>0</v>
      </c>
      <c r="AJ909" s="3">
        <v>0</v>
      </c>
      <c r="AK909" s="3">
        <v>0</v>
      </c>
      <c r="AL909" s="3">
        <v>0</v>
      </c>
      <c r="AM909" s="3">
        <v>0</v>
      </c>
      <c r="AN909" s="3">
        <v>0</v>
      </c>
      <c r="AO909" s="3">
        <v>0</v>
      </c>
      <c r="AP909" s="3">
        <v>415.55523625862588</v>
      </c>
      <c r="AQ909" s="3">
        <v>683.80308456563023</v>
      </c>
      <c r="AR909" s="3">
        <v>399.19942830953818</v>
      </c>
      <c r="AS909" s="3">
        <v>963.72473343703291</v>
      </c>
      <c r="AT909" s="3">
        <v>644.84112011224477</v>
      </c>
      <c r="AU909" s="3">
        <v>697.59950044035304</v>
      </c>
      <c r="AV909" s="3">
        <v>703.61931746812957</v>
      </c>
      <c r="AW909" s="3">
        <v>719.92064654764408</v>
      </c>
      <c r="AX909" s="3">
        <v>718.67846125694791</v>
      </c>
      <c r="AY909" s="3">
        <v>726.37365870747044</v>
      </c>
      <c r="AZ909" s="3">
        <v>723.70057964628006</v>
      </c>
      <c r="BA909" s="3">
        <v>731.80083213733508</v>
      </c>
      <c r="BC909" s="17" t="s">
        <v>4803</v>
      </c>
      <c r="BD909" s="3">
        <v>0</v>
      </c>
      <c r="BE909" s="3">
        <v>0</v>
      </c>
      <c r="BF909" s="3">
        <v>0</v>
      </c>
      <c r="BG909" s="3">
        <v>0</v>
      </c>
      <c r="BH909" s="3">
        <v>0</v>
      </c>
      <c r="BI909" s="3">
        <v>0</v>
      </c>
      <c r="BJ909" s="3">
        <v>0</v>
      </c>
      <c r="BK909" s="3">
        <v>0</v>
      </c>
      <c r="BL909" s="3">
        <v>106.0655974180285</v>
      </c>
      <c r="BM909" s="3">
        <v>344.98118693440188</v>
      </c>
      <c r="BN909" s="3">
        <v>230.03316952232171</v>
      </c>
      <c r="BO909" s="3">
        <v>627.57467594005811</v>
      </c>
      <c r="BP909" s="3">
        <v>363.18890142762098</v>
      </c>
      <c r="BQ909" s="3">
        <v>981.00654092452316</v>
      </c>
      <c r="BR909" s="3">
        <v>728.99404909828525</v>
      </c>
      <c r="BS909" s="3">
        <v>1396.079487869913</v>
      </c>
      <c r="BT909" s="3">
        <v>1033.1686821830581</v>
      </c>
      <c r="BU909" s="3">
        <v>1787.566665693292</v>
      </c>
      <c r="BV909" s="3">
        <v>1126.7299337180959</v>
      </c>
      <c r="BW909" s="3">
        <v>2209.5391519096561</v>
      </c>
      <c r="BY909" s="17" t="s">
        <v>4804</v>
      </c>
      <c r="BZ909" s="3">
        <v>0</v>
      </c>
      <c r="CA909" s="3">
        <v>0</v>
      </c>
      <c r="CB909" s="3">
        <v>0</v>
      </c>
      <c r="CC909" s="3">
        <v>0</v>
      </c>
      <c r="CD909" s="3">
        <v>0</v>
      </c>
      <c r="CE909" s="3">
        <v>0</v>
      </c>
      <c r="CF909" s="3">
        <v>0</v>
      </c>
      <c r="CG909" s="3">
        <v>0</v>
      </c>
      <c r="CH909" s="3">
        <v>830.01975250859289</v>
      </c>
      <c r="CI909" s="3">
        <v>1521.8848633849329</v>
      </c>
      <c r="CJ909" s="3">
        <v>1099.138662858227</v>
      </c>
      <c r="CK909" s="3">
        <v>3300.8145917489528</v>
      </c>
      <c r="CL909" s="3">
        <v>2726.2062100744929</v>
      </c>
      <c r="CM909" s="3">
        <v>2815.042716323162</v>
      </c>
      <c r="CN909" s="3">
        <v>3146.037750024173</v>
      </c>
      <c r="CO909" s="3">
        <v>2898.355085170459</v>
      </c>
      <c r="CP909" s="3">
        <v>2851.2182591713299</v>
      </c>
      <c r="CQ909" s="3">
        <v>2904.5540613108351</v>
      </c>
      <c r="CR909" s="3">
        <v>2741.5298395863501</v>
      </c>
      <c r="CS909" s="3">
        <v>2801.3889935701409</v>
      </c>
      <c r="CU909" s="17" t="s">
        <v>4805</v>
      </c>
      <c r="CV909" s="3">
        <v>0</v>
      </c>
      <c r="CW909" s="3">
        <v>0</v>
      </c>
      <c r="CX909" s="3">
        <v>0</v>
      </c>
      <c r="CY909" s="3">
        <v>0</v>
      </c>
      <c r="CZ909" s="3">
        <v>0</v>
      </c>
      <c r="DA909" s="3">
        <v>0</v>
      </c>
      <c r="DB909" s="3">
        <v>0</v>
      </c>
      <c r="DC909" s="3">
        <v>0</v>
      </c>
      <c r="DD909" s="3">
        <v>99.370622461488651</v>
      </c>
      <c r="DE909" s="3">
        <v>2505.9187140855111</v>
      </c>
      <c r="DF909" s="3">
        <v>1139.095735747163</v>
      </c>
      <c r="DG909" s="3">
        <v>2817.7476188372102</v>
      </c>
      <c r="DH909" s="3">
        <v>2231.9241548142518</v>
      </c>
      <c r="DI909" s="3">
        <v>2652.9653784356619</v>
      </c>
      <c r="DJ909" s="3">
        <v>2370.8492322425809</v>
      </c>
      <c r="DK909" s="3">
        <v>2642.2383910273338</v>
      </c>
      <c r="DL909" s="3">
        <v>2278.9197867718608</v>
      </c>
      <c r="DM909" s="3">
        <v>2451.2030751971179</v>
      </c>
      <c r="DN909" s="3">
        <v>2114.6014986233931</v>
      </c>
      <c r="DO909" s="3">
        <v>2313.9903661389999</v>
      </c>
    </row>
    <row r="910" spans="1:230" x14ac:dyDescent="0.45">
      <c r="A910" s="16" t="s">
        <v>4806</v>
      </c>
      <c r="B910" s="3" t="s">
        <v>89</v>
      </c>
      <c r="C910" s="16" t="s">
        <v>4807</v>
      </c>
      <c r="H910" s="3" t="s">
        <v>4808</v>
      </c>
      <c r="I910" s="3" t="s">
        <v>4743</v>
      </c>
      <c r="K910" s="17" t="s">
        <v>4809</v>
      </c>
      <c r="L910" s="3">
        <v>0</v>
      </c>
      <c r="M910" s="3">
        <v>0</v>
      </c>
      <c r="N910" s="3">
        <v>0</v>
      </c>
      <c r="O910" s="3">
        <v>0</v>
      </c>
      <c r="P910" s="3">
        <v>0</v>
      </c>
      <c r="Q910" s="3">
        <v>0</v>
      </c>
      <c r="R910" s="3">
        <v>0</v>
      </c>
      <c r="S910" s="3">
        <v>0</v>
      </c>
      <c r="T910" s="3">
        <v>0</v>
      </c>
      <c r="U910" s="3">
        <v>0</v>
      </c>
      <c r="V910" s="3">
        <v>0</v>
      </c>
      <c r="W910" s="3">
        <v>0</v>
      </c>
      <c r="X910" s="3">
        <v>0</v>
      </c>
      <c r="Y910" s="3">
        <v>0</v>
      </c>
      <c r="Z910" s="3">
        <v>0</v>
      </c>
      <c r="AA910" s="3">
        <v>0</v>
      </c>
      <c r="AB910" s="3">
        <v>0</v>
      </c>
      <c r="AC910" s="3">
        <v>0</v>
      </c>
      <c r="AD910" s="3">
        <v>0</v>
      </c>
      <c r="AE910" s="3">
        <v>0</v>
      </c>
      <c r="AG910" s="17" t="s">
        <v>4810</v>
      </c>
      <c r="AH910" s="3">
        <v>0</v>
      </c>
      <c r="AI910" s="3">
        <v>0</v>
      </c>
      <c r="AJ910" s="3">
        <v>0</v>
      </c>
      <c r="AK910" s="3">
        <v>0</v>
      </c>
      <c r="AL910" s="3">
        <v>0</v>
      </c>
      <c r="AM910" s="3">
        <v>0</v>
      </c>
      <c r="AN910" s="3">
        <v>0</v>
      </c>
      <c r="AO910" s="3">
        <v>0</v>
      </c>
      <c r="AP910" s="3">
        <v>0</v>
      </c>
      <c r="AQ910" s="3">
        <v>0</v>
      </c>
      <c r="AR910" s="3">
        <v>0</v>
      </c>
      <c r="AS910" s="3">
        <v>0</v>
      </c>
      <c r="AT910" s="3">
        <v>0</v>
      </c>
      <c r="AU910" s="3">
        <v>0</v>
      </c>
      <c r="AV910" s="3">
        <v>0</v>
      </c>
      <c r="AW910" s="3">
        <v>0</v>
      </c>
      <c r="AX910" s="3">
        <v>0</v>
      </c>
      <c r="AY910" s="3">
        <v>0</v>
      </c>
      <c r="AZ910" s="3">
        <v>0</v>
      </c>
      <c r="BA910" s="3">
        <v>0</v>
      </c>
      <c r="BC910" s="17" t="s">
        <v>4811</v>
      </c>
      <c r="BD910" s="3">
        <v>0</v>
      </c>
      <c r="BE910" s="3">
        <v>0</v>
      </c>
      <c r="BF910" s="3">
        <v>0</v>
      </c>
      <c r="BG910" s="3">
        <v>0</v>
      </c>
      <c r="BH910" s="3">
        <v>0</v>
      </c>
      <c r="BI910" s="3">
        <v>0</v>
      </c>
      <c r="BJ910" s="3">
        <v>0</v>
      </c>
      <c r="BK910" s="3">
        <v>0</v>
      </c>
      <c r="BL910" s="3">
        <v>0</v>
      </c>
      <c r="BM910" s="3">
        <v>0</v>
      </c>
      <c r="BN910" s="3">
        <v>0</v>
      </c>
      <c r="BO910" s="3">
        <v>0</v>
      </c>
      <c r="BP910" s="3">
        <v>0</v>
      </c>
      <c r="BQ910" s="3">
        <v>0</v>
      </c>
      <c r="BR910" s="3">
        <v>0</v>
      </c>
      <c r="BS910" s="3">
        <v>0</v>
      </c>
      <c r="BT910" s="3">
        <v>0</v>
      </c>
      <c r="BU910" s="3">
        <v>0</v>
      </c>
      <c r="BV910" s="3">
        <v>0</v>
      </c>
      <c r="BW910" s="3">
        <v>0</v>
      </c>
      <c r="BY910" s="17" t="s">
        <v>4812</v>
      </c>
      <c r="BZ910" s="3">
        <v>0</v>
      </c>
      <c r="CA910" s="3">
        <v>0</v>
      </c>
      <c r="CB910" s="3">
        <v>0</v>
      </c>
      <c r="CC910" s="3">
        <v>0</v>
      </c>
      <c r="CD910" s="3">
        <v>0</v>
      </c>
      <c r="CE910" s="3">
        <v>0</v>
      </c>
      <c r="CF910" s="3">
        <v>0</v>
      </c>
      <c r="CG910" s="3">
        <v>0</v>
      </c>
      <c r="CH910" s="3">
        <v>0</v>
      </c>
      <c r="CI910" s="3">
        <v>0</v>
      </c>
      <c r="CJ910" s="3">
        <v>0</v>
      </c>
      <c r="CK910" s="3">
        <v>0</v>
      </c>
      <c r="CL910" s="3">
        <v>0</v>
      </c>
      <c r="CM910" s="3">
        <v>0</v>
      </c>
      <c r="CN910" s="3">
        <v>0</v>
      </c>
      <c r="CO910" s="3">
        <v>0</v>
      </c>
      <c r="CP910" s="3">
        <v>0</v>
      </c>
      <c r="CQ910" s="3">
        <v>0</v>
      </c>
      <c r="CR910" s="3">
        <v>0</v>
      </c>
      <c r="CS910" s="3">
        <v>0</v>
      </c>
      <c r="CU910" s="17" t="s">
        <v>4813</v>
      </c>
      <c r="CV910" s="3">
        <v>0</v>
      </c>
      <c r="CW910" s="3">
        <v>0</v>
      </c>
      <c r="CX910" s="3">
        <v>0</v>
      </c>
      <c r="CY910" s="3">
        <v>0</v>
      </c>
      <c r="CZ910" s="3">
        <v>0</v>
      </c>
      <c r="DA910" s="3">
        <v>0</v>
      </c>
      <c r="DB910" s="3">
        <v>0</v>
      </c>
      <c r="DC910" s="3">
        <v>0</v>
      </c>
      <c r="DD910" s="3">
        <v>0</v>
      </c>
      <c r="DE910" s="3">
        <v>0</v>
      </c>
      <c r="DF910" s="3">
        <v>0</v>
      </c>
      <c r="DG910" s="3">
        <v>0</v>
      </c>
      <c r="DH910" s="3">
        <v>0</v>
      </c>
      <c r="DI910" s="3">
        <v>0</v>
      </c>
      <c r="DJ910" s="3">
        <v>0</v>
      </c>
      <c r="DK910" s="3">
        <v>0</v>
      </c>
      <c r="DL910" s="3">
        <v>0</v>
      </c>
      <c r="DM910" s="3">
        <v>0</v>
      </c>
      <c r="DN910" s="3">
        <v>0</v>
      </c>
      <c r="DO910" s="3">
        <v>0</v>
      </c>
    </row>
    <row r="911" spans="1:230" x14ac:dyDescent="0.45">
      <c r="A911" s="16" t="s">
        <v>4814</v>
      </c>
      <c r="B911" s="3" t="s">
        <v>89</v>
      </c>
      <c r="C911" s="16" t="s">
        <v>4815</v>
      </c>
      <c r="H911" s="3" t="s">
        <v>4816</v>
      </c>
      <c r="I911" s="3" t="s">
        <v>4743</v>
      </c>
      <c r="K911" s="17" t="s">
        <v>4817</v>
      </c>
      <c r="L911" s="3">
        <v>0</v>
      </c>
      <c r="M911" s="3">
        <v>0</v>
      </c>
      <c r="N911" s="3">
        <v>0</v>
      </c>
      <c r="O911" s="3">
        <v>0</v>
      </c>
      <c r="P911" s="3">
        <v>0</v>
      </c>
      <c r="Q911" s="3">
        <v>0</v>
      </c>
      <c r="R911" s="3">
        <v>0</v>
      </c>
      <c r="S911" s="3">
        <v>0</v>
      </c>
      <c r="T911" s="3">
        <v>0</v>
      </c>
      <c r="U911" s="3">
        <v>0</v>
      </c>
      <c r="V911" s="3">
        <v>0</v>
      </c>
      <c r="W911" s="3">
        <v>0</v>
      </c>
      <c r="X911" s="3">
        <v>0</v>
      </c>
      <c r="Y911" s="3">
        <v>0</v>
      </c>
      <c r="Z911" s="3">
        <v>0</v>
      </c>
      <c r="AA911" s="3">
        <v>0</v>
      </c>
      <c r="AB911" s="3">
        <v>0</v>
      </c>
      <c r="AC911" s="3">
        <v>0</v>
      </c>
      <c r="AD911" s="3">
        <v>0</v>
      </c>
      <c r="AE911" s="3">
        <v>0</v>
      </c>
      <c r="AG911" s="17" t="s">
        <v>4818</v>
      </c>
      <c r="AH911" s="3">
        <v>0</v>
      </c>
      <c r="AI911" s="3">
        <v>0</v>
      </c>
      <c r="AJ911" s="3">
        <v>0</v>
      </c>
      <c r="AK911" s="3">
        <v>0</v>
      </c>
      <c r="AL911" s="3">
        <v>0</v>
      </c>
      <c r="AM911" s="3">
        <v>0</v>
      </c>
      <c r="AN911" s="3">
        <v>0</v>
      </c>
      <c r="AO911" s="3">
        <v>0</v>
      </c>
      <c r="AP911" s="3">
        <v>0</v>
      </c>
      <c r="AQ911" s="3">
        <v>0</v>
      </c>
      <c r="AR911" s="3">
        <v>0</v>
      </c>
      <c r="AS911" s="3">
        <v>0</v>
      </c>
      <c r="AT911" s="3">
        <v>0</v>
      </c>
      <c r="AU911" s="3">
        <v>0</v>
      </c>
      <c r="AV911" s="3">
        <v>0</v>
      </c>
      <c r="AW911" s="3">
        <v>0</v>
      </c>
      <c r="AX911" s="3">
        <v>0</v>
      </c>
      <c r="AY911" s="3">
        <v>0</v>
      </c>
      <c r="AZ911" s="3">
        <v>0</v>
      </c>
      <c r="BA911" s="3">
        <v>0</v>
      </c>
      <c r="BC911" s="17" t="s">
        <v>4819</v>
      </c>
      <c r="BD911" s="3">
        <v>0</v>
      </c>
      <c r="BE911" s="3">
        <v>0</v>
      </c>
      <c r="BF911" s="3">
        <v>0</v>
      </c>
      <c r="BG911" s="3">
        <v>0</v>
      </c>
      <c r="BH911" s="3">
        <v>0</v>
      </c>
      <c r="BI911" s="3">
        <v>0</v>
      </c>
      <c r="BJ911" s="3">
        <v>0</v>
      </c>
      <c r="BK911" s="3">
        <v>0</v>
      </c>
      <c r="BL911" s="3">
        <v>0</v>
      </c>
      <c r="BM911" s="3">
        <v>0</v>
      </c>
      <c r="BN911" s="3">
        <v>0</v>
      </c>
      <c r="BO911" s="3">
        <v>0</v>
      </c>
      <c r="BP911" s="3">
        <v>0</v>
      </c>
      <c r="BQ911" s="3">
        <v>0</v>
      </c>
      <c r="BR911" s="3">
        <v>0</v>
      </c>
      <c r="BS911" s="3">
        <v>0</v>
      </c>
      <c r="BT911" s="3">
        <v>0</v>
      </c>
      <c r="BU911" s="3">
        <v>0</v>
      </c>
      <c r="BV911" s="3">
        <v>0</v>
      </c>
      <c r="BW911" s="3">
        <v>0</v>
      </c>
      <c r="BY911" s="17" t="s">
        <v>4820</v>
      </c>
      <c r="BZ911" s="3">
        <v>0</v>
      </c>
      <c r="CA911" s="3">
        <v>0</v>
      </c>
      <c r="CB911" s="3">
        <v>0</v>
      </c>
      <c r="CC911" s="3">
        <v>0</v>
      </c>
      <c r="CD911" s="3">
        <v>0</v>
      </c>
      <c r="CE911" s="3">
        <v>0</v>
      </c>
      <c r="CF911" s="3">
        <v>0</v>
      </c>
      <c r="CG911" s="3">
        <v>0</v>
      </c>
      <c r="CH911" s="3">
        <v>0</v>
      </c>
      <c r="CI911" s="3">
        <v>0</v>
      </c>
      <c r="CJ911" s="3">
        <v>0</v>
      </c>
      <c r="CK911" s="3">
        <v>0</v>
      </c>
      <c r="CL911" s="3">
        <v>0</v>
      </c>
      <c r="CM911" s="3">
        <v>0</v>
      </c>
      <c r="CN911" s="3">
        <v>0</v>
      </c>
      <c r="CO911" s="3">
        <v>0</v>
      </c>
      <c r="CP911" s="3">
        <v>0</v>
      </c>
      <c r="CQ911" s="3">
        <v>0</v>
      </c>
      <c r="CR911" s="3">
        <v>0</v>
      </c>
      <c r="CS911" s="3">
        <v>0</v>
      </c>
      <c r="CU911" s="17" t="s">
        <v>4821</v>
      </c>
      <c r="CV911" s="3">
        <v>0</v>
      </c>
      <c r="CW911" s="3">
        <v>0</v>
      </c>
      <c r="CX911" s="3">
        <v>0</v>
      </c>
      <c r="CY911" s="3">
        <v>0</v>
      </c>
      <c r="CZ911" s="3">
        <v>0</v>
      </c>
      <c r="DA911" s="3">
        <v>0</v>
      </c>
      <c r="DB911" s="3">
        <v>0</v>
      </c>
      <c r="DC911" s="3">
        <v>0</v>
      </c>
      <c r="DD911" s="3">
        <v>0</v>
      </c>
      <c r="DE911" s="3">
        <v>0</v>
      </c>
      <c r="DF911" s="3">
        <v>0</v>
      </c>
      <c r="DG911" s="3">
        <v>0</v>
      </c>
      <c r="DH911" s="3">
        <v>0</v>
      </c>
      <c r="DI911" s="3">
        <v>0</v>
      </c>
      <c r="DJ911" s="3">
        <v>0</v>
      </c>
      <c r="DK911" s="3">
        <v>0</v>
      </c>
      <c r="DL911" s="3">
        <v>0</v>
      </c>
      <c r="DM911" s="3">
        <v>0</v>
      </c>
      <c r="DN911" s="3">
        <v>0</v>
      </c>
      <c r="DO911" s="3">
        <v>0</v>
      </c>
    </row>
    <row r="912" spans="1:230" x14ac:dyDescent="0.45">
      <c r="A912" s="16" t="s">
        <v>4822</v>
      </c>
      <c r="B912" s="3" t="s">
        <v>89</v>
      </c>
      <c r="C912" s="16" t="s">
        <v>4823</v>
      </c>
      <c r="H912" s="3" t="s">
        <v>4824</v>
      </c>
      <c r="I912" s="3" t="s">
        <v>224</v>
      </c>
      <c r="K912" s="17" t="s">
        <v>4825</v>
      </c>
      <c r="L912" s="3">
        <v>0</v>
      </c>
      <c r="M912" s="3">
        <v>0</v>
      </c>
      <c r="N912" s="3">
        <v>0</v>
      </c>
      <c r="O912" s="3">
        <v>0</v>
      </c>
      <c r="P912" s="3">
        <v>0</v>
      </c>
      <c r="Q912" s="3">
        <v>0</v>
      </c>
      <c r="R912" s="3">
        <v>0</v>
      </c>
      <c r="S912" s="3">
        <v>0</v>
      </c>
      <c r="T912" s="3">
        <v>0</v>
      </c>
      <c r="U912" s="3">
        <v>0</v>
      </c>
      <c r="V912" s="3">
        <v>0</v>
      </c>
      <c r="W912" s="3">
        <v>0</v>
      </c>
      <c r="X912" s="3">
        <v>0</v>
      </c>
      <c r="Y912" s="3">
        <v>0</v>
      </c>
      <c r="Z912" s="3">
        <v>0</v>
      </c>
      <c r="AA912" s="3">
        <v>0</v>
      </c>
      <c r="AB912" s="3">
        <v>0</v>
      </c>
      <c r="AC912" s="3">
        <v>0</v>
      </c>
      <c r="AD912" s="3">
        <v>0</v>
      </c>
      <c r="AE912" s="3">
        <v>0</v>
      </c>
      <c r="AG912" s="17" t="s">
        <v>4826</v>
      </c>
      <c r="AH912" s="3">
        <v>0</v>
      </c>
      <c r="AI912" s="3">
        <v>0</v>
      </c>
      <c r="AJ912" s="3">
        <v>0</v>
      </c>
      <c r="AK912" s="3">
        <v>0</v>
      </c>
      <c r="AL912" s="3">
        <v>0</v>
      </c>
      <c r="AM912" s="3">
        <v>0</v>
      </c>
      <c r="AN912" s="3">
        <v>0</v>
      </c>
      <c r="AO912" s="3">
        <v>0</v>
      </c>
      <c r="AP912" s="3">
        <v>0</v>
      </c>
      <c r="AQ912" s="3">
        <v>0</v>
      </c>
      <c r="AR912" s="3">
        <v>0</v>
      </c>
      <c r="AS912" s="3">
        <v>0</v>
      </c>
      <c r="AT912" s="3">
        <v>0</v>
      </c>
      <c r="AU912" s="3">
        <v>0</v>
      </c>
      <c r="AV912" s="3">
        <v>0</v>
      </c>
      <c r="AW912" s="3">
        <v>0</v>
      </c>
      <c r="AX912" s="3">
        <v>0</v>
      </c>
      <c r="AY912" s="3">
        <v>0</v>
      </c>
      <c r="AZ912" s="3">
        <v>0</v>
      </c>
      <c r="BA912" s="3">
        <v>0</v>
      </c>
      <c r="BC912" s="17" t="s">
        <v>4827</v>
      </c>
      <c r="BD912" s="3">
        <v>0</v>
      </c>
      <c r="BE912" s="3">
        <v>0</v>
      </c>
      <c r="BF912" s="3">
        <v>0</v>
      </c>
      <c r="BG912" s="3">
        <v>0</v>
      </c>
      <c r="BH912" s="3">
        <v>0</v>
      </c>
      <c r="BI912" s="3">
        <v>0</v>
      </c>
      <c r="BJ912" s="3">
        <v>0</v>
      </c>
      <c r="BK912" s="3">
        <v>0</v>
      </c>
      <c r="BL912" s="3">
        <v>0</v>
      </c>
      <c r="BM912" s="3">
        <v>0</v>
      </c>
      <c r="BN912" s="3">
        <v>0</v>
      </c>
      <c r="BO912" s="3">
        <v>0</v>
      </c>
      <c r="BP912" s="3">
        <v>0</v>
      </c>
      <c r="BQ912" s="3">
        <v>0</v>
      </c>
      <c r="BR912" s="3">
        <v>0</v>
      </c>
      <c r="BS912" s="3">
        <v>0</v>
      </c>
      <c r="BT912" s="3">
        <v>0</v>
      </c>
      <c r="BU912" s="3">
        <v>0</v>
      </c>
      <c r="BV912" s="3">
        <v>0</v>
      </c>
      <c r="BW912" s="3">
        <v>0</v>
      </c>
      <c r="BY912" s="17" t="s">
        <v>4828</v>
      </c>
      <c r="BZ912" s="3">
        <v>0</v>
      </c>
      <c r="CA912" s="3">
        <v>0</v>
      </c>
      <c r="CB912" s="3">
        <v>0</v>
      </c>
      <c r="CC912" s="3">
        <v>0</v>
      </c>
      <c r="CD912" s="3">
        <v>0</v>
      </c>
      <c r="CE912" s="3">
        <v>0</v>
      </c>
      <c r="CF912" s="3">
        <v>0</v>
      </c>
      <c r="CG912" s="3">
        <v>0</v>
      </c>
      <c r="CH912" s="3">
        <v>0</v>
      </c>
      <c r="CI912" s="3">
        <v>0</v>
      </c>
      <c r="CJ912" s="3">
        <v>0</v>
      </c>
      <c r="CK912" s="3">
        <v>0</v>
      </c>
      <c r="CL912" s="3">
        <v>0</v>
      </c>
      <c r="CM912" s="3">
        <v>0</v>
      </c>
      <c r="CN912" s="3">
        <v>0</v>
      </c>
      <c r="CO912" s="3">
        <v>0</v>
      </c>
      <c r="CP912" s="3">
        <v>0</v>
      </c>
      <c r="CQ912" s="3">
        <v>0</v>
      </c>
      <c r="CR912" s="3">
        <v>0</v>
      </c>
      <c r="CS912" s="3">
        <v>0</v>
      </c>
      <c r="CU912" s="17" t="s">
        <v>4829</v>
      </c>
      <c r="CV912" s="3">
        <v>0</v>
      </c>
      <c r="CW912" s="3">
        <v>0</v>
      </c>
      <c r="CX912" s="3">
        <v>0</v>
      </c>
      <c r="CY912" s="3">
        <v>0</v>
      </c>
      <c r="CZ912" s="3">
        <v>0</v>
      </c>
      <c r="DA912" s="3">
        <v>0</v>
      </c>
      <c r="DB912" s="3">
        <v>0</v>
      </c>
      <c r="DC912" s="3">
        <v>0</v>
      </c>
      <c r="DD912" s="3">
        <v>0</v>
      </c>
      <c r="DE912" s="3">
        <v>0</v>
      </c>
      <c r="DF912" s="3">
        <v>0</v>
      </c>
      <c r="DG912" s="3">
        <v>0</v>
      </c>
      <c r="DH912" s="3">
        <v>0</v>
      </c>
      <c r="DI912" s="3">
        <v>0</v>
      </c>
      <c r="DJ912" s="3">
        <v>0</v>
      </c>
      <c r="DK912" s="3">
        <v>0</v>
      </c>
      <c r="DL912" s="3">
        <v>0</v>
      </c>
      <c r="DM912" s="3">
        <v>0</v>
      </c>
      <c r="DN912" s="3">
        <v>0</v>
      </c>
      <c r="DO912" s="3">
        <v>0</v>
      </c>
    </row>
    <row r="913" spans="1:230" x14ac:dyDescent="0.45">
      <c r="A913" s="16" t="s">
        <v>4830</v>
      </c>
      <c r="B913" s="3" t="s">
        <v>89</v>
      </c>
      <c r="C913" s="16" t="s">
        <v>4831</v>
      </c>
      <c r="H913" s="3" t="s">
        <v>4832</v>
      </c>
      <c r="I913" s="3" t="s">
        <v>224</v>
      </c>
      <c r="K913" s="17" t="s">
        <v>4833</v>
      </c>
      <c r="L913" s="3">
        <v>659.82580661401153</v>
      </c>
      <c r="M913" s="3">
        <v>0</v>
      </c>
      <c r="N913" s="3">
        <v>4150.2747876668818</v>
      </c>
      <c r="O913" s="3">
        <v>4479.362729120071</v>
      </c>
      <c r="P913" s="3">
        <v>4833.5109010139886</v>
      </c>
      <c r="Q913" s="3">
        <v>5214.6388185955047</v>
      </c>
      <c r="R913" s="3">
        <v>5624.8125206891118</v>
      </c>
      <c r="S913" s="3">
        <v>6066.2557759034598</v>
      </c>
      <c r="T913" s="3">
        <v>1439.5166424048621</v>
      </c>
      <c r="U913" s="3">
        <v>1979.431335686362</v>
      </c>
      <c r="V913" s="3">
        <v>1669.116193324382</v>
      </c>
      <c r="W913" s="3">
        <v>7016.2272970140539</v>
      </c>
      <c r="X913" s="3">
        <v>4299.514464551301</v>
      </c>
      <c r="Y913" s="3">
        <v>4769.8575061202446</v>
      </c>
      <c r="Z913" s="3">
        <v>4681.9272315194312</v>
      </c>
      <c r="AA913" s="3">
        <v>4771.4154453800438</v>
      </c>
      <c r="AB913" s="3">
        <v>4852.142226354079</v>
      </c>
      <c r="AC913" s="3">
        <v>4946.1521612587703</v>
      </c>
      <c r="AD913" s="3">
        <v>5058.6545207772924</v>
      </c>
      <c r="AE913" s="3">
        <v>5170.5415489517954</v>
      </c>
      <c r="AG913" s="17" t="s">
        <v>4834</v>
      </c>
      <c r="AH913" s="3">
        <v>609.65513151860625</v>
      </c>
      <c r="AI913" s="3">
        <v>0</v>
      </c>
      <c r="AJ913" s="3">
        <v>4150.2661568500598</v>
      </c>
      <c r="AK913" s="3">
        <v>4479.3451452200152</v>
      </c>
      <c r="AL913" s="3">
        <v>4833.4840039746114</v>
      </c>
      <c r="AM913" s="3">
        <v>5214.6022081952851</v>
      </c>
      <c r="AN913" s="3">
        <v>0</v>
      </c>
      <c r="AO913" s="3">
        <v>5447.4741314167522</v>
      </c>
      <c r="AP913" s="3">
        <v>1750.018690317256</v>
      </c>
      <c r="AQ913" s="3">
        <v>5575.7559064750694</v>
      </c>
      <c r="AR913" s="3">
        <v>1109.6070156860001</v>
      </c>
      <c r="AS913" s="3">
        <v>6601.9374496000883</v>
      </c>
      <c r="AT913" s="3">
        <v>4118.4763310454482</v>
      </c>
      <c r="AU913" s="3">
        <v>4772.3916831501028</v>
      </c>
      <c r="AV913" s="3">
        <v>4709.0195567875408</v>
      </c>
      <c r="AW913" s="3">
        <v>4870.4508051792654</v>
      </c>
      <c r="AX913" s="3">
        <v>4763.5974591879767</v>
      </c>
      <c r="AY913" s="3">
        <v>4857.5642840773726</v>
      </c>
      <c r="AZ913" s="3">
        <v>4808.0462376948681</v>
      </c>
      <c r="BA913" s="3">
        <v>4953.8574063199749</v>
      </c>
      <c r="BC913" s="17" t="s">
        <v>4835</v>
      </c>
      <c r="BD913" s="3">
        <v>484.08995604156217</v>
      </c>
      <c r="BE913" s="3">
        <v>0</v>
      </c>
      <c r="BF913" s="3">
        <v>4150.2449857723004</v>
      </c>
      <c r="BG913" s="3">
        <v>4479.3020152405788</v>
      </c>
      <c r="BH913" s="3">
        <v>4833.4180345946124</v>
      </c>
      <c r="BI913" s="3">
        <v>5214.5124204243293</v>
      </c>
      <c r="BJ913" s="3">
        <v>1621.9864019948211</v>
      </c>
      <c r="BK913" s="3">
        <v>128.26360194941131</v>
      </c>
      <c r="BL913" s="3">
        <v>112.1000868947053</v>
      </c>
      <c r="BM913" s="3">
        <v>324.21057112274252</v>
      </c>
      <c r="BN913" s="3">
        <v>196.12460558334979</v>
      </c>
      <c r="BO913" s="3">
        <v>312.53084060997048</v>
      </c>
      <c r="BP913" s="3">
        <v>252.02287678247811</v>
      </c>
      <c r="BQ913" s="3">
        <v>299.75495617078718</v>
      </c>
      <c r="BR913" s="3">
        <v>254.46160698772701</v>
      </c>
      <c r="BS913" s="3">
        <v>281.80459151627969</v>
      </c>
      <c r="BT913" s="3">
        <v>231.57376213514871</v>
      </c>
      <c r="BU913" s="3">
        <v>252.6143395202109</v>
      </c>
      <c r="BV913" s="3">
        <v>192.37276434056949</v>
      </c>
      <c r="BW913" s="3">
        <v>220.60176816325651</v>
      </c>
      <c r="BY913" s="17" t="s">
        <v>4836</v>
      </c>
      <c r="BZ913" s="3">
        <v>362.60702251071501</v>
      </c>
      <c r="CA913" s="3">
        <v>0</v>
      </c>
      <c r="CB913" s="3">
        <v>4150.2319456032101</v>
      </c>
      <c r="CC913" s="3">
        <v>4479.2754434282497</v>
      </c>
      <c r="CD913" s="3">
        <v>4833.3773825320768</v>
      </c>
      <c r="CE913" s="3">
        <v>5214.4570787634011</v>
      </c>
      <c r="CF913" s="3">
        <v>5624.5803587472956</v>
      </c>
      <c r="CG913" s="3">
        <v>6065.970765018571</v>
      </c>
      <c r="CH913" s="3">
        <v>12.856601845265111</v>
      </c>
      <c r="CI913" s="3">
        <v>5.6902750745160517</v>
      </c>
      <c r="CJ913" s="3">
        <v>1.3229668436245381</v>
      </c>
      <c r="CK913" s="3">
        <v>2176.5730771184872</v>
      </c>
      <c r="CL913" s="3">
        <v>9.6901896811257063E-3</v>
      </c>
      <c r="CM913" s="3">
        <v>4.138170102932467E-4</v>
      </c>
      <c r="CN913" s="3">
        <v>4.2340785056614491E-4</v>
      </c>
      <c r="CO913" s="3">
        <v>3.8696977548440908E-4</v>
      </c>
      <c r="CP913" s="3">
        <v>3.5606552529889621E-4</v>
      </c>
      <c r="CQ913" s="3">
        <v>3.2268456009861159E-4</v>
      </c>
      <c r="CR913" s="3">
        <v>2.7335654315067747E-4</v>
      </c>
      <c r="CS913" s="3">
        <v>2.5196945576434591E-4</v>
      </c>
      <c r="CU913" s="17" t="s">
        <v>4837</v>
      </c>
      <c r="CV913" s="3">
        <v>539.33477445812719</v>
      </c>
      <c r="CW913" s="3">
        <v>0</v>
      </c>
      <c r="CX913" s="3">
        <v>4150.2542298088474</v>
      </c>
      <c r="CY913" s="3">
        <v>4479.3208468555576</v>
      </c>
      <c r="CZ913" s="3">
        <v>4833.4468377914109</v>
      </c>
      <c r="DA913" s="3">
        <v>5214.5516222056904</v>
      </c>
      <c r="DB913" s="3">
        <v>0</v>
      </c>
      <c r="DC913" s="3">
        <v>560.20939514173074</v>
      </c>
      <c r="DD913" s="3">
        <v>196.17342179019019</v>
      </c>
      <c r="DE913" s="3">
        <v>2557.9473631154228</v>
      </c>
      <c r="DF913" s="3">
        <v>936.72482029737375</v>
      </c>
      <c r="DG913" s="3">
        <v>1551.320848698987</v>
      </c>
      <c r="DH913" s="3">
        <v>1310.348060842872</v>
      </c>
      <c r="DI913" s="3">
        <v>1448.11855530602</v>
      </c>
      <c r="DJ913" s="3">
        <v>1393.227992027003</v>
      </c>
      <c r="DK913" s="3">
        <v>1477.7057013642459</v>
      </c>
      <c r="DL913" s="3">
        <v>1395.7077310046291</v>
      </c>
      <c r="DM913" s="3">
        <v>1444.58552235406</v>
      </c>
      <c r="DN913" s="3">
        <v>1364.592773220714</v>
      </c>
      <c r="DO913" s="3">
        <v>1414.457535919531</v>
      </c>
    </row>
    <row r="914" spans="1:230" x14ac:dyDescent="0.45">
      <c r="A914" s="16" t="s">
        <v>4838</v>
      </c>
      <c r="B914" s="3" t="s">
        <v>89</v>
      </c>
      <c r="C914" s="16" t="s">
        <v>4839</v>
      </c>
      <c r="H914" s="3" t="s">
        <v>4840</v>
      </c>
      <c r="I914" s="3" t="s">
        <v>224</v>
      </c>
      <c r="K914" s="17" t="s">
        <v>4841</v>
      </c>
      <c r="L914" s="3">
        <v>34.916340372571142</v>
      </c>
      <c r="M914" s="3">
        <v>0</v>
      </c>
      <c r="N914" s="3">
        <v>4708.371517548404</v>
      </c>
      <c r="O914" s="3">
        <v>5081.7126502635901</v>
      </c>
      <c r="P914" s="3">
        <v>5483.4839186365289</v>
      </c>
      <c r="Q914" s="3">
        <v>5915.8629594209924</v>
      </c>
      <c r="R914" s="3">
        <v>6381.1936363014502</v>
      </c>
      <c r="S914" s="3">
        <v>6881.9987530232556</v>
      </c>
      <c r="T914" s="3">
        <v>54.801833207764354</v>
      </c>
      <c r="U914" s="3">
        <v>64.744666096623632</v>
      </c>
      <c r="V914" s="3">
        <v>65.10795361909986</v>
      </c>
      <c r="W914" s="3">
        <v>113.2642844632705</v>
      </c>
      <c r="X914" s="3">
        <v>89.494342735388969</v>
      </c>
      <c r="Y914" s="3">
        <v>91.889558368802142</v>
      </c>
      <c r="Z914" s="3">
        <v>89.385024851308174</v>
      </c>
      <c r="AA914" s="3">
        <v>87.2234269572334</v>
      </c>
      <c r="AB914" s="3">
        <v>84.838255597625988</v>
      </c>
      <c r="AC914" s="3">
        <v>81.706189338024643</v>
      </c>
      <c r="AD914" s="3">
        <v>78.316123657091879</v>
      </c>
      <c r="AE914" s="3">
        <v>75.023063571885928</v>
      </c>
      <c r="AG914" s="17" t="s">
        <v>4842</v>
      </c>
      <c r="AH914" s="3">
        <v>28.86776252745566</v>
      </c>
      <c r="AI914" s="3">
        <v>0</v>
      </c>
      <c r="AJ914" s="3">
        <v>4708.3617261263453</v>
      </c>
      <c r="AK914" s="3">
        <v>5081.6927018171791</v>
      </c>
      <c r="AL914" s="3">
        <v>5483.4534046921308</v>
      </c>
      <c r="AM914" s="3">
        <v>5915.8214259384013</v>
      </c>
      <c r="AN914" s="3">
        <v>0</v>
      </c>
      <c r="AO914" s="3">
        <v>6180.0081573304806</v>
      </c>
      <c r="AP914" s="3">
        <v>31.977277167645649</v>
      </c>
      <c r="AQ914" s="3">
        <v>53.861233410072217</v>
      </c>
      <c r="AR914" s="3">
        <v>31.981538970925421</v>
      </c>
      <c r="AS914" s="3">
        <v>64.082938694210128</v>
      </c>
      <c r="AT914" s="3">
        <v>49.992522171667083</v>
      </c>
      <c r="AU914" s="3">
        <v>52.623742262496343</v>
      </c>
      <c r="AV914" s="3">
        <v>51.473006837754163</v>
      </c>
      <c r="AW914" s="3">
        <v>50.618198796198712</v>
      </c>
      <c r="AX914" s="3">
        <v>48.520796614222867</v>
      </c>
      <c r="AY914" s="3">
        <v>46.732144575266652</v>
      </c>
      <c r="AZ914" s="3">
        <v>44.206571207331571</v>
      </c>
      <c r="BA914" s="3">
        <v>42.441579480789748</v>
      </c>
      <c r="BC914" s="17" t="s">
        <v>4843</v>
      </c>
      <c r="BD914" s="3">
        <v>16.82812667052529</v>
      </c>
      <c r="BE914" s="3">
        <v>0</v>
      </c>
      <c r="BF914" s="3">
        <v>4708.337708126428</v>
      </c>
      <c r="BG914" s="3">
        <v>5081.6437720529784</v>
      </c>
      <c r="BH914" s="3">
        <v>5483.3785642621069</v>
      </c>
      <c r="BI914" s="3">
        <v>5915.7195642051392</v>
      </c>
      <c r="BJ914" s="3">
        <v>12.09541493761331</v>
      </c>
      <c r="BK914" s="3">
        <v>1.9421644922900689</v>
      </c>
      <c r="BL914" s="3">
        <v>1.220974533246157</v>
      </c>
      <c r="BM914" s="3">
        <v>2.9378725887646149</v>
      </c>
      <c r="BN914" s="3">
        <v>1.6782819347640969</v>
      </c>
      <c r="BO914" s="3">
        <v>2.3177638837188428</v>
      </c>
      <c r="BP914" s="3">
        <v>1.709226075971505</v>
      </c>
      <c r="BQ914" s="3">
        <v>1.8009523890338299</v>
      </c>
      <c r="BR914" s="3">
        <v>1.3569788276608139</v>
      </c>
      <c r="BS914" s="3">
        <v>1.305221510653048</v>
      </c>
      <c r="BT914" s="3">
        <v>0.92838969996974141</v>
      </c>
      <c r="BU914" s="3">
        <v>0.85927861335722422</v>
      </c>
      <c r="BV914" s="3">
        <v>0.55346208119077256</v>
      </c>
      <c r="BW914" s="3">
        <v>0.53162057688523534</v>
      </c>
      <c r="BY914" s="17" t="s">
        <v>4844</v>
      </c>
      <c r="BZ914" s="3">
        <v>2.9295034682364971</v>
      </c>
      <c r="CA914" s="3">
        <v>0</v>
      </c>
      <c r="CB914" s="3">
        <v>4708.3229144166444</v>
      </c>
      <c r="CC914" s="3">
        <v>5081.6136270696343</v>
      </c>
      <c r="CD914" s="3">
        <v>5483.3324456258351</v>
      </c>
      <c r="CE914" s="3">
        <v>5915.6567806273306</v>
      </c>
      <c r="CF914" s="3">
        <v>6380.9302550242528</v>
      </c>
      <c r="CG914" s="3">
        <v>6881.675416087448</v>
      </c>
      <c r="CH914" s="3">
        <v>2.0151832496787071E-6</v>
      </c>
      <c r="CI914" s="3">
        <v>6.7753201735658556E-8</v>
      </c>
      <c r="CJ914" s="3">
        <v>5.1918198071253678E-10</v>
      </c>
      <c r="CK914" s="3">
        <v>6.7451557020563997E-13</v>
      </c>
      <c r="CL914" s="3">
        <v>9.7006046858190604E-18</v>
      </c>
      <c r="CM914" s="3">
        <v>1.8882560375663639E-22</v>
      </c>
      <c r="CN914" s="3">
        <v>1.3343416872129849E-22</v>
      </c>
      <c r="CO914" s="3">
        <v>8.4659134998312438E-23</v>
      </c>
      <c r="CP914" s="3">
        <v>5.4441862156785859E-23</v>
      </c>
      <c r="CQ914" s="3">
        <v>3.4716076316137728E-23</v>
      </c>
      <c r="CR914" s="3">
        <v>2.0824643512707399E-23</v>
      </c>
      <c r="CS914" s="3">
        <v>1.3682750457255439E-23</v>
      </c>
      <c r="CU914" s="17" t="s">
        <v>4845</v>
      </c>
      <c r="CV914" s="3">
        <v>21.616307879185658</v>
      </c>
      <c r="CW914" s="3">
        <v>0</v>
      </c>
      <c r="CX914" s="3">
        <v>4708.3481952292359</v>
      </c>
      <c r="CY914" s="3">
        <v>5081.6651359973257</v>
      </c>
      <c r="CZ914" s="3">
        <v>5483.4112406891782</v>
      </c>
      <c r="DA914" s="3">
        <v>5915.7640375376859</v>
      </c>
      <c r="DB914" s="3">
        <v>0</v>
      </c>
      <c r="DC914" s="3">
        <v>12.849932473343801</v>
      </c>
      <c r="DD914" s="3">
        <v>3.9857780514827881</v>
      </c>
      <c r="DE914" s="3">
        <v>25.920480057253389</v>
      </c>
      <c r="DF914" s="3">
        <v>17.51042585254994</v>
      </c>
      <c r="DG914" s="3">
        <v>27.084747522662848</v>
      </c>
      <c r="DH914" s="3">
        <v>23.89108016449098</v>
      </c>
      <c r="DI914" s="3">
        <v>25.505219046940489</v>
      </c>
      <c r="DJ914" s="3">
        <v>23.638265567923462</v>
      </c>
      <c r="DK914" s="3">
        <v>23.887759139346269</v>
      </c>
      <c r="DL914" s="3">
        <v>21.510672817016669</v>
      </c>
      <c r="DM914" s="3">
        <v>21.044679109558849</v>
      </c>
      <c r="DN914" s="3">
        <v>18.74480260426671</v>
      </c>
      <c r="DO914" s="3">
        <v>18.32440892326774</v>
      </c>
    </row>
    <row r="915" spans="1:230" x14ac:dyDescent="0.45">
      <c r="A915" s="16" t="s">
        <v>4846</v>
      </c>
      <c r="B915" s="3" t="s">
        <v>89</v>
      </c>
      <c r="C915" s="16" t="s">
        <v>4847</v>
      </c>
      <c r="H915" s="3" t="s">
        <v>4848</v>
      </c>
      <c r="I915" s="3" t="s">
        <v>224</v>
      </c>
      <c r="K915" s="17" t="s">
        <v>4849</v>
      </c>
      <c r="L915" s="3">
        <v>0</v>
      </c>
      <c r="M915" s="3">
        <v>0</v>
      </c>
      <c r="N915" s="3">
        <v>0</v>
      </c>
      <c r="O915" s="3">
        <v>0</v>
      </c>
      <c r="P915" s="3">
        <v>0</v>
      </c>
      <c r="Q915" s="3">
        <v>0</v>
      </c>
      <c r="R915" s="3">
        <v>0</v>
      </c>
      <c r="S915" s="3">
        <v>0</v>
      </c>
      <c r="T915" s="3">
        <v>0</v>
      </c>
      <c r="U915" s="3">
        <v>0</v>
      </c>
      <c r="V915" s="3">
        <v>0</v>
      </c>
      <c r="W915" s="3">
        <v>0</v>
      </c>
      <c r="X915" s="3">
        <v>0</v>
      </c>
      <c r="Y915" s="3">
        <v>0</v>
      </c>
      <c r="Z915" s="3">
        <v>0</v>
      </c>
      <c r="AA915" s="3">
        <v>0</v>
      </c>
      <c r="AB915" s="3">
        <v>0</v>
      </c>
      <c r="AC915" s="3">
        <v>0</v>
      </c>
      <c r="AD915" s="3">
        <v>0</v>
      </c>
      <c r="AE915" s="3">
        <v>0</v>
      </c>
      <c r="AG915" s="17" t="s">
        <v>4850</v>
      </c>
      <c r="AH915" s="3">
        <v>0</v>
      </c>
      <c r="AI915" s="3">
        <v>0</v>
      </c>
      <c r="AJ915" s="3">
        <v>0</v>
      </c>
      <c r="AK915" s="3">
        <v>0</v>
      </c>
      <c r="AL915" s="3">
        <v>0</v>
      </c>
      <c r="AM915" s="3">
        <v>0</v>
      </c>
      <c r="AN915" s="3">
        <v>0</v>
      </c>
      <c r="AO915" s="3">
        <v>0</v>
      </c>
      <c r="AP915" s="3">
        <v>0</v>
      </c>
      <c r="AQ915" s="3">
        <v>0</v>
      </c>
      <c r="AR915" s="3">
        <v>0</v>
      </c>
      <c r="AS915" s="3">
        <v>0</v>
      </c>
      <c r="AT915" s="3">
        <v>0</v>
      </c>
      <c r="AU915" s="3">
        <v>0</v>
      </c>
      <c r="AV915" s="3">
        <v>0</v>
      </c>
      <c r="AW915" s="3">
        <v>0</v>
      </c>
      <c r="AX915" s="3">
        <v>0</v>
      </c>
      <c r="AY915" s="3">
        <v>0</v>
      </c>
      <c r="AZ915" s="3">
        <v>0</v>
      </c>
      <c r="BA915" s="3">
        <v>0</v>
      </c>
      <c r="BC915" s="17" t="s">
        <v>4851</v>
      </c>
      <c r="BD915" s="3">
        <v>0</v>
      </c>
      <c r="BE915" s="3">
        <v>0</v>
      </c>
      <c r="BF915" s="3">
        <v>0</v>
      </c>
      <c r="BG915" s="3">
        <v>0</v>
      </c>
      <c r="BH915" s="3">
        <v>0</v>
      </c>
      <c r="BI915" s="3">
        <v>0</v>
      </c>
      <c r="BJ915" s="3">
        <v>0</v>
      </c>
      <c r="BK915" s="3">
        <v>0</v>
      </c>
      <c r="BL915" s="3">
        <v>0</v>
      </c>
      <c r="BM915" s="3">
        <v>0</v>
      </c>
      <c r="BN915" s="3">
        <v>0</v>
      </c>
      <c r="BO915" s="3">
        <v>0</v>
      </c>
      <c r="BP915" s="3">
        <v>0</v>
      </c>
      <c r="BQ915" s="3">
        <v>0</v>
      </c>
      <c r="BR915" s="3">
        <v>0</v>
      </c>
      <c r="BS915" s="3">
        <v>0</v>
      </c>
      <c r="BT915" s="3">
        <v>0</v>
      </c>
      <c r="BU915" s="3">
        <v>0</v>
      </c>
      <c r="BV915" s="3">
        <v>0</v>
      </c>
      <c r="BW915" s="3">
        <v>0</v>
      </c>
      <c r="BY915" s="17" t="s">
        <v>4852</v>
      </c>
      <c r="BZ915" s="3">
        <v>0</v>
      </c>
      <c r="CA915" s="3">
        <v>0</v>
      </c>
      <c r="CB915" s="3">
        <v>0</v>
      </c>
      <c r="CC915" s="3">
        <v>0</v>
      </c>
      <c r="CD915" s="3">
        <v>0</v>
      </c>
      <c r="CE915" s="3">
        <v>0</v>
      </c>
      <c r="CF915" s="3">
        <v>0</v>
      </c>
      <c r="CG915" s="3">
        <v>0</v>
      </c>
      <c r="CH915" s="3">
        <v>0</v>
      </c>
      <c r="CI915" s="3">
        <v>0</v>
      </c>
      <c r="CJ915" s="3">
        <v>0</v>
      </c>
      <c r="CK915" s="3">
        <v>0</v>
      </c>
      <c r="CL915" s="3">
        <v>0</v>
      </c>
      <c r="CM915" s="3">
        <v>0</v>
      </c>
      <c r="CN915" s="3">
        <v>0</v>
      </c>
      <c r="CO915" s="3">
        <v>0</v>
      </c>
      <c r="CP915" s="3">
        <v>0</v>
      </c>
      <c r="CQ915" s="3">
        <v>0</v>
      </c>
      <c r="CR915" s="3">
        <v>0</v>
      </c>
      <c r="CS915" s="3">
        <v>0</v>
      </c>
      <c r="CU915" s="17" t="s">
        <v>4853</v>
      </c>
      <c r="CV915" s="3">
        <v>0</v>
      </c>
      <c r="CW915" s="3">
        <v>0</v>
      </c>
      <c r="CX915" s="3">
        <v>0</v>
      </c>
      <c r="CY915" s="3">
        <v>0</v>
      </c>
      <c r="CZ915" s="3">
        <v>0</v>
      </c>
      <c r="DA915" s="3">
        <v>0</v>
      </c>
      <c r="DB915" s="3">
        <v>0</v>
      </c>
      <c r="DC915" s="3">
        <v>0</v>
      </c>
      <c r="DD915" s="3">
        <v>0</v>
      </c>
      <c r="DE915" s="3">
        <v>0</v>
      </c>
      <c r="DF915" s="3">
        <v>0</v>
      </c>
      <c r="DG915" s="3">
        <v>0</v>
      </c>
      <c r="DH915" s="3">
        <v>0</v>
      </c>
      <c r="DI915" s="3">
        <v>0</v>
      </c>
      <c r="DJ915" s="3">
        <v>0</v>
      </c>
      <c r="DK915" s="3">
        <v>0</v>
      </c>
      <c r="DL915" s="3">
        <v>0</v>
      </c>
      <c r="DM915" s="3">
        <v>0</v>
      </c>
      <c r="DN915" s="3">
        <v>0</v>
      </c>
      <c r="DO915" s="3">
        <v>0</v>
      </c>
    </row>
    <row r="916" spans="1:230" x14ac:dyDescent="0.45">
      <c r="A916" s="16" t="s">
        <v>4854</v>
      </c>
      <c r="B916" s="3" t="s">
        <v>89</v>
      </c>
      <c r="C916" s="16" t="s">
        <v>4855</v>
      </c>
      <c r="H916" s="3" t="s">
        <v>4856</v>
      </c>
      <c r="I916" s="3" t="s">
        <v>224</v>
      </c>
      <c r="K916" s="17" t="s">
        <v>4857</v>
      </c>
      <c r="L916" s="3">
        <v>993.95417673412248</v>
      </c>
      <c r="M916" s="3">
        <v>0</v>
      </c>
      <c r="N916" s="3">
        <v>1492.3681219281441</v>
      </c>
      <c r="O916" s="3">
        <v>1597.7260848018709</v>
      </c>
      <c r="P916" s="3">
        <v>1711.793686321387</v>
      </c>
      <c r="Q916" s="3">
        <v>1833.552401278984</v>
      </c>
      <c r="R916" s="3">
        <v>1961.481434259882</v>
      </c>
      <c r="S916" s="3">
        <v>2100.0443820124669</v>
      </c>
      <c r="T916" s="3">
        <v>2038.39426692662</v>
      </c>
      <c r="U916" s="3">
        <v>2295.1699698094162</v>
      </c>
      <c r="V916" s="3">
        <v>2358.5187084349132</v>
      </c>
      <c r="W916" s="3">
        <v>2416.7913032136289</v>
      </c>
      <c r="X916" s="3">
        <v>2579.563107634493</v>
      </c>
      <c r="Y916" s="3">
        <v>2691.2244799136229</v>
      </c>
      <c r="Z916" s="3">
        <v>2815.8181344737659</v>
      </c>
      <c r="AA916" s="3">
        <v>2936.7385189576012</v>
      </c>
      <c r="AB916" s="3">
        <v>3060.109844204615</v>
      </c>
      <c r="AC916" s="3">
        <v>3185.723319633968</v>
      </c>
      <c r="AD916" s="3">
        <v>3313.7066800784778</v>
      </c>
      <c r="AE916" s="3">
        <v>3448.0777599701469</v>
      </c>
      <c r="AG916" s="17" t="s">
        <v>4858</v>
      </c>
      <c r="AH916" s="3">
        <v>1020.507282319718</v>
      </c>
      <c r="AI916" s="3">
        <v>0</v>
      </c>
      <c r="AJ916" s="3">
        <v>1492.365018433424</v>
      </c>
      <c r="AK916" s="3">
        <v>1597.7198128704631</v>
      </c>
      <c r="AL916" s="3">
        <v>1711.7841607026121</v>
      </c>
      <c r="AM916" s="3">
        <v>1833.5395284627521</v>
      </c>
      <c r="AN916" s="3">
        <v>0</v>
      </c>
      <c r="AO916" s="3">
        <v>1885.831700549458</v>
      </c>
      <c r="AP916" s="3">
        <v>2019.0620963812339</v>
      </c>
      <c r="AQ916" s="3">
        <v>2074.9881538889181</v>
      </c>
      <c r="AR916" s="3">
        <v>1965.7466016604619</v>
      </c>
      <c r="AS916" s="3">
        <v>2247.2382684610989</v>
      </c>
      <c r="AT916" s="3">
        <v>2406.9561195341612</v>
      </c>
      <c r="AU916" s="3">
        <v>2513.9717230973938</v>
      </c>
      <c r="AV916" s="3">
        <v>2637.3032357592592</v>
      </c>
      <c r="AW916" s="3">
        <v>2757.6853718574721</v>
      </c>
      <c r="AX916" s="3">
        <v>2881.949355890401</v>
      </c>
      <c r="AY916" s="3">
        <v>3004.9736024853692</v>
      </c>
      <c r="AZ916" s="3">
        <v>3130.4174703212052</v>
      </c>
      <c r="BA916" s="3">
        <v>3259.0674090727448</v>
      </c>
      <c r="BC916" s="17" t="s">
        <v>4859</v>
      </c>
      <c r="BD916" s="3">
        <v>1086.4087104384259</v>
      </c>
      <c r="BE916" s="3">
        <v>0</v>
      </c>
      <c r="BF916" s="3">
        <v>1492.357405674469</v>
      </c>
      <c r="BG916" s="3">
        <v>1597.7044290095539</v>
      </c>
      <c r="BH916" s="3">
        <v>1711.7607975675151</v>
      </c>
      <c r="BI916" s="3">
        <v>1833.507957612158</v>
      </c>
      <c r="BJ916" s="3">
        <v>1961.425131178114</v>
      </c>
      <c r="BK916" s="3">
        <v>450.9507899868758</v>
      </c>
      <c r="BL916" s="3">
        <v>473.31219087349552</v>
      </c>
      <c r="BM916" s="3">
        <v>1772.0891711459619</v>
      </c>
      <c r="BN916" s="3">
        <v>1003.301531392622</v>
      </c>
      <c r="BO916" s="3">
        <v>1914.872024878194</v>
      </c>
      <c r="BP916" s="3">
        <v>1743.4172352525859</v>
      </c>
      <c r="BQ916" s="3">
        <v>1977.301405901371</v>
      </c>
      <c r="BR916" s="3">
        <v>2031.130812552341</v>
      </c>
      <c r="BS916" s="3">
        <v>2073.9656289661889</v>
      </c>
      <c r="BT916" s="3">
        <v>2141.9425878190409</v>
      </c>
      <c r="BU916" s="3">
        <v>2197.5375798517898</v>
      </c>
      <c r="BV916" s="3">
        <v>2281.4902575005558</v>
      </c>
      <c r="BW916" s="3">
        <v>2345.3748478001999</v>
      </c>
      <c r="BY916" s="17" t="s">
        <v>4860</v>
      </c>
      <c r="BZ916" s="3">
        <v>1172.68453891336</v>
      </c>
      <c r="CA916" s="3">
        <v>0</v>
      </c>
      <c r="CB916" s="3">
        <v>1492.352716651777</v>
      </c>
      <c r="CC916" s="3">
        <v>1597.694951215447</v>
      </c>
      <c r="CD916" s="3">
        <v>1711.7464005907821</v>
      </c>
      <c r="CE916" s="3">
        <v>1833.488498577924</v>
      </c>
      <c r="CF916" s="3">
        <v>1961.400474879114</v>
      </c>
      <c r="CG916" s="3">
        <v>2099.945715630809</v>
      </c>
      <c r="CH916" s="3">
        <v>2247.8206668993512</v>
      </c>
      <c r="CI916" s="3">
        <v>2289.7485363740711</v>
      </c>
      <c r="CJ916" s="3">
        <v>2357.66082743794</v>
      </c>
      <c r="CK916" s="3">
        <v>2411.657416287323</v>
      </c>
      <c r="CL916" s="3">
        <v>2583.8101012191519</v>
      </c>
      <c r="CM916" s="3">
        <v>2702.067277016778</v>
      </c>
      <c r="CN916" s="3">
        <v>2829.6098680574701</v>
      </c>
      <c r="CO916" s="3">
        <v>2969.3390211931019</v>
      </c>
      <c r="CP916" s="3">
        <v>3103.664683215457</v>
      </c>
      <c r="CQ916" s="3">
        <v>3239.489593365091</v>
      </c>
      <c r="CR916" s="3">
        <v>3380.3348215769561</v>
      </c>
      <c r="CS916" s="3">
        <v>3522.3640029515609</v>
      </c>
      <c r="CU916" s="17" t="s">
        <v>4861</v>
      </c>
      <c r="CV916" s="3">
        <v>1057.5051981791869</v>
      </c>
      <c r="CW916" s="3">
        <v>0</v>
      </c>
      <c r="CX916" s="3">
        <v>1492.360729672557</v>
      </c>
      <c r="CY916" s="3">
        <v>1597.711145983438</v>
      </c>
      <c r="CZ916" s="3">
        <v>1711.770998254229</v>
      </c>
      <c r="DA916" s="3">
        <v>1833.5217416004359</v>
      </c>
      <c r="DB916" s="3">
        <v>0</v>
      </c>
      <c r="DC916" s="3">
        <v>1281.8779193073631</v>
      </c>
      <c r="DD916" s="3">
        <v>452.8584441682155</v>
      </c>
      <c r="DE916" s="3">
        <v>1842.573185313058</v>
      </c>
      <c r="DF916" s="3">
        <v>1987.9966221648281</v>
      </c>
      <c r="DG916" s="3">
        <v>2058.7166450309778</v>
      </c>
      <c r="DH916" s="3">
        <v>2202.2171139987959</v>
      </c>
      <c r="DI916" s="3">
        <v>2323.570654829276</v>
      </c>
      <c r="DJ916" s="3">
        <v>2467.6135657355098</v>
      </c>
      <c r="DK916" s="3">
        <v>2601.0212281338372</v>
      </c>
      <c r="DL916" s="3">
        <v>2748.2230601263391</v>
      </c>
      <c r="DM916" s="3">
        <v>2883.924840610649</v>
      </c>
      <c r="DN916" s="3">
        <v>3029.0570893517461</v>
      </c>
      <c r="DO916" s="3">
        <v>3166.947690367751</v>
      </c>
    </row>
    <row r="917" spans="1:230" x14ac:dyDescent="0.45">
      <c r="A917" s="16" t="s">
        <v>4862</v>
      </c>
      <c r="B917" s="3" t="s">
        <v>89</v>
      </c>
      <c r="C917" s="16" t="s">
        <v>4863</v>
      </c>
      <c r="H917" s="3" t="s">
        <v>4864</v>
      </c>
      <c r="I917" s="3" t="s">
        <v>224</v>
      </c>
      <c r="K917" s="17" t="s">
        <v>4865</v>
      </c>
      <c r="L917" s="3">
        <v>1027.6464668965441</v>
      </c>
      <c r="M917" s="3">
        <v>0</v>
      </c>
      <c r="N917" s="3">
        <v>1700.9971620128181</v>
      </c>
      <c r="O917" s="3">
        <v>1747.4448601827371</v>
      </c>
      <c r="P917" s="3">
        <v>1792.255039527739</v>
      </c>
      <c r="Q917" s="3">
        <v>1830.63137871514</v>
      </c>
      <c r="R917" s="3">
        <v>1865.996869982891</v>
      </c>
      <c r="S917" s="3">
        <v>1892.685670247691</v>
      </c>
      <c r="T917" s="3">
        <v>1914.5906485608391</v>
      </c>
      <c r="U917" s="3">
        <v>1929.3887372477529</v>
      </c>
      <c r="V917" s="3">
        <v>1956.3433150113469</v>
      </c>
      <c r="W917" s="3">
        <v>1980.6062940067591</v>
      </c>
      <c r="X917" s="3">
        <v>2084.879344639025</v>
      </c>
      <c r="Y917" s="3">
        <v>2144.5500896543708</v>
      </c>
      <c r="Z917" s="3">
        <v>2212.843328854191</v>
      </c>
      <c r="AA917" s="3">
        <v>2274.1115239787391</v>
      </c>
      <c r="AB917" s="3">
        <v>2338.1580412962981</v>
      </c>
      <c r="AC917" s="3">
        <v>2397.0520909205102</v>
      </c>
      <c r="AD917" s="3">
        <v>2454.5256955229161</v>
      </c>
      <c r="AE917" s="3">
        <v>2515.1061563850621</v>
      </c>
      <c r="AG917" s="17" t="s">
        <v>4866</v>
      </c>
      <c r="AH917" s="3">
        <v>1055.099649124548</v>
      </c>
      <c r="AI917" s="3">
        <v>0</v>
      </c>
      <c r="AJ917" s="3">
        <v>1700.993624657902</v>
      </c>
      <c r="AK917" s="3">
        <v>1747.438000524872</v>
      </c>
      <c r="AL917" s="3">
        <v>1792.2450661656519</v>
      </c>
      <c r="AM917" s="3">
        <v>1830.6185264065221</v>
      </c>
      <c r="AN917" s="3">
        <v>0</v>
      </c>
      <c r="AO917" s="3">
        <v>1699.624382561075</v>
      </c>
      <c r="AP917" s="3">
        <v>1719.6550541338329</v>
      </c>
      <c r="AQ917" s="3">
        <v>1744.2972968002989</v>
      </c>
      <c r="AR917" s="3">
        <v>1830.223197115949</v>
      </c>
      <c r="AS917" s="3">
        <v>1841.654367395525</v>
      </c>
      <c r="AT917" s="3">
        <v>1945.373261936229</v>
      </c>
      <c r="AU917" s="3">
        <v>2003.3030779840819</v>
      </c>
      <c r="AV917" s="3">
        <v>2072.5553259163512</v>
      </c>
      <c r="AW917" s="3">
        <v>2135.458789798784</v>
      </c>
      <c r="AX917" s="3">
        <v>2202.0297976706429</v>
      </c>
      <c r="AY917" s="3">
        <v>2261.049543318818</v>
      </c>
      <c r="AZ917" s="3">
        <v>2318.759884455214</v>
      </c>
      <c r="BA917" s="3">
        <v>2377.2377177200729</v>
      </c>
      <c r="BC917" s="17" t="s">
        <v>4867</v>
      </c>
      <c r="BD917" s="3">
        <v>1123.234952898963</v>
      </c>
      <c r="BE917" s="3">
        <v>0</v>
      </c>
      <c r="BF917" s="3">
        <v>1700.984947655769</v>
      </c>
      <c r="BG917" s="3">
        <v>1747.4211750821819</v>
      </c>
      <c r="BH917" s="3">
        <v>1792.220604866985</v>
      </c>
      <c r="BI917" s="3">
        <v>1830.587005851283</v>
      </c>
      <c r="BJ917" s="3">
        <v>1865.943307725041</v>
      </c>
      <c r="BK917" s="3">
        <v>499.80977342436091</v>
      </c>
      <c r="BL917" s="3">
        <v>529.95029883897075</v>
      </c>
      <c r="BM917" s="3">
        <v>1594.798001687363</v>
      </c>
      <c r="BN917" s="3">
        <v>1123.1288021394651</v>
      </c>
      <c r="BO917" s="3">
        <v>1569.2739292996271</v>
      </c>
      <c r="BP917" s="3">
        <v>1578.6438767261541</v>
      </c>
      <c r="BQ917" s="3">
        <v>1575.6477911629279</v>
      </c>
      <c r="BR917" s="3">
        <v>1596.187698900025</v>
      </c>
      <c r="BS917" s="3">
        <v>1606.0092196570261</v>
      </c>
      <c r="BT917" s="3">
        <v>1636.608011045377</v>
      </c>
      <c r="BU917" s="3">
        <v>1653.505820230919</v>
      </c>
      <c r="BV917" s="3">
        <v>1689.943317791689</v>
      </c>
      <c r="BW917" s="3">
        <v>1710.76963147839</v>
      </c>
      <c r="BY917" s="17" t="s">
        <v>4868</v>
      </c>
      <c r="BZ917" s="3">
        <v>1163.3630590439229</v>
      </c>
      <c r="CA917" s="3">
        <v>0</v>
      </c>
      <c r="CB917" s="3">
        <v>1700.9796031203471</v>
      </c>
      <c r="CC917" s="3">
        <v>1747.4108091485241</v>
      </c>
      <c r="CD917" s="3">
        <v>1792.2055311730519</v>
      </c>
      <c r="CE917" s="3">
        <v>1830.5675778171319</v>
      </c>
      <c r="CF917" s="3">
        <v>1865.9198516902529</v>
      </c>
      <c r="CG917" s="3">
        <v>1892.5967462000381</v>
      </c>
      <c r="CH917" s="3">
        <v>1914.490979523634</v>
      </c>
      <c r="CI917" s="3">
        <v>1924.8313176459451</v>
      </c>
      <c r="CJ917" s="3">
        <v>1955.6317201668789</v>
      </c>
      <c r="CK917" s="3">
        <v>1976.3989763350021</v>
      </c>
      <c r="CL917" s="3">
        <v>2088.311890706716</v>
      </c>
      <c r="CM917" s="3">
        <v>2153.190365362781</v>
      </c>
      <c r="CN917" s="3">
        <v>2223.6817225985851</v>
      </c>
      <c r="CO917" s="3">
        <v>2299.3562563043001</v>
      </c>
      <c r="CP917" s="3">
        <v>2371.437270557768</v>
      </c>
      <c r="CQ917" s="3">
        <v>2437.5077570086119</v>
      </c>
      <c r="CR917" s="3">
        <v>2503.8784298298269</v>
      </c>
      <c r="CS917" s="3">
        <v>2569.2922276002569</v>
      </c>
      <c r="CU917" s="17" t="s">
        <v>4869</v>
      </c>
      <c r="CV917" s="3">
        <v>1093.3516917292141</v>
      </c>
      <c r="CW917" s="3">
        <v>0</v>
      </c>
      <c r="CX917" s="3">
        <v>1700.9887363398291</v>
      </c>
      <c r="CY917" s="3">
        <v>1747.428521486301</v>
      </c>
      <c r="CZ917" s="3">
        <v>1792.231285027985</v>
      </c>
      <c r="DA917" s="3">
        <v>1830.6007678803619</v>
      </c>
      <c r="DB917" s="3">
        <v>0</v>
      </c>
      <c r="DC917" s="3">
        <v>1427.4545523556569</v>
      </c>
      <c r="DD917" s="3">
        <v>508.06125254138249</v>
      </c>
      <c r="DE917" s="3">
        <v>1548.9223012067091</v>
      </c>
      <c r="DF917" s="3">
        <v>1649.002777941979</v>
      </c>
      <c r="DG917" s="3">
        <v>1687.1573227290819</v>
      </c>
      <c r="DH917" s="3">
        <v>1779.897130563716</v>
      </c>
      <c r="DI917" s="3">
        <v>1851.5786004935289</v>
      </c>
      <c r="DJ917" s="3">
        <v>1939.202731268864</v>
      </c>
      <c r="DK917" s="3">
        <v>2014.1433467192151</v>
      </c>
      <c r="DL917" s="3">
        <v>2099.8526766873329</v>
      </c>
      <c r="DM917" s="3">
        <v>2169.9681283174432</v>
      </c>
      <c r="DN917" s="3">
        <v>2243.680318393067</v>
      </c>
      <c r="DO917" s="3">
        <v>2310.0435046634061</v>
      </c>
    </row>
    <row r="918" spans="1:230" x14ac:dyDescent="0.45">
      <c r="A918" s="16" t="s">
        <v>4870</v>
      </c>
      <c r="B918" s="3" t="s">
        <v>89</v>
      </c>
      <c r="C918" s="16" t="s">
        <v>4871</v>
      </c>
      <c r="H918" s="3" t="s">
        <v>4872</v>
      </c>
      <c r="I918" s="3" t="s">
        <v>224</v>
      </c>
      <c r="K918" s="17" t="s">
        <v>4873</v>
      </c>
      <c r="L918" s="3">
        <v>0</v>
      </c>
      <c r="M918" s="3">
        <v>0</v>
      </c>
      <c r="N918" s="3">
        <v>0</v>
      </c>
      <c r="O918" s="3">
        <v>0</v>
      </c>
      <c r="P918" s="3">
        <v>0</v>
      </c>
      <c r="Q918" s="3">
        <v>0</v>
      </c>
      <c r="R918" s="3">
        <v>0</v>
      </c>
      <c r="S918" s="3">
        <v>0</v>
      </c>
      <c r="T918" s="3">
        <v>1366.0418558346939</v>
      </c>
      <c r="U918" s="3">
        <v>1584.6670756525421</v>
      </c>
      <c r="V918" s="3">
        <v>1572.932820028331</v>
      </c>
      <c r="W918" s="3">
        <v>2766.4548036546448</v>
      </c>
      <c r="X918" s="3">
        <v>2237.6747869928799</v>
      </c>
      <c r="Y918" s="3">
        <v>2365.5628046831011</v>
      </c>
      <c r="Z918" s="3">
        <v>2374.2365296665462</v>
      </c>
      <c r="AA918" s="3">
        <v>2407.632797873343</v>
      </c>
      <c r="AB918" s="3">
        <v>2435.7948212775168</v>
      </c>
      <c r="AC918" s="3">
        <v>2456.2626378706659</v>
      </c>
      <c r="AD918" s="3">
        <v>2473.5387445760248</v>
      </c>
      <c r="AE918" s="3">
        <v>2489.230108167234</v>
      </c>
      <c r="AG918" s="17" t="s">
        <v>4874</v>
      </c>
      <c r="AH918" s="3">
        <v>0</v>
      </c>
      <c r="AI918" s="3">
        <v>0</v>
      </c>
      <c r="AJ918" s="3">
        <v>0</v>
      </c>
      <c r="AK918" s="3">
        <v>0</v>
      </c>
      <c r="AL918" s="3">
        <v>0</v>
      </c>
      <c r="AM918" s="3">
        <v>0</v>
      </c>
      <c r="AN918" s="3">
        <v>0</v>
      </c>
      <c r="AO918" s="3">
        <v>0</v>
      </c>
      <c r="AP918" s="3">
        <v>1371.332279653466</v>
      </c>
      <c r="AQ918" s="3">
        <v>2256.5501790665799</v>
      </c>
      <c r="AR918" s="3">
        <v>1317.358113421476</v>
      </c>
      <c r="AS918" s="3">
        <v>3180.2916203422078</v>
      </c>
      <c r="AT918" s="3">
        <v>2127.9756963704081</v>
      </c>
      <c r="AU918" s="3">
        <v>2302.0783514531649</v>
      </c>
      <c r="AV918" s="3">
        <v>2321.9437476448279</v>
      </c>
      <c r="AW918" s="3">
        <v>2375.7381336072249</v>
      </c>
      <c r="AX918" s="3">
        <v>2371.638922147928</v>
      </c>
      <c r="AY918" s="3">
        <v>2397.0330737346521</v>
      </c>
      <c r="AZ918" s="3">
        <v>2388.211912832724</v>
      </c>
      <c r="BA918" s="3">
        <v>2414.9427460532061</v>
      </c>
      <c r="BC918" s="17" t="s">
        <v>4875</v>
      </c>
      <c r="BD918" s="3">
        <v>0</v>
      </c>
      <c r="BE918" s="3">
        <v>0</v>
      </c>
      <c r="BF918" s="3">
        <v>0</v>
      </c>
      <c r="BG918" s="3">
        <v>0</v>
      </c>
      <c r="BH918" s="3">
        <v>0</v>
      </c>
      <c r="BI918" s="3">
        <v>0</v>
      </c>
      <c r="BJ918" s="3">
        <v>0</v>
      </c>
      <c r="BK918" s="3">
        <v>0</v>
      </c>
      <c r="BL918" s="3">
        <v>350.01647147949421</v>
      </c>
      <c r="BM918" s="3">
        <v>1138.437916883526</v>
      </c>
      <c r="BN918" s="3">
        <v>759.10945942366152</v>
      </c>
      <c r="BO918" s="3">
        <v>2070.996430602192</v>
      </c>
      <c r="BP918" s="3">
        <v>1198.523374711149</v>
      </c>
      <c r="BQ918" s="3">
        <v>3237.3215850509268</v>
      </c>
      <c r="BR918" s="3">
        <v>2405.6803620243409</v>
      </c>
      <c r="BS918" s="3">
        <v>4607.0623099707118</v>
      </c>
      <c r="BT918" s="3">
        <v>3409.4566512040919</v>
      </c>
      <c r="BU918" s="3">
        <v>5898.9699967878623</v>
      </c>
      <c r="BV918" s="3">
        <v>3718.2087812697168</v>
      </c>
      <c r="BW918" s="3">
        <v>7291.4792013018659</v>
      </c>
      <c r="BY918" s="17" t="s">
        <v>4876</v>
      </c>
      <c r="BZ918" s="3">
        <v>0</v>
      </c>
      <c r="CA918" s="3">
        <v>0</v>
      </c>
      <c r="CB918" s="3">
        <v>0</v>
      </c>
      <c r="CC918" s="3">
        <v>0</v>
      </c>
      <c r="CD918" s="3">
        <v>0</v>
      </c>
      <c r="CE918" s="3">
        <v>0</v>
      </c>
      <c r="CF918" s="3">
        <v>0</v>
      </c>
      <c r="CG918" s="3">
        <v>0</v>
      </c>
      <c r="CH918" s="3">
        <v>2739.065183278356</v>
      </c>
      <c r="CI918" s="3">
        <v>5022.2200491702779</v>
      </c>
      <c r="CJ918" s="3">
        <v>3627.1575874321488</v>
      </c>
      <c r="CK918" s="3">
        <v>10892.68815277154</v>
      </c>
      <c r="CL918" s="3">
        <v>8996.4804932458283</v>
      </c>
      <c r="CM918" s="3">
        <v>9289.6409638664336</v>
      </c>
      <c r="CN918" s="3">
        <v>10381.924575079771</v>
      </c>
      <c r="CO918" s="3">
        <v>9564.5717810625156</v>
      </c>
      <c r="CP918" s="3">
        <v>9409.02025526539</v>
      </c>
      <c r="CQ918" s="3">
        <v>9585.0284023257536</v>
      </c>
      <c r="CR918" s="3">
        <v>9047.0484706349562</v>
      </c>
      <c r="CS918" s="3">
        <v>9244.5836787814678</v>
      </c>
      <c r="CU918" s="17" t="s">
        <v>4877</v>
      </c>
      <c r="CV918" s="3">
        <v>0</v>
      </c>
      <c r="CW918" s="3">
        <v>0</v>
      </c>
      <c r="CX918" s="3">
        <v>0</v>
      </c>
      <c r="CY918" s="3">
        <v>0</v>
      </c>
      <c r="CZ918" s="3">
        <v>0</v>
      </c>
      <c r="DA918" s="3">
        <v>0</v>
      </c>
      <c r="DB918" s="3">
        <v>0</v>
      </c>
      <c r="DC918" s="3">
        <v>0</v>
      </c>
      <c r="DD918" s="3">
        <v>327.9230541229125</v>
      </c>
      <c r="DE918" s="3">
        <v>8269.5317564821871</v>
      </c>
      <c r="DF918" s="3">
        <v>3759.0159279656382</v>
      </c>
      <c r="DG918" s="3">
        <v>9298.567142162794</v>
      </c>
      <c r="DH918" s="3">
        <v>7365.3497108870324</v>
      </c>
      <c r="DI918" s="3">
        <v>8754.7857488376849</v>
      </c>
      <c r="DJ918" s="3">
        <v>7823.8024664005179</v>
      </c>
      <c r="DK918" s="3">
        <v>8719.3866903902035</v>
      </c>
      <c r="DL918" s="3">
        <v>7520.435296347142</v>
      </c>
      <c r="DM918" s="3">
        <v>8088.9701481504908</v>
      </c>
      <c r="DN918" s="3">
        <v>6978.1849454571966</v>
      </c>
      <c r="DO918" s="3">
        <v>7636.1682082587013</v>
      </c>
    </row>
    <row r="919" spans="1:230" x14ac:dyDescent="0.45">
      <c r="A919" s="16" t="s">
        <v>4878</v>
      </c>
      <c r="B919" s="3" t="s">
        <v>89</v>
      </c>
      <c r="C919" s="16" t="s">
        <v>4879</v>
      </c>
      <c r="H919" s="3" t="s">
        <v>4880</v>
      </c>
      <c r="I919" s="3" t="s">
        <v>224</v>
      </c>
      <c r="K919" s="17" t="s">
        <v>4881</v>
      </c>
      <c r="L919" s="3">
        <v>0</v>
      </c>
      <c r="M919" s="3">
        <v>0</v>
      </c>
      <c r="N919" s="3">
        <v>0</v>
      </c>
      <c r="O919" s="3">
        <v>0</v>
      </c>
      <c r="P919" s="3">
        <v>0</v>
      </c>
      <c r="Q919" s="3">
        <v>0</v>
      </c>
      <c r="R919" s="3">
        <v>0</v>
      </c>
      <c r="S919" s="3">
        <v>0</v>
      </c>
      <c r="T919" s="3">
        <v>0</v>
      </c>
      <c r="U919" s="3">
        <v>0</v>
      </c>
      <c r="V919" s="3">
        <v>0</v>
      </c>
      <c r="W919" s="3">
        <v>0</v>
      </c>
      <c r="X919" s="3">
        <v>0</v>
      </c>
      <c r="Y919" s="3">
        <v>0</v>
      </c>
      <c r="Z919" s="3">
        <v>0</v>
      </c>
      <c r="AA919" s="3">
        <v>0</v>
      </c>
      <c r="AB919" s="3">
        <v>0</v>
      </c>
      <c r="AC919" s="3">
        <v>0</v>
      </c>
      <c r="AD919" s="3">
        <v>0</v>
      </c>
      <c r="AE919" s="3">
        <v>0</v>
      </c>
      <c r="AG919" s="17" t="s">
        <v>4882</v>
      </c>
      <c r="AH919" s="3">
        <v>0</v>
      </c>
      <c r="AI919" s="3">
        <v>0</v>
      </c>
      <c r="AJ919" s="3">
        <v>0</v>
      </c>
      <c r="AK919" s="3">
        <v>0</v>
      </c>
      <c r="AL919" s="3">
        <v>0</v>
      </c>
      <c r="AM919" s="3">
        <v>0</v>
      </c>
      <c r="AN919" s="3">
        <v>0</v>
      </c>
      <c r="AO919" s="3">
        <v>0</v>
      </c>
      <c r="AP919" s="3">
        <v>0</v>
      </c>
      <c r="AQ919" s="3">
        <v>0</v>
      </c>
      <c r="AR919" s="3">
        <v>0</v>
      </c>
      <c r="AS919" s="3">
        <v>0</v>
      </c>
      <c r="AT919" s="3">
        <v>0</v>
      </c>
      <c r="AU919" s="3">
        <v>0</v>
      </c>
      <c r="AV919" s="3">
        <v>0</v>
      </c>
      <c r="AW919" s="3">
        <v>0</v>
      </c>
      <c r="AX919" s="3">
        <v>0</v>
      </c>
      <c r="AY919" s="3">
        <v>0</v>
      </c>
      <c r="AZ919" s="3">
        <v>0</v>
      </c>
      <c r="BA919" s="3">
        <v>0</v>
      </c>
      <c r="BC919" s="17" t="s">
        <v>4883</v>
      </c>
      <c r="BD919" s="3">
        <v>0</v>
      </c>
      <c r="BE919" s="3">
        <v>0</v>
      </c>
      <c r="BF919" s="3">
        <v>0</v>
      </c>
      <c r="BG919" s="3">
        <v>0</v>
      </c>
      <c r="BH919" s="3">
        <v>0</v>
      </c>
      <c r="BI919" s="3">
        <v>0</v>
      </c>
      <c r="BJ919" s="3">
        <v>0</v>
      </c>
      <c r="BK919" s="3">
        <v>0</v>
      </c>
      <c r="BL919" s="3">
        <v>0</v>
      </c>
      <c r="BM919" s="3">
        <v>0</v>
      </c>
      <c r="BN919" s="3">
        <v>0</v>
      </c>
      <c r="BO919" s="3">
        <v>0</v>
      </c>
      <c r="BP919" s="3">
        <v>0</v>
      </c>
      <c r="BQ919" s="3">
        <v>0</v>
      </c>
      <c r="BR919" s="3">
        <v>0</v>
      </c>
      <c r="BS919" s="3">
        <v>0</v>
      </c>
      <c r="BT919" s="3">
        <v>0</v>
      </c>
      <c r="BU919" s="3">
        <v>0</v>
      </c>
      <c r="BV919" s="3">
        <v>0</v>
      </c>
      <c r="BW919" s="3">
        <v>0</v>
      </c>
      <c r="BY919" s="17" t="s">
        <v>4884</v>
      </c>
      <c r="BZ919" s="3">
        <v>0</v>
      </c>
      <c r="CA919" s="3">
        <v>0</v>
      </c>
      <c r="CB919" s="3">
        <v>0</v>
      </c>
      <c r="CC919" s="3">
        <v>0</v>
      </c>
      <c r="CD919" s="3">
        <v>0</v>
      </c>
      <c r="CE919" s="3">
        <v>0</v>
      </c>
      <c r="CF919" s="3">
        <v>0</v>
      </c>
      <c r="CG919" s="3">
        <v>0</v>
      </c>
      <c r="CH919" s="3">
        <v>0</v>
      </c>
      <c r="CI919" s="3">
        <v>0</v>
      </c>
      <c r="CJ919" s="3">
        <v>0</v>
      </c>
      <c r="CK919" s="3">
        <v>0</v>
      </c>
      <c r="CL919" s="3">
        <v>0</v>
      </c>
      <c r="CM919" s="3">
        <v>0</v>
      </c>
      <c r="CN919" s="3">
        <v>0</v>
      </c>
      <c r="CO919" s="3">
        <v>0</v>
      </c>
      <c r="CP919" s="3">
        <v>0</v>
      </c>
      <c r="CQ919" s="3">
        <v>0</v>
      </c>
      <c r="CR919" s="3">
        <v>0</v>
      </c>
      <c r="CS919" s="3">
        <v>0</v>
      </c>
      <c r="CU919" s="17" t="s">
        <v>4885</v>
      </c>
      <c r="CV919" s="3">
        <v>0</v>
      </c>
      <c r="CW919" s="3">
        <v>0</v>
      </c>
      <c r="CX919" s="3">
        <v>0</v>
      </c>
      <c r="CY919" s="3">
        <v>0</v>
      </c>
      <c r="CZ919" s="3">
        <v>0</v>
      </c>
      <c r="DA919" s="3">
        <v>0</v>
      </c>
      <c r="DB919" s="3">
        <v>0</v>
      </c>
      <c r="DC919" s="3">
        <v>0</v>
      </c>
      <c r="DD919" s="3">
        <v>0</v>
      </c>
      <c r="DE919" s="3">
        <v>0</v>
      </c>
      <c r="DF919" s="3">
        <v>0</v>
      </c>
      <c r="DG919" s="3">
        <v>0</v>
      </c>
      <c r="DH919" s="3">
        <v>0</v>
      </c>
      <c r="DI919" s="3">
        <v>0</v>
      </c>
      <c r="DJ919" s="3">
        <v>0</v>
      </c>
      <c r="DK919" s="3">
        <v>0</v>
      </c>
      <c r="DL919" s="3">
        <v>0</v>
      </c>
      <c r="DM919" s="3">
        <v>0</v>
      </c>
      <c r="DN919" s="3">
        <v>0</v>
      </c>
      <c r="DO919" s="3">
        <v>0</v>
      </c>
    </row>
    <row r="920" spans="1:230" x14ac:dyDescent="0.45">
      <c r="A920" s="16" t="s">
        <v>4886</v>
      </c>
      <c r="B920" s="3" t="s">
        <v>89</v>
      </c>
      <c r="C920" s="16" t="s">
        <v>4887</v>
      </c>
      <c r="H920" s="3" t="s">
        <v>4888</v>
      </c>
      <c r="I920" s="3" t="s">
        <v>224</v>
      </c>
      <c r="K920" s="17" t="s">
        <v>4889</v>
      </c>
      <c r="L920" s="3">
        <v>0</v>
      </c>
      <c r="M920" s="3">
        <v>0</v>
      </c>
      <c r="N920" s="3">
        <v>0</v>
      </c>
      <c r="O920" s="3">
        <v>0</v>
      </c>
      <c r="P920" s="3">
        <v>0</v>
      </c>
      <c r="Q920" s="3">
        <v>0</v>
      </c>
      <c r="R920" s="3">
        <v>0</v>
      </c>
      <c r="S920" s="3">
        <v>0</v>
      </c>
      <c r="T920" s="3">
        <v>0</v>
      </c>
      <c r="U920" s="3">
        <v>0</v>
      </c>
      <c r="V920" s="3">
        <v>0</v>
      </c>
      <c r="W920" s="3">
        <v>0</v>
      </c>
      <c r="X920" s="3">
        <v>0</v>
      </c>
      <c r="Y920" s="3">
        <v>0</v>
      </c>
      <c r="Z920" s="3">
        <v>0</v>
      </c>
      <c r="AA920" s="3">
        <v>0</v>
      </c>
      <c r="AB920" s="3">
        <v>0</v>
      </c>
      <c r="AC920" s="3">
        <v>0</v>
      </c>
      <c r="AD920" s="3">
        <v>0</v>
      </c>
      <c r="AE920" s="3">
        <v>0</v>
      </c>
      <c r="AG920" s="17" t="s">
        <v>4890</v>
      </c>
      <c r="AH920" s="3">
        <v>0</v>
      </c>
      <c r="AI920" s="3">
        <v>0</v>
      </c>
      <c r="AJ920" s="3">
        <v>0</v>
      </c>
      <c r="AK920" s="3">
        <v>0</v>
      </c>
      <c r="AL920" s="3">
        <v>0</v>
      </c>
      <c r="AM920" s="3">
        <v>0</v>
      </c>
      <c r="AN920" s="3">
        <v>0</v>
      </c>
      <c r="AO920" s="3">
        <v>0</v>
      </c>
      <c r="AP920" s="3">
        <v>0</v>
      </c>
      <c r="AQ920" s="3">
        <v>0</v>
      </c>
      <c r="AR920" s="3">
        <v>0</v>
      </c>
      <c r="AS920" s="3">
        <v>0</v>
      </c>
      <c r="AT920" s="3">
        <v>0</v>
      </c>
      <c r="AU920" s="3">
        <v>0</v>
      </c>
      <c r="AV920" s="3">
        <v>0</v>
      </c>
      <c r="AW920" s="3">
        <v>0</v>
      </c>
      <c r="AX920" s="3">
        <v>0</v>
      </c>
      <c r="AY920" s="3">
        <v>0</v>
      </c>
      <c r="AZ920" s="3">
        <v>0</v>
      </c>
      <c r="BA920" s="3">
        <v>0</v>
      </c>
      <c r="BC920" s="17" t="s">
        <v>4891</v>
      </c>
      <c r="BD920" s="3">
        <v>0</v>
      </c>
      <c r="BE920" s="3">
        <v>0</v>
      </c>
      <c r="BF920" s="3">
        <v>0</v>
      </c>
      <c r="BG920" s="3">
        <v>0</v>
      </c>
      <c r="BH920" s="3">
        <v>0</v>
      </c>
      <c r="BI920" s="3">
        <v>0</v>
      </c>
      <c r="BJ920" s="3">
        <v>0</v>
      </c>
      <c r="BK920" s="3">
        <v>0</v>
      </c>
      <c r="BL920" s="3">
        <v>0</v>
      </c>
      <c r="BM920" s="3">
        <v>0</v>
      </c>
      <c r="BN920" s="3">
        <v>0</v>
      </c>
      <c r="BO920" s="3">
        <v>0</v>
      </c>
      <c r="BP920" s="3">
        <v>0</v>
      </c>
      <c r="BQ920" s="3">
        <v>0</v>
      </c>
      <c r="BR920" s="3">
        <v>0</v>
      </c>
      <c r="BS920" s="3">
        <v>0</v>
      </c>
      <c r="BT920" s="3">
        <v>0</v>
      </c>
      <c r="BU920" s="3">
        <v>0</v>
      </c>
      <c r="BV920" s="3">
        <v>0</v>
      </c>
      <c r="BW920" s="3">
        <v>0</v>
      </c>
      <c r="BY920" s="17" t="s">
        <v>4892</v>
      </c>
      <c r="BZ920" s="3">
        <v>0</v>
      </c>
      <c r="CA920" s="3">
        <v>0</v>
      </c>
      <c r="CB920" s="3">
        <v>0</v>
      </c>
      <c r="CC920" s="3">
        <v>0</v>
      </c>
      <c r="CD920" s="3">
        <v>0</v>
      </c>
      <c r="CE920" s="3">
        <v>0</v>
      </c>
      <c r="CF920" s="3">
        <v>0</v>
      </c>
      <c r="CG920" s="3">
        <v>0</v>
      </c>
      <c r="CH920" s="3">
        <v>0</v>
      </c>
      <c r="CI920" s="3">
        <v>0</v>
      </c>
      <c r="CJ920" s="3">
        <v>0</v>
      </c>
      <c r="CK920" s="3">
        <v>0</v>
      </c>
      <c r="CL920" s="3">
        <v>0</v>
      </c>
      <c r="CM920" s="3">
        <v>0</v>
      </c>
      <c r="CN920" s="3">
        <v>0</v>
      </c>
      <c r="CO920" s="3">
        <v>0</v>
      </c>
      <c r="CP920" s="3">
        <v>0</v>
      </c>
      <c r="CQ920" s="3">
        <v>0</v>
      </c>
      <c r="CR920" s="3">
        <v>0</v>
      </c>
      <c r="CS920" s="3">
        <v>0</v>
      </c>
      <c r="CU920" s="17" t="s">
        <v>4893</v>
      </c>
      <c r="CV920" s="3">
        <v>0</v>
      </c>
      <c r="CW920" s="3">
        <v>0</v>
      </c>
      <c r="CX920" s="3">
        <v>0</v>
      </c>
      <c r="CY920" s="3">
        <v>0</v>
      </c>
      <c r="CZ920" s="3">
        <v>0</v>
      </c>
      <c r="DA920" s="3">
        <v>0</v>
      </c>
      <c r="DB920" s="3">
        <v>0</v>
      </c>
      <c r="DC920" s="3">
        <v>0</v>
      </c>
      <c r="DD920" s="3">
        <v>0</v>
      </c>
      <c r="DE920" s="3">
        <v>0</v>
      </c>
      <c r="DF920" s="3">
        <v>0</v>
      </c>
      <c r="DG920" s="3">
        <v>0</v>
      </c>
      <c r="DH920" s="3">
        <v>0</v>
      </c>
      <c r="DI920" s="3">
        <v>0</v>
      </c>
      <c r="DJ920" s="3">
        <v>0</v>
      </c>
      <c r="DK920" s="3">
        <v>0</v>
      </c>
      <c r="DL920" s="3">
        <v>0</v>
      </c>
      <c r="DM920" s="3">
        <v>0</v>
      </c>
      <c r="DN920" s="3">
        <v>0</v>
      </c>
      <c r="DO920" s="3">
        <v>0</v>
      </c>
    </row>
    <row r="921" spans="1:230" ht="15.4" x14ac:dyDescent="0.45">
      <c r="A921" s="5"/>
      <c r="B921" s="15" t="s">
        <v>4894</v>
      </c>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row>
    <row r="922" spans="1:230" x14ac:dyDescent="0.45">
      <c r="A922" s="16" t="s">
        <v>4895</v>
      </c>
      <c r="B922" s="3" t="s">
        <v>89</v>
      </c>
      <c r="C922" s="16"/>
      <c r="H922" s="3" t="s">
        <v>4896</v>
      </c>
      <c r="I922" s="3" t="s">
        <v>529</v>
      </c>
      <c r="K922" s="17" t="s">
        <v>4897</v>
      </c>
      <c r="L922" s="3">
        <v>1.136817589506965</v>
      </c>
      <c r="M922" s="3">
        <v>1.0917610197470979</v>
      </c>
      <c r="N922" s="3">
        <v>1.0604552177698889</v>
      </c>
      <c r="O922" s="3">
        <v>1.03227909878657</v>
      </c>
      <c r="P922" s="3">
        <v>1</v>
      </c>
      <c r="Q922" s="3">
        <v>0.97903567880143105</v>
      </c>
      <c r="R922" s="3">
        <v>0.95811374720502052</v>
      </c>
      <c r="S922" s="3">
        <v>0.93759960694773214</v>
      </c>
      <c r="T922" s="3">
        <v>0.91750779927332549</v>
      </c>
      <c r="U922" s="3">
        <v>0.897896011223145</v>
      </c>
      <c r="V922" s="3">
        <v>0.897896011223145</v>
      </c>
      <c r="W922" s="3">
        <v>0.897896011223145</v>
      </c>
      <c r="X922" s="3">
        <v>0.897896011223145</v>
      </c>
      <c r="Y922" s="3">
        <v>0.897896011223145</v>
      </c>
      <c r="Z922" s="3">
        <v>0.897896011223145</v>
      </c>
      <c r="AA922" s="3">
        <v>0.897896011223145</v>
      </c>
      <c r="AB922" s="3">
        <v>0.897896011223145</v>
      </c>
      <c r="AC922" s="3">
        <v>0.897896011223145</v>
      </c>
      <c r="AD922" s="3">
        <v>0.897896011223145</v>
      </c>
      <c r="AE922" s="3">
        <v>0.897896011223145</v>
      </c>
      <c r="AG922" s="17" t="s">
        <v>4898</v>
      </c>
      <c r="AH922" s="3">
        <v>1.136817589506965</v>
      </c>
      <c r="AI922" s="3">
        <v>1.0917610197470979</v>
      </c>
      <c r="AJ922" s="3">
        <v>1.0604552177698889</v>
      </c>
      <c r="AK922" s="3">
        <v>1.03227909878657</v>
      </c>
      <c r="AL922" s="3">
        <v>1</v>
      </c>
      <c r="AM922" s="3">
        <v>0.97903567880143105</v>
      </c>
      <c r="AN922" s="3">
        <v>0.95811374720502052</v>
      </c>
      <c r="AO922" s="3">
        <v>0.93759960694773214</v>
      </c>
      <c r="AP922" s="3">
        <v>0.91750779927332549</v>
      </c>
      <c r="AQ922" s="3">
        <v>0.897896011223145</v>
      </c>
      <c r="AR922" s="3">
        <v>0.897896011223145</v>
      </c>
      <c r="AS922" s="3">
        <v>0.897896011223145</v>
      </c>
      <c r="AT922" s="3">
        <v>0.897896011223145</v>
      </c>
      <c r="AU922" s="3">
        <v>0.897896011223145</v>
      </c>
      <c r="AV922" s="3">
        <v>0.897896011223145</v>
      </c>
      <c r="AW922" s="3">
        <v>0.897896011223145</v>
      </c>
      <c r="AX922" s="3">
        <v>0.897896011223145</v>
      </c>
      <c r="AY922" s="3">
        <v>0.897896011223145</v>
      </c>
      <c r="AZ922" s="3">
        <v>0.897896011223145</v>
      </c>
      <c r="BA922" s="3">
        <v>0.897896011223145</v>
      </c>
      <c r="BC922" s="17" t="s">
        <v>4899</v>
      </c>
      <c r="BD922" s="3">
        <v>1.136817589506965</v>
      </c>
      <c r="BE922" s="3">
        <v>1.0917610197470979</v>
      </c>
      <c r="BF922" s="3">
        <v>1.0604552177698889</v>
      </c>
      <c r="BG922" s="3">
        <v>1.03227909878657</v>
      </c>
      <c r="BH922" s="3">
        <v>1</v>
      </c>
      <c r="BI922" s="3">
        <v>0.97903567880143105</v>
      </c>
      <c r="BJ922" s="3">
        <v>0.95811374720502052</v>
      </c>
      <c r="BK922" s="3">
        <v>0.93759960694773214</v>
      </c>
      <c r="BL922" s="3">
        <v>0.91750779927332549</v>
      </c>
      <c r="BM922" s="3">
        <v>0.897896011223145</v>
      </c>
      <c r="BN922" s="3">
        <v>0.897896011223145</v>
      </c>
      <c r="BO922" s="3">
        <v>0.897896011223145</v>
      </c>
      <c r="BP922" s="3">
        <v>0.897896011223145</v>
      </c>
      <c r="BQ922" s="3">
        <v>0.897896011223145</v>
      </c>
      <c r="BR922" s="3">
        <v>0.897896011223145</v>
      </c>
      <c r="BS922" s="3">
        <v>0.897896011223145</v>
      </c>
      <c r="BT922" s="3">
        <v>0.897896011223145</v>
      </c>
      <c r="BU922" s="3">
        <v>0.897896011223145</v>
      </c>
      <c r="BV922" s="3">
        <v>0.897896011223145</v>
      </c>
      <c r="BW922" s="3">
        <v>0.897896011223145</v>
      </c>
      <c r="BY922" s="17" t="s">
        <v>4900</v>
      </c>
      <c r="BZ922" s="3">
        <v>1.136817589506965</v>
      </c>
      <c r="CA922" s="3">
        <v>1.0917610197470979</v>
      </c>
      <c r="CB922" s="3">
        <v>1.0604552177698889</v>
      </c>
      <c r="CC922" s="3">
        <v>1.03227909878657</v>
      </c>
      <c r="CD922" s="3">
        <v>1</v>
      </c>
      <c r="CE922" s="3">
        <v>0.97903567880143105</v>
      </c>
      <c r="CF922" s="3">
        <v>0.95811374720502052</v>
      </c>
      <c r="CG922" s="3">
        <v>0.93759960694773214</v>
      </c>
      <c r="CH922" s="3">
        <v>0.91750779927332549</v>
      </c>
      <c r="CI922" s="3">
        <v>0.897896011223145</v>
      </c>
      <c r="CJ922" s="3">
        <v>0.897896011223145</v>
      </c>
      <c r="CK922" s="3">
        <v>0.897896011223145</v>
      </c>
      <c r="CL922" s="3">
        <v>0.897896011223145</v>
      </c>
      <c r="CM922" s="3">
        <v>0.897896011223145</v>
      </c>
      <c r="CN922" s="3">
        <v>0.897896011223145</v>
      </c>
      <c r="CO922" s="3">
        <v>0.897896011223145</v>
      </c>
      <c r="CP922" s="3">
        <v>0.897896011223145</v>
      </c>
      <c r="CQ922" s="3">
        <v>0.897896011223145</v>
      </c>
      <c r="CR922" s="3">
        <v>0.897896011223145</v>
      </c>
      <c r="CS922" s="3">
        <v>0.897896011223145</v>
      </c>
      <c r="CU922" s="17" t="s">
        <v>4901</v>
      </c>
      <c r="CV922" s="3">
        <v>1.136817589506965</v>
      </c>
      <c r="CW922" s="3">
        <v>1.0917610197470979</v>
      </c>
      <c r="CX922" s="3">
        <v>1.0604552177698889</v>
      </c>
      <c r="CY922" s="3">
        <v>1.03227909878657</v>
      </c>
      <c r="CZ922" s="3">
        <v>1</v>
      </c>
      <c r="DA922" s="3">
        <v>0.97903567880143105</v>
      </c>
      <c r="DB922" s="3">
        <v>0.95811374720502052</v>
      </c>
      <c r="DC922" s="3">
        <v>0.93759960694773214</v>
      </c>
      <c r="DD922" s="3">
        <v>0.91750779927332549</v>
      </c>
      <c r="DE922" s="3">
        <v>0.897896011223145</v>
      </c>
      <c r="DF922" s="3">
        <v>0.897896011223145</v>
      </c>
      <c r="DG922" s="3">
        <v>0.897896011223145</v>
      </c>
      <c r="DH922" s="3">
        <v>0.897896011223145</v>
      </c>
      <c r="DI922" s="3">
        <v>0.897896011223145</v>
      </c>
      <c r="DJ922" s="3">
        <v>0.897896011223145</v>
      </c>
      <c r="DK922" s="3">
        <v>0.897896011223145</v>
      </c>
      <c r="DL922" s="3">
        <v>0.897896011223145</v>
      </c>
      <c r="DM922" s="3">
        <v>0.897896011223145</v>
      </c>
      <c r="DN922" s="3">
        <v>0.897896011223145</v>
      </c>
      <c r="DO922" s="3">
        <v>0.897896011223145</v>
      </c>
    </row>
    <row r="923" spans="1:230" x14ac:dyDescent="0.45">
      <c r="A923" s="16" t="s">
        <v>4902</v>
      </c>
      <c r="B923" s="3" t="s">
        <v>89</v>
      </c>
      <c r="C923" s="16"/>
      <c r="H923" s="3" t="s">
        <v>4903</v>
      </c>
      <c r="I923" s="3" t="s">
        <v>175</v>
      </c>
      <c r="K923" s="17" t="s">
        <v>4904</v>
      </c>
      <c r="L923" s="3">
        <v>0.14000000000000001</v>
      </c>
      <c r="M923" s="3">
        <v>0.14000000000000001</v>
      </c>
      <c r="N923" s="3">
        <v>0.14000000000000001</v>
      </c>
      <c r="O923" s="3">
        <v>0.14000000000000001</v>
      </c>
      <c r="P923" s="3">
        <v>0.14000000000000001</v>
      </c>
      <c r="Q923" s="3">
        <v>0.14000000000000001</v>
      </c>
      <c r="R923" s="3">
        <v>0.14000000000000001</v>
      </c>
      <c r="S923" s="3">
        <v>0.14000000000000001</v>
      </c>
      <c r="T923" s="3">
        <v>0.14000000000000001</v>
      </c>
      <c r="U923" s="3">
        <v>0.14000000000000001</v>
      </c>
      <c r="V923" s="3">
        <v>0.14000000000000001</v>
      </c>
      <c r="W923" s="3">
        <v>0.14000000000000001</v>
      </c>
      <c r="X923" s="3">
        <v>0.14000000000000001</v>
      </c>
      <c r="Y923" s="3">
        <v>0.14000000000000001</v>
      </c>
      <c r="Z923" s="3">
        <v>0.14000000000000001</v>
      </c>
      <c r="AA923" s="3">
        <v>0.14000000000000001</v>
      </c>
      <c r="AB923" s="3">
        <v>0.14000000000000001</v>
      </c>
      <c r="AC923" s="3">
        <v>0.14000000000000001</v>
      </c>
      <c r="AD923" s="3">
        <v>0.14000000000000001</v>
      </c>
      <c r="AE923" s="3">
        <v>0.14000000000000001</v>
      </c>
      <c r="AG923" s="17" t="s">
        <v>4905</v>
      </c>
      <c r="AH923" s="3">
        <v>0.14000000000000001</v>
      </c>
      <c r="AI923" s="3">
        <v>0.14000000000000001</v>
      </c>
      <c r="AJ923" s="3">
        <v>0.14000000000000001</v>
      </c>
      <c r="AK923" s="3">
        <v>0.14000000000000001</v>
      </c>
      <c r="AL923" s="3">
        <v>0.14000000000000001</v>
      </c>
      <c r="AM923" s="3">
        <v>0.14000000000000001</v>
      </c>
      <c r="AN923" s="3">
        <v>0.14000000000000001</v>
      </c>
      <c r="AO923" s="3">
        <v>0.14000000000000001</v>
      </c>
      <c r="AP923" s="3">
        <v>0.14000000000000001</v>
      </c>
      <c r="AQ923" s="3">
        <v>0.14000000000000001</v>
      </c>
      <c r="AR923" s="3">
        <v>0.14000000000000001</v>
      </c>
      <c r="AS923" s="3">
        <v>0.14000000000000001</v>
      </c>
      <c r="AT923" s="3">
        <v>0.14000000000000001</v>
      </c>
      <c r="AU923" s="3">
        <v>0.14000000000000001</v>
      </c>
      <c r="AV923" s="3">
        <v>0.14000000000000001</v>
      </c>
      <c r="AW923" s="3">
        <v>0.14000000000000001</v>
      </c>
      <c r="AX923" s="3">
        <v>0.14000000000000001</v>
      </c>
      <c r="AY923" s="3">
        <v>0.14000000000000001</v>
      </c>
      <c r="AZ923" s="3">
        <v>0.14000000000000001</v>
      </c>
      <c r="BA923" s="3">
        <v>0.14000000000000001</v>
      </c>
      <c r="BC923" s="17" t="s">
        <v>4906</v>
      </c>
      <c r="BD923" s="3">
        <v>0.14000000000000001</v>
      </c>
      <c r="BE923" s="3">
        <v>0.14000000000000001</v>
      </c>
      <c r="BF923" s="3">
        <v>0.14000000000000001</v>
      </c>
      <c r="BG923" s="3">
        <v>0.14000000000000001</v>
      </c>
      <c r="BH923" s="3">
        <v>0.14000000000000001</v>
      </c>
      <c r="BI923" s="3">
        <v>0.14000000000000001</v>
      </c>
      <c r="BJ923" s="3">
        <v>0.14000000000000001</v>
      </c>
      <c r="BK923" s="3">
        <v>0.14000000000000001</v>
      </c>
      <c r="BL923" s="3">
        <v>0.14000000000000001</v>
      </c>
      <c r="BM923" s="3">
        <v>0.14000000000000001</v>
      </c>
      <c r="BN923" s="3">
        <v>0.14000000000000001</v>
      </c>
      <c r="BO923" s="3">
        <v>0.14000000000000001</v>
      </c>
      <c r="BP923" s="3">
        <v>0.14000000000000001</v>
      </c>
      <c r="BQ923" s="3">
        <v>0.14000000000000001</v>
      </c>
      <c r="BR923" s="3">
        <v>0.14000000000000001</v>
      </c>
      <c r="BS923" s="3">
        <v>0.14000000000000001</v>
      </c>
      <c r="BT923" s="3">
        <v>0.14000000000000001</v>
      </c>
      <c r="BU923" s="3">
        <v>0.14000000000000001</v>
      </c>
      <c r="BV923" s="3">
        <v>0.14000000000000001</v>
      </c>
      <c r="BW923" s="3">
        <v>0.14000000000000001</v>
      </c>
      <c r="BY923" s="17" t="s">
        <v>4907</v>
      </c>
      <c r="BZ923" s="3">
        <v>0.14000000000000001</v>
      </c>
      <c r="CA923" s="3">
        <v>0.14000000000000001</v>
      </c>
      <c r="CB923" s="3">
        <v>0.14000000000000001</v>
      </c>
      <c r="CC923" s="3">
        <v>0.14000000000000001</v>
      </c>
      <c r="CD923" s="3">
        <v>0.14000000000000001</v>
      </c>
      <c r="CE923" s="3">
        <v>0.14000000000000001</v>
      </c>
      <c r="CF923" s="3">
        <v>0.14000000000000001</v>
      </c>
      <c r="CG923" s="3">
        <v>0.14000000000000001</v>
      </c>
      <c r="CH923" s="3">
        <v>0.14000000000000001</v>
      </c>
      <c r="CI923" s="3">
        <v>0.14000000000000001</v>
      </c>
      <c r="CJ923" s="3">
        <v>0.14000000000000001</v>
      </c>
      <c r="CK923" s="3">
        <v>0.14000000000000001</v>
      </c>
      <c r="CL923" s="3">
        <v>0.14000000000000001</v>
      </c>
      <c r="CM923" s="3">
        <v>0.14000000000000001</v>
      </c>
      <c r="CN923" s="3">
        <v>0.14000000000000001</v>
      </c>
      <c r="CO923" s="3">
        <v>0.14000000000000001</v>
      </c>
      <c r="CP923" s="3">
        <v>0.14000000000000001</v>
      </c>
      <c r="CQ923" s="3">
        <v>0.14000000000000001</v>
      </c>
      <c r="CR923" s="3">
        <v>0.14000000000000001</v>
      </c>
      <c r="CS923" s="3">
        <v>0.14000000000000001</v>
      </c>
      <c r="CU923" s="17" t="s">
        <v>4908</v>
      </c>
      <c r="CV923" s="3">
        <v>0.14000000000000001</v>
      </c>
      <c r="CW923" s="3">
        <v>0.14000000000000001</v>
      </c>
      <c r="CX923" s="3">
        <v>0.14000000000000001</v>
      </c>
      <c r="CY923" s="3">
        <v>0.14000000000000001</v>
      </c>
      <c r="CZ923" s="3">
        <v>0.14000000000000001</v>
      </c>
      <c r="DA923" s="3">
        <v>0.14000000000000001</v>
      </c>
      <c r="DB923" s="3">
        <v>0.14000000000000001</v>
      </c>
      <c r="DC923" s="3">
        <v>0.14000000000000001</v>
      </c>
      <c r="DD923" s="3">
        <v>0.14000000000000001</v>
      </c>
      <c r="DE923" s="3">
        <v>0.14000000000000001</v>
      </c>
      <c r="DF923" s="3">
        <v>0.14000000000000001</v>
      </c>
      <c r="DG923" s="3">
        <v>0.14000000000000001</v>
      </c>
      <c r="DH923" s="3">
        <v>0.14000000000000001</v>
      </c>
      <c r="DI923" s="3">
        <v>0.14000000000000001</v>
      </c>
      <c r="DJ923" s="3">
        <v>0.14000000000000001</v>
      </c>
      <c r="DK923" s="3">
        <v>0.14000000000000001</v>
      </c>
      <c r="DL923" s="3">
        <v>0.14000000000000001</v>
      </c>
      <c r="DM923" s="3">
        <v>0.14000000000000001</v>
      </c>
      <c r="DN923" s="3">
        <v>0.14000000000000001</v>
      </c>
      <c r="DO923" s="3">
        <v>0.14000000000000001</v>
      </c>
    </row>
    <row r="924" spans="1:230" x14ac:dyDescent="0.45">
      <c r="A924" s="16" t="s">
        <v>4909</v>
      </c>
      <c r="B924" s="3" t="s">
        <v>89</v>
      </c>
      <c r="C924" s="16"/>
      <c r="H924" s="3" t="s">
        <v>4910</v>
      </c>
      <c r="I924" s="3" t="s">
        <v>4911</v>
      </c>
      <c r="K924" s="17" t="s">
        <v>4912</v>
      </c>
      <c r="L924" s="3">
        <v>111.291833515172</v>
      </c>
      <c r="M924" s="3">
        <v>89.243631418180655</v>
      </c>
      <c r="N924" s="3">
        <v>84.532944334205666</v>
      </c>
      <c r="O924" s="3">
        <v>70.282313760524204</v>
      </c>
      <c r="P924" s="3">
        <v>80.186511999999993</v>
      </c>
      <c r="Q924" s="3">
        <v>69.916536157730533</v>
      </c>
      <c r="R924" s="3">
        <v>67.091099439606623</v>
      </c>
      <c r="S924" s="3">
        <v>65.666850214545363</v>
      </c>
      <c r="T924" s="3">
        <v>64.42133540387367</v>
      </c>
      <c r="U924" s="3">
        <v>63.068198350766437</v>
      </c>
      <c r="V924" s="3">
        <v>63.068198350766437</v>
      </c>
      <c r="W924" s="3">
        <v>63.068198350766437</v>
      </c>
      <c r="X924" s="3">
        <v>63.068198350766451</v>
      </c>
      <c r="Y924" s="3">
        <v>63.068198350766451</v>
      </c>
      <c r="Z924" s="3">
        <v>63.068198350766451</v>
      </c>
      <c r="AA924" s="3">
        <v>63.068198350766437</v>
      </c>
      <c r="AB924" s="3">
        <v>63.068198350766451</v>
      </c>
      <c r="AC924" s="3">
        <v>63.068198350766451</v>
      </c>
      <c r="AD924" s="3">
        <v>63.068198350766451</v>
      </c>
      <c r="AE924" s="3">
        <v>63.068198350766458</v>
      </c>
      <c r="AG924" s="17" t="s">
        <v>4913</v>
      </c>
      <c r="AH924" s="3">
        <v>111.291833515172</v>
      </c>
      <c r="AI924" s="3">
        <v>89.243631418180655</v>
      </c>
      <c r="AJ924" s="3">
        <v>84.532944334205666</v>
      </c>
      <c r="AK924" s="3">
        <v>70.282313760524204</v>
      </c>
      <c r="AL924" s="3">
        <v>80.186511999999993</v>
      </c>
      <c r="AM924" s="3">
        <v>69.916536157730533</v>
      </c>
      <c r="AN924" s="3">
        <v>67.091099439606623</v>
      </c>
      <c r="AO924" s="3">
        <v>65.666850214545363</v>
      </c>
      <c r="AP924" s="3">
        <v>64.42133540387367</v>
      </c>
      <c r="AQ924" s="3">
        <v>63.068198350766437</v>
      </c>
      <c r="AR924" s="3">
        <v>63.068198350766437</v>
      </c>
      <c r="AS924" s="3">
        <v>63.068198350766437</v>
      </c>
      <c r="AT924" s="3">
        <v>63.068198350766451</v>
      </c>
      <c r="AU924" s="3">
        <v>63.068198350766451</v>
      </c>
      <c r="AV924" s="3">
        <v>63.068198350766451</v>
      </c>
      <c r="AW924" s="3">
        <v>63.068198350766437</v>
      </c>
      <c r="AX924" s="3">
        <v>63.068198350766451</v>
      </c>
      <c r="AY924" s="3">
        <v>63.068198350766451</v>
      </c>
      <c r="AZ924" s="3">
        <v>63.068198350766451</v>
      </c>
      <c r="BA924" s="3">
        <v>63.068198350766458</v>
      </c>
      <c r="BC924" s="17" t="s">
        <v>4914</v>
      </c>
      <c r="BD924" s="3">
        <v>111.291833515172</v>
      </c>
      <c r="BE924" s="3">
        <v>89.243631418180655</v>
      </c>
      <c r="BF924" s="3">
        <v>84.532944334205666</v>
      </c>
      <c r="BG924" s="3">
        <v>70.282313760524204</v>
      </c>
      <c r="BH924" s="3">
        <v>80.186511999999993</v>
      </c>
      <c r="BI924" s="3">
        <v>69.916536157730533</v>
      </c>
      <c r="BJ924" s="3">
        <v>67.091099439606623</v>
      </c>
      <c r="BK924" s="3">
        <v>65.666850214545363</v>
      </c>
      <c r="BL924" s="3">
        <v>64.42133540387367</v>
      </c>
      <c r="BM924" s="3">
        <v>63.068198350766437</v>
      </c>
      <c r="BN924" s="3">
        <v>63.068198350766437</v>
      </c>
      <c r="BO924" s="3">
        <v>63.068198350766437</v>
      </c>
      <c r="BP924" s="3">
        <v>63.068198350766451</v>
      </c>
      <c r="BQ924" s="3">
        <v>63.068198350766451</v>
      </c>
      <c r="BR924" s="3">
        <v>63.068198350766451</v>
      </c>
      <c r="BS924" s="3">
        <v>63.068198350766437</v>
      </c>
      <c r="BT924" s="3">
        <v>63.068198350766451</v>
      </c>
      <c r="BU924" s="3">
        <v>63.068198350766451</v>
      </c>
      <c r="BV924" s="3">
        <v>63.068198350766451</v>
      </c>
      <c r="BW924" s="3">
        <v>63.068198350766458</v>
      </c>
      <c r="BY924" s="17" t="s">
        <v>4915</v>
      </c>
      <c r="BZ924" s="3">
        <v>111.291833515172</v>
      </c>
      <c r="CA924" s="3">
        <v>89.243631418180655</v>
      </c>
      <c r="CB924" s="3">
        <v>84.532944334205666</v>
      </c>
      <c r="CC924" s="3">
        <v>70.282313760524204</v>
      </c>
      <c r="CD924" s="3">
        <v>80.186511999999993</v>
      </c>
      <c r="CE924" s="3">
        <v>69.916536157730533</v>
      </c>
      <c r="CF924" s="3">
        <v>67.091099439606623</v>
      </c>
      <c r="CG924" s="3">
        <v>65.666850214545363</v>
      </c>
      <c r="CH924" s="3">
        <v>64.42133540387367</v>
      </c>
      <c r="CI924" s="3">
        <v>63.068198350766437</v>
      </c>
      <c r="CJ924" s="3">
        <v>63.068198350766437</v>
      </c>
      <c r="CK924" s="3">
        <v>63.068198350766437</v>
      </c>
      <c r="CL924" s="3">
        <v>63.068198350766451</v>
      </c>
      <c r="CM924" s="3">
        <v>63.068198350766451</v>
      </c>
      <c r="CN924" s="3">
        <v>63.068198350766451</v>
      </c>
      <c r="CO924" s="3">
        <v>63.068198350766437</v>
      </c>
      <c r="CP924" s="3">
        <v>63.068198350766451</v>
      </c>
      <c r="CQ924" s="3">
        <v>63.068198350766451</v>
      </c>
      <c r="CR924" s="3">
        <v>63.068198350766451</v>
      </c>
      <c r="CS924" s="3">
        <v>63.068198350766458</v>
      </c>
      <c r="CU924" s="17" t="s">
        <v>4916</v>
      </c>
      <c r="CV924" s="3">
        <v>111.291833515172</v>
      </c>
      <c r="CW924" s="3">
        <v>89.243631418180655</v>
      </c>
      <c r="CX924" s="3">
        <v>84.532944334205666</v>
      </c>
      <c r="CY924" s="3">
        <v>70.282313760524204</v>
      </c>
      <c r="CZ924" s="3">
        <v>80.186511999999993</v>
      </c>
      <c r="DA924" s="3">
        <v>69.916536157730533</v>
      </c>
      <c r="DB924" s="3">
        <v>67.091099439606623</v>
      </c>
      <c r="DC924" s="3">
        <v>65.666850214545363</v>
      </c>
      <c r="DD924" s="3">
        <v>64.42133540387367</v>
      </c>
      <c r="DE924" s="3">
        <v>63.068198350766437</v>
      </c>
      <c r="DF924" s="3">
        <v>63.068198350766437</v>
      </c>
      <c r="DG924" s="3">
        <v>63.068198350766437</v>
      </c>
      <c r="DH924" s="3">
        <v>63.068198350766451</v>
      </c>
      <c r="DI924" s="3">
        <v>63.068198350766451</v>
      </c>
      <c r="DJ924" s="3">
        <v>63.068198350766451</v>
      </c>
      <c r="DK924" s="3">
        <v>63.068198350766437</v>
      </c>
      <c r="DL924" s="3">
        <v>63.068198350766451</v>
      </c>
      <c r="DM924" s="3">
        <v>63.068198350766451</v>
      </c>
      <c r="DN924" s="3">
        <v>63.068198350766451</v>
      </c>
      <c r="DO924" s="3">
        <v>63.068198350766458</v>
      </c>
    </row>
    <row r="925" spans="1:230" x14ac:dyDescent="0.45">
      <c r="A925" s="16" t="s">
        <v>4917</v>
      </c>
      <c r="B925" s="3" t="s">
        <v>89</v>
      </c>
      <c r="C925" s="16"/>
      <c r="H925" s="3" t="s">
        <v>4918</v>
      </c>
      <c r="I925" s="3" t="s">
        <v>4911</v>
      </c>
      <c r="K925" s="17" t="s">
        <v>4919</v>
      </c>
      <c r="L925" s="3">
        <v>431.88424086400528</v>
      </c>
      <c r="M925" s="3">
        <v>203.974323576167</v>
      </c>
      <c r="N925" s="3">
        <v>151.8527957914205</v>
      </c>
      <c r="O925" s="3">
        <v>115.6587583584251</v>
      </c>
      <c r="P925" s="3">
        <v>135.60148599999999</v>
      </c>
      <c r="Q925" s="3">
        <v>140.10006247240031</v>
      </c>
      <c r="R925" s="3">
        <v>137.96700656873671</v>
      </c>
      <c r="S925" s="3">
        <v>135.67955952630319</v>
      </c>
      <c r="T925" s="3">
        <v>133.23139667493581</v>
      </c>
      <c r="U925" s="3">
        <v>130.86881987868111</v>
      </c>
      <c r="V925" s="3">
        <v>130.86881987868111</v>
      </c>
      <c r="W925" s="3">
        <v>130.86881987868111</v>
      </c>
      <c r="X925" s="3">
        <v>130.86881987868111</v>
      </c>
      <c r="Y925" s="3">
        <v>130.86881987868111</v>
      </c>
      <c r="Z925" s="3">
        <v>130.86881987868111</v>
      </c>
      <c r="AA925" s="3">
        <v>130.86881987868111</v>
      </c>
      <c r="AB925" s="3">
        <v>130.86881987868111</v>
      </c>
      <c r="AC925" s="3">
        <v>130.86881987868111</v>
      </c>
      <c r="AD925" s="3">
        <v>130.86881987868111</v>
      </c>
      <c r="AE925" s="3">
        <v>130.86881987868111</v>
      </c>
      <c r="AG925" s="17" t="s">
        <v>4920</v>
      </c>
      <c r="AH925" s="3">
        <v>431.88424086400528</v>
      </c>
      <c r="AI925" s="3">
        <v>203.974323576167</v>
      </c>
      <c r="AJ925" s="3">
        <v>151.8527957914205</v>
      </c>
      <c r="AK925" s="3">
        <v>115.6587583584251</v>
      </c>
      <c r="AL925" s="3">
        <v>135.60148599999999</v>
      </c>
      <c r="AM925" s="3">
        <v>140.10006247240031</v>
      </c>
      <c r="AN925" s="3">
        <v>137.96700656873671</v>
      </c>
      <c r="AO925" s="3">
        <v>135.67955952630319</v>
      </c>
      <c r="AP925" s="3">
        <v>133.23139667493581</v>
      </c>
      <c r="AQ925" s="3">
        <v>130.86881987868111</v>
      </c>
      <c r="AR925" s="3">
        <v>130.86881987868111</v>
      </c>
      <c r="AS925" s="3">
        <v>130.86881987868111</v>
      </c>
      <c r="AT925" s="3">
        <v>130.86881987868111</v>
      </c>
      <c r="AU925" s="3">
        <v>130.86881987868111</v>
      </c>
      <c r="AV925" s="3">
        <v>130.86881987868111</v>
      </c>
      <c r="AW925" s="3">
        <v>130.86881987868111</v>
      </c>
      <c r="AX925" s="3">
        <v>130.86881987868111</v>
      </c>
      <c r="AY925" s="3">
        <v>130.86881987868111</v>
      </c>
      <c r="AZ925" s="3">
        <v>130.86881987868111</v>
      </c>
      <c r="BA925" s="3">
        <v>130.86881987868111</v>
      </c>
      <c r="BC925" s="17" t="s">
        <v>4921</v>
      </c>
      <c r="BD925" s="3">
        <v>431.88424086400528</v>
      </c>
      <c r="BE925" s="3">
        <v>203.974323576167</v>
      </c>
      <c r="BF925" s="3">
        <v>151.8527957914205</v>
      </c>
      <c r="BG925" s="3">
        <v>115.6587583584251</v>
      </c>
      <c r="BH925" s="3">
        <v>135.60148599999999</v>
      </c>
      <c r="BI925" s="3">
        <v>140.10006247240031</v>
      </c>
      <c r="BJ925" s="3">
        <v>137.96700656873671</v>
      </c>
      <c r="BK925" s="3">
        <v>135.67955952630319</v>
      </c>
      <c r="BL925" s="3">
        <v>133.23139667493581</v>
      </c>
      <c r="BM925" s="3">
        <v>130.86881987868111</v>
      </c>
      <c r="BN925" s="3">
        <v>130.86881987868111</v>
      </c>
      <c r="BO925" s="3">
        <v>130.86881987868111</v>
      </c>
      <c r="BP925" s="3">
        <v>130.86881987868111</v>
      </c>
      <c r="BQ925" s="3">
        <v>130.86881987868111</v>
      </c>
      <c r="BR925" s="3">
        <v>130.86881987868111</v>
      </c>
      <c r="BS925" s="3">
        <v>130.86881987868111</v>
      </c>
      <c r="BT925" s="3">
        <v>130.86881987868111</v>
      </c>
      <c r="BU925" s="3">
        <v>130.86881987868111</v>
      </c>
      <c r="BV925" s="3">
        <v>130.86881987868111</v>
      </c>
      <c r="BW925" s="3">
        <v>130.86881987868111</v>
      </c>
      <c r="BY925" s="17" t="s">
        <v>4922</v>
      </c>
      <c r="BZ925" s="3">
        <v>431.88424086400528</v>
      </c>
      <c r="CA925" s="3">
        <v>203.974323576167</v>
      </c>
      <c r="CB925" s="3">
        <v>151.8527957914205</v>
      </c>
      <c r="CC925" s="3">
        <v>115.6587583584251</v>
      </c>
      <c r="CD925" s="3">
        <v>135.60148599999999</v>
      </c>
      <c r="CE925" s="3">
        <v>140.10006247240031</v>
      </c>
      <c r="CF925" s="3">
        <v>137.96700656873671</v>
      </c>
      <c r="CG925" s="3">
        <v>135.67955952630319</v>
      </c>
      <c r="CH925" s="3">
        <v>133.23139667493581</v>
      </c>
      <c r="CI925" s="3">
        <v>130.86881987868111</v>
      </c>
      <c r="CJ925" s="3">
        <v>130.86881987868111</v>
      </c>
      <c r="CK925" s="3">
        <v>130.86881987868111</v>
      </c>
      <c r="CL925" s="3">
        <v>130.86881987868111</v>
      </c>
      <c r="CM925" s="3">
        <v>130.86881987868111</v>
      </c>
      <c r="CN925" s="3">
        <v>130.86881987868111</v>
      </c>
      <c r="CO925" s="3">
        <v>130.86881987868111</v>
      </c>
      <c r="CP925" s="3">
        <v>130.86881987868111</v>
      </c>
      <c r="CQ925" s="3">
        <v>130.86881987868111</v>
      </c>
      <c r="CR925" s="3">
        <v>130.86881987868111</v>
      </c>
      <c r="CS925" s="3">
        <v>130.86881987868111</v>
      </c>
      <c r="CU925" s="17" t="s">
        <v>4923</v>
      </c>
      <c r="CV925" s="3">
        <v>431.88424086400528</v>
      </c>
      <c r="CW925" s="3">
        <v>203.974323576167</v>
      </c>
      <c r="CX925" s="3">
        <v>151.8527957914205</v>
      </c>
      <c r="CY925" s="3">
        <v>115.6587583584251</v>
      </c>
      <c r="CZ925" s="3">
        <v>135.60148599999999</v>
      </c>
      <c r="DA925" s="3">
        <v>140.10006247240031</v>
      </c>
      <c r="DB925" s="3">
        <v>137.96700656873671</v>
      </c>
      <c r="DC925" s="3">
        <v>135.67955952630319</v>
      </c>
      <c r="DD925" s="3">
        <v>133.23139667493581</v>
      </c>
      <c r="DE925" s="3">
        <v>130.86881987868111</v>
      </c>
      <c r="DF925" s="3">
        <v>130.86881987868111</v>
      </c>
      <c r="DG925" s="3">
        <v>130.86881987868111</v>
      </c>
      <c r="DH925" s="3">
        <v>130.86881987868111</v>
      </c>
      <c r="DI925" s="3">
        <v>130.86881987868111</v>
      </c>
      <c r="DJ925" s="3">
        <v>130.86881987868111</v>
      </c>
      <c r="DK925" s="3">
        <v>130.86881987868111</v>
      </c>
      <c r="DL925" s="3">
        <v>130.86881987868111</v>
      </c>
      <c r="DM925" s="3">
        <v>130.86881987868111</v>
      </c>
      <c r="DN925" s="3">
        <v>130.86881987868111</v>
      </c>
      <c r="DO925" s="3">
        <v>130.86881987868111</v>
      </c>
    </row>
    <row r="926" spans="1:230" x14ac:dyDescent="0.45">
      <c r="A926" s="16" t="s">
        <v>4924</v>
      </c>
      <c r="B926" s="3" t="s">
        <v>89</v>
      </c>
      <c r="C926" s="16"/>
      <c r="H926" s="3" t="s">
        <v>4925</v>
      </c>
      <c r="I926" s="3" t="s">
        <v>4911</v>
      </c>
      <c r="K926" s="17" t="s">
        <v>4926</v>
      </c>
      <c r="L926" s="3">
        <v>28.979352274154792</v>
      </c>
      <c r="M926" s="3">
        <v>10.48609049839016</v>
      </c>
      <c r="N926" s="3">
        <v>8.8214588298409033</v>
      </c>
      <c r="O926" s="3">
        <v>9.475526728288914</v>
      </c>
      <c r="P926" s="3">
        <v>11.02912166666667</v>
      </c>
      <c r="Q926" s="3">
        <v>9.1787362507006645</v>
      </c>
      <c r="R926" s="3">
        <v>7.0020629246709314</v>
      </c>
      <c r="S926" s="3">
        <v>6.2267038226741356</v>
      </c>
      <c r="T926" s="3">
        <v>6.0067413832164638</v>
      </c>
      <c r="U926" s="3">
        <v>5.8820912030856309</v>
      </c>
      <c r="V926" s="3">
        <v>5.8820912030856318</v>
      </c>
      <c r="W926" s="3">
        <v>5.8820912030856318</v>
      </c>
      <c r="X926" s="3">
        <v>5.8820912030856327</v>
      </c>
      <c r="Y926" s="3">
        <v>5.8820912030856336</v>
      </c>
      <c r="Z926" s="3">
        <v>5.8820912030856327</v>
      </c>
      <c r="AA926" s="3">
        <v>5.8820912030856327</v>
      </c>
      <c r="AB926" s="3">
        <v>5.8820912030856327</v>
      </c>
      <c r="AC926" s="3">
        <v>5.8820912030856336</v>
      </c>
      <c r="AD926" s="3">
        <v>5.8820912030856336</v>
      </c>
      <c r="AE926" s="3">
        <v>5.8820912030856336</v>
      </c>
      <c r="AG926" s="17" t="s">
        <v>4927</v>
      </c>
      <c r="AH926" s="3">
        <v>28.979352274154792</v>
      </c>
      <c r="AI926" s="3">
        <v>10.48609049839016</v>
      </c>
      <c r="AJ926" s="3">
        <v>8.8214588298409033</v>
      </c>
      <c r="AK926" s="3">
        <v>9.475526728288914</v>
      </c>
      <c r="AL926" s="3">
        <v>11.02912166666667</v>
      </c>
      <c r="AM926" s="3">
        <v>9.1787362507006645</v>
      </c>
      <c r="AN926" s="3">
        <v>7.0020629246709314</v>
      </c>
      <c r="AO926" s="3">
        <v>6.2267038226741356</v>
      </c>
      <c r="AP926" s="3">
        <v>6.0067413832164638</v>
      </c>
      <c r="AQ926" s="3">
        <v>5.8820912030856309</v>
      </c>
      <c r="AR926" s="3">
        <v>5.8820912030856318</v>
      </c>
      <c r="AS926" s="3">
        <v>5.8820912030856318</v>
      </c>
      <c r="AT926" s="3">
        <v>5.8820912030856327</v>
      </c>
      <c r="AU926" s="3">
        <v>5.8820912030856336</v>
      </c>
      <c r="AV926" s="3">
        <v>5.8820912030856327</v>
      </c>
      <c r="AW926" s="3">
        <v>5.8820912030856327</v>
      </c>
      <c r="AX926" s="3">
        <v>5.8820912030856327</v>
      </c>
      <c r="AY926" s="3">
        <v>5.8820912030856336</v>
      </c>
      <c r="AZ926" s="3">
        <v>5.8820912030856336</v>
      </c>
      <c r="BA926" s="3">
        <v>5.8820912030856336</v>
      </c>
      <c r="BC926" s="17" t="s">
        <v>4928</v>
      </c>
      <c r="BD926" s="3">
        <v>28.979352274154792</v>
      </c>
      <c r="BE926" s="3">
        <v>10.48609049839016</v>
      </c>
      <c r="BF926" s="3">
        <v>8.8214588298409033</v>
      </c>
      <c r="BG926" s="3">
        <v>9.475526728288914</v>
      </c>
      <c r="BH926" s="3">
        <v>11.02912166666667</v>
      </c>
      <c r="BI926" s="3">
        <v>9.1787362507006645</v>
      </c>
      <c r="BJ926" s="3">
        <v>7.0020629246709314</v>
      </c>
      <c r="BK926" s="3">
        <v>6.2267038226741356</v>
      </c>
      <c r="BL926" s="3">
        <v>6.0067413832164638</v>
      </c>
      <c r="BM926" s="3">
        <v>5.8820912030856309</v>
      </c>
      <c r="BN926" s="3">
        <v>5.8820912030856318</v>
      </c>
      <c r="BO926" s="3">
        <v>5.8820912030856318</v>
      </c>
      <c r="BP926" s="3">
        <v>5.8820912030856327</v>
      </c>
      <c r="BQ926" s="3">
        <v>5.8820912030856336</v>
      </c>
      <c r="BR926" s="3">
        <v>5.8820912030856327</v>
      </c>
      <c r="BS926" s="3">
        <v>5.8820912030856327</v>
      </c>
      <c r="BT926" s="3">
        <v>5.8820912030856327</v>
      </c>
      <c r="BU926" s="3">
        <v>5.8820912030856336</v>
      </c>
      <c r="BV926" s="3">
        <v>5.8820912030856336</v>
      </c>
      <c r="BW926" s="3">
        <v>5.8820912030856336</v>
      </c>
      <c r="BY926" s="17" t="s">
        <v>4929</v>
      </c>
      <c r="BZ926" s="3">
        <v>28.979352274154792</v>
      </c>
      <c r="CA926" s="3">
        <v>10.48609049839016</v>
      </c>
      <c r="CB926" s="3">
        <v>8.8214588298409033</v>
      </c>
      <c r="CC926" s="3">
        <v>9.475526728288914</v>
      </c>
      <c r="CD926" s="3">
        <v>11.02912166666667</v>
      </c>
      <c r="CE926" s="3">
        <v>9.1787362507006645</v>
      </c>
      <c r="CF926" s="3">
        <v>7.0020629246709314</v>
      </c>
      <c r="CG926" s="3">
        <v>6.2267038226741356</v>
      </c>
      <c r="CH926" s="3">
        <v>6.0067413832164638</v>
      </c>
      <c r="CI926" s="3">
        <v>5.8820912030856309</v>
      </c>
      <c r="CJ926" s="3">
        <v>5.8820912030856318</v>
      </c>
      <c r="CK926" s="3">
        <v>5.8820912030856318</v>
      </c>
      <c r="CL926" s="3">
        <v>5.8820912030856327</v>
      </c>
      <c r="CM926" s="3">
        <v>5.8820912030856336</v>
      </c>
      <c r="CN926" s="3">
        <v>5.8820912030856327</v>
      </c>
      <c r="CO926" s="3">
        <v>5.8820912030856327</v>
      </c>
      <c r="CP926" s="3">
        <v>5.8820912030856327</v>
      </c>
      <c r="CQ926" s="3">
        <v>5.8820912030856336</v>
      </c>
      <c r="CR926" s="3">
        <v>5.8820912030856336</v>
      </c>
      <c r="CS926" s="3">
        <v>5.8820912030856336</v>
      </c>
      <c r="CU926" s="17" t="s">
        <v>4930</v>
      </c>
      <c r="CV926" s="3">
        <v>28.979352274154792</v>
      </c>
      <c r="CW926" s="3">
        <v>10.48609049839016</v>
      </c>
      <c r="CX926" s="3">
        <v>8.8214588298409033</v>
      </c>
      <c r="CY926" s="3">
        <v>9.475526728288914</v>
      </c>
      <c r="CZ926" s="3">
        <v>11.02912166666667</v>
      </c>
      <c r="DA926" s="3">
        <v>9.1787362507006645</v>
      </c>
      <c r="DB926" s="3">
        <v>7.0020629246709314</v>
      </c>
      <c r="DC926" s="3">
        <v>6.2267038226741356</v>
      </c>
      <c r="DD926" s="3">
        <v>6.0067413832164638</v>
      </c>
      <c r="DE926" s="3">
        <v>5.8820912030856309</v>
      </c>
      <c r="DF926" s="3">
        <v>5.8820912030856318</v>
      </c>
      <c r="DG926" s="3">
        <v>5.8820912030856318</v>
      </c>
      <c r="DH926" s="3">
        <v>5.8820912030856327</v>
      </c>
      <c r="DI926" s="3">
        <v>5.8820912030856336</v>
      </c>
      <c r="DJ926" s="3">
        <v>5.8820912030856327</v>
      </c>
      <c r="DK926" s="3">
        <v>5.8820912030856327</v>
      </c>
      <c r="DL926" s="3">
        <v>5.8820912030856327</v>
      </c>
      <c r="DM926" s="3">
        <v>5.8820912030856336</v>
      </c>
      <c r="DN926" s="3">
        <v>5.8820912030856336</v>
      </c>
      <c r="DO926" s="3">
        <v>5.8820912030856336</v>
      </c>
    </row>
    <row r="927" spans="1:230" x14ac:dyDescent="0.45">
      <c r="A927" s="11"/>
      <c r="B927" s="3" t="s">
        <v>89</v>
      </c>
      <c r="C927" s="16"/>
      <c r="H927" s="11" t="s">
        <v>4931</v>
      </c>
      <c r="I927" s="11" t="s">
        <v>4932</v>
      </c>
    </row>
    <row r="928" spans="1:230" x14ac:dyDescent="0.45">
      <c r="A928" s="11"/>
      <c r="B928" s="3" t="s">
        <v>89</v>
      </c>
      <c r="C928" s="16"/>
      <c r="H928" s="11" t="s">
        <v>4933</v>
      </c>
      <c r="I928" s="11" t="s">
        <v>4932</v>
      </c>
    </row>
    <row r="929" spans="1:230" x14ac:dyDescent="0.45">
      <c r="A929" s="11"/>
      <c r="B929" s="3" t="s">
        <v>89</v>
      </c>
      <c r="C929" s="16"/>
      <c r="H929" s="11" t="s">
        <v>4934</v>
      </c>
      <c r="I929" s="11" t="s">
        <v>4932</v>
      </c>
    </row>
    <row r="930" spans="1:230" x14ac:dyDescent="0.45">
      <c r="A930" s="11"/>
      <c r="B930" s="3" t="s">
        <v>89</v>
      </c>
      <c r="C930" s="16"/>
      <c r="H930" s="11" t="s">
        <v>4935</v>
      </c>
      <c r="I930" s="11" t="s">
        <v>4932</v>
      </c>
    </row>
    <row r="931" spans="1:230" ht="15.4" x14ac:dyDescent="0.45">
      <c r="A931" s="5"/>
      <c r="B931" s="15" t="s">
        <v>4936</v>
      </c>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row>
    <row r="932" spans="1:230" x14ac:dyDescent="0.45">
      <c r="A932" s="11"/>
      <c r="B932" s="3" t="s">
        <v>89</v>
      </c>
      <c r="C932" s="16" t="s">
        <v>4937</v>
      </c>
      <c r="H932" s="11" t="s">
        <v>4938</v>
      </c>
      <c r="I932" s="11"/>
    </row>
    <row r="933" spans="1:230" x14ac:dyDescent="0.45">
      <c r="A933" s="11"/>
      <c r="B933" s="3" t="s">
        <v>89</v>
      </c>
      <c r="C933" s="16" t="s">
        <v>4939</v>
      </c>
      <c r="H933" s="11" t="s">
        <v>4940</v>
      </c>
      <c r="I933" s="11"/>
    </row>
    <row r="934" spans="1:230" x14ac:dyDescent="0.45">
      <c r="A934" s="11"/>
      <c r="B934" s="3" t="s">
        <v>89</v>
      </c>
      <c r="C934" s="16" t="s">
        <v>4941</v>
      </c>
      <c r="H934" s="11" t="s">
        <v>4942</v>
      </c>
      <c r="I934" s="11"/>
    </row>
    <row r="935" spans="1:230" x14ac:dyDescent="0.45">
      <c r="A935" s="11"/>
      <c r="B935" s="3" t="s">
        <v>89</v>
      </c>
      <c r="C935" s="16" t="s">
        <v>4943</v>
      </c>
      <c r="H935" s="11" t="s">
        <v>4944</v>
      </c>
      <c r="I935" s="11"/>
    </row>
    <row r="936" spans="1:230" x14ac:dyDescent="0.45">
      <c r="A936" s="11"/>
      <c r="B936" s="3" t="s">
        <v>89</v>
      </c>
      <c r="C936" s="16" t="s">
        <v>4945</v>
      </c>
      <c r="H936" s="11" t="s">
        <v>4946</v>
      </c>
      <c r="I936" s="11"/>
    </row>
    <row r="937" spans="1:230" x14ac:dyDescent="0.45">
      <c r="A937" s="11"/>
      <c r="B937" s="3" t="s">
        <v>89</v>
      </c>
      <c r="C937" s="16" t="s">
        <v>4947</v>
      </c>
      <c r="H937" s="11" t="s">
        <v>4948</v>
      </c>
      <c r="I937" s="11"/>
    </row>
    <row r="938" spans="1:230" x14ac:dyDescent="0.45">
      <c r="A938" s="11"/>
      <c r="B938" s="3" t="s">
        <v>89</v>
      </c>
      <c r="C938" s="16" t="s">
        <v>4949</v>
      </c>
      <c r="H938" s="11" t="s">
        <v>4950</v>
      </c>
      <c r="I938" s="11"/>
    </row>
    <row r="939" spans="1:230" x14ac:dyDescent="0.45">
      <c r="A939" s="11"/>
      <c r="B939" s="3" t="s">
        <v>89</v>
      </c>
      <c r="C939" s="16" t="s">
        <v>4951</v>
      </c>
      <c r="H939" s="11" t="s">
        <v>4952</v>
      </c>
      <c r="I939" s="11"/>
    </row>
    <row r="940" spans="1:230" x14ac:dyDescent="0.45">
      <c r="A940" s="11"/>
      <c r="B940" s="3" t="s">
        <v>89</v>
      </c>
      <c r="C940" s="16" t="s">
        <v>4953</v>
      </c>
      <c r="H940" s="11" t="s">
        <v>4954</v>
      </c>
      <c r="I940" s="11"/>
    </row>
    <row r="941" spans="1:230" x14ac:dyDescent="0.45">
      <c r="A941" s="11"/>
      <c r="B941" s="3" t="s">
        <v>89</v>
      </c>
      <c r="C941" s="16" t="s">
        <v>4955</v>
      </c>
      <c r="H941" s="11" t="s">
        <v>4956</v>
      </c>
      <c r="I941" s="11"/>
    </row>
    <row r="942" spans="1:230" x14ac:dyDescent="0.45">
      <c r="A942" s="11"/>
      <c r="B942" s="3" t="s">
        <v>89</v>
      </c>
      <c r="C942" s="16" t="s">
        <v>4957</v>
      </c>
      <c r="H942" s="11" t="s">
        <v>4958</v>
      </c>
      <c r="I942" s="11"/>
    </row>
    <row r="943" spans="1:230" x14ac:dyDescent="0.45">
      <c r="A943" s="11"/>
      <c r="B943" s="3" t="s">
        <v>89</v>
      </c>
      <c r="C943" s="16" t="s">
        <v>4959</v>
      </c>
      <c r="H943" s="11" t="s">
        <v>4960</v>
      </c>
      <c r="I943" s="11"/>
    </row>
    <row r="944" spans="1:230" x14ac:dyDescent="0.45">
      <c r="A944" s="11"/>
      <c r="B944" s="3" t="s">
        <v>89</v>
      </c>
      <c r="C944" s="16" t="s">
        <v>4961</v>
      </c>
      <c r="H944" s="11" t="s">
        <v>4962</v>
      </c>
      <c r="I944" s="11"/>
    </row>
    <row r="945" spans="1:119" x14ac:dyDescent="0.45">
      <c r="A945" s="11"/>
      <c r="B945" s="3" t="s">
        <v>89</v>
      </c>
      <c r="C945" s="16" t="s">
        <v>4963</v>
      </c>
      <c r="H945" s="11" t="s">
        <v>4964</v>
      </c>
      <c r="I945" s="11"/>
    </row>
    <row r="946" spans="1:119" x14ac:dyDescent="0.45">
      <c r="A946" s="11"/>
      <c r="B946" s="3" t="s">
        <v>89</v>
      </c>
      <c r="C946" s="16" t="s">
        <v>4965</v>
      </c>
      <c r="H946" s="11" t="s">
        <v>4966</v>
      </c>
      <c r="I946" s="11"/>
    </row>
    <row r="947" spans="1:119" x14ac:dyDescent="0.45">
      <c r="A947" s="11"/>
      <c r="B947" s="3" t="s">
        <v>89</v>
      </c>
      <c r="C947" s="16" t="s">
        <v>4967</v>
      </c>
      <c r="H947" s="11" t="s">
        <v>4968</v>
      </c>
      <c r="I947" s="11"/>
    </row>
    <row r="948" spans="1:119" x14ac:dyDescent="0.45">
      <c r="A948" s="11"/>
      <c r="B948" s="3" t="s">
        <v>89</v>
      </c>
      <c r="C948" s="16" t="s">
        <v>4969</v>
      </c>
      <c r="H948" s="11" t="s">
        <v>4970</v>
      </c>
      <c r="I948" s="11"/>
    </row>
    <row r="949" spans="1:119" x14ac:dyDescent="0.45">
      <c r="A949" s="11"/>
      <c r="B949" s="3" t="s">
        <v>89</v>
      </c>
      <c r="C949" s="16" t="s">
        <v>4971</v>
      </c>
      <c r="H949" s="11" t="s">
        <v>4972</v>
      </c>
      <c r="I949" s="11"/>
    </row>
    <row r="950" spans="1:119" x14ac:dyDescent="0.45">
      <c r="A950" s="11"/>
      <c r="B950" s="3" t="s">
        <v>89</v>
      </c>
      <c r="C950" s="16" t="s">
        <v>4973</v>
      </c>
      <c r="H950" s="11" t="s">
        <v>4974</v>
      </c>
      <c r="I950" s="11"/>
    </row>
    <row r="951" spans="1:119" x14ac:dyDescent="0.45">
      <c r="A951" s="11"/>
      <c r="B951" s="3" t="s">
        <v>89</v>
      </c>
      <c r="C951" s="16" t="s">
        <v>4975</v>
      </c>
      <c r="H951" s="11" t="s">
        <v>4976</v>
      </c>
      <c r="I951" s="11"/>
    </row>
    <row r="952" spans="1:119" x14ac:dyDescent="0.45">
      <c r="A952" s="11"/>
      <c r="B952" s="3" t="s">
        <v>89</v>
      </c>
      <c r="C952" s="16" t="s">
        <v>4977</v>
      </c>
      <c r="H952" s="11" t="s">
        <v>4978</v>
      </c>
      <c r="I952" s="11"/>
    </row>
    <row r="953" spans="1:119" x14ac:dyDescent="0.45">
      <c r="A953" s="11"/>
      <c r="B953" s="3" t="s">
        <v>89</v>
      </c>
      <c r="C953" s="16" t="s">
        <v>4979</v>
      </c>
      <c r="H953" s="11" t="s">
        <v>4980</v>
      </c>
      <c r="I953" s="11"/>
    </row>
    <row r="954" spans="1:119" x14ac:dyDescent="0.45">
      <c r="A954" s="11"/>
      <c r="B954" s="3" t="s">
        <v>89</v>
      </c>
      <c r="C954" s="16" t="s">
        <v>4981</v>
      </c>
      <c r="H954" s="11" t="s">
        <v>4982</v>
      </c>
      <c r="I954" s="11"/>
    </row>
    <row r="955" spans="1:119" x14ac:dyDescent="0.45">
      <c r="A955" s="16" t="s">
        <v>906</v>
      </c>
      <c r="B955" s="3" t="s">
        <v>89</v>
      </c>
      <c r="C955" s="16" t="s">
        <v>4983</v>
      </c>
      <c r="H955" s="3" t="s">
        <v>908</v>
      </c>
      <c r="I955" s="3" t="s">
        <v>651</v>
      </c>
      <c r="K955" s="17" t="s">
        <v>909</v>
      </c>
      <c r="L955" s="3">
        <v>13.46421248673108</v>
      </c>
      <c r="M955" s="3">
        <v>6.5884752723340902</v>
      </c>
      <c r="N955" s="3">
        <v>5.8065680582894004</v>
      </c>
      <c r="O955" s="3">
        <v>4.7532486605082349</v>
      </c>
      <c r="P955" s="3">
        <v>5.3336222070744386</v>
      </c>
      <c r="Q955" s="3">
        <v>5.4645398442557918</v>
      </c>
      <c r="R955" s="3">
        <v>5.4024636206778087</v>
      </c>
      <c r="S955" s="3">
        <v>5.3358943039594733</v>
      </c>
      <c r="T955" s="3">
        <v>5.2646478334587359</v>
      </c>
      <c r="U955" s="3">
        <v>5.1958920895644614</v>
      </c>
      <c r="V955" s="3">
        <v>5.1958920895644614</v>
      </c>
      <c r="W955" s="3">
        <v>5.1958920895644614</v>
      </c>
      <c r="X955" s="3">
        <v>5.1958920895644631</v>
      </c>
      <c r="Y955" s="3">
        <v>5.1958920895644631</v>
      </c>
      <c r="Z955" s="3">
        <v>5.1958920895644631</v>
      </c>
      <c r="AA955" s="3">
        <v>5.1958920895644622</v>
      </c>
      <c r="AB955" s="3">
        <v>5.1958920895644622</v>
      </c>
      <c r="AC955" s="3">
        <v>5.1958920895644631</v>
      </c>
      <c r="AD955" s="3">
        <v>5.1958920895644631</v>
      </c>
      <c r="AE955" s="3">
        <v>5.1958920895644631</v>
      </c>
      <c r="AG955" s="17" t="s">
        <v>910</v>
      </c>
      <c r="AH955" s="3">
        <v>13.46421248673108</v>
      </c>
      <c r="AI955" s="3">
        <v>6.5884752723340902</v>
      </c>
      <c r="AJ955" s="3">
        <v>5.8065680582894004</v>
      </c>
      <c r="AK955" s="3">
        <v>4.7532486605082349</v>
      </c>
      <c r="AL955" s="3">
        <v>5.3336222070744386</v>
      </c>
      <c r="AM955" s="3">
        <v>5.4645398442557918</v>
      </c>
      <c r="AN955" s="3">
        <v>5.4024636206778087</v>
      </c>
      <c r="AO955" s="3">
        <v>5.3358943039594733</v>
      </c>
      <c r="AP955" s="3">
        <v>5.2646478334587359</v>
      </c>
      <c r="AQ955" s="3">
        <v>5.1958920895644614</v>
      </c>
      <c r="AR955" s="3">
        <v>5.1958920895644614</v>
      </c>
      <c r="AS955" s="3">
        <v>5.1958920895644614</v>
      </c>
      <c r="AT955" s="3">
        <v>5.1958920895644631</v>
      </c>
      <c r="AU955" s="3">
        <v>5.1958920895644631</v>
      </c>
      <c r="AV955" s="3">
        <v>5.1958920895644631</v>
      </c>
      <c r="AW955" s="3">
        <v>5.1958920895644622</v>
      </c>
      <c r="AX955" s="3">
        <v>5.1958920895644622</v>
      </c>
      <c r="AY955" s="3">
        <v>5.1958920895644631</v>
      </c>
      <c r="AZ955" s="3">
        <v>5.1958920895644631</v>
      </c>
      <c r="BA955" s="3">
        <v>5.1958920895644631</v>
      </c>
      <c r="BC955" s="17" t="s">
        <v>911</v>
      </c>
      <c r="BD955" s="3">
        <v>13.46421248673108</v>
      </c>
      <c r="BE955" s="3">
        <v>6.5884752723340902</v>
      </c>
      <c r="BF955" s="3">
        <v>5.8065680582894004</v>
      </c>
      <c r="BG955" s="3">
        <v>4.7532486605082349</v>
      </c>
      <c r="BH955" s="3">
        <v>5.3336222070744386</v>
      </c>
      <c r="BI955" s="3">
        <v>5.4645398442557918</v>
      </c>
      <c r="BJ955" s="3">
        <v>5.4024636206778087</v>
      </c>
      <c r="BK955" s="3">
        <v>5.3358943039594733</v>
      </c>
      <c r="BL955" s="3">
        <v>5.2646478334587359</v>
      </c>
      <c r="BM955" s="3">
        <v>5.1958920895644614</v>
      </c>
      <c r="BN955" s="3">
        <v>5.1958920895644614</v>
      </c>
      <c r="BO955" s="3">
        <v>5.1958920895644614</v>
      </c>
      <c r="BP955" s="3">
        <v>5.1958920895644631</v>
      </c>
      <c r="BQ955" s="3">
        <v>5.1958920895644631</v>
      </c>
      <c r="BR955" s="3">
        <v>5.1958920895644631</v>
      </c>
      <c r="BS955" s="3">
        <v>5.1958920895644622</v>
      </c>
      <c r="BT955" s="3">
        <v>5.1958920895644622</v>
      </c>
      <c r="BU955" s="3">
        <v>5.1958920895644631</v>
      </c>
      <c r="BV955" s="3">
        <v>5.1958920895644631</v>
      </c>
      <c r="BW955" s="3">
        <v>5.1958920895644631</v>
      </c>
      <c r="BY955" s="17" t="s">
        <v>912</v>
      </c>
      <c r="BZ955" s="3">
        <v>13.46421248673108</v>
      </c>
      <c r="CA955" s="3">
        <v>6.5884752723340902</v>
      </c>
      <c r="CB955" s="3">
        <v>5.8065680582894004</v>
      </c>
      <c r="CC955" s="3">
        <v>4.7532486605082349</v>
      </c>
      <c r="CD955" s="3">
        <v>5.3336222070744386</v>
      </c>
      <c r="CE955" s="3">
        <v>5.4645398442557918</v>
      </c>
      <c r="CF955" s="3">
        <v>5.4024636206778087</v>
      </c>
      <c r="CG955" s="3">
        <v>5.3358943039594733</v>
      </c>
      <c r="CH955" s="3">
        <v>5.2646478334587359</v>
      </c>
      <c r="CI955" s="3">
        <v>5.1958920895644614</v>
      </c>
      <c r="CJ955" s="3">
        <v>5.1958920895644614</v>
      </c>
      <c r="CK955" s="3">
        <v>5.1958920895644614</v>
      </c>
      <c r="CL955" s="3">
        <v>5.1958920895644631</v>
      </c>
      <c r="CM955" s="3">
        <v>5.1958920895644631</v>
      </c>
      <c r="CN955" s="3">
        <v>5.1958920895644631</v>
      </c>
      <c r="CO955" s="3">
        <v>5.1958920895644622</v>
      </c>
      <c r="CP955" s="3">
        <v>5.1958920895644622</v>
      </c>
      <c r="CQ955" s="3">
        <v>5.1958920895644631</v>
      </c>
      <c r="CR955" s="3">
        <v>5.1958920895644631</v>
      </c>
      <c r="CS955" s="3">
        <v>5.1958920895644631</v>
      </c>
      <c r="CU955" s="17" t="s">
        <v>913</v>
      </c>
      <c r="CV955" s="3">
        <v>13.46421248673108</v>
      </c>
      <c r="CW955" s="3">
        <v>6.5884752723340902</v>
      </c>
      <c r="CX955" s="3">
        <v>5.8065680582894004</v>
      </c>
      <c r="CY955" s="3">
        <v>4.7532486605082349</v>
      </c>
      <c r="CZ955" s="3">
        <v>5.3336222070744386</v>
      </c>
      <c r="DA955" s="3">
        <v>5.4645398442557918</v>
      </c>
      <c r="DB955" s="3">
        <v>5.4024636206778087</v>
      </c>
      <c r="DC955" s="3">
        <v>5.3358943039594733</v>
      </c>
      <c r="DD955" s="3">
        <v>5.2646478334587359</v>
      </c>
      <c r="DE955" s="3">
        <v>5.1958920895644614</v>
      </c>
      <c r="DF955" s="3">
        <v>5.1958920895644614</v>
      </c>
      <c r="DG955" s="3">
        <v>5.1958920895644614</v>
      </c>
      <c r="DH955" s="3">
        <v>5.1958920895644631</v>
      </c>
      <c r="DI955" s="3">
        <v>5.1958920895644631</v>
      </c>
      <c r="DJ955" s="3">
        <v>5.1958920895644631</v>
      </c>
      <c r="DK955" s="3">
        <v>5.1958920895644622</v>
      </c>
      <c r="DL955" s="3">
        <v>5.1958920895644622</v>
      </c>
      <c r="DM955" s="3">
        <v>5.1958920895644631</v>
      </c>
      <c r="DN955" s="3">
        <v>5.1958920895644631</v>
      </c>
      <c r="DO955" s="3">
        <v>5.1958920895644631</v>
      </c>
    </row>
    <row r="956" spans="1:119" x14ac:dyDescent="0.45">
      <c r="A956" s="16" t="s">
        <v>890</v>
      </c>
      <c r="B956" s="3" t="s">
        <v>89</v>
      </c>
      <c r="C956" s="16" t="s">
        <v>4984</v>
      </c>
      <c r="H956" s="3" t="s">
        <v>892</v>
      </c>
      <c r="I956" s="3" t="s">
        <v>651</v>
      </c>
      <c r="K956" s="17" t="s">
        <v>893</v>
      </c>
      <c r="L956" s="3">
        <v>20.502627497702459</v>
      </c>
      <c r="M956" s="3">
        <v>13.364278434844859</v>
      </c>
      <c r="N956" s="3">
        <v>12.70156580181755</v>
      </c>
      <c r="O956" s="3">
        <v>11.6577166486213</v>
      </c>
      <c r="P956" s="3">
        <v>12.23287213934597</v>
      </c>
      <c r="Q956" s="3">
        <v>12.36261271470998</v>
      </c>
      <c r="R956" s="3">
        <v>12.301094609611001</v>
      </c>
      <c r="S956" s="3">
        <v>12.23512380813173</v>
      </c>
      <c r="T956" s="3">
        <v>12.16451790449312</v>
      </c>
      <c r="U956" s="3">
        <v>12.09638033369303</v>
      </c>
      <c r="V956" s="3">
        <v>12.09638033369303</v>
      </c>
      <c r="W956" s="3">
        <v>12.09638033369303</v>
      </c>
      <c r="X956" s="3">
        <v>12.096380333693039</v>
      </c>
      <c r="Y956" s="3">
        <v>12.096380333693039</v>
      </c>
      <c r="Z956" s="3">
        <v>12.096380333693039</v>
      </c>
      <c r="AA956" s="3">
        <v>12.09638033369303</v>
      </c>
      <c r="AB956" s="3">
        <v>12.09638033369303</v>
      </c>
      <c r="AC956" s="3">
        <v>12.09638033369303</v>
      </c>
      <c r="AD956" s="3">
        <v>12.09638033369303</v>
      </c>
      <c r="AE956" s="3">
        <v>12.09638033369303</v>
      </c>
      <c r="AG956" s="17" t="s">
        <v>894</v>
      </c>
      <c r="AH956" s="3">
        <v>20.502627497702459</v>
      </c>
      <c r="AI956" s="3">
        <v>13.364278434844859</v>
      </c>
      <c r="AJ956" s="3">
        <v>12.70156580181755</v>
      </c>
      <c r="AK956" s="3">
        <v>11.6577166486213</v>
      </c>
      <c r="AL956" s="3">
        <v>12.23287213934597</v>
      </c>
      <c r="AM956" s="3">
        <v>12.36261271470998</v>
      </c>
      <c r="AN956" s="3">
        <v>12.301094609611001</v>
      </c>
      <c r="AO956" s="3">
        <v>12.23512380813173</v>
      </c>
      <c r="AP956" s="3">
        <v>12.16451790449312</v>
      </c>
      <c r="AQ956" s="3">
        <v>12.09638033369303</v>
      </c>
      <c r="AR956" s="3">
        <v>12.09638033369303</v>
      </c>
      <c r="AS956" s="3">
        <v>12.09638033369303</v>
      </c>
      <c r="AT956" s="3">
        <v>12.096380333693039</v>
      </c>
      <c r="AU956" s="3">
        <v>12.096380333693039</v>
      </c>
      <c r="AV956" s="3">
        <v>12.096380333693039</v>
      </c>
      <c r="AW956" s="3">
        <v>12.09638033369303</v>
      </c>
      <c r="AX956" s="3">
        <v>12.09638033369303</v>
      </c>
      <c r="AY956" s="3">
        <v>12.09638033369303</v>
      </c>
      <c r="AZ956" s="3">
        <v>12.09638033369303</v>
      </c>
      <c r="BA956" s="3">
        <v>12.09638033369303</v>
      </c>
      <c r="BC956" s="17" t="s">
        <v>895</v>
      </c>
      <c r="BD956" s="3">
        <v>20.502627497702459</v>
      </c>
      <c r="BE956" s="3">
        <v>13.364278434844859</v>
      </c>
      <c r="BF956" s="3">
        <v>12.70156580181755</v>
      </c>
      <c r="BG956" s="3">
        <v>11.6577166486213</v>
      </c>
      <c r="BH956" s="3">
        <v>12.23287213934597</v>
      </c>
      <c r="BI956" s="3">
        <v>12.36261271470998</v>
      </c>
      <c r="BJ956" s="3">
        <v>12.301094609611001</v>
      </c>
      <c r="BK956" s="3">
        <v>12.23512380813173</v>
      </c>
      <c r="BL956" s="3">
        <v>12.16451790449312</v>
      </c>
      <c r="BM956" s="3">
        <v>12.09638033369303</v>
      </c>
      <c r="BN956" s="3">
        <v>12.09638033369303</v>
      </c>
      <c r="BO956" s="3">
        <v>12.09638033369303</v>
      </c>
      <c r="BP956" s="3">
        <v>12.096380333693039</v>
      </c>
      <c r="BQ956" s="3">
        <v>12.096380333693039</v>
      </c>
      <c r="BR956" s="3">
        <v>12.096380333693039</v>
      </c>
      <c r="BS956" s="3">
        <v>12.09638033369303</v>
      </c>
      <c r="BT956" s="3">
        <v>12.09638033369303</v>
      </c>
      <c r="BU956" s="3">
        <v>12.09638033369303</v>
      </c>
      <c r="BV956" s="3">
        <v>12.09638033369303</v>
      </c>
      <c r="BW956" s="3">
        <v>12.09638033369303</v>
      </c>
      <c r="BY956" s="17" t="s">
        <v>896</v>
      </c>
      <c r="BZ956" s="3">
        <v>20.502627497702459</v>
      </c>
      <c r="CA956" s="3">
        <v>13.364278434844859</v>
      </c>
      <c r="CB956" s="3">
        <v>12.70156580181755</v>
      </c>
      <c r="CC956" s="3">
        <v>11.6577166486213</v>
      </c>
      <c r="CD956" s="3">
        <v>12.23287213934597</v>
      </c>
      <c r="CE956" s="3">
        <v>12.36261271470998</v>
      </c>
      <c r="CF956" s="3">
        <v>12.301094609611001</v>
      </c>
      <c r="CG956" s="3">
        <v>12.23512380813173</v>
      </c>
      <c r="CH956" s="3">
        <v>12.16451790449312</v>
      </c>
      <c r="CI956" s="3">
        <v>12.09638033369303</v>
      </c>
      <c r="CJ956" s="3">
        <v>12.09638033369303</v>
      </c>
      <c r="CK956" s="3">
        <v>12.09638033369303</v>
      </c>
      <c r="CL956" s="3">
        <v>12.096380333693039</v>
      </c>
      <c r="CM956" s="3">
        <v>12.096380333693039</v>
      </c>
      <c r="CN956" s="3">
        <v>12.096380333693039</v>
      </c>
      <c r="CO956" s="3">
        <v>12.09638033369303</v>
      </c>
      <c r="CP956" s="3">
        <v>12.09638033369303</v>
      </c>
      <c r="CQ956" s="3">
        <v>12.09638033369303</v>
      </c>
      <c r="CR956" s="3">
        <v>12.09638033369303</v>
      </c>
      <c r="CS956" s="3">
        <v>12.09638033369303</v>
      </c>
      <c r="CU956" s="17" t="s">
        <v>897</v>
      </c>
      <c r="CV956" s="3">
        <v>20.502627497702459</v>
      </c>
      <c r="CW956" s="3">
        <v>13.364278434844859</v>
      </c>
      <c r="CX956" s="3">
        <v>12.70156580181755</v>
      </c>
      <c r="CY956" s="3">
        <v>11.6577166486213</v>
      </c>
      <c r="CZ956" s="3">
        <v>12.23287213934597</v>
      </c>
      <c r="DA956" s="3">
        <v>12.36261271470998</v>
      </c>
      <c r="DB956" s="3">
        <v>12.301094609611001</v>
      </c>
      <c r="DC956" s="3">
        <v>12.23512380813173</v>
      </c>
      <c r="DD956" s="3">
        <v>12.16451790449312</v>
      </c>
      <c r="DE956" s="3">
        <v>12.09638033369303</v>
      </c>
      <c r="DF956" s="3">
        <v>12.09638033369303</v>
      </c>
      <c r="DG956" s="3">
        <v>12.09638033369303</v>
      </c>
      <c r="DH956" s="3">
        <v>12.096380333693039</v>
      </c>
      <c r="DI956" s="3">
        <v>12.096380333693039</v>
      </c>
      <c r="DJ956" s="3">
        <v>12.096380333693039</v>
      </c>
      <c r="DK956" s="3">
        <v>12.09638033369303</v>
      </c>
      <c r="DL956" s="3">
        <v>12.09638033369303</v>
      </c>
      <c r="DM956" s="3">
        <v>12.09638033369303</v>
      </c>
      <c r="DN956" s="3">
        <v>12.09638033369303</v>
      </c>
      <c r="DO956" s="3">
        <v>12.09638033369303</v>
      </c>
    </row>
    <row r="957" spans="1:119" x14ac:dyDescent="0.45">
      <c r="A957" s="16" t="s">
        <v>874</v>
      </c>
      <c r="B957" s="3" t="s">
        <v>89</v>
      </c>
      <c r="C957" s="16" t="s">
        <v>4985</v>
      </c>
      <c r="H957" s="3" t="s">
        <v>876</v>
      </c>
      <c r="I957" s="3" t="s">
        <v>651</v>
      </c>
      <c r="K957" s="17" t="s">
        <v>877</v>
      </c>
      <c r="L957" s="3">
        <v>10.90003858207016</v>
      </c>
      <c r="M957" s="3">
        <v>8.5604711808494134</v>
      </c>
      <c r="N957" s="3">
        <v>7.4051359960438541</v>
      </c>
      <c r="O957" s="3">
        <v>6.6498090786732611</v>
      </c>
      <c r="P957" s="3">
        <v>7.0659903080085673</v>
      </c>
      <c r="Q957" s="3">
        <v>7.1598702987596514</v>
      </c>
      <c r="R957" s="3">
        <v>7.1153559352190801</v>
      </c>
      <c r="S957" s="3">
        <v>7.0676196105161972</v>
      </c>
      <c r="T957" s="3">
        <v>7.0165293362364132</v>
      </c>
      <c r="U957" s="3">
        <v>6.9672251420892408</v>
      </c>
      <c r="V957" s="3">
        <v>6.9672251420892408</v>
      </c>
      <c r="W957" s="3">
        <v>6.9672251420892408</v>
      </c>
      <c r="X957" s="3">
        <v>6.9672251420892417</v>
      </c>
      <c r="Y957" s="3">
        <v>6.9672251420892417</v>
      </c>
      <c r="Z957" s="3">
        <v>6.9672251420892417</v>
      </c>
      <c r="AA957" s="3">
        <v>6.9672251420892408</v>
      </c>
      <c r="AB957" s="3">
        <v>6.9672251420892408</v>
      </c>
      <c r="AC957" s="3">
        <v>6.9672251420892408</v>
      </c>
      <c r="AD957" s="3">
        <v>6.9672251420892408</v>
      </c>
      <c r="AE957" s="3">
        <v>6.9672251420892408</v>
      </c>
      <c r="AG957" s="17" t="s">
        <v>878</v>
      </c>
      <c r="AH957" s="3">
        <v>10.90003858207016</v>
      </c>
      <c r="AI957" s="3">
        <v>8.5604711808494134</v>
      </c>
      <c r="AJ957" s="3">
        <v>7.4051359960438541</v>
      </c>
      <c r="AK957" s="3">
        <v>6.6498090786732611</v>
      </c>
      <c r="AL957" s="3">
        <v>7.0659903080085673</v>
      </c>
      <c r="AM957" s="3">
        <v>7.1598702987596514</v>
      </c>
      <c r="AN957" s="3">
        <v>7.1153559352190801</v>
      </c>
      <c r="AO957" s="3">
        <v>7.0676196105161972</v>
      </c>
      <c r="AP957" s="3">
        <v>7.0165293362364132</v>
      </c>
      <c r="AQ957" s="3">
        <v>6.9672251420892408</v>
      </c>
      <c r="AR957" s="3">
        <v>6.9672251420892408</v>
      </c>
      <c r="AS957" s="3">
        <v>6.9672251420892408</v>
      </c>
      <c r="AT957" s="3">
        <v>6.9672251420892417</v>
      </c>
      <c r="AU957" s="3">
        <v>6.9672251420892417</v>
      </c>
      <c r="AV957" s="3">
        <v>6.9672251420892417</v>
      </c>
      <c r="AW957" s="3">
        <v>6.9672251420892408</v>
      </c>
      <c r="AX957" s="3">
        <v>6.9672251420892408</v>
      </c>
      <c r="AY957" s="3">
        <v>6.9672251420892408</v>
      </c>
      <c r="AZ957" s="3">
        <v>6.9672251420892408</v>
      </c>
      <c r="BA957" s="3">
        <v>6.9672251420892408</v>
      </c>
      <c r="BC957" s="17" t="s">
        <v>879</v>
      </c>
      <c r="BD957" s="3">
        <v>10.90003858207016</v>
      </c>
      <c r="BE957" s="3">
        <v>8.5604711808494134</v>
      </c>
      <c r="BF957" s="3">
        <v>7.4051359960438541</v>
      </c>
      <c r="BG957" s="3">
        <v>6.6498090786732611</v>
      </c>
      <c r="BH957" s="3">
        <v>7.0659903080085673</v>
      </c>
      <c r="BI957" s="3">
        <v>7.1598702987596514</v>
      </c>
      <c r="BJ957" s="3">
        <v>7.1153559352190801</v>
      </c>
      <c r="BK957" s="3">
        <v>7.0676196105161972</v>
      </c>
      <c r="BL957" s="3">
        <v>7.0165293362364132</v>
      </c>
      <c r="BM957" s="3">
        <v>6.9672251420892408</v>
      </c>
      <c r="BN957" s="3">
        <v>6.9672251420892408</v>
      </c>
      <c r="BO957" s="3">
        <v>6.9672251420892408</v>
      </c>
      <c r="BP957" s="3">
        <v>6.9672251420892417</v>
      </c>
      <c r="BQ957" s="3">
        <v>6.9672251420892417</v>
      </c>
      <c r="BR957" s="3">
        <v>6.9672251420892417</v>
      </c>
      <c r="BS957" s="3">
        <v>6.9672251420892408</v>
      </c>
      <c r="BT957" s="3">
        <v>6.9672251420892408</v>
      </c>
      <c r="BU957" s="3">
        <v>6.9672251420892408</v>
      </c>
      <c r="BV957" s="3">
        <v>6.9672251420892408</v>
      </c>
      <c r="BW957" s="3">
        <v>6.9672251420892408</v>
      </c>
      <c r="BY957" s="17" t="s">
        <v>880</v>
      </c>
      <c r="BZ957" s="3">
        <v>10.90003858207016</v>
      </c>
      <c r="CA957" s="3">
        <v>8.5604711808494134</v>
      </c>
      <c r="CB957" s="3">
        <v>7.4051359960438541</v>
      </c>
      <c r="CC957" s="3">
        <v>6.6498090786732611</v>
      </c>
      <c r="CD957" s="3">
        <v>7.0659903080085673</v>
      </c>
      <c r="CE957" s="3">
        <v>7.1598702987596514</v>
      </c>
      <c r="CF957" s="3">
        <v>7.1153559352190801</v>
      </c>
      <c r="CG957" s="3">
        <v>7.0676196105161972</v>
      </c>
      <c r="CH957" s="3">
        <v>7.0165293362364132</v>
      </c>
      <c r="CI957" s="3">
        <v>6.9672251420892408</v>
      </c>
      <c r="CJ957" s="3">
        <v>6.9672251420892408</v>
      </c>
      <c r="CK957" s="3">
        <v>6.9672251420892408</v>
      </c>
      <c r="CL957" s="3">
        <v>6.9672251420892417</v>
      </c>
      <c r="CM957" s="3">
        <v>6.9672251420892417</v>
      </c>
      <c r="CN957" s="3">
        <v>6.9672251420892417</v>
      </c>
      <c r="CO957" s="3">
        <v>6.9672251420892408</v>
      </c>
      <c r="CP957" s="3">
        <v>6.9672251420892408</v>
      </c>
      <c r="CQ957" s="3">
        <v>6.9672251420892408</v>
      </c>
      <c r="CR957" s="3">
        <v>6.9672251420892408</v>
      </c>
      <c r="CS957" s="3">
        <v>6.9672251420892408</v>
      </c>
      <c r="CU957" s="17" t="s">
        <v>881</v>
      </c>
      <c r="CV957" s="3">
        <v>10.90003858207016</v>
      </c>
      <c r="CW957" s="3">
        <v>8.5604711808494134</v>
      </c>
      <c r="CX957" s="3">
        <v>7.4051359960438541</v>
      </c>
      <c r="CY957" s="3">
        <v>6.6498090786732611</v>
      </c>
      <c r="CZ957" s="3">
        <v>7.0659903080085673</v>
      </c>
      <c r="DA957" s="3">
        <v>7.1598702987596514</v>
      </c>
      <c r="DB957" s="3">
        <v>7.1153559352190801</v>
      </c>
      <c r="DC957" s="3">
        <v>7.0676196105161972</v>
      </c>
      <c r="DD957" s="3">
        <v>7.0165293362364132</v>
      </c>
      <c r="DE957" s="3">
        <v>6.9672251420892408</v>
      </c>
      <c r="DF957" s="3">
        <v>6.9672251420892408</v>
      </c>
      <c r="DG957" s="3">
        <v>6.9672251420892408</v>
      </c>
      <c r="DH957" s="3">
        <v>6.9672251420892417</v>
      </c>
      <c r="DI957" s="3">
        <v>6.9672251420892417</v>
      </c>
      <c r="DJ957" s="3">
        <v>6.9672251420892417</v>
      </c>
      <c r="DK957" s="3">
        <v>6.9672251420892408</v>
      </c>
      <c r="DL957" s="3">
        <v>6.9672251420892408</v>
      </c>
      <c r="DM957" s="3">
        <v>6.9672251420892408</v>
      </c>
      <c r="DN957" s="3">
        <v>6.9672251420892408</v>
      </c>
      <c r="DO957" s="3">
        <v>6.9672251420892408</v>
      </c>
    </row>
    <row r="958" spans="1:119" x14ac:dyDescent="0.45">
      <c r="A958" s="16" t="s">
        <v>914</v>
      </c>
      <c r="B958" s="3" t="s">
        <v>89</v>
      </c>
      <c r="C958" s="16" t="s">
        <v>4986</v>
      </c>
      <c r="H958" s="3" t="s">
        <v>916</v>
      </c>
      <c r="I958" s="3" t="s">
        <v>651</v>
      </c>
      <c r="K958" s="17" t="s">
        <v>917</v>
      </c>
      <c r="L958" s="3">
        <v>11.602403278425079</v>
      </c>
      <c r="M958" s="3">
        <v>9.5111985613263279</v>
      </c>
      <c r="N958" s="3">
        <v>8.8922303249003338</v>
      </c>
      <c r="O958" s="3">
        <v>8.9047892694972273</v>
      </c>
      <c r="P958" s="3">
        <v>8.934620289798632</v>
      </c>
      <c r="Q958" s="3">
        <v>8.8990905107387555</v>
      </c>
      <c r="R958" s="3">
        <v>8.8572955842915047</v>
      </c>
      <c r="S958" s="3">
        <v>8.842407692640224</v>
      </c>
      <c r="T958" s="3">
        <v>8.8381841309930298</v>
      </c>
      <c r="U958" s="3">
        <v>8.8357906872695722</v>
      </c>
      <c r="V958" s="3">
        <v>8.8357906872695722</v>
      </c>
      <c r="W958" s="3">
        <v>8.8357906872695722</v>
      </c>
      <c r="X958" s="3">
        <v>8.8357906872695722</v>
      </c>
      <c r="Y958" s="3">
        <v>8.8357906872695722</v>
      </c>
      <c r="Z958" s="3">
        <v>8.8357906872695722</v>
      </c>
      <c r="AA958" s="3">
        <v>8.8357906872695722</v>
      </c>
      <c r="AB958" s="3">
        <v>8.8357906872695722</v>
      </c>
      <c r="AC958" s="3">
        <v>8.8357906872695722</v>
      </c>
      <c r="AD958" s="3">
        <v>8.8357906872695722</v>
      </c>
      <c r="AE958" s="3">
        <v>8.8357906872695722</v>
      </c>
      <c r="AG958" s="17" t="s">
        <v>918</v>
      </c>
      <c r="AH958" s="3">
        <v>11.602403278425079</v>
      </c>
      <c r="AI958" s="3">
        <v>9.5111985613263279</v>
      </c>
      <c r="AJ958" s="3">
        <v>8.8922303249003338</v>
      </c>
      <c r="AK958" s="3">
        <v>8.9047892694972273</v>
      </c>
      <c r="AL958" s="3">
        <v>8.934620289798632</v>
      </c>
      <c r="AM958" s="3">
        <v>8.8990905107387555</v>
      </c>
      <c r="AN958" s="3">
        <v>8.8572955842915047</v>
      </c>
      <c r="AO958" s="3">
        <v>8.842407692640224</v>
      </c>
      <c r="AP958" s="3">
        <v>8.8381841309930298</v>
      </c>
      <c r="AQ958" s="3">
        <v>8.8357906872695722</v>
      </c>
      <c r="AR958" s="3">
        <v>8.8357906872695722</v>
      </c>
      <c r="AS958" s="3">
        <v>8.8357906872695722</v>
      </c>
      <c r="AT958" s="3">
        <v>8.8357906872695722</v>
      </c>
      <c r="AU958" s="3">
        <v>8.8357906872695722</v>
      </c>
      <c r="AV958" s="3">
        <v>8.8357906872695722</v>
      </c>
      <c r="AW958" s="3">
        <v>8.8357906872695722</v>
      </c>
      <c r="AX958" s="3">
        <v>8.8357906872695722</v>
      </c>
      <c r="AY958" s="3">
        <v>8.8357906872695722</v>
      </c>
      <c r="AZ958" s="3">
        <v>8.8357906872695722</v>
      </c>
      <c r="BA958" s="3">
        <v>8.8357906872695722</v>
      </c>
      <c r="BC958" s="17" t="s">
        <v>919</v>
      </c>
      <c r="BD958" s="3">
        <v>11.602403278425079</v>
      </c>
      <c r="BE958" s="3">
        <v>9.5111985613263279</v>
      </c>
      <c r="BF958" s="3">
        <v>8.8922303249003338</v>
      </c>
      <c r="BG958" s="3">
        <v>8.9047892694972273</v>
      </c>
      <c r="BH958" s="3">
        <v>8.934620289798632</v>
      </c>
      <c r="BI958" s="3">
        <v>8.8990905107387555</v>
      </c>
      <c r="BJ958" s="3">
        <v>8.8572955842915047</v>
      </c>
      <c r="BK958" s="3">
        <v>8.842407692640224</v>
      </c>
      <c r="BL958" s="3">
        <v>8.8381841309930298</v>
      </c>
      <c r="BM958" s="3">
        <v>8.8357906872695722</v>
      </c>
      <c r="BN958" s="3">
        <v>8.8357906872695722</v>
      </c>
      <c r="BO958" s="3">
        <v>8.8357906872695722</v>
      </c>
      <c r="BP958" s="3">
        <v>8.8357906872695722</v>
      </c>
      <c r="BQ958" s="3">
        <v>8.8357906872695722</v>
      </c>
      <c r="BR958" s="3">
        <v>8.8357906872695722</v>
      </c>
      <c r="BS958" s="3">
        <v>8.8357906872695722</v>
      </c>
      <c r="BT958" s="3">
        <v>8.8357906872695722</v>
      </c>
      <c r="BU958" s="3">
        <v>8.8357906872695722</v>
      </c>
      <c r="BV958" s="3">
        <v>8.8357906872695722</v>
      </c>
      <c r="BW958" s="3">
        <v>8.8357906872695722</v>
      </c>
      <c r="BY958" s="17" t="s">
        <v>920</v>
      </c>
      <c r="BZ958" s="3">
        <v>11.602403278425079</v>
      </c>
      <c r="CA958" s="3">
        <v>9.5111985613263279</v>
      </c>
      <c r="CB958" s="3">
        <v>8.8922303249003338</v>
      </c>
      <c r="CC958" s="3">
        <v>8.9047892694972273</v>
      </c>
      <c r="CD958" s="3">
        <v>8.934620289798632</v>
      </c>
      <c r="CE958" s="3">
        <v>8.8990905107387555</v>
      </c>
      <c r="CF958" s="3">
        <v>8.8572955842915047</v>
      </c>
      <c r="CG958" s="3">
        <v>8.842407692640224</v>
      </c>
      <c r="CH958" s="3">
        <v>8.8381841309930298</v>
      </c>
      <c r="CI958" s="3">
        <v>8.8357906872695722</v>
      </c>
      <c r="CJ958" s="3">
        <v>8.8357906872695722</v>
      </c>
      <c r="CK958" s="3">
        <v>8.8357906872695722</v>
      </c>
      <c r="CL958" s="3">
        <v>8.8357906872695722</v>
      </c>
      <c r="CM958" s="3">
        <v>8.8357906872695722</v>
      </c>
      <c r="CN958" s="3">
        <v>8.8357906872695722</v>
      </c>
      <c r="CO958" s="3">
        <v>8.8357906872695722</v>
      </c>
      <c r="CP958" s="3">
        <v>8.8357906872695722</v>
      </c>
      <c r="CQ958" s="3">
        <v>8.8357906872695722</v>
      </c>
      <c r="CR958" s="3">
        <v>8.8357906872695722</v>
      </c>
      <c r="CS958" s="3">
        <v>8.8357906872695722</v>
      </c>
      <c r="CU958" s="17" t="s">
        <v>921</v>
      </c>
      <c r="CV958" s="3">
        <v>11.602403278425079</v>
      </c>
      <c r="CW958" s="3">
        <v>9.5111985613263279</v>
      </c>
      <c r="CX958" s="3">
        <v>8.8922303249003338</v>
      </c>
      <c r="CY958" s="3">
        <v>8.9047892694972273</v>
      </c>
      <c r="CZ958" s="3">
        <v>8.934620289798632</v>
      </c>
      <c r="DA958" s="3">
        <v>8.8990905107387555</v>
      </c>
      <c r="DB958" s="3">
        <v>8.8572955842915047</v>
      </c>
      <c r="DC958" s="3">
        <v>8.842407692640224</v>
      </c>
      <c r="DD958" s="3">
        <v>8.8381841309930298</v>
      </c>
      <c r="DE958" s="3">
        <v>8.8357906872695722</v>
      </c>
      <c r="DF958" s="3">
        <v>8.8357906872695722</v>
      </c>
      <c r="DG958" s="3">
        <v>8.8357906872695722</v>
      </c>
      <c r="DH958" s="3">
        <v>8.8357906872695722</v>
      </c>
      <c r="DI958" s="3">
        <v>8.8357906872695722</v>
      </c>
      <c r="DJ958" s="3">
        <v>8.8357906872695722</v>
      </c>
      <c r="DK958" s="3">
        <v>8.8357906872695722</v>
      </c>
      <c r="DL958" s="3">
        <v>8.8357906872695722</v>
      </c>
      <c r="DM958" s="3">
        <v>8.8357906872695722</v>
      </c>
      <c r="DN958" s="3">
        <v>8.8357906872695722</v>
      </c>
      <c r="DO958" s="3">
        <v>8.8357906872695722</v>
      </c>
    </row>
    <row r="959" spans="1:119" x14ac:dyDescent="0.45">
      <c r="A959" s="16" t="s">
        <v>898</v>
      </c>
      <c r="B959" s="3" t="s">
        <v>89</v>
      </c>
      <c r="C959" s="16" t="s">
        <v>4987</v>
      </c>
      <c r="H959" s="3" t="s">
        <v>900</v>
      </c>
      <c r="I959" s="3" t="s">
        <v>651</v>
      </c>
      <c r="K959" s="17" t="s">
        <v>901</v>
      </c>
      <c r="L959" s="3">
        <v>16.97156498304895</v>
      </c>
      <c r="M959" s="3">
        <v>14.735600113104001</v>
      </c>
      <c r="N959" s="3">
        <v>14.190538808788419</v>
      </c>
      <c r="O959" s="3">
        <v>14.12676629077407</v>
      </c>
      <c r="P959" s="3">
        <v>13.97528865148035</v>
      </c>
      <c r="Q959" s="3">
        <v>14.155703769778</v>
      </c>
      <c r="R959" s="3">
        <v>14.367932407240531</v>
      </c>
      <c r="S959" s="3">
        <v>14.44353098411155</v>
      </c>
      <c r="T959" s="3">
        <v>14.46497762392689</v>
      </c>
      <c r="U959" s="3">
        <v>14.47713118761156</v>
      </c>
      <c r="V959" s="3">
        <v>14.47713118761156</v>
      </c>
      <c r="W959" s="3">
        <v>14.47713118761156</v>
      </c>
      <c r="X959" s="3">
        <v>14.47713118761156</v>
      </c>
      <c r="Y959" s="3">
        <v>14.47713118761156</v>
      </c>
      <c r="Z959" s="3">
        <v>14.47713118761156</v>
      </c>
      <c r="AA959" s="3">
        <v>14.47713118761156</v>
      </c>
      <c r="AB959" s="3">
        <v>14.47713118761156</v>
      </c>
      <c r="AC959" s="3">
        <v>14.47713118761156</v>
      </c>
      <c r="AD959" s="3">
        <v>14.47713118761156</v>
      </c>
      <c r="AE959" s="3">
        <v>14.47713118761156</v>
      </c>
      <c r="AG959" s="17" t="s">
        <v>902</v>
      </c>
      <c r="AH959" s="3">
        <v>16.97156498304895</v>
      </c>
      <c r="AI959" s="3">
        <v>14.735600113104001</v>
      </c>
      <c r="AJ959" s="3">
        <v>14.190538808788419</v>
      </c>
      <c r="AK959" s="3">
        <v>14.12676629077407</v>
      </c>
      <c r="AL959" s="3">
        <v>13.97528865148035</v>
      </c>
      <c r="AM959" s="3">
        <v>14.155703769778</v>
      </c>
      <c r="AN959" s="3">
        <v>14.367932407240531</v>
      </c>
      <c r="AO959" s="3">
        <v>14.44353098411155</v>
      </c>
      <c r="AP959" s="3">
        <v>14.46497762392689</v>
      </c>
      <c r="AQ959" s="3">
        <v>14.47713118761156</v>
      </c>
      <c r="AR959" s="3">
        <v>14.47713118761156</v>
      </c>
      <c r="AS959" s="3">
        <v>14.47713118761156</v>
      </c>
      <c r="AT959" s="3">
        <v>14.47713118761156</v>
      </c>
      <c r="AU959" s="3">
        <v>14.47713118761156</v>
      </c>
      <c r="AV959" s="3">
        <v>14.47713118761156</v>
      </c>
      <c r="AW959" s="3">
        <v>14.47713118761156</v>
      </c>
      <c r="AX959" s="3">
        <v>14.47713118761156</v>
      </c>
      <c r="AY959" s="3">
        <v>14.47713118761156</v>
      </c>
      <c r="AZ959" s="3">
        <v>14.47713118761156</v>
      </c>
      <c r="BA959" s="3">
        <v>14.47713118761156</v>
      </c>
      <c r="BC959" s="17" t="s">
        <v>903</v>
      </c>
      <c r="BD959" s="3">
        <v>16.97156498304895</v>
      </c>
      <c r="BE959" s="3">
        <v>14.735600113104001</v>
      </c>
      <c r="BF959" s="3">
        <v>14.190538808788419</v>
      </c>
      <c r="BG959" s="3">
        <v>14.12676629077407</v>
      </c>
      <c r="BH959" s="3">
        <v>13.97528865148035</v>
      </c>
      <c r="BI959" s="3">
        <v>14.155703769778</v>
      </c>
      <c r="BJ959" s="3">
        <v>14.367932407240531</v>
      </c>
      <c r="BK959" s="3">
        <v>14.44353098411155</v>
      </c>
      <c r="BL959" s="3">
        <v>14.46497762392689</v>
      </c>
      <c r="BM959" s="3">
        <v>14.47713118761156</v>
      </c>
      <c r="BN959" s="3">
        <v>14.47713118761156</v>
      </c>
      <c r="BO959" s="3">
        <v>14.47713118761156</v>
      </c>
      <c r="BP959" s="3">
        <v>14.47713118761156</v>
      </c>
      <c r="BQ959" s="3">
        <v>14.47713118761156</v>
      </c>
      <c r="BR959" s="3">
        <v>14.47713118761156</v>
      </c>
      <c r="BS959" s="3">
        <v>14.47713118761156</v>
      </c>
      <c r="BT959" s="3">
        <v>14.47713118761156</v>
      </c>
      <c r="BU959" s="3">
        <v>14.47713118761156</v>
      </c>
      <c r="BV959" s="3">
        <v>14.47713118761156</v>
      </c>
      <c r="BW959" s="3">
        <v>14.47713118761156</v>
      </c>
      <c r="BY959" s="17" t="s">
        <v>904</v>
      </c>
      <c r="BZ959" s="3">
        <v>16.97156498304895</v>
      </c>
      <c r="CA959" s="3">
        <v>14.735600113104001</v>
      </c>
      <c r="CB959" s="3">
        <v>14.190538808788419</v>
      </c>
      <c r="CC959" s="3">
        <v>14.12676629077407</v>
      </c>
      <c r="CD959" s="3">
        <v>13.97528865148035</v>
      </c>
      <c r="CE959" s="3">
        <v>14.155703769778</v>
      </c>
      <c r="CF959" s="3">
        <v>14.367932407240531</v>
      </c>
      <c r="CG959" s="3">
        <v>14.44353098411155</v>
      </c>
      <c r="CH959" s="3">
        <v>14.46497762392689</v>
      </c>
      <c r="CI959" s="3">
        <v>14.47713118761156</v>
      </c>
      <c r="CJ959" s="3">
        <v>14.47713118761156</v>
      </c>
      <c r="CK959" s="3">
        <v>14.47713118761156</v>
      </c>
      <c r="CL959" s="3">
        <v>14.47713118761156</v>
      </c>
      <c r="CM959" s="3">
        <v>14.47713118761156</v>
      </c>
      <c r="CN959" s="3">
        <v>14.47713118761156</v>
      </c>
      <c r="CO959" s="3">
        <v>14.47713118761156</v>
      </c>
      <c r="CP959" s="3">
        <v>14.47713118761156</v>
      </c>
      <c r="CQ959" s="3">
        <v>14.47713118761156</v>
      </c>
      <c r="CR959" s="3">
        <v>14.47713118761156</v>
      </c>
      <c r="CS959" s="3">
        <v>14.47713118761156</v>
      </c>
      <c r="CU959" s="17" t="s">
        <v>905</v>
      </c>
      <c r="CV959" s="3">
        <v>16.97156498304895</v>
      </c>
      <c r="CW959" s="3">
        <v>14.735600113104001</v>
      </c>
      <c r="CX959" s="3">
        <v>14.190538808788419</v>
      </c>
      <c r="CY959" s="3">
        <v>14.12676629077407</v>
      </c>
      <c r="CZ959" s="3">
        <v>13.97528865148035</v>
      </c>
      <c r="DA959" s="3">
        <v>14.155703769778</v>
      </c>
      <c r="DB959" s="3">
        <v>14.367932407240531</v>
      </c>
      <c r="DC959" s="3">
        <v>14.44353098411155</v>
      </c>
      <c r="DD959" s="3">
        <v>14.46497762392689</v>
      </c>
      <c r="DE959" s="3">
        <v>14.47713118761156</v>
      </c>
      <c r="DF959" s="3">
        <v>14.47713118761156</v>
      </c>
      <c r="DG959" s="3">
        <v>14.47713118761156</v>
      </c>
      <c r="DH959" s="3">
        <v>14.47713118761156</v>
      </c>
      <c r="DI959" s="3">
        <v>14.47713118761156</v>
      </c>
      <c r="DJ959" s="3">
        <v>14.47713118761156</v>
      </c>
      <c r="DK959" s="3">
        <v>14.47713118761156</v>
      </c>
      <c r="DL959" s="3">
        <v>14.47713118761156</v>
      </c>
      <c r="DM959" s="3">
        <v>14.47713118761156</v>
      </c>
      <c r="DN959" s="3">
        <v>14.47713118761156</v>
      </c>
      <c r="DO959" s="3">
        <v>14.47713118761156</v>
      </c>
    </row>
    <row r="960" spans="1:119" x14ac:dyDescent="0.45">
      <c r="A960" s="16" t="s">
        <v>882</v>
      </c>
      <c r="B960" s="3" t="s">
        <v>89</v>
      </c>
      <c r="C960" s="16" t="s">
        <v>4988</v>
      </c>
      <c r="H960" s="3" t="s">
        <v>884</v>
      </c>
      <c r="I960" s="3" t="s">
        <v>651</v>
      </c>
      <c r="K960" s="17" t="s">
        <v>885</v>
      </c>
      <c r="L960" s="3">
        <v>11.983620492474531</v>
      </c>
      <c r="M960" s="3">
        <v>10.255102264307411</v>
      </c>
      <c r="N960" s="3">
        <v>9.4209665734146721</v>
      </c>
      <c r="O960" s="3">
        <v>9.3973858659795368</v>
      </c>
      <c r="P960" s="3">
        <v>9.3413750637348123</v>
      </c>
      <c r="Q960" s="3">
        <v>9.4080858704257864</v>
      </c>
      <c r="R960" s="3">
        <v>9.4865601343435895</v>
      </c>
      <c r="S960" s="3">
        <v>9.5145136788987337</v>
      </c>
      <c r="T960" s="3">
        <v>9.5224438493655583</v>
      </c>
      <c r="U960" s="3">
        <v>9.526937785601195</v>
      </c>
      <c r="V960" s="3">
        <v>9.526937785601195</v>
      </c>
      <c r="W960" s="3">
        <v>9.526937785601195</v>
      </c>
      <c r="X960" s="3">
        <v>9.526937785601195</v>
      </c>
      <c r="Y960" s="3">
        <v>9.526937785601195</v>
      </c>
      <c r="Z960" s="3">
        <v>9.526937785601195</v>
      </c>
      <c r="AA960" s="3">
        <v>9.526937785601195</v>
      </c>
      <c r="AB960" s="3">
        <v>9.526937785601195</v>
      </c>
      <c r="AC960" s="3">
        <v>9.526937785601195</v>
      </c>
      <c r="AD960" s="3">
        <v>9.526937785601195</v>
      </c>
      <c r="AE960" s="3">
        <v>9.526937785601195</v>
      </c>
      <c r="AG960" s="17" t="s">
        <v>886</v>
      </c>
      <c r="AH960" s="3">
        <v>11.983620492474531</v>
      </c>
      <c r="AI960" s="3">
        <v>10.255102264307411</v>
      </c>
      <c r="AJ960" s="3">
        <v>9.4209665734146721</v>
      </c>
      <c r="AK960" s="3">
        <v>9.3973858659795368</v>
      </c>
      <c r="AL960" s="3">
        <v>9.3413750637348123</v>
      </c>
      <c r="AM960" s="3">
        <v>9.4080858704257864</v>
      </c>
      <c r="AN960" s="3">
        <v>9.4865601343435895</v>
      </c>
      <c r="AO960" s="3">
        <v>9.5145136788987337</v>
      </c>
      <c r="AP960" s="3">
        <v>9.5224438493655583</v>
      </c>
      <c r="AQ960" s="3">
        <v>9.526937785601195</v>
      </c>
      <c r="AR960" s="3">
        <v>9.526937785601195</v>
      </c>
      <c r="AS960" s="3">
        <v>9.526937785601195</v>
      </c>
      <c r="AT960" s="3">
        <v>9.526937785601195</v>
      </c>
      <c r="AU960" s="3">
        <v>9.526937785601195</v>
      </c>
      <c r="AV960" s="3">
        <v>9.526937785601195</v>
      </c>
      <c r="AW960" s="3">
        <v>9.526937785601195</v>
      </c>
      <c r="AX960" s="3">
        <v>9.526937785601195</v>
      </c>
      <c r="AY960" s="3">
        <v>9.526937785601195</v>
      </c>
      <c r="AZ960" s="3">
        <v>9.526937785601195</v>
      </c>
      <c r="BA960" s="3">
        <v>9.526937785601195</v>
      </c>
      <c r="BC960" s="17" t="s">
        <v>887</v>
      </c>
      <c r="BD960" s="3">
        <v>11.983620492474531</v>
      </c>
      <c r="BE960" s="3">
        <v>10.255102264307411</v>
      </c>
      <c r="BF960" s="3">
        <v>9.4209665734146721</v>
      </c>
      <c r="BG960" s="3">
        <v>9.3973858659795368</v>
      </c>
      <c r="BH960" s="3">
        <v>9.3413750637348123</v>
      </c>
      <c r="BI960" s="3">
        <v>9.4080858704257864</v>
      </c>
      <c r="BJ960" s="3">
        <v>9.4865601343435895</v>
      </c>
      <c r="BK960" s="3">
        <v>9.5145136788987337</v>
      </c>
      <c r="BL960" s="3">
        <v>9.5224438493655583</v>
      </c>
      <c r="BM960" s="3">
        <v>9.526937785601195</v>
      </c>
      <c r="BN960" s="3">
        <v>9.526937785601195</v>
      </c>
      <c r="BO960" s="3">
        <v>9.526937785601195</v>
      </c>
      <c r="BP960" s="3">
        <v>9.526937785601195</v>
      </c>
      <c r="BQ960" s="3">
        <v>9.526937785601195</v>
      </c>
      <c r="BR960" s="3">
        <v>9.526937785601195</v>
      </c>
      <c r="BS960" s="3">
        <v>9.526937785601195</v>
      </c>
      <c r="BT960" s="3">
        <v>9.526937785601195</v>
      </c>
      <c r="BU960" s="3">
        <v>9.526937785601195</v>
      </c>
      <c r="BV960" s="3">
        <v>9.526937785601195</v>
      </c>
      <c r="BW960" s="3">
        <v>9.526937785601195</v>
      </c>
      <c r="BY960" s="17" t="s">
        <v>888</v>
      </c>
      <c r="BZ960" s="3">
        <v>11.983620492474531</v>
      </c>
      <c r="CA960" s="3">
        <v>10.255102264307411</v>
      </c>
      <c r="CB960" s="3">
        <v>9.4209665734146721</v>
      </c>
      <c r="CC960" s="3">
        <v>9.3973858659795368</v>
      </c>
      <c r="CD960" s="3">
        <v>9.3413750637348123</v>
      </c>
      <c r="CE960" s="3">
        <v>9.4080858704257864</v>
      </c>
      <c r="CF960" s="3">
        <v>9.4865601343435895</v>
      </c>
      <c r="CG960" s="3">
        <v>9.5145136788987337</v>
      </c>
      <c r="CH960" s="3">
        <v>9.5224438493655583</v>
      </c>
      <c r="CI960" s="3">
        <v>9.526937785601195</v>
      </c>
      <c r="CJ960" s="3">
        <v>9.526937785601195</v>
      </c>
      <c r="CK960" s="3">
        <v>9.526937785601195</v>
      </c>
      <c r="CL960" s="3">
        <v>9.526937785601195</v>
      </c>
      <c r="CM960" s="3">
        <v>9.526937785601195</v>
      </c>
      <c r="CN960" s="3">
        <v>9.526937785601195</v>
      </c>
      <c r="CO960" s="3">
        <v>9.526937785601195</v>
      </c>
      <c r="CP960" s="3">
        <v>9.526937785601195</v>
      </c>
      <c r="CQ960" s="3">
        <v>9.526937785601195</v>
      </c>
      <c r="CR960" s="3">
        <v>9.526937785601195</v>
      </c>
      <c r="CS960" s="3">
        <v>9.526937785601195</v>
      </c>
      <c r="CU960" s="17" t="s">
        <v>889</v>
      </c>
      <c r="CV960" s="3">
        <v>11.983620492474531</v>
      </c>
      <c r="CW960" s="3">
        <v>10.255102264307411</v>
      </c>
      <c r="CX960" s="3">
        <v>9.4209665734146721</v>
      </c>
      <c r="CY960" s="3">
        <v>9.3973858659795368</v>
      </c>
      <c r="CZ960" s="3">
        <v>9.3413750637348123</v>
      </c>
      <c r="DA960" s="3">
        <v>9.4080858704257864</v>
      </c>
      <c r="DB960" s="3">
        <v>9.4865601343435895</v>
      </c>
      <c r="DC960" s="3">
        <v>9.5145136788987337</v>
      </c>
      <c r="DD960" s="3">
        <v>9.5224438493655583</v>
      </c>
      <c r="DE960" s="3">
        <v>9.526937785601195</v>
      </c>
      <c r="DF960" s="3">
        <v>9.526937785601195</v>
      </c>
      <c r="DG960" s="3">
        <v>9.526937785601195</v>
      </c>
      <c r="DH960" s="3">
        <v>9.526937785601195</v>
      </c>
      <c r="DI960" s="3">
        <v>9.526937785601195</v>
      </c>
      <c r="DJ960" s="3">
        <v>9.526937785601195</v>
      </c>
      <c r="DK960" s="3">
        <v>9.526937785601195</v>
      </c>
      <c r="DL960" s="3">
        <v>9.526937785601195</v>
      </c>
      <c r="DM960" s="3">
        <v>9.526937785601195</v>
      </c>
      <c r="DN960" s="3">
        <v>9.526937785601195</v>
      </c>
      <c r="DO960" s="3">
        <v>9.526937785601195</v>
      </c>
    </row>
    <row r="961" spans="1:230" x14ac:dyDescent="0.45">
      <c r="A961" s="16" t="s">
        <v>930</v>
      </c>
      <c r="B961" s="3" t="s">
        <v>89</v>
      </c>
      <c r="C961" s="16" t="s">
        <v>4989</v>
      </c>
      <c r="H961" s="3" t="s">
        <v>932</v>
      </c>
      <c r="I961" s="3" t="s">
        <v>651</v>
      </c>
      <c r="K961" s="17" t="s">
        <v>933</v>
      </c>
      <c r="L961" s="3">
        <v>28.181472015810471</v>
      </c>
      <c r="M961" s="3">
        <v>22.836244644824671</v>
      </c>
      <c r="N961" s="3">
        <v>21.54840057076045</v>
      </c>
      <c r="O961" s="3">
        <v>18.604617244993982</v>
      </c>
      <c r="P961" s="3">
        <v>20.65054872021588</v>
      </c>
      <c r="Q961" s="3">
        <v>18.529057780977599</v>
      </c>
      <c r="R961" s="3">
        <v>17.945401257442249</v>
      </c>
      <c r="S961" s="3">
        <v>17.651191039950941</v>
      </c>
      <c r="T961" s="3">
        <v>17.393902373832411</v>
      </c>
      <c r="U961" s="3">
        <v>17.114381950240041</v>
      </c>
      <c r="V961" s="3">
        <v>17.114381950240041</v>
      </c>
      <c r="W961" s="3">
        <v>17.114381950240041</v>
      </c>
      <c r="X961" s="3">
        <v>17.114381950240041</v>
      </c>
      <c r="Y961" s="3">
        <v>17.114381950240041</v>
      </c>
      <c r="Z961" s="3">
        <v>17.114381950240041</v>
      </c>
      <c r="AA961" s="3">
        <v>17.114381950240041</v>
      </c>
      <c r="AB961" s="3">
        <v>17.114381950240041</v>
      </c>
      <c r="AC961" s="3">
        <v>17.114381950240041</v>
      </c>
      <c r="AD961" s="3">
        <v>17.114381950240041</v>
      </c>
      <c r="AE961" s="3">
        <v>17.114381950240041</v>
      </c>
      <c r="AG961" s="17" t="s">
        <v>934</v>
      </c>
      <c r="AH961" s="3">
        <v>28.181472015810471</v>
      </c>
      <c r="AI961" s="3">
        <v>22.836244644824671</v>
      </c>
      <c r="AJ961" s="3">
        <v>21.54840057076045</v>
      </c>
      <c r="AK961" s="3">
        <v>18.604617244993982</v>
      </c>
      <c r="AL961" s="3">
        <v>20.65054872021588</v>
      </c>
      <c r="AM961" s="3">
        <v>18.529057780977599</v>
      </c>
      <c r="AN961" s="3">
        <v>17.945401257442249</v>
      </c>
      <c r="AO961" s="3">
        <v>17.651191039950941</v>
      </c>
      <c r="AP961" s="3">
        <v>17.393902373832411</v>
      </c>
      <c r="AQ961" s="3">
        <v>17.114381950240041</v>
      </c>
      <c r="AR961" s="3">
        <v>17.114381950240041</v>
      </c>
      <c r="AS961" s="3">
        <v>17.114381950240041</v>
      </c>
      <c r="AT961" s="3">
        <v>17.114381950240041</v>
      </c>
      <c r="AU961" s="3">
        <v>17.114381950240041</v>
      </c>
      <c r="AV961" s="3">
        <v>17.114381950240041</v>
      </c>
      <c r="AW961" s="3">
        <v>17.114381950240041</v>
      </c>
      <c r="AX961" s="3">
        <v>17.114381950240041</v>
      </c>
      <c r="AY961" s="3">
        <v>17.114381950240041</v>
      </c>
      <c r="AZ961" s="3">
        <v>17.114381950240041</v>
      </c>
      <c r="BA961" s="3">
        <v>17.114381950240041</v>
      </c>
      <c r="BC961" s="17" t="s">
        <v>935</v>
      </c>
      <c r="BD961" s="3">
        <v>28.181472015810471</v>
      </c>
      <c r="BE961" s="3">
        <v>22.836244644824671</v>
      </c>
      <c r="BF961" s="3">
        <v>21.54840057076045</v>
      </c>
      <c r="BG961" s="3">
        <v>18.604617244993982</v>
      </c>
      <c r="BH961" s="3">
        <v>20.65054872021588</v>
      </c>
      <c r="BI961" s="3">
        <v>18.529057780977599</v>
      </c>
      <c r="BJ961" s="3">
        <v>17.945401257442249</v>
      </c>
      <c r="BK961" s="3">
        <v>17.651191039950941</v>
      </c>
      <c r="BL961" s="3">
        <v>17.393902373832411</v>
      </c>
      <c r="BM961" s="3">
        <v>17.114381950240041</v>
      </c>
      <c r="BN961" s="3">
        <v>17.114381950240041</v>
      </c>
      <c r="BO961" s="3">
        <v>17.114381950240041</v>
      </c>
      <c r="BP961" s="3">
        <v>17.114381950240041</v>
      </c>
      <c r="BQ961" s="3">
        <v>17.114381950240041</v>
      </c>
      <c r="BR961" s="3">
        <v>17.114381950240041</v>
      </c>
      <c r="BS961" s="3">
        <v>17.114381950240041</v>
      </c>
      <c r="BT961" s="3">
        <v>17.114381950240041</v>
      </c>
      <c r="BU961" s="3">
        <v>17.114381950240041</v>
      </c>
      <c r="BV961" s="3">
        <v>17.114381950240041</v>
      </c>
      <c r="BW961" s="3">
        <v>17.114381950240041</v>
      </c>
      <c r="BY961" s="17" t="s">
        <v>936</v>
      </c>
      <c r="BZ961" s="3">
        <v>28.181472015810471</v>
      </c>
      <c r="CA961" s="3">
        <v>22.836244644824671</v>
      </c>
      <c r="CB961" s="3">
        <v>21.54840057076045</v>
      </c>
      <c r="CC961" s="3">
        <v>18.604617244993982</v>
      </c>
      <c r="CD961" s="3">
        <v>20.65054872021588</v>
      </c>
      <c r="CE961" s="3">
        <v>18.529057780977599</v>
      </c>
      <c r="CF961" s="3">
        <v>17.945401257442249</v>
      </c>
      <c r="CG961" s="3">
        <v>17.651191039950941</v>
      </c>
      <c r="CH961" s="3">
        <v>17.393902373832411</v>
      </c>
      <c r="CI961" s="3">
        <v>17.114381950240041</v>
      </c>
      <c r="CJ961" s="3">
        <v>17.114381950240041</v>
      </c>
      <c r="CK961" s="3">
        <v>17.114381950240041</v>
      </c>
      <c r="CL961" s="3">
        <v>17.114381950240041</v>
      </c>
      <c r="CM961" s="3">
        <v>17.114381950240041</v>
      </c>
      <c r="CN961" s="3">
        <v>17.114381950240041</v>
      </c>
      <c r="CO961" s="3">
        <v>17.114381950240041</v>
      </c>
      <c r="CP961" s="3">
        <v>17.114381950240041</v>
      </c>
      <c r="CQ961" s="3">
        <v>17.114381950240041</v>
      </c>
      <c r="CR961" s="3">
        <v>17.114381950240041</v>
      </c>
      <c r="CS961" s="3">
        <v>17.114381950240041</v>
      </c>
      <c r="CU961" s="17" t="s">
        <v>937</v>
      </c>
      <c r="CV961" s="3">
        <v>28.181472015810471</v>
      </c>
      <c r="CW961" s="3">
        <v>22.836244644824671</v>
      </c>
      <c r="CX961" s="3">
        <v>21.54840057076045</v>
      </c>
      <c r="CY961" s="3">
        <v>18.604617244993982</v>
      </c>
      <c r="CZ961" s="3">
        <v>20.65054872021588</v>
      </c>
      <c r="DA961" s="3">
        <v>18.529057780977599</v>
      </c>
      <c r="DB961" s="3">
        <v>17.945401257442249</v>
      </c>
      <c r="DC961" s="3">
        <v>17.651191039950941</v>
      </c>
      <c r="DD961" s="3">
        <v>17.393902373832411</v>
      </c>
      <c r="DE961" s="3">
        <v>17.114381950240041</v>
      </c>
      <c r="DF961" s="3">
        <v>17.114381950240041</v>
      </c>
      <c r="DG961" s="3">
        <v>17.114381950240041</v>
      </c>
      <c r="DH961" s="3">
        <v>17.114381950240041</v>
      </c>
      <c r="DI961" s="3">
        <v>17.114381950240041</v>
      </c>
      <c r="DJ961" s="3">
        <v>17.114381950240041</v>
      </c>
      <c r="DK961" s="3">
        <v>17.114381950240041</v>
      </c>
      <c r="DL961" s="3">
        <v>17.114381950240041</v>
      </c>
      <c r="DM961" s="3">
        <v>17.114381950240041</v>
      </c>
      <c r="DN961" s="3">
        <v>17.114381950240041</v>
      </c>
      <c r="DO961" s="3">
        <v>17.114381950240041</v>
      </c>
    </row>
    <row r="962" spans="1:230" x14ac:dyDescent="0.45">
      <c r="A962" s="16" t="s">
        <v>938</v>
      </c>
      <c r="B962" s="3" t="s">
        <v>89</v>
      </c>
      <c r="C962" s="16" t="s">
        <v>4990</v>
      </c>
      <c r="H962" s="3" t="s">
        <v>940</v>
      </c>
      <c r="I962" s="3" t="s">
        <v>651</v>
      </c>
      <c r="K962" s="17" t="s">
        <v>941</v>
      </c>
      <c r="L962" s="3">
        <v>28.757772364151879</v>
      </c>
      <c r="M962" s="3">
        <v>23.106730441487269</v>
      </c>
      <c r="N962" s="3">
        <v>21.012185592229109</v>
      </c>
      <c r="O962" s="3">
        <v>18.118650018670269</v>
      </c>
      <c r="P962" s="3">
        <v>20.12965927088041</v>
      </c>
      <c r="Q962" s="3">
        <v>18.04438028722069</v>
      </c>
      <c r="R962" s="3">
        <v>17.4706862592645</v>
      </c>
      <c r="S962" s="3">
        <v>17.18149794741959</v>
      </c>
      <c r="T962" s="3">
        <v>16.928600969041049</v>
      </c>
      <c r="U962" s="3">
        <v>16.653851709433031</v>
      </c>
      <c r="V962" s="3">
        <v>16.653851709433031</v>
      </c>
      <c r="W962" s="3">
        <v>16.653851709433031</v>
      </c>
      <c r="X962" s="3">
        <v>16.653851709433031</v>
      </c>
      <c r="Y962" s="3">
        <v>16.653851709433031</v>
      </c>
      <c r="Z962" s="3">
        <v>16.653851709433031</v>
      </c>
      <c r="AA962" s="3">
        <v>16.653851709433031</v>
      </c>
      <c r="AB962" s="3">
        <v>16.653851709433031</v>
      </c>
      <c r="AC962" s="3">
        <v>16.653851709433031</v>
      </c>
      <c r="AD962" s="3">
        <v>16.653851709433031</v>
      </c>
      <c r="AE962" s="3">
        <v>16.653851709433031</v>
      </c>
      <c r="AG962" s="17" t="s">
        <v>942</v>
      </c>
      <c r="AH962" s="3">
        <v>28.757772364151879</v>
      </c>
      <c r="AI962" s="3">
        <v>23.106730441487269</v>
      </c>
      <c r="AJ962" s="3">
        <v>21.012185592229109</v>
      </c>
      <c r="AK962" s="3">
        <v>18.118650018670269</v>
      </c>
      <c r="AL962" s="3">
        <v>20.12965927088041</v>
      </c>
      <c r="AM962" s="3">
        <v>18.04438028722069</v>
      </c>
      <c r="AN962" s="3">
        <v>17.4706862592645</v>
      </c>
      <c r="AO962" s="3">
        <v>17.18149794741959</v>
      </c>
      <c r="AP962" s="3">
        <v>16.928600969041049</v>
      </c>
      <c r="AQ962" s="3">
        <v>16.653851709433031</v>
      </c>
      <c r="AR962" s="3">
        <v>16.653851709433031</v>
      </c>
      <c r="AS962" s="3">
        <v>16.653851709433031</v>
      </c>
      <c r="AT962" s="3">
        <v>16.653851709433031</v>
      </c>
      <c r="AU962" s="3">
        <v>16.653851709433031</v>
      </c>
      <c r="AV962" s="3">
        <v>16.653851709433031</v>
      </c>
      <c r="AW962" s="3">
        <v>16.653851709433031</v>
      </c>
      <c r="AX962" s="3">
        <v>16.653851709433031</v>
      </c>
      <c r="AY962" s="3">
        <v>16.653851709433031</v>
      </c>
      <c r="AZ962" s="3">
        <v>16.653851709433031</v>
      </c>
      <c r="BA962" s="3">
        <v>16.653851709433031</v>
      </c>
      <c r="BC962" s="17" t="s">
        <v>943</v>
      </c>
      <c r="BD962" s="3">
        <v>28.757772364151879</v>
      </c>
      <c r="BE962" s="3">
        <v>23.106730441487269</v>
      </c>
      <c r="BF962" s="3">
        <v>21.012185592229109</v>
      </c>
      <c r="BG962" s="3">
        <v>18.118650018670269</v>
      </c>
      <c r="BH962" s="3">
        <v>20.12965927088041</v>
      </c>
      <c r="BI962" s="3">
        <v>18.04438028722069</v>
      </c>
      <c r="BJ962" s="3">
        <v>17.4706862592645</v>
      </c>
      <c r="BK962" s="3">
        <v>17.18149794741959</v>
      </c>
      <c r="BL962" s="3">
        <v>16.928600969041049</v>
      </c>
      <c r="BM962" s="3">
        <v>16.653851709433031</v>
      </c>
      <c r="BN962" s="3">
        <v>16.653851709433031</v>
      </c>
      <c r="BO962" s="3">
        <v>16.653851709433031</v>
      </c>
      <c r="BP962" s="3">
        <v>16.653851709433031</v>
      </c>
      <c r="BQ962" s="3">
        <v>16.653851709433031</v>
      </c>
      <c r="BR962" s="3">
        <v>16.653851709433031</v>
      </c>
      <c r="BS962" s="3">
        <v>16.653851709433031</v>
      </c>
      <c r="BT962" s="3">
        <v>16.653851709433031</v>
      </c>
      <c r="BU962" s="3">
        <v>16.653851709433031</v>
      </c>
      <c r="BV962" s="3">
        <v>16.653851709433031</v>
      </c>
      <c r="BW962" s="3">
        <v>16.653851709433031</v>
      </c>
      <c r="BY962" s="17" t="s">
        <v>944</v>
      </c>
      <c r="BZ962" s="3">
        <v>28.757772364151879</v>
      </c>
      <c r="CA962" s="3">
        <v>23.106730441487269</v>
      </c>
      <c r="CB962" s="3">
        <v>21.012185592229109</v>
      </c>
      <c r="CC962" s="3">
        <v>18.118650018670269</v>
      </c>
      <c r="CD962" s="3">
        <v>20.12965927088041</v>
      </c>
      <c r="CE962" s="3">
        <v>18.04438028722069</v>
      </c>
      <c r="CF962" s="3">
        <v>17.4706862592645</v>
      </c>
      <c r="CG962" s="3">
        <v>17.18149794741959</v>
      </c>
      <c r="CH962" s="3">
        <v>16.928600969041049</v>
      </c>
      <c r="CI962" s="3">
        <v>16.653851709433031</v>
      </c>
      <c r="CJ962" s="3">
        <v>16.653851709433031</v>
      </c>
      <c r="CK962" s="3">
        <v>16.653851709433031</v>
      </c>
      <c r="CL962" s="3">
        <v>16.653851709433031</v>
      </c>
      <c r="CM962" s="3">
        <v>16.653851709433031</v>
      </c>
      <c r="CN962" s="3">
        <v>16.653851709433031</v>
      </c>
      <c r="CO962" s="3">
        <v>16.653851709433031</v>
      </c>
      <c r="CP962" s="3">
        <v>16.653851709433031</v>
      </c>
      <c r="CQ962" s="3">
        <v>16.653851709433031</v>
      </c>
      <c r="CR962" s="3">
        <v>16.653851709433031</v>
      </c>
      <c r="CS962" s="3">
        <v>16.653851709433031</v>
      </c>
      <c r="CU962" s="17" t="s">
        <v>945</v>
      </c>
      <c r="CV962" s="3">
        <v>28.757772364151879</v>
      </c>
      <c r="CW962" s="3">
        <v>23.106730441487269</v>
      </c>
      <c r="CX962" s="3">
        <v>21.012185592229109</v>
      </c>
      <c r="CY962" s="3">
        <v>18.118650018670269</v>
      </c>
      <c r="CZ962" s="3">
        <v>20.12965927088041</v>
      </c>
      <c r="DA962" s="3">
        <v>18.04438028722069</v>
      </c>
      <c r="DB962" s="3">
        <v>17.4706862592645</v>
      </c>
      <c r="DC962" s="3">
        <v>17.18149794741959</v>
      </c>
      <c r="DD962" s="3">
        <v>16.928600969041049</v>
      </c>
      <c r="DE962" s="3">
        <v>16.653851709433031</v>
      </c>
      <c r="DF962" s="3">
        <v>16.653851709433031</v>
      </c>
      <c r="DG962" s="3">
        <v>16.653851709433031</v>
      </c>
      <c r="DH962" s="3">
        <v>16.653851709433031</v>
      </c>
      <c r="DI962" s="3">
        <v>16.653851709433031</v>
      </c>
      <c r="DJ962" s="3">
        <v>16.653851709433031</v>
      </c>
      <c r="DK962" s="3">
        <v>16.653851709433031</v>
      </c>
      <c r="DL962" s="3">
        <v>16.653851709433031</v>
      </c>
      <c r="DM962" s="3">
        <v>16.653851709433031</v>
      </c>
      <c r="DN962" s="3">
        <v>16.653851709433031</v>
      </c>
      <c r="DO962" s="3">
        <v>16.653851709433031</v>
      </c>
    </row>
    <row r="963" spans="1:230" x14ac:dyDescent="0.45">
      <c r="A963" s="16" t="s">
        <v>946</v>
      </c>
      <c r="B963" s="3" t="s">
        <v>89</v>
      </c>
      <c r="C963" s="16" t="s">
        <v>4991</v>
      </c>
      <c r="H963" s="3" t="s">
        <v>948</v>
      </c>
      <c r="I963" s="3" t="s">
        <v>651</v>
      </c>
      <c r="K963" s="17" t="s">
        <v>949</v>
      </c>
      <c r="L963" s="3">
        <v>25.363721355821021</v>
      </c>
      <c r="M963" s="3">
        <v>22.16828174127977</v>
      </c>
      <c r="N963" s="3">
        <v>21.27543767141362</v>
      </c>
      <c r="O963" s="3">
        <v>18.626412971559851</v>
      </c>
      <c r="P963" s="3">
        <v>20.467486995124389</v>
      </c>
      <c r="Q963" s="3">
        <v>18.558419215112099</v>
      </c>
      <c r="R963" s="3">
        <v>18.033203743734511</v>
      </c>
      <c r="S963" s="3">
        <v>17.768452555607951</v>
      </c>
      <c r="T963" s="3">
        <v>17.536925993997649</v>
      </c>
      <c r="U963" s="3">
        <v>17.285393722675678</v>
      </c>
      <c r="V963" s="3">
        <v>17.285393722675678</v>
      </c>
      <c r="W963" s="3">
        <v>17.285393722675678</v>
      </c>
      <c r="X963" s="3">
        <v>17.285393722675689</v>
      </c>
      <c r="Y963" s="3">
        <v>17.285393722675689</v>
      </c>
      <c r="Z963" s="3">
        <v>17.285393722675689</v>
      </c>
      <c r="AA963" s="3">
        <v>17.285393722675678</v>
      </c>
      <c r="AB963" s="3">
        <v>17.285393722675678</v>
      </c>
      <c r="AC963" s="3">
        <v>17.285393722675678</v>
      </c>
      <c r="AD963" s="3">
        <v>17.285393722675678</v>
      </c>
      <c r="AE963" s="3">
        <v>17.285393722675678</v>
      </c>
      <c r="AG963" s="17" t="s">
        <v>950</v>
      </c>
      <c r="AH963" s="3">
        <v>25.363721355821021</v>
      </c>
      <c r="AI963" s="3">
        <v>22.16828174127977</v>
      </c>
      <c r="AJ963" s="3">
        <v>21.27543767141362</v>
      </c>
      <c r="AK963" s="3">
        <v>18.626412971559851</v>
      </c>
      <c r="AL963" s="3">
        <v>20.467486995124389</v>
      </c>
      <c r="AM963" s="3">
        <v>18.558419215112099</v>
      </c>
      <c r="AN963" s="3">
        <v>18.033203743734511</v>
      </c>
      <c r="AO963" s="3">
        <v>17.768452555607951</v>
      </c>
      <c r="AP963" s="3">
        <v>17.536925993997649</v>
      </c>
      <c r="AQ963" s="3">
        <v>17.285393722675678</v>
      </c>
      <c r="AR963" s="3">
        <v>17.285393722675678</v>
      </c>
      <c r="AS963" s="3">
        <v>17.285393722675678</v>
      </c>
      <c r="AT963" s="3">
        <v>17.285393722675689</v>
      </c>
      <c r="AU963" s="3">
        <v>17.285393722675689</v>
      </c>
      <c r="AV963" s="3">
        <v>17.285393722675689</v>
      </c>
      <c r="AW963" s="3">
        <v>17.285393722675678</v>
      </c>
      <c r="AX963" s="3">
        <v>17.285393722675678</v>
      </c>
      <c r="AY963" s="3">
        <v>17.285393722675678</v>
      </c>
      <c r="AZ963" s="3">
        <v>17.285393722675678</v>
      </c>
      <c r="BA963" s="3">
        <v>17.285393722675678</v>
      </c>
      <c r="BC963" s="17" t="s">
        <v>951</v>
      </c>
      <c r="BD963" s="3">
        <v>25.363721355821021</v>
      </c>
      <c r="BE963" s="3">
        <v>22.16828174127977</v>
      </c>
      <c r="BF963" s="3">
        <v>21.27543767141362</v>
      </c>
      <c r="BG963" s="3">
        <v>18.626412971559851</v>
      </c>
      <c r="BH963" s="3">
        <v>20.467486995124389</v>
      </c>
      <c r="BI963" s="3">
        <v>18.558419215112099</v>
      </c>
      <c r="BJ963" s="3">
        <v>18.033203743734511</v>
      </c>
      <c r="BK963" s="3">
        <v>17.768452555607951</v>
      </c>
      <c r="BL963" s="3">
        <v>17.536925993997649</v>
      </c>
      <c r="BM963" s="3">
        <v>17.285393722675678</v>
      </c>
      <c r="BN963" s="3">
        <v>17.285393722675678</v>
      </c>
      <c r="BO963" s="3">
        <v>17.285393722675678</v>
      </c>
      <c r="BP963" s="3">
        <v>17.285393722675689</v>
      </c>
      <c r="BQ963" s="3">
        <v>17.285393722675689</v>
      </c>
      <c r="BR963" s="3">
        <v>17.285393722675689</v>
      </c>
      <c r="BS963" s="3">
        <v>17.285393722675678</v>
      </c>
      <c r="BT963" s="3">
        <v>17.285393722675678</v>
      </c>
      <c r="BU963" s="3">
        <v>17.285393722675678</v>
      </c>
      <c r="BV963" s="3">
        <v>17.285393722675678</v>
      </c>
      <c r="BW963" s="3">
        <v>17.285393722675678</v>
      </c>
      <c r="BY963" s="17" t="s">
        <v>952</v>
      </c>
      <c r="BZ963" s="3">
        <v>25.363721355821021</v>
      </c>
      <c r="CA963" s="3">
        <v>22.16828174127977</v>
      </c>
      <c r="CB963" s="3">
        <v>21.27543767141362</v>
      </c>
      <c r="CC963" s="3">
        <v>18.626412971559851</v>
      </c>
      <c r="CD963" s="3">
        <v>20.467486995124389</v>
      </c>
      <c r="CE963" s="3">
        <v>18.558419215112099</v>
      </c>
      <c r="CF963" s="3">
        <v>18.033203743734511</v>
      </c>
      <c r="CG963" s="3">
        <v>17.768452555607951</v>
      </c>
      <c r="CH963" s="3">
        <v>17.536925993997649</v>
      </c>
      <c r="CI963" s="3">
        <v>17.285393722675678</v>
      </c>
      <c r="CJ963" s="3">
        <v>17.285393722675678</v>
      </c>
      <c r="CK963" s="3">
        <v>17.285393722675678</v>
      </c>
      <c r="CL963" s="3">
        <v>17.285393722675689</v>
      </c>
      <c r="CM963" s="3">
        <v>17.285393722675689</v>
      </c>
      <c r="CN963" s="3">
        <v>17.285393722675689</v>
      </c>
      <c r="CO963" s="3">
        <v>17.285393722675678</v>
      </c>
      <c r="CP963" s="3">
        <v>17.285393722675678</v>
      </c>
      <c r="CQ963" s="3">
        <v>17.285393722675678</v>
      </c>
      <c r="CR963" s="3">
        <v>17.285393722675678</v>
      </c>
      <c r="CS963" s="3">
        <v>17.285393722675678</v>
      </c>
      <c r="CU963" s="17" t="s">
        <v>953</v>
      </c>
      <c r="CV963" s="3">
        <v>25.363721355821021</v>
      </c>
      <c r="CW963" s="3">
        <v>22.16828174127977</v>
      </c>
      <c r="CX963" s="3">
        <v>21.27543767141362</v>
      </c>
      <c r="CY963" s="3">
        <v>18.626412971559851</v>
      </c>
      <c r="CZ963" s="3">
        <v>20.467486995124389</v>
      </c>
      <c r="DA963" s="3">
        <v>18.558419215112099</v>
      </c>
      <c r="DB963" s="3">
        <v>18.033203743734511</v>
      </c>
      <c r="DC963" s="3">
        <v>17.768452555607951</v>
      </c>
      <c r="DD963" s="3">
        <v>17.536925993997649</v>
      </c>
      <c r="DE963" s="3">
        <v>17.285393722675678</v>
      </c>
      <c r="DF963" s="3">
        <v>17.285393722675678</v>
      </c>
      <c r="DG963" s="3">
        <v>17.285393722675678</v>
      </c>
      <c r="DH963" s="3">
        <v>17.285393722675689</v>
      </c>
      <c r="DI963" s="3">
        <v>17.285393722675689</v>
      </c>
      <c r="DJ963" s="3">
        <v>17.285393722675689</v>
      </c>
      <c r="DK963" s="3">
        <v>17.285393722675678</v>
      </c>
      <c r="DL963" s="3">
        <v>17.285393722675678</v>
      </c>
      <c r="DM963" s="3">
        <v>17.285393722675678</v>
      </c>
      <c r="DN963" s="3">
        <v>17.285393722675678</v>
      </c>
      <c r="DO963" s="3">
        <v>17.285393722675678</v>
      </c>
    </row>
    <row r="964" spans="1:230" x14ac:dyDescent="0.45">
      <c r="A964" s="16" t="s">
        <v>954</v>
      </c>
      <c r="B964" s="3" t="s">
        <v>89</v>
      </c>
      <c r="C964" s="16" t="s">
        <v>4992</v>
      </c>
      <c r="H964" s="3" t="s">
        <v>956</v>
      </c>
      <c r="I964" s="3" t="s">
        <v>651</v>
      </c>
      <c r="K964" s="17" t="s">
        <v>957</v>
      </c>
      <c r="L964" s="3">
        <v>20.185229092594511</v>
      </c>
      <c r="M964" s="3">
        <v>18.533803429834471</v>
      </c>
      <c r="N964" s="3">
        <v>18.687516334514999</v>
      </c>
      <c r="O964" s="3">
        <v>16.16582277566372</v>
      </c>
      <c r="P964" s="3">
        <v>17.918401566962789</v>
      </c>
      <c r="Q964" s="3">
        <v>16.101097287190221</v>
      </c>
      <c r="R964" s="3">
        <v>15.60112744121068</v>
      </c>
      <c r="S964" s="3">
        <v>15.34910209549237</v>
      </c>
      <c r="T964" s="3">
        <v>15.12870436226328</v>
      </c>
      <c r="U964" s="3">
        <v>14.889262537326401</v>
      </c>
      <c r="V964" s="3">
        <v>14.889262537326401</v>
      </c>
      <c r="W964" s="3">
        <v>14.889262537326401</v>
      </c>
      <c r="X964" s="3">
        <v>14.889262537326401</v>
      </c>
      <c r="Y964" s="3">
        <v>14.889262537326401</v>
      </c>
      <c r="Z964" s="3">
        <v>14.889262537326401</v>
      </c>
      <c r="AA964" s="3">
        <v>14.889262537326401</v>
      </c>
      <c r="AB964" s="3">
        <v>14.889262537326401</v>
      </c>
      <c r="AC964" s="3">
        <v>14.889262537326401</v>
      </c>
      <c r="AD964" s="3">
        <v>14.889262537326401</v>
      </c>
      <c r="AE964" s="3">
        <v>14.889262537326401</v>
      </c>
      <c r="AG964" s="17" t="s">
        <v>958</v>
      </c>
      <c r="AH964" s="3">
        <v>20.185229092594511</v>
      </c>
      <c r="AI964" s="3">
        <v>18.533803429834471</v>
      </c>
      <c r="AJ964" s="3">
        <v>18.687516334514999</v>
      </c>
      <c r="AK964" s="3">
        <v>16.16582277566372</v>
      </c>
      <c r="AL964" s="3">
        <v>17.918401566962789</v>
      </c>
      <c r="AM964" s="3">
        <v>16.101097287190221</v>
      </c>
      <c r="AN964" s="3">
        <v>15.60112744121068</v>
      </c>
      <c r="AO964" s="3">
        <v>15.34910209549237</v>
      </c>
      <c r="AP964" s="3">
        <v>15.12870436226328</v>
      </c>
      <c r="AQ964" s="3">
        <v>14.889262537326401</v>
      </c>
      <c r="AR964" s="3">
        <v>14.889262537326401</v>
      </c>
      <c r="AS964" s="3">
        <v>14.889262537326401</v>
      </c>
      <c r="AT964" s="3">
        <v>14.889262537326401</v>
      </c>
      <c r="AU964" s="3">
        <v>14.889262537326401</v>
      </c>
      <c r="AV964" s="3">
        <v>14.889262537326401</v>
      </c>
      <c r="AW964" s="3">
        <v>14.889262537326401</v>
      </c>
      <c r="AX964" s="3">
        <v>14.889262537326401</v>
      </c>
      <c r="AY964" s="3">
        <v>14.889262537326401</v>
      </c>
      <c r="AZ964" s="3">
        <v>14.889262537326401</v>
      </c>
      <c r="BA964" s="3">
        <v>14.889262537326401</v>
      </c>
      <c r="BC964" s="17" t="s">
        <v>959</v>
      </c>
      <c r="BD964" s="3">
        <v>20.185229092594511</v>
      </c>
      <c r="BE964" s="3">
        <v>18.533803429834471</v>
      </c>
      <c r="BF964" s="3">
        <v>18.687516334514999</v>
      </c>
      <c r="BG964" s="3">
        <v>16.16582277566372</v>
      </c>
      <c r="BH964" s="3">
        <v>17.918401566962789</v>
      </c>
      <c r="BI964" s="3">
        <v>16.101097287190221</v>
      </c>
      <c r="BJ964" s="3">
        <v>15.60112744121068</v>
      </c>
      <c r="BK964" s="3">
        <v>15.34910209549237</v>
      </c>
      <c r="BL964" s="3">
        <v>15.12870436226328</v>
      </c>
      <c r="BM964" s="3">
        <v>14.889262537326401</v>
      </c>
      <c r="BN964" s="3">
        <v>14.889262537326401</v>
      </c>
      <c r="BO964" s="3">
        <v>14.889262537326401</v>
      </c>
      <c r="BP964" s="3">
        <v>14.889262537326401</v>
      </c>
      <c r="BQ964" s="3">
        <v>14.889262537326401</v>
      </c>
      <c r="BR964" s="3">
        <v>14.889262537326401</v>
      </c>
      <c r="BS964" s="3">
        <v>14.889262537326401</v>
      </c>
      <c r="BT964" s="3">
        <v>14.889262537326401</v>
      </c>
      <c r="BU964" s="3">
        <v>14.889262537326401</v>
      </c>
      <c r="BV964" s="3">
        <v>14.889262537326401</v>
      </c>
      <c r="BW964" s="3">
        <v>14.889262537326401</v>
      </c>
      <c r="BY964" s="17" t="s">
        <v>960</v>
      </c>
      <c r="BZ964" s="3">
        <v>20.185229092594511</v>
      </c>
      <c r="CA964" s="3">
        <v>18.533803429834471</v>
      </c>
      <c r="CB964" s="3">
        <v>18.687516334514999</v>
      </c>
      <c r="CC964" s="3">
        <v>16.16582277566372</v>
      </c>
      <c r="CD964" s="3">
        <v>17.918401566962789</v>
      </c>
      <c r="CE964" s="3">
        <v>16.101097287190221</v>
      </c>
      <c r="CF964" s="3">
        <v>15.60112744121068</v>
      </c>
      <c r="CG964" s="3">
        <v>15.34910209549237</v>
      </c>
      <c r="CH964" s="3">
        <v>15.12870436226328</v>
      </c>
      <c r="CI964" s="3">
        <v>14.889262537326401</v>
      </c>
      <c r="CJ964" s="3">
        <v>14.889262537326401</v>
      </c>
      <c r="CK964" s="3">
        <v>14.889262537326401</v>
      </c>
      <c r="CL964" s="3">
        <v>14.889262537326401</v>
      </c>
      <c r="CM964" s="3">
        <v>14.889262537326401</v>
      </c>
      <c r="CN964" s="3">
        <v>14.889262537326401</v>
      </c>
      <c r="CO964" s="3">
        <v>14.889262537326401</v>
      </c>
      <c r="CP964" s="3">
        <v>14.889262537326401</v>
      </c>
      <c r="CQ964" s="3">
        <v>14.889262537326401</v>
      </c>
      <c r="CR964" s="3">
        <v>14.889262537326401</v>
      </c>
      <c r="CS964" s="3">
        <v>14.889262537326401</v>
      </c>
      <c r="CU964" s="17" t="s">
        <v>961</v>
      </c>
      <c r="CV964" s="3">
        <v>20.185229092594511</v>
      </c>
      <c r="CW964" s="3">
        <v>18.533803429834471</v>
      </c>
      <c r="CX964" s="3">
        <v>18.687516334514999</v>
      </c>
      <c r="CY964" s="3">
        <v>16.16582277566372</v>
      </c>
      <c r="CZ964" s="3">
        <v>17.918401566962789</v>
      </c>
      <c r="DA964" s="3">
        <v>16.101097287190221</v>
      </c>
      <c r="DB964" s="3">
        <v>15.60112744121068</v>
      </c>
      <c r="DC964" s="3">
        <v>15.34910209549237</v>
      </c>
      <c r="DD964" s="3">
        <v>15.12870436226328</v>
      </c>
      <c r="DE964" s="3">
        <v>14.889262537326401</v>
      </c>
      <c r="DF964" s="3">
        <v>14.889262537326401</v>
      </c>
      <c r="DG964" s="3">
        <v>14.889262537326401</v>
      </c>
      <c r="DH964" s="3">
        <v>14.889262537326401</v>
      </c>
      <c r="DI964" s="3">
        <v>14.889262537326401</v>
      </c>
      <c r="DJ964" s="3">
        <v>14.889262537326401</v>
      </c>
      <c r="DK964" s="3">
        <v>14.889262537326401</v>
      </c>
      <c r="DL964" s="3">
        <v>14.889262537326401</v>
      </c>
      <c r="DM964" s="3">
        <v>14.889262537326401</v>
      </c>
      <c r="DN964" s="3">
        <v>14.889262537326401</v>
      </c>
      <c r="DO964" s="3">
        <v>14.889262537326401</v>
      </c>
    </row>
    <row r="965" spans="1:230" x14ac:dyDescent="0.45">
      <c r="A965" s="16" t="s">
        <v>922</v>
      </c>
      <c r="B965" s="3" t="s">
        <v>89</v>
      </c>
      <c r="C965" s="16" t="s">
        <v>4993</v>
      </c>
      <c r="H965" s="3" t="s">
        <v>924</v>
      </c>
      <c r="I965" s="3" t="s">
        <v>651</v>
      </c>
      <c r="K965" s="17" t="s">
        <v>925</v>
      </c>
      <c r="L965" s="3">
        <v>18.718156345275201</v>
      </c>
      <c r="M965" s="3">
        <v>15.72799110744487</v>
      </c>
      <c r="N965" s="3">
        <v>15.135752517221979</v>
      </c>
      <c r="O965" s="3">
        <v>12.831384156078141</v>
      </c>
      <c r="P965" s="3">
        <v>14.43292178260919</v>
      </c>
      <c r="Q965" s="3">
        <v>12.772236855140489</v>
      </c>
      <c r="R965" s="3">
        <v>12.315355530065419</v>
      </c>
      <c r="S965" s="3">
        <v>12.08505029299921</v>
      </c>
      <c r="T965" s="3">
        <v>11.88364692995445</v>
      </c>
      <c r="U965" s="3">
        <v>11.66484073767055</v>
      </c>
      <c r="V965" s="3">
        <v>11.66484073767055</v>
      </c>
      <c r="W965" s="3">
        <v>11.66484073767055</v>
      </c>
      <c r="X965" s="3">
        <v>11.66484073767055</v>
      </c>
      <c r="Y965" s="3">
        <v>11.66484073767055</v>
      </c>
      <c r="Z965" s="3">
        <v>11.66484073767055</v>
      </c>
      <c r="AA965" s="3">
        <v>11.66484073767055</v>
      </c>
      <c r="AB965" s="3">
        <v>11.66484073767055</v>
      </c>
      <c r="AC965" s="3">
        <v>11.66484073767055</v>
      </c>
      <c r="AD965" s="3">
        <v>11.66484073767055</v>
      </c>
      <c r="AE965" s="3">
        <v>11.66484073767055</v>
      </c>
      <c r="AG965" s="17" t="s">
        <v>926</v>
      </c>
      <c r="AH965" s="3">
        <v>18.718156345275201</v>
      </c>
      <c r="AI965" s="3">
        <v>15.72799110744487</v>
      </c>
      <c r="AJ965" s="3">
        <v>15.135752517221979</v>
      </c>
      <c r="AK965" s="3">
        <v>12.831384156078141</v>
      </c>
      <c r="AL965" s="3">
        <v>14.43292178260919</v>
      </c>
      <c r="AM965" s="3">
        <v>12.772236855140489</v>
      </c>
      <c r="AN965" s="3">
        <v>12.315355530065419</v>
      </c>
      <c r="AO965" s="3">
        <v>12.08505029299921</v>
      </c>
      <c r="AP965" s="3">
        <v>11.88364692995445</v>
      </c>
      <c r="AQ965" s="3">
        <v>11.66484073767055</v>
      </c>
      <c r="AR965" s="3">
        <v>11.66484073767055</v>
      </c>
      <c r="AS965" s="3">
        <v>11.66484073767055</v>
      </c>
      <c r="AT965" s="3">
        <v>11.66484073767055</v>
      </c>
      <c r="AU965" s="3">
        <v>11.66484073767055</v>
      </c>
      <c r="AV965" s="3">
        <v>11.66484073767055</v>
      </c>
      <c r="AW965" s="3">
        <v>11.66484073767055</v>
      </c>
      <c r="AX965" s="3">
        <v>11.66484073767055</v>
      </c>
      <c r="AY965" s="3">
        <v>11.66484073767055</v>
      </c>
      <c r="AZ965" s="3">
        <v>11.66484073767055</v>
      </c>
      <c r="BA965" s="3">
        <v>11.66484073767055</v>
      </c>
      <c r="BC965" s="17" t="s">
        <v>927</v>
      </c>
      <c r="BD965" s="3">
        <v>18.718156345275201</v>
      </c>
      <c r="BE965" s="3">
        <v>15.72799110744487</v>
      </c>
      <c r="BF965" s="3">
        <v>15.135752517221979</v>
      </c>
      <c r="BG965" s="3">
        <v>12.831384156078141</v>
      </c>
      <c r="BH965" s="3">
        <v>14.43292178260919</v>
      </c>
      <c r="BI965" s="3">
        <v>12.772236855140489</v>
      </c>
      <c r="BJ965" s="3">
        <v>12.315355530065419</v>
      </c>
      <c r="BK965" s="3">
        <v>12.08505029299921</v>
      </c>
      <c r="BL965" s="3">
        <v>11.88364692995445</v>
      </c>
      <c r="BM965" s="3">
        <v>11.66484073767055</v>
      </c>
      <c r="BN965" s="3">
        <v>11.66484073767055</v>
      </c>
      <c r="BO965" s="3">
        <v>11.66484073767055</v>
      </c>
      <c r="BP965" s="3">
        <v>11.66484073767055</v>
      </c>
      <c r="BQ965" s="3">
        <v>11.66484073767055</v>
      </c>
      <c r="BR965" s="3">
        <v>11.66484073767055</v>
      </c>
      <c r="BS965" s="3">
        <v>11.66484073767055</v>
      </c>
      <c r="BT965" s="3">
        <v>11.66484073767055</v>
      </c>
      <c r="BU965" s="3">
        <v>11.66484073767055</v>
      </c>
      <c r="BV965" s="3">
        <v>11.66484073767055</v>
      </c>
      <c r="BW965" s="3">
        <v>11.66484073767055</v>
      </c>
      <c r="BY965" s="17" t="s">
        <v>928</v>
      </c>
      <c r="BZ965" s="3">
        <v>18.718156345275201</v>
      </c>
      <c r="CA965" s="3">
        <v>15.72799110744487</v>
      </c>
      <c r="CB965" s="3">
        <v>15.135752517221979</v>
      </c>
      <c r="CC965" s="3">
        <v>12.831384156078141</v>
      </c>
      <c r="CD965" s="3">
        <v>14.43292178260919</v>
      </c>
      <c r="CE965" s="3">
        <v>12.772236855140489</v>
      </c>
      <c r="CF965" s="3">
        <v>12.315355530065419</v>
      </c>
      <c r="CG965" s="3">
        <v>12.08505029299921</v>
      </c>
      <c r="CH965" s="3">
        <v>11.88364692995445</v>
      </c>
      <c r="CI965" s="3">
        <v>11.66484073767055</v>
      </c>
      <c r="CJ965" s="3">
        <v>11.66484073767055</v>
      </c>
      <c r="CK965" s="3">
        <v>11.66484073767055</v>
      </c>
      <c r="CL965" s="3">
        <v>11.66484073767055</v>
      </c>
      <c r="CM965" s="3">
        <v>11.66484073767055</v>
      </c>
      <c r="CN965" s="3">
        <v>11.66484073767055</v>
      </c>
      <c r="CO965" s="3">
        <v>11.66484073767055</v>
      </c>
      <c r="CP965" s="3">
        <v>11.66484073767055</v>
      </c>
      <c r="CQ965" s="3">
        <v>11.66484073767055</v>
      </c>
      <c r="CR965" s="3">
        <v>11.66484073767055</v>
      </c>
      <c r="CS965" s="3">
        <v>11.66484073767055</v>
      </c>
      <c r="CU965" s="17" t="s">
        <v>929</v>
      </c>
      <c r="CV965" s="3">
        <v>18.718156345275201</v>
      </c>
      <c r="CW965" s="3">
        <v>15.72799110744487</v>
      </c>
      <c r="CX965" s="3">
        <v>15.135752517221979</v>
      </c>
      <c r="CY965" s="3">
        <v>12.831384156078141</v>
      </c>
      <c r="CZ965" s="3">
        <v>14.43292178260919</v>
      </c>
      <c r="DA965" s="3">
        <v>12.772236855140489</v>
      </c>
      <c r="DB965" s="3">
        <v>12.315355530065419</v>
      </c>
      <c r="DC965" s="3">
        <v>12.08505029299921</v>
      </c>
      <c r="DD965" s="3">
        <v>11.88364692995445</v>
      </c>
      <c r="DE965" s="3">
        <v>11.66484073767055</v>
      </c>
      <c r="DF965" s="3">
        <v>11.66484073767055</v>
      </c>
      <c r="DG965" s="3">
        <v>11.66484073767055</v>
      </c>
      <c r="DH965" s="3">
        <v>11.66484073767055</v>
      </c>
      <c r="DI965" s="3">
        <v>11.66484073767055</v>
      </c>
      <c r="DJ965" s="3">
        <v>11.66484073767055</v>
      </c>
      <c r="DK965" s="3">
        <v>11.66484073767055</v>
      </c>
      <c r="DL965" s="3">
        <v>11.66484073767055</v>
      </c>
      <c r="DM965" s="3">
        <v>11.66484073767055</v>
      </c>
      <c r="DN965" s="3">
        <v>11.66484073767055</v>
      </c>
      <c r="DO965" s="3">
        <v>11.66484073767055</v>
      </c>
    </row>
    <row r="966" spans="1:230" x14ac:dyDescent="0.45">
      <c r="A966" s="16" t="s">
        <v>840</v>
      </c>
      <c r="B966" s="3" t="s">
        <v>89</v>
      </c>
      <c r="C966" s="16" t="s">
        <v>841</v>
      </c>
      <c r="H966" s="3" t="s">
        <v>842</v>
      </c>
      <c r="I966" s="3" t="s">
        <v>651</v>
      </c>
      <c r="K966" s="17" t="s">
        <v>843</v>
      </c>
      <c r="L966" s="3">
        <v>13.46421248673108</v>
      </c>
      <c r="M966" s="3">
        <v>6.5884752723340902</v>
      </c>
      <c r="N966" s="3">
        <v>5.8065680582894004</v>
      </c>
      <c r="O966" s="3">
        <v>4.7532486605082349</v>
      </c>
      <c r="P966" s="3">
        <v>5.3336222070744386</v>
      </c>
      <c r="Q966" s="3">
        <v>5.4645398442557918</v>
      </c>
      <c r="R966" s="3">
        <v>5.4024636206778087</v>
      </c>
      <c r="S966" s="3">
        <v>5.3358943039594733</v>
      </c>
      <c r="T966" s="3">
        <v>5.2646478334587359</v>
      </c>
      <c r="U966" s="3">
        <v>5.1958920895644614</v>
      </c>
      <c r="V966" s="3">
        <v>5.1958920895644614</v>
      </c>
      <c r="W966" s="3">
        <v>5.1958920895644614</v>
      </c>
      <c r="X966" s="3">
        <v>5.1958920895644631</v>
      </c>
      <c r="Y966" s="3">
        <v>5.1958920895644631</v>
      </c>
      <c r="Z966" s="3">
        <v>5.1958920895644631</v>
      </c>
      <c r="AA966" s="3">
        <v>5.1958920895644622</v>
      </c>
      <c r="AB966" s="3">
        <v>5.1958920895644622</v>
      </c>
      <c r="AC966" s="3">
        <v>5.1958920895644631</v>
      </c>
      <c r="AD966" s="3">
        <v>5.1958920895644631</v>
      </c>
      <c r="AE966" s="3">
        <v>5.1958920895644631</v>
      </c>
      <c r="AG966" s="17" t="s">
        <v>844</v>
      </c>
      <c r="AH966" s="3">
        <v>13.46421248673108</v>
      </c>
      <c r="AI966" s="3">
        <v>6.5884752723340902</v>
      </c>
      <c r="AJ966" s="3">
        <v>5.8065680582894004</v>
      </c>
      <c r="AK966" s="3">
        <v>4.7532486605082349</v>
      </c>
      <c r="AL966" s="3">
        <v>5.3336222070744386</v>
      </c>
      <c r="AM966" s="3">
        <v>5.4645398442557918</v>
      </c>
      <c r="AN966" s="3">
        <v>5.4024636206778087</v>
      </c>
      <c r="AO966" s="3">
        <v>5.3358943039594733</v>
      </c>
      <c r="AP966" s="3">
        <v>5.2646478334587359</v>
      </c>
      <c r="AQ966" s="3">
        <v>5.1958920895644614</v>
      </c>
      <c r="AR966" s="3">
        <v>5.1958920895644614</v>
      </c>
      <c r="AS966" s="3">
        <v>5.1958920895644614</v>
      </c>
      <c r="AT966" s="3">
        <v>5.1958920895644631</v>
      </c>
      <c r="AU966" s="3">
        <v>5.1958920895644631</v>
      </c>
      <c r="AV966" s="3">
        <v>5.1958920895644631</v>
      </c>
      <c r="AW966" s="3">
        <v>5.1958920895644622</v>
      </c>
      <c r="AX966" s="3">
        <v>5.1958920895644622</v>
      </c>
      <c r="AY966" s="3">
        <v>5.1958920895644631</v>
      </c>
      <c r="AZ966" s="3">
        <v>5.1958920895644631</v>
      </c>
      <c r="BA966" s="3">
        <v>5.1958920895644631</v>
      </c>
      <c r="BC966" s="17" t="s">
        <v>845</v>
      </c>
      <c r="BD966" s="3">
        <v>13.46421248673108</v>
      </c>
      <c r="BE966" s="3">
        <v>6.5884752723340902</v>
      </c>
      <c r="BF966" s="3">
        <v>5.8065680582894004</v>
      </c>
      <c r="BG966" s="3">
        <v>4.7532486605082349</v>
      </c>
      <c r="BH966" s="3">
        <v>5.3336222070744386</v>
      </c>
      <c r="BI966" s="3">
        <v>5.4645398442557918</v>
      </c>
      <c r="BJ966" s="3">
        <v>5.4024636206778087</v>
      </c>
      <c r="BK966" s="3">
        <v>5.3358943039594733</v>
      </c>
      <c r="BL966" s="3">
        <v>5.2646478334587359</v>
      </c>
      <c r="BM966" s="3">
        <v>5.1958920895644614</v>
      </c>
      <c r="BN966" s="3">
        <v>5.1958920895644614</v>
      </c>
      <c r="BO966" s="3">
        <v>5.1958920895644614</v>
      </c>
      <c r="BP966" s="3">
        <v>5.1958920895644631</v>
      </c>
      <c r="BQ966" s="3">
        <v>5.1958920895644631</v>
      </c>
      <c r="BR966" s="3">
        <v>5.1958920895644631</v>
      </c>
      <c r="BS966" s="3">
        <v>5.1958920895644622</v>
      </c>
      <c r="BT966" s="3">
        <v>5.1958920895644622</v>
      </c>
      <c r="BU966" s="3">
        <v>5.1958920895644631</v>
      </c>
      <c r="BV966" s="3">
        <v>5.1958920895644631</v>
      </c>
      <c r="BW966" s="3">
        <v>5.1958920895644631</v>
      </c>
      <c r="BY966" s="17" t="s">
        <v>846</v>
      </c>
      <c r="BZ966" s="3">
        <v>13.46421248673108</v>
      </c>
      <c r="CA966" s="3">
        <v>6.5884752723340902</v>
      </c>
      <c r="CB966" s="3">
        <v>5.8065680582894004</v>
      </c>
      <c r="CC966" s="3">
        <v>4.7532486605082349</v>
      </c>
      <c r="CD966" s="3">
        <v>5.3336222070744386</v>
      </c>
      <c r="CE966" s="3">
        <v>5.4645398442557918</v>
      </c>
      <c r="CF966" s="3">
        <v>5.4024636206778087</v>
      </c>
      <c r="CG966" s="3">
        <v>5.3358943039594733</v>
      </c>
      <c r="CH966" s="3">
        <v>5.2646478334587359</v>
      </c>
      <c r="CI966" s="3">
        <v>5.1958920895644614</v>
      </c>
      <c r="CJ966" s="3">
        <v>5.1958920895644614</v>
      </c>
      <c r="CK966" s="3">
        <v>5.1958920895644614</v>
      </c>
      <c r="CL966" s="3">
        <v>5.1958920895644631</v>
      </c>
      <c r="CM966" s="3">
        <v>5.1958920895644631</v>
      </c>
      <c r="CN966" s="3">
        <v>5.1958920895644631</v>
      </c>
      <c r="CO966" s="3">
        <v>5.1958920895644622</v>
      </c>
      <c r="CP966" s="3">
        <v>5.1958920895644622</v>
      </c>
      <c r="CQ966" s="3">
        <v>5.1958920895644631</v>
      </c>
      <c r="CR966" s="3">
        <v>5.1958920895644631</v>
      </c>
      <c r="CS966" s="3">
        <v>5.1958920895644631</v>
      </c>
      <c r="CU966" s="17" t="s">
        <v>847</v>
      </c>
      <c r="CV966" s="3">
        <v>13.46421248673108</v>
      </c>
      <c r="CW966" s="3">
        <v>6.5884752723340902</v>
      </c>
      <c r="CX966" s="3">
        <v>5.8065680582894004</v>
      </c>
      <c r="CY966" s="3">
        <v>4.7532486605082349</v>
      </c>
      <c r="CZ966" s="3">
        <v>5.3336222070744386</v>
      </c>
      <c r="DA966" s="3">
        <v>5.4645398442557918</v>
      </c>
      <c r="DB966" s="3">
        <v>5.4024636206778087</v>
      </c>
      <c r="DC966" s="3">
        <v>5.3358943039594733</v>
      </c>
      <c r="DD966" s="3">
        <v>5.2646478334587359</v>
      </c>
      <c r="DE966" s="3">
        <v>5.1958920895644614</v>
      </c>
      <c r="DF966" s="3">
        <v>5.1958920895644614</v>
      </c>
      <c r="DG966" s="3">
        <v>5.1958920895644614</v>
      </c>
      <c r="DH966" s="3">
        <v>5.1958920895644631</v>
      </c>
      <c r="DI966" s="3">
        <v>5.1958920895644631</v>
      </c>
      <c r="DJ966" s="3">
        <v>5.1958920895644631</v>
      </c>
      <c r="DK966" s="3">
        <v>5.1958920895644622</v>
      </c>
      <c r="DL966" s="3">
        <v>5.1958920895644622</v>
      </c>
      <c r="DM966" s="3">
        <v>5.1958920895644631</v>
      </c>
      <c r="DN966" s="3">
        <v>5.1958920895644631</v>
      </c>
      <c r="DO966" s="3">
        <v>5.1958920895644631</v>
      </c>
    </row>
    <row r="967" spans="1:230" x14ac:dyDescent="0.45">
      <c r="A967" s="16" t="s">
        <v>824</v>
      </c>
      <c r="B967" s="3" t="s">
        <v>89</v>
      </c>
      <c r="C967" s="16" t="s">
        <v>825</v>
      </c>
      <c r="H967" s="3" t="s">
        <v>826</v>
      </c>
      <c r="I967" s="3" t="s">
        <v>651</v>
      </c>
      <c r="K967" s="17" t="s">
        <v>827</v>
      </c>
      <c r="L967" s="3">
        <v>23.576579600904509</v>
      </c>
      <c r="M967" s="3">
        <v>15.45297302294686</v>
      </c>
      <c r="N967" s="3">
        <v>14.48322663188887</v>
      </c>
      <c r="O967" s="3">
        <v>13.293238597245139</v>
      </c>
      <c r="P967" s="3">
        <v>13.94891585667126</v>
      </c>
      <c r="Q967" s="3">
        <v>14.09682011258624</v>
      </c>
      <c r="R967" s="3">
        <v>14.0266894727734</v>
      </c>
      <c r="S967" s="3">
        <v>13.95148275908703</v>
      </c>
      <c r="T967" s="3">
        <v>13.870992028939011</v>
      </c>
      <c r="U967" s="3">
        <v>13.793315198226921</v>
      </c>
      <c r="V967" s="3">
        <v>13.793315198226921</v>
      </c>
      <c r="W967" s="3">
        <v>13.793315198226921</v>
      </c>
      <c r="X967" s="3">
        <v>13.793315198226921</v>
      </c>
      <c r="Y967" s="3">
        <v>13.793315198226921</v>
      </c>
      <c r="Z967" s="3">
        <v>13.793315198226921</v>
      </c>
      <c r="AA967" s="3">
        <v>13.793315198226921</v>
      </c>
      <c r="AB967" s="3">
        <v>13.793315198226921</v>
      </c>
      <c r="AC967" s="3">
        <v>13.793315198226921</v>
      </c>
      <c r="AD967" s="3">
        <v>13.793315198226921</v>
      </c>
      <c r="AE967" s="3">
        <v>13.793315198226921</v>
      </c>
      <c r="AG967" s="17" t="s">
        <v>828</v>
      </c>
      <c r="AH967" s="3">
        <v>23.576579600904509</v>
      </c>
      <c r="AI967" s="3">
        <v>15.45297302294686</v>
      </c>
      <c r="AJ967" s="3">
        <v>14.48322663188887</v>
      </c>
      <c r="AK967" s="3">
        <v>13.293238597245139</v>
      </c>
      <c r="AL967" s="3">
        <v>13.94891585667126</v>
      </c>
      <c r="AM967" s="3">
        <v>16.23727186510143</v>
      </c>
      <c r="AN967" s="3">
        <v>16.167141225288599</v>
      </c>
      <c r="AO967" s="3">
        <v>16.091934511602229</v>
      </c>
      <c r="AP967" s="3">
        <v>16.011443781454211</v>
      </c>
      <c r="AQ967" s="3">
        <v>15.933766950742109</v>
      </c>
      <c r="AR967" s="3">
        <v>15.933766950742109</v>
      </c>
      <c r="AS967" s="3">
        <v>15.933766950742109</v>
      </c>
      <c r="AT967" s="3">
        <v>15.93376695074212</v>
      </c>
      <c r="AU967" s="3">
        <v>15.93376695074212</v>
      </c>
      <c r="AV967" s="3">
        <v>15.93376695074212</v>
      </c>
      <c r="AW967" s="3">
        <v>15.933766950742109</v>
      </c>
      <c r="AX967" s="3">
        <v>15.933766950742109</v>
      </c>
      <c r="AY967" s="3">
        <v>15.933766950742109</v>
      </c>
      <c r="AZ967" s="3">
        <v>15.933766950742109</v>
      </c>
      <c r="BA967" s="3">
        <v>15.933766950742109</v>
      </c>
      <c r="BC967" s="17" t="s">
        <v>829</v>
      </c>
      <c r="BD967" s="3">
        <v>23.576579600904509</v>
      </c>
      <c r="BE967" s="3">
        <v>15.45297302294686</v>
      </c>
      <c r="BF967" s="3">
        <v>14.48322663188887</v>
      </c>
      <c r="BG967" s="3">
        <v>13.293238597245139</v>
      </c>
      <c r="BH967" s="3">
        <v>13.94891585667126</v>
      </c>
      <c r="BI967" s="3">
        <v>15.16704598884384</v>
      </c>
      <c r="BJ967" s="3">
        <v>16.523883184041129</v>
      </c>
      <c r="BK967" s="3">
        <v>17.87564430536489</v>
      </c>
      <c r="BL967" s="3">
        <v>19.222121410227</v>
      </c>
      <c r="BM967" s="3">
        <v>20.571412414525039</v>
      </c>
      <c r="BN967" s="3">
        <v>21.99838024953517</v>
      </c>
      <c r="BO967" s="3">
        <v>23.425348084545298</v>
      </c>
      <c r="BP967" s="3">
        <v>24.85231591955543</v>
      </c>
      <c r="BQ967" s="3">
        <v>26.279283754565562</v>
      </c>
      <c r="BR967" s="3">
        <v>27.70625158957569</v>
      </c>
      <c r="BS967" s="3">
        <v>29.133219424585821</v>
      </c>
      <c r="BT967" s="3">
        <v>30.56018725959596</v>
      </c>
      <c r="BU967" s="3">
        <v>31.987155094606081</v>
      </c>
      <c r="BV967" s="3">
        <v>33.414122929616212</v>
      </c>
      <c r="BW967" s="3">
        <v>34.841090764626337</v>
      </c>
      <c r="BY967" s="17" t="s">
        <v>830</v>
      </c>
      <c r="BZ967" s="3">
        <v>23.576579600904509</v>
      </c>
      <c r="CA967" s="3">
        <v>15.45297302294686</v>
      </c>
      <c r="CB967" s="3">
        <v>14.48322663188887</v>
      </c>
      <c r="CC967" s="3">
        <v>13.293238597245139</v>
      </c>
      <c r="CD967" s="3">
        <v>13.94891585667126</v>
      </c>
      <c r="CE967" s="3">
        <v>16.772384803230231</v>
      </c>
      <c r="CF967" s="3">
        <v>16.70225416341739</v>
      </c>
      <c r="CG967" s="3">
        <v>16.62704744973102</v>
      </c>
      <c r="CH967" s="3">
        <v>16.546556719583009</v>
      </c>
      <c r="CI967" s="3">
        <v>16.468879888870909</v>
      </c>
      <c r="CJ967" s="3">
        <v>16.468879888870909</v>
      </c>
      <c r="CK967" s="3">
        <v>16.468879888870909</v>
      </c>
      <c r="CL967" s="3">
        <v>16.468879888870919</v>
      </c>
      <c r="CM967" s="3">
        <v>16.468879888870919</v>
      </c>
      <c r="CN967" s="3">
        <v>16.468879888870919</v>
      </c>
      <c r="CO967" s="3">
        <v>16.468879888870909</v>
      </c>
      <c r="CP967" s="3">
        <v>16.468879888870909</v>
      </c>
      <c r="CQ967" s="3">
        <v>16.468879888870909</v>
      </c>
      <c r="CR967" s="3">
        <v>16.468879888870909</v>
      </c>
      <c r="CS967" s="3">
        <v>16.468879888870909</v>
      </c>
      <c r="CU967" s="17" t="s">
        <v>831</v>
      </c>
      <c r="CV967" s="3">
        <v>23.576579600904509</v>
      </c>
      <c r="CW967" s="3">
        <v>15.45297302294686</v>
      </c>
      <c r="CX967" s="3">
        <v>14.48322663188887</v>
      </c>
      <c r="CY967" s="3">
        <v>13.293238597245139</v>
      </c>
      <c r="CZ967" s="3">
        <v>13.94891585667126</v>
      </c>
      <c r="DA967" s="3">
        <v>19.44794949387423</v>
      </c>
      <c r="DB967" s="3">
        <v>19.377818854061388</v>
      </c>
      <c r="DC967" s="3">
        <v>19.302612140375022</v>
      </c>
      <c r="DD967" s="3">
        <v>19.222121410227</v>
      </c>
      <c r="DE967" s="3">
        <v>19.144444579514911</v>
      </c>
      <c r="DF967" s="3">
        <v>19.144444579514911</v>
      </c>
      <c r="DG967" s="3">
        <v>19.144444579514911</v>
      </c>
      <c r="DH967" s="3">
        <v>19.144444579514911</v>
      </c>
      <c r="DI967" s="3">
        <v>19.144444579514911</v>
      </c>
      <c r="DJ967" s="3">
        <v>19.144444579514911</v>
      </c>
      <c r="DK967" s="3">
        <v>19.144444579514911</v>
      </c>
      <c r="DL967" s="3">
        <v>19.144444579514911</v>
      </c>
      <c r="DM967" s="3">
        <v>19.144444579514911</v>
      </c>
      <c r="DN967" s="3">
        <v>19.144444579514911</v>
      </c>
      <c r="DO967" s="3">
        <v>19.144444579514911</v>
      </c>
    </row>
    <row r="968" spans="1:230" x14ac:dyDescent="0.45">
      <c r="A968" s="16" t="s">
        <v>808</v>
      </c>
      <c r="B968" s="3" t="s">
        <v>89</v>
      </c>
      <c r="C968" s="16" t="s">
        <v>809</v>
      </c>
      <c r="H968" s="3" t="s">
        <v>810</v>
      </c>
      <c r="I968" s="3" t="s">
        <v>651</v>
      </c>
      <c r="K968" s="17" t="s">
        <v>811</v>
      </c>
      <c r="L968" s="3">
        <v>11.251346624355421</v>
      </c>
      <c r="M968" s="3">
        <v>8.7773562722248748</v>
      </c>
      <c r="N968" s="3">
        <v>7.5715284334375186</v>
      </c>
      <c r="O968" s="3">
        <v>6.8162015160669256</v>
      </c>
      <c r="P968" s="3">
        <v>7.2323827454022327</v>
      </c>
      <c r="Q968" s="3">
        <v>7.3262627361533168</v>
      </c>
      <c r="R968" s="3">
        <v>7.2817483726127454</v>
      </c>
      <c r="S968" s="3">
        <v>7.2340120479098626</v>
      </c>
      <c r="T968" s="3">
        <v>7.1829217736300794</v>
      </c>
      <c r="U968" s="3">
        <v>7.1336175794829062</v>
      </c>
      <c r="V968" s="3">
        <v>7.1336175794829062</v>
      </c>
      <c r="W968" s="3">
        <v>7.1336175794829053</v>
      </c>
      <c r="X968" s="3">
        <v>7.133617579482908</v>
      </c>
      <c r="Y968" s="3">
        <v>7.1336175794829062</v>
      </c>
      <c r="Z968" s="3">
        <v>7.1336175794829071</v>
      </c>
      <c r="AA968" s="3">
        <v>7.1336175794829062</v>
      </c>
      <c r="AB968" s="3">
        <v>7.1336175794829071</v>
      </c>
      <c r="AC968" s="3">
        <v>7.1336175794829071</v>
      </c>
      <c r="AD968" s="3">
        <v>7.1336175794829062</v>
      </c>
      <c r="AE968" s="3">
        <v>7.1336175794829062</v>
      </c>
      <c r="AG968" s="17" t="s">
        <v>812</v>
      </c>
      <c r="AH968" s="3">
        <v>11.251346624355421</v>
      </c>
      <c r="AI968" s="3">
        <v>8.7773562722248748</v>
      </c>
      <c r="AJ968" s="3">
        <v>7.5715284334375186</v>
      </c>
      <c r="AK968" s="3">
        <v>6.8162015160669256</v>
      </c>
      <c r="AL968" s="3">
        <v>7.2323827454022327</v>
      </c>
      <c r="AM968" s="3">
        <v>9.3173436021048293</v>
      </c>
      <c r="AN968" s="3">
        <v>9.2728292385642597</v>
      </c>
      <c r="AO968" s="3">
        <v>9.225092913861376</v>
      </c>
      <c r="AP968" s="3">
        <v>9.174002639581591</v>
      </c>
      <c r="AQ968" s="3">
        <v>9.1246984454344187</v>
      </c>
      <c r="AR968" s="3">
        <v>9.1246984454344187</v>
      </c>
      <c r="AS968" s="3">
        <v>9.1246984454344187</v>
      </c>
      <c r="AT968" s="3">
        <v>9.1246984454344204</v>
      </c>
      <c r="AU968" s="3">
        <v>9.1246984454344204</v>
      </c>
      <c r="AV968" s="3">
        <v>9.1246984454344187</v>
      </c>
      <c r="AW968" s="3">
        <v>9.1246984454344169</v>
      </c>
      <c r="AX968" s="3">
        <v>9.1246984454344187</v>
      </c>
      <c r="AY968" s="3">
        <v>9.1246984454344169</v>
      </c>
      <c r="AZ968" s="3">
        <v>9.1246984454344204</v>
      </c>
      <c r="BA968" s="3">
        <v>9.1246984454344204</v>
      </c>
      <c r="BC968" s="17" t="s">
        <v>813</v>
      </c>
      <c r="BD968" s="3">
        <v>11.251346624355421</v>
      </c>
      <c r="BE968" s="3">
        <v>8.7773562722248748</v>
      </c>
      <c r="BF968" s="3">
        <v>7.5715284334375186</v>
      </c>
      <c r="BG968" s="3">
        <v>6.8162015160669256</v>
      </c>
      <c r="BH968" s="3">
        <v>7.2323827454022327</v>
      </c>
      <c r="BI968" s="3">
        <v>8.3218031691290726</v>
      </c>
      <c r="BJ968" s="3">
        <v>9.6046760495561774</v>
      </c>
      <c r="BK968" s="3">
        <v>10.88432696882097</v>
      </c>
      <c r="BL968" s="3">
        <v>12.160623938508859</v>
      </c>
      <c r="BM968" s="3">
        <v>13.43870698832936</v>
      </c>
      <c r="BN968" s="3">
        <v>14.766094232297039</v>
      </c>
      <c r="BO968" s="3">
        <v>16.09348147626471</v>
      </c>
      <c r="BP968" s="3">
        <v>17.420868720232399</v>
      </c>
      <c r="BQ968" s="3">
        <v>18.748255964200069</v>
      </c>
      <c r="BR968" s="3">
        <v>20.07564320816774</v>
      </c>
      <c r="BS968" s="3">
        <v>21.403030452135422</v>
      </c>
      <c r="BT968" s="3">
        <v>22.730417696103089</v>
      </c>
      <c r="BU968" s="3">
        <v>24.057804940070771</v>
      </c>
      <c r="BV968" s="3">
        <v>25.385192184038441</v>
      </c>
      <c r="BW968" s="3">
        <v>26.712579428006119</v>
      </c>
      <c r="BY968" s="17" t="s">
        <v>814</v>
      </c>
      <c r="BZ968" s="3">
        <v>11.251346624355421</v>
      </c>
      <c r="CA968" s="3">
        <v>8.7773562722248748</v>
      </c>
      <c r="CB968" s="3">
        <v>7.5715284334375186</v>
      </c>
      <c r="CC968" s="3">
        <v>6.8162015160669256</v>
      </c>
      <c r="CD968" s="3">
        <v>7.2323827454022327</v>
      </c>
      <c r="CE968" s="3">
        <v>7.3262627361533168</v>
      </c>
      <c r="CF968" s="3">
        <v>7.2817483726127454</v>
      </c>
      <c r="CG968" s="3">
        <v>7.2340120479098617</v>
      </c>
      <c r="CH968" s="3">
        <v>7.1829217736300794</v>
      </c>
      <c r="CI968" s="3">
        <v>7.1336175794829062</v>
      </c>
      <c r="CJ968" s="3">
        <v>7.1336175794829053</v>
      </c>
      <c r="CK968" s="3">
        <v>7.1336175794829071</v>
      </c>
      <c r="CL968" s="3">
        <v>7.1336175794829071</v>
      </c>
      <c r="CM968" s="3">
        <v>7.133617579482908</v>
      </c>
      <c r="CN968" s="3">
        <v>7.133617579482908</v>
      </c>
      <c r="CO968" s="3">
        <v>7.1336175794829071</v>
      </c>
      <c r="CP968" s="3">
        <v>7.1336175794829062</v>
      </c>
      <c r="CQ968" s="3">
        <v>7.1336175794829062</v>
      </c>
      <c r="CR968" s="3">
        <v>7.1336175794829071</v>
      </c>
      <c r="CS968" s="3">
        <v>7.1336175794829062</v>
      </c>
      <c r="CU968" s="17" t="s">
        <v>815</v>
      </c>
      <c r="CV968" s="3">
        <v>11.251346624355421</v>
      </c>
      <c r="CW968" s="3">
        <v>8.7773562722248748</v>
      </c>
      <c r="CX968" s="3">
        <v>7.5715284334375186</v>
      </c>
      <c r="CY968" s="3">
        <v>6.8162015160669256</v>
      </c>
      <c r="CZ968" s="3">
        <v>7.2323827454022327</v>
      </c>
      <c r="DA968" s="3">
        <v>12.303964901032099</v>
      </c>
      <c r="DB968" s="3">
        <v>12.25945053749153</v>
      </c>
      <c r="DC968" s="3">
        <v>12.21171421278865</v>
      </c>
      <c r="DD968" s="3">
        <v>12.160623938508859</v>
      </c>
      <c r="DE968" s="3">
        <v>12.11131974436169</v>
      </c>
      <c r="DF968" s="3">
        <v>12.11131974436169</v>
      </c>
      <c r="DG968" s="3">
        <v>12.11131974436169</v>
      </c>
      <c r="DH968" s="3">
        <v>12.11131974436169</v>
      </c>
      <c r="DI968" s="3">
        <v>12.11131974436169</v>
      </c>
      <c r="DJ968" s="3">
        <v>12.11131974436169</v>
      </c>
      <c r="DK968" s="3">
        <v>12.11131974436169</v>
      </c>
      <c r="DL968" s="3">
        <v>12.11131974436169</v>
      </c>
      <c r="DM968" s="3">
        <v>12.11131974436169</v>
      </c>
      <c r="DN968" s="3">
        <v>12.11131974436169</v>
      </c>
      <c r="DO968" s="3">
        <v>12.11131974436169</v>
      </c>
    </row>
    <row r="969" spans="1:230" x14ac:dyDescent="0.45">
      <c r="A969" s="16" t="s">
        <v>848</v>
      </c>
      <c r="B969" s="3" t="s">
        <v>89</v>
      </c>
      <c r="C969" s="16" t="s">
        <v>849</v>
      </c>
      <c r="H969" s="3" t="s">
        <v>850</v>
      </c>
      <c r="I969" s="3" t="s">
        <v>651</v>
      </c>
      <c r="K969" s="17" t="s">
        <v>851</v>
      </c>
      <c r="L969" s="3">
        <v>3.1542204536504528</v>
      </c>
      <c r="M969" s="3">
        <v>2.6237150486756571</v>
      </c>
      <c r="N969" s="3">
        <v>2.77897804122306</v>
      </c>
      <c r="O969" s="3">
        <v>2.77897804122306</v>
      </c>
      <c r="P969" s="3">
        <v>2.77897804122306</v>
      </c>
      <c r="Q969" s="3">
        <v>2.77897804122306</v>
      </c>
      <c r="R969" s="3">
        <v>2.77897804122306</v>
      </c>
      <c r="S969" s="3">
        <v>2.77897804122306</v>
      </c>
      <c r="T969" s="3">
        <v>2.77897804122306</v>
      </c>
      <c r="U969" s="3">
        <v>2.77897804122306</v>
      </c>
      <c r="V969" s="3">
        <v>2.77897804122306</v>
      </c>
      <c r="W969" s="3">
        <v>2.77897804122306</v>
      </c>
      <c r="X969" s="3">
        <v>2.77897804122306</v>
      </c>
      <c r="Y969" s="3">
        <v>2.77897804122306</v>
      </c>
      <c r="Z969" s="3">
        <v>2.77897804122306</v>
      </c>
      <c r="AA969" s="3">
        <v>2.77897804122306</v>
      </c>
      <c r="AB969" s="3">
        <v>2.77897804122306</v>
      </c>
      <c r="AC969" s="3">
        <v>2.77897804122306</v>
      </c>
      <c r="AD969" s="3">
        <v>2.77897804122306</v>
      </c>
      <c r="AE969" s="3">
        <v>2.77897804122306</v>
      </c>
      <c r="AG969" s="17" t="s">
        <v>852</v>
      </c>
      <c r="AH969" s="3">
        <v>3.1542204536504528</v>
      </c>
      <c r="AI969" s="3">
        <v>2.6237150486756571</v>
      </c>
      <c r="AJ969" s="3">
        <v>2.77897804122306</v>
      </c>
      <c r="AK969" s="3">
        <v>2.77897804122306</v>
      </c>
      <c r="AL969" s="3">
        <v>2.77897804122306</v>
      </c>
      <c r="AM969" s="3">
        <v>2.77897804122306</v>
      </c>
      <c r="AN969" s="3">
        <v>2.77897804122306</v>
      </c>
      <c r="AO969" s="3">
        <v>2.77897804122306</v>
      </c>
      <c r="AP969" s="3">
        <v>2.77897804122306</v>
      </c>
      <c r="AQ969" s="3">
        <v>2.77897804122306</v>
      </c>
      <c r="AR969" s="3">
        <v>2.77897804122306</v>
      </c>
      <c r="AS969" s="3">
        <v>2.77897804122306</v>
      </c>
      <c r="AT969" s="3">
        <v>2.77897804122306</v>
      </c>
      <c r="AU969" s="3">
        <v>2.77897804122306</v>
      </c>
      <c r="AV969" s="3">
        <v>2.77897804122306</v>
      </c>
      <c r="AW969" s="3">
        <v>2.77897804122306</v>
      </c>
      <c r="AX969" s="3">
        <v>2.77897804122306</v>
      </c>
      <c r="AY969" s="3">
        <v>2.77897804122306</v>
      </c>
      <c r="AZ969" s="3">
        <v>2.77897804122306</v>
      </c>
      <c r="BA969" s="3">
        <v>2.77897804122306</v>
      </c>
      <c r="BC969" s="17" t="s">
        <v>853</v>
      </c>
      <c r="BD969" s="3">
        <v>3.1542204536504528</v>
      </c>
      <c r="BE969" s="3">
        <v>2.6237150486756571</v>
      </c>
      <c r="BF969" s="3">
        <v>2.77897804122306</v>
      </c>
      <c r="BG969" s="3">
        <v>2.77897804122306</v>
      </c>
      <c r="BH969" s="3">
        <v>2.77897804122306</v>
      </c>
      <c r="BI969" s="3">
        <v>2.77897804122306</v>
      </c>
      <c r="BJ969" s="3">
        <v>2.77897804122306</v>
      </c>
      <c r="BK969" s="3">
        <v>2.77897804122306</v>
      </c>
      <c r="BL969" s="3">
        <v>2.77897804122306</v>
      </c>
      <c r="BM969" s="3">
        <v>2.77897804122306</v>
      </c>
      <c r="BN969" s="3">
        <v>2.77897804122306</v>
      </c>
      <c r="BO969" s="3">
        <v>2.77897804122306</v>
      </c>
      <c r="BP969" s="3">
        <v>2.77897804122306</v>
      </c>
      <c r="BQ969" s="3">
        <v>2.77897804122306</v>
      </c>
      <c r="BR969" s="3">
        <v>2.77897804122306</v>
      </c>
      <c r="BS969" s="3">
        <v>2.77897804122306</v>
      </c>
      <c r="BT969" s="3">
        <v>2.77897804122306</v>
      </c>
      <c r="BU969" s="3">
        <v>2.77897804122306</v>
      </c>
      <c r="BV969" s="3">
        <v>2.77897804122306</v>
      </c>
      <c r="BW969" s="3">
        <v>2.77897804122306</v>
      </c>
      <c r="BY969" s="17" t="s">
        <v>854</v>
      </c>
      <c r="BZ969" s="3">
        <v>3.1542204536504528</v>
      </c>
      <c r="CA969" s="3">
        <v>2.6237150486756571</v>
      </c>
      <c r="CB969" s="3">
        <v>2.77897804122306</v>
      </c>
      <c r="CC969" s="3">
        <v>2.77897804122306</v>
      </c>
      <c r="CD969" s="3">
        <v>2.77897804122306</v>
      </c>
      <c r="CE969" s="3">
        <v>2.77897804122306</v>
      </c>
      <c r="CF969" s="3">
        <v>2.77897804122306</v>
      </c>
      <c r="CG969" s="3">
        <v>2.77897804122306</v>
      </c>
      <c r="CH969" s="3">
        <v>2.77897804122306</v>
      </c>
      <c r="CI969" s="3">
        <v>2.77897804122306</v>
      </c>
      <c r="CJ969" s="3">
        <v>2.77897804122306</v>
      </c>
      <c r="CK969" s="3">
        <v>2.77897804122306</v>
      </c>
      <c r="CL969" s="3">
        <v>2.77897804122306</v>
      </c>
      <c r="CM969" s="3">
        <v>2.77897804122306</v>
      </c>
      <c r="CN969" s="3">
        <v>2.77897804122306</v>
      </c>
      <c r="CO969" s="3">
        <v>2.77897804122306</v>
      </c>
      <c r="CP969" s="3">
        <v>2.77897804122306</v>
      </c>
      <c r="CQ969" s="3">
        <v>2.77897804122306</v>
      </c>
      <c r="CR969" s="3">
        <v>2.77897804122306</v>
      </c>
      <c r="CS969" s="3">
        <v>2.77897804122306</v>
      </c>
      <c r="CU969" s="17" t="s">
        <v>855</v>
      </c>
      <c r="CV969" s="3">
        <v>3.1542204536504528</v>
      </c>
      <c r="CW969" s="3">
        <v>2.6237150486756571</v>
      </c>
      <c r="CX969" s="3">
        <v>2.77897804122306</v>
      </c>
      <c r="CY969" s="3">
        <v>2.77897804122306</v>
      </c>
      <c r="CZ969" s="3">
        <v>2.77897804122306</v>
      </c>
      <c r="DA969" s="3">
        <v>2.77897804122306</v>
      </c>
      <c r="DB969" s="3">
        <v>2.77897804122306</v>
      </c>
      <c r="DC969" s="3">
        <v>2.77897804122306</v>
      </c>
      <c r="DD969" s="3">
        <v>2.77897804122306</v>
      </c>
      <c r="DE969" s="3">
        <v>2.77897804122306</v>
      </c>
      <c r="DF969" s="3">
        <v>2.77897804122306</v>
      </c>
      <c r="DG969" s="3">
        <v>2.77897804122306</v>
      </c>
      <c r="DH969" s="3">
        <v>2.77897804122306</v>
      </c>
      <c r="DI969" s="3">
        <v>2.77897804122306</v>
      </c>
      <c r="DJ969" s="3">
        <v>2.77897804122306</v>
      </c>
      <c r="DK969" s="3">
        <v>2.77897804122306</v>
      </c>
      <c r="DL969" s="3">
        <v>2.77897804122306</v>
      </c>
      <c r="DM969" s="3">
        <v>2.77897804122306</v>
      </c>
      <c r="DN969" s="3">
        <v>2.77897804122306</v>
      </c>
      <c r="DO969" s="3">
        <v>2.77897804122306</v>
      </c>
    </row>
    <row r="970" spans="1:230" x14ac:dyDescent="0.45">
      <c r="A970" s="16" t="s">
        <v>832</v>
      </c>
      <c r="B970" s="3" t="s">
        <v>89</v>
      </c>
      <c r="C970" s="16" t="s">
        <v>833</v>
      </c>
      <c r="H970" s="3" t="s">
        <v>834</v>
      </c>
      <c r="I970" s="3" t="s">
        <v>651</v>
      </c>
      <c r="K970" s="17" t="s">
        <v>835</v>
      </c>
      <c r="L970" s="3">
        <v>4.9564885072313949</v>
      </c>
      <c r="M970" s="3">
        <v>2.7348469350648341</v>
      </c>
      <c r="N970" s="3">
        <v>1.797160127284108</v>
      </c>
      <c r="O970" s="3">
        <v>1.7971601272841089</v>
      </c>
      <c r="P970" s="3">
        <v>1.797160127284108</v>
      </c>
      <c r="Q970" s="3">
        <v>1.797160127284108</v>
      </c>
      <c r="R970" s="3">
        <v>1.7971601272841089</v>
      </c>
      <c r="S970" s="3">
        <v>1.797160127284108</v>
      </c>
      <c r="T970" s="3">
        <v>1.797160127284108</v>
      </c>
      <c r="U970" s="3">
        <v>1.7971601272841089</v>
      </c>
      <c r="V970" s="3">
        <v>1.797160127284108</v>
      </c>
      <c r="W970" s="3">
        <v>1.797160127284108</v>
      </c>
      <c r="X970" s="3">
        <v>1.797160127284108</v>
      </c>
      <c r="Y970" s="3">
        <v>1.7971601272841089</v>
      </c>
      <c r="Z970" s="3">
        <v>1.7971601272841089</v>
      </c>
      <c r="AA970" s="3">
        <v>1.797160127284108</v>
      </c>
      <c r="AB970" s="3">
        <v>1.797160127284108</v>
      </c>
      <c r="AC970" s="3">
        <v>1.797160127284108</v>
      </c>
      <c r="AD970" s="3">
        <v>1.797160127284108</v>
      </c>
      <c r="AE970" s="3">
        <v>1.797160127284108</v>
      </c>
      <c r="AG970" s="17" t="s">
        <v>836</v>
      </c>
      <c r="AH970" s="3">
        <v>4.9564885072313949</v>
      </c>
      <c r="AI970" s="3">
        <v>2.7348469350648341</v>
      </c>
      <c r="AJ970" s="3">
        <v>1.797160127284108</v>
      </c>
      <c r="AK970" s="3">
        <v>1.7971601272841089</v>
      </c>
      <c r="AL970" s="3">
        <v>1.797160127284108</v>
      </c>
      <c r="AM970" s="3">
        <v>2.9081832504850529</v>
      </c>
      <c r="AN970" s="3">
        <v>2.908183250485052</v>
      </c>
      <c r="AO970" s="3">
        <v>2.908183250485052</v>
      </c>
      <c r="AP970" s="3">
        <v>2.908183250485052</v>
      </c>
      <c r="AQ970" s="3">
        <v>2.908183250485052</v>
      </c>
      <c r="AR970" s="3">
        <v>2.9081832504850529</v>
      </c>
      <c r="AS970" s="3">
        <v>2.908183250485052</v>
      </c>
      <c r="AT970" s="3">
        <v>2.908183250485052</v>
      </c>
      <c r="AU970" s="3">
        <v>2.908183250485052</v>
      </c>
      <c r="AV970" s="3">
        <v>2.9081832504850529</v>
      </c>
      <c r="AW970" s="3">
        <v>2.9081832504850529</v>
      </c>
      <c r="AX970" s="3">
        <v>2.908183250485052</v>
      </c>
      <c r="AY970" s="3">
        <v>2.9081832504850529</v>
      </c>
      <c r="AZ970" s="3">
        <v>2.908183250485052</v>
      </c>
      <c r="BA970" s="3">
        <v>2.9081832504850529</v>
      </c>
      <c r="BC970" s="17" t="s">
        <v>837</v>
      </c>
      <c r="BD970" s="3">
        <v>4.9564885072313949</v>
      </c>
      <c r="BE970" s="3">
        <v>2.7348469350648341</v>
      </c>
      <c r="BF970" s="3">
        <v>1.797160127284108</v>
      </c>
      <c r="BG970" s="3">
        <v>1.7971601272841089</v>
      </c>
      <c r="BH970" s="3">
        <v>1.797160127284108</v>
      </c>
      <c r="BI970" s="3">
        <v>2.35267168888458</v>
      </c>
      <c r="BJ970" s="3">
        <v>3.0933537710185441</v>
      </c>
      <c r="BK970" s="3">
        <v>3.8340358531525069</v>
      </c>
      <c r="BL970" s="3">
        <v>4.5747179352864684</v>
      </c>
      <c r="BM970" s="3">
        <v>5.3154000174204317</v>
      </c>
      <c r="BN970" s="3">
        <v>6.056082099554394</v>
      </c>
      <c r="BO970" s="3">
        <v>6.7967641816883564</v>
      </c>
      <c r="BP970" s="3">
        <v>7.5374462638223196</v>
      </c>
      <c r="BQ970" s="3">
        <v>8.2781283459562829</v>
      </c>
      <c r="BR970" s="3">
        <v>9.0188104280902444</v>
      </c>
      <c r="BS970" s="3">
        <v>9.7594925102242076</v>
      </c>
      <c r="BT970" s="3">
        <v>10.500174592358171</v>
      </c>
      <c r="BU970" s="3">
        <v>11.240856674492131</v>
      </c>
      <c r="BV970" s="3">
        <v>11.98153875662609</v>
      </c>
      <c r="BW970" s="3">
        <v>12.722220838760061</v>
      </c>
      <c r="BY970" s="17" t="s">
        <v>838</v>
      </c>
      <c r="BZ970" s="3">
        <v>4.9564885072313949</v>
      </c>
      <c r="CA970" s="3">
        <v>2.7348469350648341</v>
      </c>
      <c r="CB970" s="3">
        <v>1.797160127284108</v>
      </c>
      <c r="CC970" s="3">
        <v>1.7971601272841089</v>
      </c>
      <c r="CD970" s="3">
        <v>1.797160127284108</v>
      </c>
      <c r="CE970" s="3">
        <v>3.185939031285288</v>
      </c>
      <c r="CF970" s="3">
        <v>3.1859390312852889</v>
      </c>
      <c r="CG970" s="3">
        <v>3.185939031285288</v>
      </c>
      <c r="CH970" s="3">
        <v>3.185939031285288</v>
      </c>
      <c r="CI970" s="3">
        <v>3.185939031285288</v>
      </c>
      <c r="CJ970" s="3">
        <v>3.185939031285288</v>
      </c>
      <c r="CK970" s="3">
        <v>3.185939031285288</v>
      </c>
      <c r="CL970" s="3">
        <v>3.185939031285288</v>
      </c>
      <c r="CM970" s="3">
        <v>3.185939031285288</v>
      </c>
      <c r="CN970" s="3">
        <v>3.1859390312852889</v>
      </c>
      <c r="CO970" s="3">
        <v>3.185939031285288</v>
      </c>
      <c r="CP970" s="3">
        <v>3.185939031285288</v>
      </c>
      <c r="CQ970" s="3">
        <v>3.185939031285288</v>
      </c>
      <c r="CR970" s="3">
        <v>3.185939031285288</v>
      </c>
      <c r="CS970" s="3">
        <v>3.185939031285288</v>
      </c>
      <c r="CU970" s="17" t="s">
        <v>839</v>
      </c>
      <c r="CV970" s="3">
        <v>4.9564885072313949</v>
      </c>
      <c r="CW970" s="3">
        <v>2.7348469350648341</v>
      </c>
      <c r="CX970" s="3">
        <v>1.797160127284108</v>
      </c>
      <c r="CY970" s="3">
        <v>1.7971601272841089</v>
      </c>
      <c r="CZ970" s="3">
        <v>1.797160127284108</v>
      </c>
      <c r="DA970" s="3">
        <v>4.5747179352864684</v>
      </c>
      <c r="DB970" s="3">
        <v>4.5747179352864684</v>
      </c>
      <c r="DC970" s="3">
        <v>4.5747179352864684</v>
      </c>
      <c r="DD970" s="3">
        <v>4.5747179352864693</v>
      </c>
      <c r="DE970" s="3">
        <v>4.5747179352864684</v>
      </c>
      <c r="DF970" s="3">
        <v>4.5747179352864684</v>
      </c>
      <c r="DG970" s="3">
        <v>4.5747179352864684</v>
      </c>
      <c r="DH970" s="3">
        <v>4.5747179352864684</v>
      </c>
      <c r="DI970" s="3">
        <v>4.5747179352864684</v>
      </c>
      <c r="DJ970" s="3">
        <v>4.5747179352864684</v>
      </c>
      <c r="DK970" s="3">
        <v>4.5747179352864684</v>
      </c>
      <c r="DL970" s="3">
        <v>4.5747179352864684</v>
      </c>
      <c r="DM970" s="3">
        <v>4.5747179352864684</v>
      </c>
      <c r="DN970" s="3">
        <v>4.5747179352864684</v>
      </c>
      <c r="DO970" s="3">
        <v>4.5747179352864684</v>
      </c>
    </row>
    <row r="971" spans="1:230" x14ac:dyDescent="0.45">
      <c r="A971" s="16" t="s">
        <v>816</v>
      </c>
      <c r="B971" s="3" t="s">
        <v>89</v>
      </c>
      <c r="C971" s="16" t="s">
        <v>817</v>
      </c>
      <c r="H971" s="3" t="s">
        <v>818</v>
      </c>
      <c r="I971" s="3" t="s">
        <v>651</v>
      </c>
      <c r="K971" s="17" t="s">
        <v>819</v>
      </c>
      <c r="L971" s="3">
        <v>4.8997949629715043</v>
      </c>
      <c r="M971" s="3">
        <v>5.118455079782481</v>
      </c>
      <c r="N971" s="3">
        <v>4.8850072384069456</v>
      </c>
      <c r="O971" s="3">
        <v>4.8850072384069456</v>
      </c>
      <c r="P971" s="3">
        <v>4.8850072384069456</v>
      </c>
      <c r="Q971" s="3">
        <v>4.8850072384069474</v>
      </c>
      <c r="R971" s="3">
        <v>4.8850072384069456</v>
      </c>
      <c r="S971" s="3">
        <v>4.8850072384069456</v>
      </c>
      <c r="T971" s="3">
        <v>4.8850072384069456</v>
      </c>
      <c r="U971" s="3">
        <v>4.8850072384069456</v>
      </c>
      <c r="V971" s="3">
        <v>4.8850072384069456</v>
      </c>
      <c r="W971" s="3">
        <v>4.8850072384069456</v>
      </c>
      <c r="X971" s="3">
        <v>4.8850072384069456</v>
      </c>
      <c r="Y971" s="3">
        <v>4.8850072384069456</v>
      </c>
      <c r="Z971" s="3">
        <v>4.8850072384069456</v>
      </c>
      <c r="AA971" s="3">
        <v>4.8850072384069447</v>
      </c>
      <c r="AB971" s="3">
        <v>4.8850072384069456</v>
      </c>
      <c r="AC971" s="3">
        <v>4.8850072384069474</v>
      </c>
      <c r="AD971" s="3">
        <v>4.8850072384069456</v>
      </c>
      <c r="AE971" s="3">
        <v>4.8850072384069474</v>
      </c>
      <c r="AG971" s="17" t="s">
        <v>820</v>
      </c>
      <c r="AH971" s="3">
        <v>4.8997949629715043</v>
      </c>
      <c r="AI971" s="3">
        <v>5.118455079782481</v>
      </c>
      <c r="AJ971" s="3">
        <v>4.8850072384069456</v>
      </c>
      <c r="AK971" s="3">
        <v>4.8850072384069456</v>
      </c>
      <c r="AL971" s="3">
        <v>4.8850072384069456</v>
      </c>
      <c r="AM971" s="3">
        <v>5.9960303616078896</v>
      </c>
      <c r="AN971" s="3">
        <v>5.9960303616078896</v>
      </c>
      <c r="AO971" s="3">
        <v>5.9960303616078896</v>
      </c>
      <c r="AP971" s="3">
        <v>5.9960303616078896</v>
      </c>
      <c r="AQ971" s="3">
        <v>5.9960303616078896</v>
      </c>
      <c r="AR971" s="3">
        <v>5.9960303616078887</v>
      </c>
      <c r="AS971" s="3">
        <v>5.9960303616078896</v>
      </c>
      <c r="AT971" s="3">
        <v>5.9960303616078887</v>
      </c>
      <c r="AU971" s="3">
        <v>5.9960303616078896</v>
      </c>
      <c r="AV971" s="3">
        <v>5.9960303616078896</v>
      </c>
      <c r="AW971" s="3">
        <v>5.9960303616078896</v>
      </c>
      <c r="AX971" s="3">
        <v>5.9960303616078896</v>
      </c>
      <c r="AY971" s="3">
        <v>5.9960303616078896</v>
      </c>
      <c r="AZ971" s="3">
        <v>5.9960303616078896</v>
      </c>
      <c r="BA971" s="3">
        <v>5.9960303616078896</v>
      </c>
      <c r="BC971" s="17" t="s">
        <v>821</v>
      </c>
      <c r="BD971" s="3">
        <v>4.8997949629715043</v>
      </c>
      <c r="BE971" s="3">
        <v>5.118455079782481</v>
      </c>
      <c r="BF971" s="3">
        <v>4.8850072384069456</v>
      </c>
      <c r="BG971" s="3">
        <v>4.8850072384069456</v>
      </c>
      <c r="BH971" s="3">
        <v>4.8850072384069456</v>
      </c>
      <c r="BI971" s="3">
        <v>5.4405188000074176</v>
      </c>
      <c r="BJ971" s="3">
        <v>6.1812008821413809</v>
      </c>
      <c r="BK971" s="3">
        <v>6.9218829642753423</v>
      </c>
      <c r="BL971" s="3">
        <v>7.6625650464093056</v>
      </c>
      <c r="BM971" s="3">
        <v>8.4032471285432688</v>
      </c>
      <c r="BN971" s="3">
        <v>9.1439292106772321</v>
      </c>
      <c r="BO971" s="3">
        <v>9.8846112928111936</v>
      </c>
      <c r="BP971" s="3">
        <v>10.62529337494516</v>
      </c>
      <c r="BQ971" s="3">
        <v>11.36597545707912</v>
      </c>
      <c r="BR971" s="3">
        <v>12.10665753921308</v>
      </c>
      <c r="BS971" s="3">
        <v>12.847339621347039</v>
      </c>
      <c r="BT971" s="3">
        <v>13.58802170348101</v>
      </c>
      <c r="BU971" s="3">
        <v>14.328703785614969</v>
      </c>
      <c r="BV971" s="3">
        <v>15.069385867748929</v>
      </c>
      <c r="BW971" s="3">
        <v>15.8100679498829</v>
      </c>
      <c r="BY971" s="17" t="s">
        <v>822</v>
      </c>
      <c r="BZ971" s="3">
        <v>4.8997949629715043</v>
      </c>
      <c r="CA971" s="3">
        <v>5.118455079782481</v>
      </c>
      <c r="CB971" s="3">
        <v>4.8850072384069456</v>
      </c>
      <c r="CC971" s="3">
        <v>4.8850072384069456</v>
      </c>
      <c r="CD971" s="3">
        <v>4.8850072384069456</v>
      </c>
      <c r="CE971" s="3">
        <v>5.8363954055685774</v>
      </c>
      <c r="CF971" s="3">
        <v>5.8438204236838418</v>
      </c>
      <c r="CG971" s="3">
        <v>5.8506372590963034</v>
      </c>
      <c r="CH971" s="3">
        <v>5.8569125934902102</v>
      </c>
      <c r="CI971" s="3">
        <v>5.862642373030317</v>
      </c>
      <c r="CJ971" s="3">
        <v>5.8679686555250834</v>
      </c>
      <c r="CK971" s="3">
        <v>5.8730625950222199</v>
      </c>
      <c r="CL971" s="3">
        <v>5.8778448428442394</v>
      </c>
      <c r="CM971" s="3">
        <v>5.8823920116405386</v>
      </c>
      <c r="CN971" s="3">
        <v>5.8844786448098017</v>
      </c>
      <c r="CO971" s="3">
        <v>5.8865563168959332</v>
      </c>
      <c r="CP971" s="3">
        <v>5.8886019624061063</v>
      </c>
      <c r="CQ971" s="3">
        <v>5.8906179457859587</v>
      </c>
      <c r="CR971" s="3">
        <v>5.8926170260434034</v>
      </c>
      <c r="CS971" s="3">
        <v>5.8946010074522333</v>
      </c>
      <c r="CU971" s="17" t="s">
        <v>823</v>
      </c>
      <c r="CV971" s="3">
        <v>4.8997949629715043</v>
      </c>
      <c r="CW971" s="3">
        <v>5.118455079782481</v>
      </c>
      <c r="CX971" s="3">
        <v>4.8850072384069456</v>
      </c>
      <c r="CY971" s="3">
        <v>4.8850072384069456</v>
      </c>
      <c r="CZ971" s="3">
        <v>4.8850072384069456</v>
      </c>
      <c r="DA971" s="3">
        <v>7.6625650464093056</v>
      </c>
      <c r="DB971" s="3">
        <v>7.6625650464093056</v>
      </c>
      <c r="DC971" s="3">
        <v>7.6625650464093056</v>
      </c>
      <c r="DD971" s="3">
        <v>7.6625650464093056</v>
      </c>
      <c r="DE971" s="3">
        <v>7.6625650464093047</v>
      </c>
      <c r="DF971" s="3">
        <v>7.6625650464093047</v>
      </c>
      <c r="DG971" s="3">
        <v>7.6625650464093056</v>
      </c>
      <c r="DH971" s="3">
        <v>7.6625650464093056</v>
      </c>
      <c r="DI971" s="3">
        <v>7.6625650464093047</v>
      </c>
      <c r="DJ971" s="3">
        <v>7.6625650464093056</v>
      </c>
      <c r="DK971" s="3">
        <v>7.6625650464093056</v>
      </c>
      <c r="DL971" s="3">
        <v>7.6625650464093056</v>
      </c>
      <c r="DM971" s="3">
        <v>7.6625650464093047</v>
      </c>
      <c r="DN971" s="3">
        <v>7.6625650464093047</v>
      </c>
      <c r="DO971" s="3">
        <v>7.6625650464093056</v>
      </c>
    </row>
    <row r="972" spans="1:230" x14ac:dyDescent="0.45">
      <c r="A972" s="16" t="s">
        <v>4994</v>
      </c>
      <c r="B972" s="3" t="s">
        <v>89</v>
      </c>
      <c r="C972" s="16" t="s">
        <v>4995</v>
      </c>
      <c r="H972" s="3" t="s">
        <v>4996</v>
      </c>
      <c r="I972" s="3" t="s">
        <v>651</v>
      </c>
      <c r="K972" s="17" t="s">
        <v>4997</v>
      </c>
      <c r="L972" s="3">
        <v>11.22829503955268</v>
      </c>
      <c r="M972" s="3">
        <v>7.7491704179782808</v>
      </c>
      <c r="N972" s="3">
        <v>6.8266892012964622</v>
      </c>
      <c r="O972" s="3">
        <v>6.8266892012964622</v>
      </c>
      <c r="P972" s="3">
        <v>6.8266892012964613</v>
      </c>
      <c r="Q972" s="3">
        <v>6.8266892012964613</v>
      </c>
      <c r="R972" s="3">
        <v>6.8266892012964622</v>
      </c>
      <c r="S972" s="3">
        <v>6.8266892012964622</v>
      </c>
      <c r="T972" s="3">
        <v>6.8266892012964613</v>
      </c>
      <c r="U972" s="3">
        <v>6.8266892012964622</v>
      </c>
      <c r="V972" s="3">
        <v>6.8266892012964622</v>
      </c>
      <c r="W972" s="3">
        <v>6.8266892012964622</v>
      </c>
      <c r="X972" s="3">
        <v>6.8266892012964657</v>
      </c>
      <c r="Y972" s="3">
        <v>6.8266892012964657</v>
      </c>
      <c r="Z972" s="3">
        <v>6.8266892012964657</v>
      </c>
      <c r="AA972" s="3">
        <v>6.8266892012964613</v>
      </c>
      <c r="AB972" s="3">
        <v>6.8266892012964622</v>
      </c>
      <c r="AC972" s="3">
        <v>6.8266892012964613</v>
      </c>
      <c r="AD972" s="3">
        <v>6.8266892012964622</v>
      </c>
      <c r="AE972" s="3">
        <v>6.8266892012964622</v>
      </c>
      <c r="AG972" s="17" t="s">
        <v>4998</v>
      </c>
      <c r="AH972" s="3">
        <v>11.22829503955268</v>
      </c>
      <c r="AI972" s="3">
        <v>7.7491704179782808</v>
      </c>
      <c r="AJ972" s="3">
        <v>6.8266892012964622</v>
      </c>
      <c r="AK972" s="3">
        <v>6.8266892012964622</v>
      </c>
      <c r="AL972" s="3">
        <v>6.8266892012964613</v>
      </c>
      <c r="AM972" s="3">
        <v>8.2464354027942015</v>
      </c>
      <c r="AN972" s="3">
        <v>8.2464361647180429</v>
      </c>
      <c r="AO972" s="3">
        <v>8.2464386904676772</v>
      </c>
      <c r="AP972" s="3">
        <v>8.2464448525875866</v>
      </c>
      <c r="AQ972" s="3">
        <v>8.2464505560780825</v>
      </c>
      <c r="AR972" s="3">
        <v>8.2464570834051898</v>
      </c>
      <c r="AS972" s="3">
        <v>8.2464632486524678</v>
      </c>
      <c r="AT972" s="3">
        <v>8.2464694457920285</v>
      </c>
      <c r="AU972" s="3">
        <v>8.2464761752679863</v>
      </c>
      <c r="AV972" s="3">
        <v>8.2464831265880303</v>
      </c>
      <c r="AW972" s="3">
        <v>8.2464901134099193</v>
      </c>
      <c r="AX972" s="3">
        <v>8.246497762594263</v>
      </c>
      <c r="AY972" s="3">
        <v>8.2465059205094278</v>
      </c>
      <c r="AZ972" s="3">
        <v>8.2465147845055871</v>
      </c>
      <c r="BA972" s="3">
        <v>8.2465240781157139</v>
      </c>
      <c r="BC972" s="17" t="s">
        <v>4999</v>
      </c>
      <c r="BD972" s="3">
        <v>11.22829503955268</v>
      </c>
      <c r="BE972" s="3">
        <v>7.7491704179782808</v>
      </c>
      <c r="BF972" s="3">
        <v>6.8266892012964622</v>
      </c>
      <c r="BG972" s="3">
        <v>6.8266892012964622</v>
      </c>
      <c r="BH972" s="3">
        <v>6.8266892012964613</v>
      </c>
      <c r="BI972" s="3">
        <v>7.5367483273707796</v>
      </c>
      <c r="BJ972" s="3">
        <v>8.4830767491712784</v>
      </c>
      <c r="BK972" s="3">
        <v>9.4289925479917684</v>
      </c>
      <c r="BL972" s="3">
        <v>10.37455950405654</v>
      </c>
      <c r="BM972" s="3">
        <v>11.319717885229309</v>
      </c>
      <c r="BN972" s="3">
        <v>12.264595841545271</v>
      </c>
      <c r="BO972" s="3">
        <v>13.20923017143777</v>
      </c>
      <c r="BP972" s="3">
        <v>14.15365038826209</v>
      </c>
      <c r="BQ972" s="3">
        <v>15.097882035903201</v>
      </c>
      <c r="BR972" s="3">
        <v>16.041945900615278</v>
      </c>
      <c r="BS972" s="3">
        <v>16.985858577898298</v>
      </c>
      <c r="BT972" s="3">
        <v>17.929635964817049</v>
      </c>
      <c r="BU972" s="3">
        <v>18.873291685397081</v>
      </c>
      <c r="BV972" s="3">
        <v>19.816838994671311</v>
      </c>
      <c r="BW972" s="3">
        <v>20.76028843599126</v>
      </c>
      <c r="BY972" s="17" t="s">
        <v>5000</v>
      </c>
      <c r="BZ972" s="3">
        <v>11.22829503955268</v>
      </c>
      <c r="CA972" s="3">
        <v>7.7491704179782808</v>
      </c>
      <c r="CB972" s="3">
        <v>6.8266892012964622</v>
      </c>
      <c r="CC972" s="3">
        <v>6.8266892012964622</v>
      </c>
      <c r="CD972" s="3">
        <v>6.8266892012964613</v>
      </c>
      <c r="CE972" s="3">
        <v>8.6011905088801655</v>
      </c>
      <c r="CF972" s="3">
        <v>8.6011914564754939</v>
      </c>
      <c r="CG972" s="3">
        <v>8.6011946606906928</v>
      </c>
      <c r="CH972" s="3">
        <v>8.6012022583658858</v>
      </c>
      <c r="CI972" s="3">
        <v>8.6012091534528317</v>
      </c>
      <c r="CJ972" s="3">
        <v>8.6012173147297624</v>
      </c>
      <c r="CK972" s="3">
        <v>8.6012249139469859</v>
      </c>
      <c r="CL972" s="3">
        <v>8.6012329278381916</v>
      </c>
      <c r="CM972" s="3">
        <v>8.6012415293074085</v>
      </c>
      <c r="CN972" s="3">
        <v>8.6012504076244483</v>
      </c>
      <c r="CO972" s="3">
        <v>8.6012594255837502</v>
      </c>
      <c r="CP972" s="3">
        <v>8.6012692296504909</v>
      </c>
      <c r="CQ972" s="3">
        <v>8.6012795343322637</v>
      </c>
      <c r="CR972" s="3">
        <v>8.6012906172195933</v>
      </c>
      <c r="CS972" s="3">
        <v>8.6013020625685375</v>
      </c>
      <c r="CU972" s="17" t="s">
        <v>5001</v>
      </c>
      <c r="CV972" s="3">
        <v>11.22829503955268</v>
      </c>
      <c r="CW972" s="3">
        <v>7.7491704179782808</v>
      </c>
      <c r="CX972" s="3">
        <v>6.8266892012964622</v>
      </c>
      <c r="CY972" s="3">
        <v>6.8266892012964622</v>
      </c>
      <c r="CZ972" s="3">
        <v>6.8266892012964613</v>
      </c>
      <c r="DA972" s="3">
        <v>10.374109031120589</v>
      </c>
      <c r="DB972" s="3">
        <v>10.37411087175423</v>
      </c>
      <c r="DC972" s="3">
        <v>10.37411599847441</v>
      </c>
      <c r="DD972" s="3">
        <v>10.37413313763275</v>
      </c>
      <c r="DE972" s="3">
        <v>10.374146349817771</v>
      </c>
      <c r="DF972" s="3">
        <v>10.37416312491132</v>
      </c>
      <c r="DG972" s="3">
        <v>10.374176752342381</v>
      </c>
      <c r="DH972" s="3">
        <v>10.3741898385961</v>
      </c>
      <c r="DI972" s="3">
        <v>10.37420459773856</v>
      </c>
      <c r="DJ972" s="3">
        <v>10.374219577069219</v>
      </c>
      <c r="DK972" s="3">
        <v>10.37423379791182</v>
      </c>
      <c r="DL972" s="3">
        <v>10.37425054886981</v>
      </c>
      <c r="DM972" s="3">
        <v>10.37426890717153</v>
      </c>
      <c r="DN972" s="3">
        <v>10.374289985505071</v>
      </c>
      <c r="DO972" s="3">
        <v>10.374312323592999</v>
      </c>
    </row>
    <row r="973" spans="1:230" x14ac:dyDescent="0.45">
      <c r="A973" s="16" t="s">
        <v>5002</v>
      </c>
      <c r="B973" s="3" t="s">
        <v>89</v>
      </c>
      <c r="C973" s="16" t="s">
        <v>5003</v>
      </c>
      <c r="H973" s="3" t="s">
        <v>5004</v>
      </c>
      <c r="I973" s="3" t="s">
        <v>651</v>
      </c>
      <c r="K973" s="17" t="s">
        <v>5005</v>
      </c>
      <c r="L973" s="3">
        <v>5.9267651349042794</v>
      </c>
      <c r="M973" s="3">
        <v>3.473334242251422</v>
      </c>
      <c r="N973" s="3">
        <v>4.0682684277323453</v>
      </c>
      <c r="O973" s="3">
        <v>4.0682684277323462</v>
      </c>
      <c r="P973" s="3">
        <v>4.0682684277323453</v>
      </c>
      <c r="Q973" s="3">
        <v>4.0682684277323453</v>
      </c>
      <c r="R973" s="3">
        <v>4.0682684277323453</v>
      </c>
      <c r="S973" s="3">
        <v>4.0682684277323453</v>
      </c>
      <c r="T973" s="3">
        <v>4.0682684277323453</v>
      </c>
      <c r="U973" s="3">
        <v>4.0682684277323453</v>
      </c>
      <c r="V973" s="3">
        <v>4.0682684277323453</v>
      </c>
      <c r="W973" s="3">
        <v>4.0682684277323453</v>
      </c>
      <c r="X973" s="3">
        <v>4.0682684277323489</v>
      </c>
      <c r="Y973" s="3">
        <v>4.0682684277323489</v>
      </c>
      <c r="Z973" s="3">
        <v>4.0682684277323489</v>
      </c>
      <c r="AA973" s="3">
        <v>4.0682684277323453</v>
      </c>
      <c r="AB973" s="3">
        <v>4.0682684277323453</v>
      </c>
      <c r="AC973" s="3">
        <v>4.0682684277323453</v>
      </c>
      <c r="AD973" s="3">
        <v>4.0682684277323453</v>
      </c>
      <c r="AE973" s="3">
        <v>4.0682684277323453</v>
      </c>
      <c r="AG973" s="17" t="s">
        <v>5006</v>
      </c>
      <c r="AH973" s="3">
        <v>5.9267651349042794</v>
      </c>
      <c r="AI973" s="3">
        <v>3.473334242251422</v>
      </c>
      <c r="AJ973" s="3">
        <v>4.0682684277323453</v>
      </c>
      <c r="AK973" s="3">
        <v>4.0682684277323462</v>
      </c>
      <c r="AL973" s="3">
        <v>4.0682684277323453</v>
      </c>
      <c r="AM973" s="3">
        <v>5.4341499017750827</v>
      </c>
      <c r="AN973" s="3">
        <v>5.4341499017750836</v>
      </c>
      <c r="AO973" s="3">
        <v>5.4341499017750827</v>
      </c>
      <c r="AP973" s="3">
        <v>5.4341499017750827</v>
      </c>
      <c r="AQ973" s="3">
        <v>5.4341499017750827</v>
      </c>
      <c r="AR973" s="3">
        <v>5.4341499017750827</v>
      </c>
      <c r="AS973" s="3">
        <v>5.4341499017750836</v>
      </c>
      <c r="AT973" s="3">
        <v>5.4341499017750854</v>
      </c>
      <c r="AU973" s="3">
        <v>5.4341499017750863</v>
      </c>
      <c r="AV973" s="3">
        <v>5.4341499017750863</v>
      </c>
      <c r="AW973" s="3">
        <v>5.4341499017750818</v>
      </c>
      <c r="AX973" s="3">
        <v>5.4341499017750827</v>
      </c>
      <c r="AY973" s="3">
        <v>5.4341499017750827</v>
      </c>
      <c r="AZ973" s="3">
        <v>5.4341499017750827</v>
      </c>
      <c r="BA973" s="3">
        <v>5.4341499017750827</v>
      </c>
      <c r="BC973" s="17" t="s">
        <v>5007</v>
      </c>
      <c r="BD973" s="3">
        <v>5.9267651349042794</v>
      </c>
      <c r="BE973" s="3">
        <v>3.473334242251422</v>
      </c>
      <c r="BF973" s="3">
        <v>4.0682684277323453</v>
      </c>
      <c r="BG973" s="3">
        <v>4.0682684277323462</v>
      </c>
      <c r="BH973" s="3">
        <v>4.0682684277323453</v>
      </c>
      <c r="BI973" s="3">
        <v>4.7512091647537149</v>
      </c>
      <c r="BJ973" s="3">
        <v>5.6617968141155401</v>
      </c>
      <c r="BK973" s="3">
        <v>6.5723844634773636</v>
      </c>
      <c r="BL973" s="3">
        <v>7.4829721128391888</v>
      </c>
      <c r="BM973" s="3">
        <v>8.393559762201015</v>
      </c>
      <c r="BN973" s="3">
        <v>9.3041474115628411</v>
      </c>
      <c r="BO973" s="3">
        <v>10.21473506092466</v>
      </c>
      <c r="BP973" s="3">
        <v>11.12532271028649</v>
      </c>
      <c r="BQ973" s="3">
        <v>12.035910359648319</v>
      </c>
      <c r="BR973" s="3">
        <v>12.94649800901014</v>
      </c>
      <c r="BS973" s="3">
        <v>13.85708565837197</v>
      </c>
      <c r="BT973" s="3">
        <v>14.767673307733791</v>
      </c>
      <c r="BU973" s="3">
        <v>15.67826095709562</v>
      </c>
      <c r="BV973" s="3">
        <v>16.588848606457439</v>
      </c>
      <c r="BW973" s="3">
        <v>17.499436255819269</v>
      </c>
      <c r="BY973" s="17" t="s">
        <v>5008</v>
      </c>
      <c r="BZ973" s="3">
        <v>5.9267651349042794</v>
      </c>
      <c r="CA973" s="3">
        <v>3.473334242251422</v>
      </c>
      <c r="CB973" s="3">
        <v>4.0682684277323453</v>
      </c>
      <c r="CC973" s="3">
        <v>4.0682684277323462</v>
      </c>
      <c r="CD973" s="3">
        <v>4.0682684277323453</v>
      </c>
      <c r="CE973" s="3">
        <v>5.7756202702857671</v>
      </c>
      <c r="CF973" s="3">
        <v>5.775620270285768</v>
      </c>
      <c r="CG973" s="3">
        <v>5.7756202702857671</v>
      </c>
      <c r="CH973" s="3">
        <v>5.7756202702857671</v>
      </c>
      <c r="CI973" s="3">
        <v>5.7756202702857671</v>
      </c>
      <c r="CJ973" s="3">
        <v>5.775620270285768</v>
      </c>
      <c r="CK973" s="3">
        <v>5.7756202702857671</v>
      </c>
      <c r="CL973" s="3">
        <v>5.7756202702857706</v>
      </c>
      <c r="CM973" s="3">
        <v>5.7756202702857724</v>
      </c>
      <c r="CN973" s="3">
        <v>5.7756202702857724</v>
      </c>
      <c r="CO973" s="3">
        <v>5.7756202702857671</v>
      </c>
      <c r="CP973" s="3">
        <v>5.7756202702857671</v>
      </c>
      <c r="CQ973" s="3">
        <v>5.775620270285768</v>
      </c>
      <c r="CR973" s="3">
        <v>5.7756202702857671</v>
      </c>
      <c r="CS973" s="3">
        <v>5.7756202702857671</v>
      </c>
      <c r="CU973" s="17" t="s">
        <v>5009</v>
      </c>
      <c r="CV973" s="3">
        <v>5.9267651349042794</v>
      </c>
      <c r="CW973" s="3">
        <v>3.473334242251422</v>
      </c>
      <c r="CX973" s="3">
        <v>4.0682684277323453</v>
      </c>
      <c r="CY973" s="3">
        <v>4.0682684277323462</v>
      </c>
      <c r="CZ973" s="3">
        <v>4.0682684277323453</v>
      </c>
      <c r="DA973" s="3">
        <v>7.4829721128391897</v>
      </c>
      <c r="DB973" s="3">
        <v>7.4829721128391906</v>
      </c>
      <c r="DC973" s="3">
        <v>7.4829721128391897</v>
      </c>
      <c r="DD973" s="3">
        <v>7.4829721128391897</v>
      </c>
      <c r="DE973" s="3">
        <v>7.4829721128391906</v>
      </c>
      <c r="DF973" s="3">
        <v>7.4829721128391888</v>
      </c>
      <c r="DG973" s="3">
        <v>7.4829721128391897</v>
      </c>
      <c r="DH973" s="3">
        <v>7.4829721128391942</v>
      </c>
      <c r="DI973" s="3">
        <v>7.4829721128391933</v>
      </c>
      <c r="DJ973" s="3">
        <v>7.4829721128391924</v>
      </c>
      <c r="DK973" s="3">
        <v>7.4829721128391897</v>
      </c>
      <c r="DL973" s="3">
        <v>7.4829721128391897</v>
      </c>
      <c r="DM973" s="3">
        <v>7.4829721128391906</v>
      </c>
      <c r="DN973" s="3">
        <v>7.4829721128391888</v>
      </c>
      <c r="DO973" s="3">
        <v>7.4829721128391897</v>
      </c>
    </row>
    <row r="974" spans="1:230" x14ac:dyDescent="0.45">
      <c r="A974" s="16" t="s">
        <v>5010</v>
      </c>
      <c r="B974" s="3" t="s">
        <v>89</v>
      </c>
      <c r="C974" s="16" t="s">
        <v>5011</v>
      </c>
      <c r="H974" s="3" t="s">
        <v>5012</v>
      </c>
      <c r="I974" s="3" t="s">
        <v>651</v>
      </c>
      <c r="K974" s="17" t="s">
        <v>5013</v>
      </c>
      <c r="L974" s="3">
        <v>10.55358878014809</v>
      </c>
      <c r="M974" s="3">
        <v>6.8465154810397708</v>
      </c>
      <c r="N974" s="3">
        <v>7.0761974364663258</v>
      </c>
      <c r="O974" s="3">
        <v>7.0761974364663276</v>
      </c>
      <c r="P974" s="3">
        <v>7.0761974364663258</v>
      </c>
      <c r="Q974" s="3">
        <v>7.0761974364663267</v>
      </c>
      <c r="R974" s="3">
        <v>7.0761974364663267</v>
      </c>
      <c r="S974" s="3">
        <v>7.0761974364663258</v>
      </c>
      <c r="T974" s="3">
        <v>7.0761974364663276</v>
      </c>
      <c r="U974" s="3">
        <v>7.0761974364663276</v>
      </c>
      <c r="V974" s="3">
        <v>7.0761974364663267</v>
      </c>
      <c r="W974" s="3">
        <v>7.0761974364663267</v>
      </c>
      <c r="X974" s="3">
        <v>7.0761974364663294</v>
      </c>
      <c r="Y974" s="3">
        <v>7.0761974364663303</v>
      </c>
      <c r="Z974" s="3">
        <v>7.0761974364663303</v>
      </c>
      <c r="AA974" s="3">
        <v>7.0761974364663276</v>
      </c>
      <c r="AB974" s="3">
        <v>7.0761974364663303</v>
      </c>
      <c r="AC974" s="3">
        <v>7.0761974364663303</v>
      </c>
      <c r="AD974" s="3">
        <v>7.0761974364663303</v>
      </c>
      <c r="AE974" s="3">
        <v>7.0761974364663303</v>
      </c>
      <c r="AG974" s="17" t="s">
        <v>5014</v>
      </c>
      <c r="AH974" s="3">
        <v>10.55358878014809</v>
      </c>
      <c r="AI974" s="3">
        <v>6.8465154810397708</v>
      </c>
      <c r="AJ974" s="3">
        <v>7.0761974364663258</v>
      </c>
      <c r="AK974" s="3">
        <v>7.0761974364663276</v>
      </c>
      <c r="AL974" s="3">
        <v>7.0761974364663258</v>
      </c>
      <c r="AM974" s="3">
        <v>8.4990867659285456</v>
      </c>
      <c r="AN974" s="3">
        <v>8.4990876694512441</v>
      </c>
      <c r="AO974" s="3">
        <v>8.499088333958694</v>
      </c>
      <c r="AP974" s="3">
        <v>8.4990885614269569</v>
      </c>
      <c r="AQ974" s="3">
        <v>8.499088809127505</v>
      </c>
      <c r="AR974" s="3">
        <v>8.4990889379121519</v>
      </c>
      <c r="AS974" s="3">
        <v>8.499089076806797</v>
      </c>
      <c r="AT974" s="3">
        <v>8.4990891833190538</v>
      </c>
      <c r="AU974" s="3">
        <v>8.4990892055370697</v>
      </c>
      <c r="AV974" s="3">
        <v>8.4990891773318662</v>
      </c>
      <c r="AW974" s="3">
        <v>8.499089118579521</v>
      </c>
      <c r="AX974" s="3">
        <v>8.4990889660297153</v>
      </c>
      <c r="AY974" s="3">
        <v>8.4990887371375088</v>
      </c>
      <c r="AZ974" s="3">
        <v>8.4990884137958993</v>
      </c>
      <c r="BA974" s="3">
        <v>8.4990880252467829</v>
      </c>
      <c r="BC974" s="17" t="s">
        <v>5015</v>
      </c>
      <c r="BD974" s="3">
        <v>10.55358878014809</v>
      </c>
      <c r="BE974" s="3">
        <v>6.8465154810397708</v>
      </c>
      <c r="BF974" s="3">
        <v>7.0761974364663258</v>
      </c>
      <c r="BG974" s="3">
        <v>7.0761974364663276</v>
      </c>
      <c r="BH974" s="3">
        <v>7.0761974364663258</v>
      </c>
      <c r="BI974" s="3">
        <v>7.7876440066753174</v>
      </c>
      <c r="BJ974" s="3">
        <v>8.736247689326337</v>
      </c>
      <c r="BK974" s="3">
        <v>9.6848584488227107</v>
      </c>
      <c r="BL974" s="3">
        <v>10.633474191893519</v>
      </c>
      <c r="BM974" s="3">
        <v>11.582082594863049</v>
      </c>
      <c r="BN974" s="3">
        <v>12.530691789458761</v>
      </c>
      <c r="BO974" s="3">
        <v>13.47930195859225</v>
      </c>
      <c r="BP974" s="3">
        <v>14.427913228232701</v>
      </c>
      <c r="BQ974" s="3">
        <v>15.37652551236474</v>
      </c>
      <c r="BR974" s="3">
        <v>16.325138761531921</v>
      </c>
      <c r="BS974" s="3">
        <v>17.273753014190291</v>
      </c>
      <c r="BT974" s="3">
        <v>18.222368074819759</v>
      </c>
      <c r="BU974" s="3">
        <v>19.170983759044699</v>
      </c>
      <c r="BV974" s="3">
        <v>20.119599718711939</v>
      </c>
      <c r="BW974" s="3">
        <v>21.068215754358121</v>
      </c>
      <c r="BY974" s="17" t="s">
        <v>5016</v>
      </c>
      <c r="BZ974" s="3">
        <v>10.55358878014809</v>
      </c>
      <c r="CA974" s="3">
        <v>6.8465154810397708</v>
      </c>
      <c r="CB974" s="3">
        <v>7.0761974364663258</v>
      </c>
      <c r="CC974" s="3">
        <v>7.0761974364663276</v>
      </c>
      <c r="CD974" s="3">
        <v>7.0761974364663258</v>
      </c>
      <c r="CE974" s="3">
        <v>8.8548097039832232</v>
      </c>
      <c r="CF974" s="3">
        <v>8.8548108395616882</v>
      </c>
      <c r="CG974" s="3">
        <v>8.8548116689561436</v>
      </c>
      <c r="CH974" s="3">
        <v>8.8548119656763813</v>
      </c>
      <c r="CI974" s="3">
        <v>8.8548123020867582</v>
      </c>
      <c r="CJ974" s="3">
        <v>8.854812463132518</v>
      </c>
      <c r="CK974" s="3">
        <v>8.854812648960511</v>
      </c>
      <c r="CL974" s="3">
        <v>8.8548127544165407</v>
      </c>
      <c r="CM974" s="3">
        <v>8.8548127628779589</v>
      </c>
      <c r="CN974" s="3">
        <v>8.8548127086563131</v>
      </c>
      <c r="CO974" s="3">
        <v>8.8548126068931907</v>
      </c>
      <c r="CP974" s="3">
        <v>8.8548123922335122</v>
      </c>
      <c r="CQ974" s="3">
        <v>8.8548120959417052</v>
      </c>
      <c r="CR974" s="3">
        <v>8.8548116917377371</v>
      </c>
      <c r="CS974" s="3">
        <v>8.8548112231107012</v>
      </c>
      <c r="CU974" s="17" t="s">
        <v>5017</v>
      </c>
      <c r="CV974" s="3">
        <v>10.55358878014809</v>
      </c>
      <c r="CW974" s="3">
        <v>6.8465154810397708</v>
      </c>
      <c r="CX974" s="3">
        <v>7.0761974364663258</v>
      </c>
      <c r="CY974" s="3">
        <v>7.0761974364663276</v>
      </c>
      <c r="CZ974" s="3">
        <v>7.0761974364663258</v>
      </c>
      <c r="DA974" s="3">
        <v>10.63342817104513</v>
      </c>
      <c r="DB974" s="3">
        <v>10.633430497893301</v>
      </c>
      <c r="DC974" s="3">
        <v>10.63343233713586</v>
      </c>
      <c r="DD974" s="3">
        <v>10.63343270922236</v>
      </c>
      <c r="DE974" s="3">
        <v>10.63343345575545</v>
      </c>
      <c r="DF974" s="3">
        <v>10.633433727083739</v>
      </c>
      <c r="DG974" s="3">
        <v>10.63343427774087</v>
      </c>
      <c r="DH974" s="3">
        <v>10.633434812196651</v>
      </c>
      <c r="DI974" s="3">
        <v>10.633435089351449</v>
      </c>
      <c r="DJ974" s="3">
        <v>10.6334352709501</v>
      </c>
      <c r="DK974" s="3">
        <v>10.63343546197261</v>
      </c>
      <c r="DL974" s="3">
        <v>10.633435314968869</v>
      </c>
      <c r="DM974" s="3">
        <v>10.633434934209349</v>
      </c>
      <c r="DN974" s="3">
        <v>10.633434210083349</v>
      </c>
      <c r="DO974" s="3">
        <v>10.63343329975118</v>
      </c>
    </row>
    <row r="975" spans="1:230" x14ac:dyDescent="0.45">
      <c r="A975" s="16" t="s">
        <v>5018</v>
      </c>
      <c r="B975" s="3" t="s">
        <v>89</v>
      </c>
      <c r="C975" s="16" t="s">
        <v>5019</v>
      </c>
      <c r="H975" s="3" t="s">
        <v>5020</v>
      </c>
      <c r="I975" s="3" t="s">
        <v>651</v>
      </c>
      <c r="K975" s="17" t="s">
        <v>5021</v>
      </c>
      <c r="L975" s="3">
        <v>4.8634415868015042</v>
      </c>
      <c r="M975" s="3">
        <v>4.3984442736846976</v>
      </c>
      <c r="N975" s="3">
        <v>4.1856180444947881</v>
      </c>
      <c r="O975" s="3">
        <v>4.1856180444947881</v>
      </c>
      <c r="P975" s="3">
        <v>4.1856180444947881</v>
      </c>
      <c r="Q975" s="3">
        <v>4.1856180444947881</v>
      </c>
      <c r="R975" s="3">
        <v>4.1856180444947881</v>
      </c>
      <c r="S975" s="3">
        <v>4.1856180444947881</v>
      </c>
      <c r="T975" s="3">
        <v>4.1856180444947881</v>
      </c>
      <c r="U975" s="3">
        <v>4.1856180444947881</v>
      </c>
      <c r="V975" s="3">
        <v>4.1856180444947881</v>
      </c>
      <c r="W975" s="3">
        <v>4.1856180444947872</v>
      </c>
      <c r="X975" s="3">
        <v>4.1856180444947917</v>
      </c>
      <c r="Y975" s="3">
        <v>4.1856180444947917</v>
      </c>
      <c r="Z975" s="3">
        <v>4.1856180444947917</v>
      </c>
      <c r="AA975" s="3">
        <v>4.1856180444947899</v>
      </c>
      <c r="AB975" s="3">
        <v>4.1856180444947926</v>
      </c>
      <c r="AC975" s="3">
        <v>4.1856180444947917</v>
      </c>
      <c r="AD975" s="3">
        <v>4.1856180444947917</v>
      </c>
      <c r="AE975" s="3">
        <v>4.1856180444947917</v>
      </c>
      <c r="AG975" s="17" t="s">
        <v>5022</v>
      </c>
      <c r="AH975" s="3">
        <v>4.8634415868015042</v>
      </c>
      <c r="AI975" s="3">
        <v>4.3984442736846976</v>
      </c>
      <c r="AJ975" s="3">
        <v>4.1856180444947881</v>
      </c>
      <c r="AK975" s="3">
        <v>4.1856180444947881</v>
      </c>
      <c r="AL975" s="3">
        <v>4.1856180444947881</v>
      </c>
      <c r="AM975" s="3">
        <v>5.6416126124145078</v>
      </c>
      <c r="AN975" s="3">
        <v>5.6416290357412997</v>
      </c>
      <c r="AO975" s="3">
        <v>5.6416454055812526</v>
      </c>
      <c r="AP975" s="3">
        <v>5.6416617220666838</v>
      </c>
      <c r="AQ975" s="3">
        <v>5.6416779853298902</v>
      </c>
      <c r="AR975" s="3">
        <v>5.6416941955031454</v>
      </c>
      <c r="AS975" s="3">
        <v>5.6417103527186931</v>
      </c>
      <c r="AT975" s="3">
        <v>5.641726457108752</v>
      </c>
      <c r="AU975" s="3">
        <v>5.641742508805498</v>
      </c>
      <c r="AV975" s="3">
        <v>5.6417585079410859</v>
      </c>
      <c r="AW975" s="3">
        <v>5.6417744546476243</v>
      </c>
      <c r="AX975" s="3">
        <v>5.6417903490571906</v>
      </c>
      <c r="AY975" s="3">
        <v>5.6418061913018063</v>
      </c>
      <c r="AZ975" s="3">
        <v>5.6418219815134627</v>
      </c>
      <c r="BA975" s="3">
        <v>5.6418377198240961</v>
      </c>
      <c r="BC975" s="17" t="s">
        <v>5023</v>
      </c>
      <c r="BD975" s="3">
        <v>4.8634415868015042</v>
      </c>
      <c r="BE975" s="3">
        <v>4.3984442736846976</v>
      </c>
      <c r="BF975" s="3">
        <v>4.1856180444947881</v>
      </c>
      <c r="BG975" s="3">
        <v>4.1856180444947881</v>
      </c>
      <c r="BH975" s="3">
        <v>4.1856180444947881</v>
      </c>
      <c r="BI975" s="3">
        <v>4.9162333226272636</v>
      </c>
      <c r="BJ975" s="3">
        <v>5.8831002828632846</v>
      </c>
      <c r="BK975" s="3">
        <v>6.8430952658526518</v>
      </c>
      <c r="BL975" s="3">
        <v>7.7972854771701661</v>
      </c>
      <c r="BM975" s="3">
        <v>8.7446316911955098</v>
      </c>
      <c r="BN975" s="3">
        <v>9.6861971989548099</v>
      </c>
      <c r="BO975" s="3">
        <v>10.622296915558939</v>
      </c>
      <c r="BP975" s="3">
        <v>11.55319930750162</v>
      </c>
      <c r="BQ975" s="3">
        <v>12.4791369889502</v>
      </c>
      <c r="BR975" s="3">
        <v>13.400314192525469</v>
      </c>
      <c r="BS975" s="3">
        <v>14.316912213019361</v>
      </c>
      <c r="BT975" s="3">
        <v>15.229093483292999</v>
      </c>
      <c r="BU975" s="3">
        <v>16.137004696415762</v>
      </c>
      <c r="BV975" s="3">
        <v>17.040779244129428</v>
      </c>
      <c r="BW975" s="3">
        <v>17.940539153526579</v>
      </c>
      <c r="BY975" s="17" t="s">
        <v>5024</v>
      </c>
      <c r="BZ975" s="3">
        <v>4.8634415868015042</v>
      </c>
      <c r="CA975" s="3">
        <v>4.3984442736846976</v>
      </c>
      <c r="CB975" s="3">
        <v>4.1856180444947881</v>
      </c>
      <c r="CC975" s="3">
        <v>4.1856180444947881</v>
      </c>
      <c r="CD975" s="3">
        <v>4.1856180444947881</v>
      </c>
      <c r="CE975" s="3">
        <v>6.0025323657397252</v>
      </c>
      <c r="CF975" s="3">
        <v>6.0025518719610282</v>
      </c>
      <c r="CG975" s="3">
        <v>6.0025713147072963</v>
      </c>
      <c r="CH975" s="3">
        <v>6.0025906941351819</v>
      </c>
      <c r="CI975" s="3">
        <v>6.0026100104013036</v>
      </c>
      <c r="CJ975" s="3">
        <v>6.0026292636622678</v>
      </c>
      <c r="CK975" s="3">
        <v>6.0026484540746416</v>
      </c>
      <c r="CL975" s="3">
        <v>6.0026675817949737</v>
      </c>
      <c r="CM975" s="3">
        <v>6.002686646979754</v>
      </c>
      <c r="CN975" s="3">
        <v>6.0027056497854581</v>
      </c>
      <c r="CO975" s="3">
        <v>6.0027245903685058</v>
      </c>
      <c r="CP975" s="3">
        <v>6.0027434688852894</v>
      </c>
      <c r="CQ975" s="3">
        <v>6.0027622854921328</v>
      </c>
      <c r="CR975" s="3">
        <v>6.0027810403453277</v>
      </c>
      <c r="CS975" s="3">
        <v>6.002799733601103</v>
      </c>
      <c r="CU975" s="17" t="s">
        <v>5025</v>
      </c>
      <c r="CV975" s="3">
        <v>4.8634415868015042</v>
      </c>
      <c r="CW975" s="3">
        <v>4.3984442736846976</v>
      </c>
      <c r="CX975" s="3">
        <v>4.1856180444947881</v>
      </c>
      <c r="CY975" s="3">
        <v>4.1856180444947881</v>
      </c>
      <c r="CZ975" s="3">
        <v>4.1856180444947881</v>
      </c>
      <c r="DA975" s="3">
        <v>7.7909087896110654</v>
      </c>
      <c r="DB975" s="3">
        <v>7.7909380065595979</v>
      </c>
      <c r="DC975" s="3">
        <v>7.7909671287239606</v>
      </c>
      <c r="DD975" s="3">
        <v>7.7909961563359564</v>
      </c>
      <c r="DE975" s="3">
        <v>7.7910250896273698</v>
      </c>
      <c r="DF975" s="3">
        <v>7.7910539288299692</v>
      </c>
      <c r="DG975" s="3">
        <v>7.7910826741754979</v>
      </c>
      <c r="DH975" s="3">
        <v>7.7911113258956686</v>
      </c>
      <c r="DI975" s="3">
        <v>7.7911398842221553</v>
      </c>
      <c r="DJ975" s="3">
        <v>7.7911683493866004</v>
      </c>
      <c r="DK975" s="3">
        <v>7.7911967216205964</v>
      </c>
      <c r="DL975" s="3">
        <v>7.7912250011556994</v>
      </c>
      <c r="DM975" s="3">
        <v>7.7912531882234006</v>
      </c>
      <c r="DN975" s="3">
        <v>7.791281283055139</v>
      </c>
      <c r="DO975" s="3">
        <v>7.7913092858822921</v>
      </c>
    </row>
    <row r="976" spans="1:230" ht="15.4" x14ac:dyDescent="0.45">
      <c r="A976" s="5"/>
      <c r="B976" s="15" t="s">
        <v>5026</v>
      </c>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row>
    <row r="977" spans="1:119" x14ac:dyDescent="0.45">
      <c r="A977" s="11"/>
      <c r="B977" s="3" t="s">
        <v>89</v>
      </c>
      <c r="C977" s="16" t="s">
        <v>5027</v>
      </c>
      <c r="H977" s="11" t="s">
        <v>5028</v>
      </c>
      <c r="I977" s="11"/>
    </row>
    <row r="978" spans="1:119" x14ac:dyDescent="0.45">
      <c r="A978" s="11"/>
      <c r="B978" s="3" t="s">
        <v>89</v>
      </c>
      <c r="C978" s="16" t="s">
        <v>5029</v>
      </c>
      <c r="H978" s="11" t="s">
        <v>5030</v>
      </c>
      <c r="I978" s="11"/>
    </row>
    <row r="979" spans="1:119" x14ac:dyDescent="0.45">
      <c r="A979" s="16" t="s">
        <v>483</v>
      </c>
      <c r="B979" s="3" t="s">
        <v>89</v>
      </c>
      <c r="C979" s="16" t="s">
        <v>483</v>
      </c>
      <c r="H979" s="3" t="s">
        <v>484</v>
      </c>
      <c r="I979" s="3" t="s">
        <v>289</v>
      </c>
      <c r="K979" s="17" t="s">
        <v>485</v>
      </c>
      <c r="L979" s="3">
        <v>1.776082236756628</v>
      </c>
      <c r="M979" s="3">
        <v>1.6982952262880051</v>
      </c>
      <c r="N979" s="3">
        <v>1.9748123586723001</v>
      </c>
      <c r="O979" s="3">
        <v>2.0408339944810052</v>
      </c>
      <c r="P979" s="3">
        <v>2.0532579228865981</v>
      </c>
      <c r="Q979" s="3">
        <v>2.0615141157811978</v>
      </c>
      <c r="R979" s="3">
        <v>2.072879477457227</v>
      </c>
      <c r="S979" s="3">
        <v>2.0826326290374322</v>
      </c>
      <c r="T979" s="3">
        <v>2.080960887846683</v>
      </c>
      <c r="U979" s="3">
        <v>2.0896358427159729</v>
      </c>
      <c r="V979" s="3">
        <v>2.0913234100107161</v>
      </c>
      <c r="W979" s="3">
        <v>2.1133117981678371</v>
      </c>
      <c r="X979" s="3">
        <v>2.1304968465282932</v>
      </c>
      <c r="Y979" s="3">
        <v>2.150802262249226</v>
      </c>
      <c r="Z979" s="3">
        <v>2.1709092968456778</v>
      </c>
      <c r="AA979" s="3">
        <v>2.1908358071026708</v>
      </c>
      <c r="AB979" s="3">
        <v>2.2108783115179822</v>
      </c>
      <c r="AC979" s="3">
        <v>2.231055213393089</v>
      </c>
      <c r="AD979" s="3">
        <v>2.2514505912350842</v>
      </c>
      <c r="AE979" s="3">
        <v>2.2720917849300122</v>
      </c>
      <c r="AG979" s="17" t="s">
        <v>486</v>
      </c>
      <c r="AH979" s="3">
        <v>1.776082236756628</v>
      </c>
      <c r="AI979" s="3">
        <v>1.6979462271041039</v>
      </c>
      <c r="AJ979" s="3">
        <v>1.974476182088958</v>
      </c>
      <c r="AK979" s="3">
        <v>2.040510259321533</v>
      </c>
      <c r="AL979" s="3">
        <v>2.0529333625456712</v>
      </c>
      <c r="AM979" s="3">
        <v>1.913000679644778</v>
      </c>
      <c r="AN979" s="3">
        <v>1.8508167552785171</v>
      </c>
      <c r="AO979" s="3">
        <v>1.902724197598699</v>
      </c>
      <c r="AP979" s="3">
        <v>1.893399798758217</v>
      </c>
      <c r="AQ979" s="3">
        <v>1.909301885877843</v>
      </c>
      <c r="AR979" s="3">
        <v>1.908620097217443</v>
      </c>
      <c r="AS979" s="3">
        <v>1.932494174385198</v>
      </c>
      <c r="AT979" s="3">
        <v>1.9461880875679101</v>
      </c>
      <c r="AU979" s="3">
        <v>1.9654557344575381</v>
      </c>
      <c r="AV979" s="3">
        <v>1.984704795948566</v>
      </c>
      <c r="AW979" s="3">
        <v>2.0043822383165022</v>
      </c>
      <c r="AX979" s="3">
        <v>2.0233504456461571</v>
      </c>
      <c r="AY979" s="3">
        <v>2.0421898537839001</v>
      </c>
      <c r="AZ979" s="3">
        <v>2.0602113682218031</v>
      </c>
      <c r="BA979" s="3">
        <v>2.078276981483727</v>
      </c>
      <c r="BC979" s="17" t="s">
        <v>487</v>
      </c>
      <c r="BD979" s="3">
        <v>1.776082236756628</v>
      </c>
      <c r="BE979" s="3">
        <v>1.697073481875778</v>
      </c>
      <c r="BF979" s="3">
        <v>1.9736354487424019</v>
      </c>
      <c r="BG979" s="3">
        <v>2.0397005849509151</v>
      </c>
      <c r="BH979" s="3">
        <v>2.052123732632519</v>
      </c>
      <c r="BI979" s="3">
        <v>1.9646872653213789</v>
      </c>
      <c r="BJ979" s="3">
        <v>1.8489904452885011</v>
      </c>
      <c r="BK979" s="3">
        <v>1.761542317927723</v>
      </c>
      <c r="BL979" s="3">
        <v>1.708450587410633</v>
      </c>
      <c r="BM979" s="3">
        <v>1.678619163609617</v>
      </c>
      <c r="BN979" s="3">
        <v>1.624666964986772</v>
      </c>
      <c r="BO979" s="3">
        <v>1.5965609919928789</v>
      </c>
      <c r="BP979" s="3">
        <v>1.555548493159475</v>
      </c>
      <c r="BQ979" s="3">
        <v>1.5289783468182929</v>
      </c>
      <c r="BR979" s="3">
        <v>1.495140030561938</v>
      </c>
      <c r="BS979" s="3">
        <v>1.4719553772444769</v>
      </c>
      <c r="BT979" s="3">
        <v>1.440698456323571</v>
      </c>
      <c r="BU979" s="3">
        <v>1.421491918369876</v>
      </c>
      <c r="BV979" s="3">
        <v>1.390285079363919</v>
      </c>
      <c r="BW979" s="3">
        <v>1.376294340721848</v>
      </c>
      <c r="BY979" s="17" t="s">
        <v>488</v>
      </c>
      <c r="BZ979" s="3">
        <v>1.776082236756628</v>
      </c>
      <c r="CA979" s="3">
        <v>1.696228590331476</v>
      </c>
      <c r="CB979" s="3">
        <v>1.9728205118980049</v>
      </c>
      <c r="CC979" s="3">
        <v>2.0389146966070388</v>
      </c>
      <c r="CD979" s="3">
        <v>2.0513351753139548</v>
      </c>
      <c r="CE979" s="3">
        <v>1.8915119038546</v>
      </c>
      <c r="CF979" s="3">
        <v>1.898477503205972</v>
      </c>
      <c r="CG979" s="3">
        <v>1.9046741824011679</v>
      </c>
      <c r="CH979" s="3">
        <v>1.8977234912937311</v>
      </c>
      <c r="CI979" s="3">
        <v>1.8955428839590951</v>
      </c>
      <c r="CJ979" s="3">
        <v>1.877492746968803</v>
      </c>
      <c r="CK979" s="3">
        <v>1.888614035665217</v>
      </c>
      <c r="CL979" s="3">
        <v>1.868387972834608</v>
      </c>
      <c r="CM979" s="3">
        <v>1.8567454380609321</v>
      </c>
      <c r="CN979" s="3">
        <v>1.847614228960196</v>
      </c>
      <c r="CO979" s="3">
        <v>1.8335519892002909</v>
      </c>
      <c r="CP979" s="3">
        <v>1.822767669104892</v>
      </c>
      <c r="CQ979" s="3">
        <v>1.8131835628055319</v>
      </c>
      <c r="CR979" s="3">
        <v>1.8019190847267399</v>
      </c>
      <c r="CS979" s="3">
        <v>1.7933043977117959</v>
      </c>
      <c r="CU979" s="17" t="s">
        <v>489</v>
      </c>
      <c r="CV979" s="3">
        <v>1.776082236756628</v>
      </c>
      <c r="CW979" s="3">
        <v>1.6974573453480111</v>
      </c>
      <c r="CX979" s="3">
        <v>1.974005241111715</v>
      </c>
      <c r="CY979" s="3">
        <v>2.0400567252878901</v>
      </c>
      <c r="CZ979" s="3">
        <v>2.0524795030755318</v>
      </c>
      <c r="DA979" s="3">
        <v>1.793091423791962</v>
      </c>
      <c r="DB979" s="3">
        <v>1.649423524487359</v>
      </c>
      <c r="DC979" s="3">
        <v>1.6992366812138919</v>
      </c>
      <c r="DD979" s="3">
        <v>1.701157221602583</v>
      </c>
      <c r="DE979" s="3">
        <v>1.7423380973888991</v>
      </c>
      <c r="DF979" s="3">
        <v>1.7199156672846461</v>
      </c>
      <c r="DG979" s="3">
        <v>1.7304878750526691</v>
      </c>
      <c r="DH979" s="3">
        <v>1.718954716258021</v>
      </c>
      <c r="DI979" s="3">
        <v>1.7199407059279099</v>
      </c>
      <c r="DJ979" s="3">
        <v>1.715251383411222</v>
      </c>
      <c r="DK979" s="3">
        <v>1.717057380038806</v>
      </c>
      <c r="DL979" s="3">
        <v>1.712988924903238</v>
      </c>
      <c r="DM979" s="3">
        <v>1.714601055148234</v>
      </c>
      <c r="DN979" s="3">
        <v>1.7109496256220009</v>
      </c>
      <c r="DO979" s="3">
        <v>1.712486931525572</v>
      </c>
    </row>
    <row r="980" spans="1:119" x14ac:dyDescent="0.45">
      <c r="A980" s="16" t="s">
        <v>497</v>
      </c>
      <c r="B980" s="3" t="s">
        <v>89</v>
      </c>
      <c r="C980" s="16" t="s">
        <v>497</v>
      </c>
      <c r="H980" s="3" t="s">
        <v>498</v>
      </c>
      <c r="I980" s="3" t="s">
        <v>289</v>
      </c>
      <c r="K980" s="17" t="s">
        <v>499</v>
      </c>
      <c r="L980" s="3">
        <v>15.788350712964199</v>
      </c>
      <c r="M980" s="3">
        <v>17.709445005999601</v>
      </c>
      <c r="N980" s="3">
        <v>17.1665620578909</v>
      </c>
      <c r="O980" s="3">
        <v>18.11891436396014</v>
      </c>
      <c r="P980" s="3">
        <v>18.345227748335471</v>
      </c>
      <c r="Q980" s="3">
        <v>18.58846491134409</v>
      </c>
      <c r="R980" s="3">
        <v>18.85264482257509</v>
      </c>
      <c r="S980" s="3">
        <v>19.109699181439041</v>
      </c>
      <c r="T980" s="3">
        <v>19.356934132089329</v>
      </c>
      <c r="U980" s="3">
        <v>19.603798131246641</v>
      </c>
      <c r="V980" s="3">
        <v>19.850610765373439</v>
      </c>
      <c r="W980" s="3">
        <v>20.097071716522439</v>
      </c>
      <c r="X980" s="3">
        <v>20.343586187224531</v>
      </c>
      <c r="Y980" s="3">
        <v>20.589584017234351</v>
      </c>
      <c r="Z980" s="3">
        <v>20.834960904043829</v>
      </c>
      <c r="AA980" s="3">
        <v>21.07997435907804</v>
      </c>
      <c r="AB980" s="3">
        <v>21.323704079482908</v>
      </c>
      <c r="AC980" s="3">
        <v>21.565943917073419</v>
      </c>
      <c r="AD980" s="3">
        <v>21.805819401292371</v>
      </c>
      <c r="AE980" s="3">
        <v>22.042337668980391</v>
      </c>
      <c r="AG980" s="17" t="s">
        <v>500</v>
      </c>
      <c r="AH980" s="3">
        <v>15.788350712964199</v>
      </c>
      <c r="AI980" s="3">
        <v>17.709445005999601</v>
      </c>
      <c r="AJ980" s="3">
        <v>17.1665620578909</v>
      </c>
      <c r="AK980" s="3">
        <v>18.11891436396014</v>
      </c>
      <c r="AL980" s="3">
        <v>18.345227748335471</v>
      </c>
      <c r="AM980" s="3">
        <v>18.58846507642486</v>
      </c>
      <c r="AN980" s="3">
        <v>18.8526444492426</v>
      </c>
      <c r="AO980" s="3">
        <v>19.111396202346121</v>
      </c>
      <c r="AP980" s="3">
        <v>19.354749368243361</v>
      </c>
      <c r="AQ980" s="3">
        <v>19.602269139307289</v>
      </c>
      <c r="AR980" s="3">
        <v>19.847460277773902</v>
      </c>
      <c r="AS980" s="3">
        <v>20.096012028707289</v>
      </c>
      <c r="AT980" s="3">
        <v>20.34639306294434</v>
      </c>
      <c r="AU980" s="3">
        <v>20.595417264408201</v>
      </c>
      <c r="AV980" s="3">
        <v>20.844583268866391</v>
      </c>
      <c r="AW980" s="3">
        <v>21.09516161641141</v>
      </c>
      <c r="AX980" s="3">
        <v>21.34280226425485</v>
      </c>
      <c r="AY980" s="3">
        <v>21.58806253700325</v>
      </c>
      <c r="AZ980" s="3">
        <v>21.828885480615661</v>
      </c>
      <c r="BA980" s="3">
        <v>22.065759491579939</v>
      </c>
      <c r="BC980" s="17" t="s">
        <v>501</v>
      </c>
      <c r="BD980" s="3">
        <v>15.788350712964199</v>
      </c>
      <c r="BE980" s="3">
        <v>17.709445005999601</v>
      </c>
      <c r="BF980" s="3">
        <v>17.1665620578909</v>
      </c>
      <c r="BG980" s="3">
        <v>18.11891436396014</v>
      </c>
      <c r="BH980" s="3">
        <v>18.345227748335471</v>
      </c>
      <c r="BI980" s="3">
        <v>18.588465435886899</v>
      </c>
      <c r="BJ980" s="3">
        <v>18.852643630532139</v>
      </c>
      <c r="BK980" s="3">
        <v>19.110661674723239</v>
      </c>
      <c r="BL980" s="3">
        <v>19.356710846113661</v>
      </c>
      <c r="BM980" s="3">
        <v>19.602504882142039</v>
      </c>
      <c r="BN980" s="3">
        <v>19.847414982439989</v>
      </c>
      <c r="BO980" s="3">
        <v>20.09345505871563</v>
      </c>
      <c r="BP980" s="3">
        <v>20.342185331754219</v>
      </c>
      <c r="BQ980" s="3">
        <v>20.592203219570941</v>
      </c>
      <c r="BR980" s="3">
        <v>20.84333045180648</v>
      </c>
      <c r="BS980" s="3">
        <v>21.096526840934079</v>
      </c>
      <c r="BT980" s="3">
        <v>21.34984627571183</v>
      </c>
      <c r="BU980" s="3">
        <v>21.60241866115561</v>
      </c>
      <c r="BV980" s="3">
        <v>21.851854038090629</v>
      </c>
      <c r="BW980" s="3">
        <v>22.096803992103759</v>
      </c>
      <c r="BY980" s="17" t="s">
        <v>502</v>
      </c>
      <c r="BZ980" s="3">
        <v>15.788350712964199</v>
      </c>
      <c r="CA980" s="3">
        <v>17.709445005999601</v>
      </c>
      <c r="CB980" s="3">
        <v>17.1665620578909</v>
      </c>
      <c r="CC980" s="3">
        <v>18.11891436396014</v>
      </c>
      <c r="CD980" s="3">
        <v>18.345227748335471</v>
      </c>
      <c r="CE980" s="3">
        <v>18.588465784769099</v>
      </c>
      <c r="CF980" s="3">
        <v>18.852642664777811</v>
      </c>
      <c r="CG980" s="3">
        <v>19.11114265702146</v>
      </c>
      <c r="CH980" s="3">
        <v>19.354732989891641</v>
      </c>
      <c r="CI980" s="3">
        <v>19.60303184595044</v>
      </c>
      <c r="CJ980" s="3">
        <v>19.848033039996121</v>
      </c>
      <c r="CK980" s="3">
        <v>20.096854853562629</v>
      </c>
      <c r="CL980" s="3">
        <v>20.345934661305549</v>
      </c>
      <c r="CM980" s="3">
        <v>20.593939919751811</v>
      </c>
      <c r="CN980" s="3">
        <v>20.842056662600459</v>
      </c>
      <c r="CO980" s="3">
        <v>21.09114110963689</v>
      </c>
      <c r="CP980" s="3">
        <v>21.33741818559994</v>
      </c>
      <c r="CQ980" s="3">
        <v>21.581877427531399</v>
      </c>
      <c r="CR980" s="3">
        <v>21.822337259031091</v>
      </c>
      <c r="CS980" s="3">
        <v>22.059634009352219</v>
      </c>
      <c r="CU980" s="17" t="s">
        <v>503</v>
      </c>
      <c r="CV980" s="3">
        <v>15.788350712964199</v>
      </c>
      <c r="CW980" s="3">
        <v>17.709445005999601</v>
      </c>
      <c r="CX980" s="3">
        <v>17.1665620578909</v>
      </c>
      <c r="CY980" s="3">
        <v>18.11891436396014</v>
      </c>
      <c r="CZ980" s="3">
        <v>18.345227748335471</v>
      </c>
      <c r="DA980" s="3">
        <v>18.588465286427262</v>
      </c>
      <c r="DB980" s="3">
        <v>18.852643971322859</v>
      </c>
      <c r="DC980" s="3">
        <v>19.11333159565504</v>
      </c>
      <c r="DD980" s="3">
        <v>19.352122095053289</v>
      </c>
      <c r="DE980" s="3">
        <v>19.600779985572679</v>
      </c>
      <c r="DF980" s="3">
        <v>19.84383559194821</v>
      </c>
      <c r="DG980" s="3">
        <v>20.095047195456679</v>
      </c>
      <c r="DH980" s="3">
        <v>20.349501330977962</v>
      </c>
      <c r="DI980" s="3">
        <v>20.601858687080622</v>
      </c>
      <c r="DJ980" s="3">
        <v>20.85514874347454</v>
      </c>
      <c r="DK980" s="3">
        <v>21.111863931523711</v>
      </c>
      <c r="DL980" s="3">
        <v>21.36366408968885</v>
      </c>
      <c r="DM980" s="3">
        <v>21.612304023458201</v>
      </c>
      <c r="DN980" s="3">
        <v>21.854200265373748</v>
      </c>
      <c r="DO980" s="3">
        <v>22.091639876501059</v>
      </c>
    </row>
    <row r="981" spans="1:119" x14ac:dyDescent="0.45">
      <c r="A981" s="16" t="s">
        <v>511</v>
      </c>
      <c r="B981" s="3" t="s">
        <v>89</v>
      </c>
      <c r="C981" s="16" t="s">
        <v>511</v>
      </c>
      <c r="H981" s="3" t="s">
        <v>512</v>
      </c>
      <c r="I981" s="3" t="s">
        <v>289</v>
      </c>
      <c r="K981" s="17" t="s">
        <v>513</v>
      </c>
      <c r="L981" s="3">
        <v>35.126042972388703</v>
      </c>
      <c r="M981" s="3">
        <v>35.772328129626999</v>
      </c>
      <c r="N981" s="3">
        <v>36.432770191485901</v>
      </c>
      <c r="O981" s="3">
        <v>38.399049935531778</v>
      </c>
      <c r="P981" s="3">
        <v>38.767149296784822</v>
      </c>
      <c r="Q981" s="3">
        <v>39.134224422849933</v>
      </c>
      <c r="R981" s="3">
        <v>39.501260753554128</v>
      </c>
      <c r="S981" s="3">
        <v>39.864841387972611</v>
      </c>
      <c r="T981" s="3">
        <v>40.224330202820049</v>
      </c>
      <c r="U981" s="3">
        <v>40.581323748606167</v>
      </c>
      <c r="V981" s="3">
        <v>40.936841102612952</v>
      </c>
      <c r="W981" s="3">
        <v>41.290188827671088</v>
      </c>
      <c r="X981" s="3">
        <v>41.642610300989162</v>
      </c>
      <c r="Y981" s="3">
        <v>41.992679271344713</v>
      </c>
      <c r="Z981" s="3">
        <v>42.340253298355393</v>
      </c>
      <c r="AA981" s="3">
        <v>42.686169533243309</v>
      </c>
      <c r="AB981" s="3">
        <v>43.028085108199583</v>
      </c>
      <c r="AC981" s="3">
        <v>43.365605100452967</v>
      </c>
      <c r="AD981" s="3">
        <v>43.696554565387572</v>
      </c>
      <c r="AE981" s="3">
        <v>44.018473170619309</v>
      </c>
      <c r="AG981" s="17" t="s">
        <v>514</v>
      </c>
      <c r="AH981" s="3">
        <v>35.126042972388703</v>
      </c>
      <c r="AI981" s="3">
        <v>35.772328129626999</v>
      </c>
      <c r="AJ981" s="3">
        <v>36.432770191485901</v>
      </c>
      <c r="AK981" s="3">
        <v>38.399049935531778</v>
      </c>
      <c r="AL981" s="3">
        <v>38.767149296784822</v>
      </c>
      <c r="AM981" s="3">
        <v>39.134224422849933</v>
      </c>
      <c r="AN981" s="3">
        <v>39.501260753554128</v>
      </c>
      <c r="AO981" s="3">
        <v>39.864841387972611</v>
      </c>
      <c r="AP981" s="3">
        <v>40.224330202820049</v>
      </c>
      <c r="AQ981" s="3">
        <v>40.581323748606167</v>
      </c>
      <c r="AR981" s="3">
        <v>40.936841102612952</v>
      </c>
      <c r="AS981" s="3">
        <v>41.290188827671088</v>
      </c>
      <c r="AT981" s="3">
        <v>41.642610300989162</v>
      </c>
      <c r="AU981" s="3">
        <v>41.992679271344713</v>
      </c>
      <c r="AV981" s="3">
        <v>42.340253298355393</v>
      </c>
      <c r="AW981" s="3">
        <v>42.686169533243309</v>
      </c>
      <c r="AX981" s="3">
        <v>43.028085108199583</v>
      </c>
      <c r="AY981" s="3">
        <v>43.365605100452967</v>
      </c>
      <c r="AZ981" s="3">
        <v>43.696554565387572</v>
      </c>
      <c r="BA981" s="3">
        <v>44.018473170619309</v>
      </c>
      <c r="BC981" s="17" t="s">
        <v>515</v>
      </c>
      <c r="BD981" s="3">
        <v>35.126042972388703</v>
      </c>
      <c r="BE981" s="3">
        <v>35.772328129626999</v>
      </c>
      <c r="BF981" s="3">
        <v>36.432770191485901</v>
      </c>
      <c r="BG981" s="3">
        <v>38.399049935531778</v>
      </c>
      <c r="BH981" s="3">
        <v>38.767149296784822</v>
      </c>
      <c r="BI981" s="3">
        <v>39.134224422849933</v>
      </c>
      <c r="BJ981" s="3">
        <v>39.501260753554128</v>
      </c>
      <c r="BK981" s="3">
        <v>39.864841387972611</v>
      </c>
      <c r="BL981" s="3">
        <v>40.224330202820049</v>
      </c>
      <c r="BM981" s="3">
        <v>40.581323748606167</v>
      </c>
      <c r="BN981" s="3">
        <v>40.936841102612952</v>
      </c>
      <c r="BO981" s="3">
        <v>41.290188827671088</v>
      </c>
      <c r="BP981" s="3">
        <v>41.642610300989162</v>
      </c>
      <c r="BQ981" s="3">
        <v>41.992679271344713</v>
      </c>
      <c r="BR981" s="3">
        <v>42.340253298355393</v>
      </c>
      <c r="BS981" s="3">
        <v>42.686169533243309</v>
      </c>
      <c r="BT981" s="3">
        <v>43.028085108199583</v>
      </c>
      <c r="BU981" s="3">
        <v>43.365605100452967</v>
      </c>
      <c r="BV981" s="3">
        <v>43.696554565387572</v>
      </c>
      <c r="BW981" s="3">
        <v>44.018473170619309</v>
      </c>
      <c r="BY981" s="17" t="s">
        <v>516</v>
      </c>
      <c r="BZ981" s="3">
        <v>35.126042972388703</v>
      </c>
      <c r="CA981" s="3">
        <v>35.772328129626999</v>
      </c>
      <c r="CB981" s="3">
        <v>36.432770191485901</v>
      </c>
      <c r="CC981" s="3">
        <v>38.399049935531778</v>
      </c>
      <c r="CD981" s="3">
        <v>38.767149296784822</v>
      </c>
      <c r="CE981" s="3">
        <v>39.134224422849933</v>
      </c>
      <c r="CF981" s="3">
        <v>39.501260753554128</v>
      </c>
      <c r="CG981" s="3">
        <v>39.864841387972611</v>
      </c>
      <c r="CH981" s="3">
        <v>40.224330202820049</v>
      </c>
      <c r="CI981" s="3">
        <v>40.581323748606167</v>
      </c>
      <c r="CJ981" s="3">
        <v>40.936841102612952</v>
      </c>
      <c r="CK981" s="3">
        <v>41.290188827671088</v>
      </c>
      <c r="CL981" s="3">
        <v>41.642610300989162</v>
      </c>
      <c r="CM981" s="3">
        <v>41.992679271344713</v>
      </c>
      <c r="CN981" s="3">
        <v>42.340253298355393</v>
      </c>
      <c r="CO981" s="3">
        <v>42.686169533243309</v>
      </c>
      <c r="CP981" s="3">
        <v>43.028085108199583</v>
      </c>
      <c r="CQ981" s="3">
        <v>43.365605100452967</v>
      </c>
      <c r="CR981" s="3">
        <v>43.696554565387572</v>
      </c>
      <c r="CS981" s="3">
        <v>44.018473170619309</v>
      </c>
      <c r="CU981" s="17" t="s">
        <v>517</v>
      </c>
      <c r="CV981" s="3">
        <v>35.126042972388703</v>
      </c>
      <c r="CW981" s="3">
        <v>35.772328129626999</v>
      </c>
      <c r="CX981" s="3">
        <v>36.432770191485901</v>
      </c>
      <c r="CY981" s="3">
        <v>38.399049935531778</v>
      </c>
      <c r="CZ981" s="3">
        <v>38.767149296784822</v>
      </c>
      <c r="DA981" s="3">
        <v>39.134224422849933</v>
      </c>
      <c r="DB981" s="3">
        <v>39.501260753554128</v>
      </c>
      <c r="DC981" s="3">
        <v>39.864841387972611</v>
      </c>
      <c r="DD981" s="3">
        <v>40.224330202820049</v>
      </c>
      <c r="DE981" s="3">
        <v>40.581323748606167</v>
      </c>
      <c r="DF981" s="3">
        <v>40.936841102612952</v>
      </c>
      <c r="DG981" s="3">
        <v>41.290188827671088</v>
      </c>
      <c r="DH981" s="3">
        <v>41.642610300989162</v>
      </c>
      <c r="DI981" s="3">
        <v>41.992679271344713</v>
      </c>
      <c r="DJ981" s="3">
        <v>42.340253298355393</v>
      </c>
      <c r="DK981" s="3">
        <v>42.686169533243309</v>
      </c>
      <c r="DL981" s="3">
        <v>43.028085108199583</v>
      </c>
      <c r="DM981" s="3">
        <v>43.365605100452967</v>
      </c>
      <c r="DN981" s="3">
        <v>43.696554565387572</v>
      </c>
      <c r="DO981" s="3">
        <v>44.018473170619309</v>
      </c>
    </row>
    <row r="982" spans="1:119" x14ac:dyDescent="0.45">
      <c r="A982" s="16" t="s">
        <v>518</v>
      </c>
      <c r="B982" s="3" t="s">
        <v>89</v>
      </c>
      <c r="C982" s="16" t="s">
        <v>518</v>
      </c>
      <c r="H982" s="3" t="s">
        <v>519</v>
      </c>
      <c r="I982" s="3" t="s">
        <v>289</v>
      </c>
      <c r="K982" s="17" t="s">
        <v>520</v>
      </c>
      <c r="L982" s="3">
        <v>8.9167735999999997E-2</v>
      </c>
      <c r="M982" s="3">
        <v>0.106864256591645</v>
      </c>
      <c r="N982" s="3">
        <v>0.12882020925686399</v>
      </c>
      <c r="O982" s="3">
        <v>0.13084057010682881</v>
      </c>
      <c r="P982" s="3">
        <v>0.1327586215978554</v>
      </c>
      <c r="Q982" s="3">
        <v>0.13468912088414961</v>
      </c>
      <c r="R982" s="3">
        <v>0.13663553557371749</v>
      </c>
      <c r="S982" s="3">
        <v>0.13858609768605831</v>
      </c>
      <c r="T982" s="3">
        <v>0.1405385168533719</v>
      </c>
      <c r="U982" s="3">
        <v>0.14249829681179529</v>
      </c>
      <c r="V982" s="3">
        <v>0.14446901460293121</v>
      </c>
      <c r="W982" s="3">
        <v>0.14644824500141601</v>
      </c>
      <c r="X982" s="3">
        <v>0.14844041730443799</v>
      </c>
      <c r="Y982" s="3">
        <v>0.1504404854072646</v>
      </c>
      <c r="Z982" s="3">
        <v>0.15244792314431979</v>
      </c>
      <c r="AA982" s="3">
        <v>0.15446573828142601</v>
      </c>
      <c r="AB982" s="3">
        <v>0.15648543368669221</v>
      </c>
      <c r="AC982" s="3">
        <v>0.15850546070891791</v>
      </c>
      <c r="AD982" s="3">
        <v>0.16051770136493579</v>
      </c>
      <c r="AE982" s="3">
        <v>0.16251282174272741</v>
      </c>
      <c r="AG982" s="17" t="s">
        <v>521</v>
      </c>
      <c r="AH982" s="3">
        <v>8.9167735999999997E-2</v>
      </c>
      <c r="AI982" s="3">
        <v>0.106864256591645</v>
      </c>
      <c r="AJ982" s="3">
        <v>0.12882020925686399</v>
      </c>
      <c r="AK982" s="3">
        <v>0.13084057010682881</v>
      </c>
      <c r="AL982" s="3">
        <v>0.1327586215978554</v>
      </c>
      <c r="AM982" s="3">
        <v>0.13468912088414961</v>
      </c>
      <c r="AN982" s="3">
        <v>0.13663553557371749</v>
      </c>
      <c r="AO982" s="3">
        <v>0.13858609768605831</v>
      </c>
      <c r="AP982" s="3">
        <v>0.1405385168533719</v>
      </c>
      <c r="AQ982" s="3">
        <v>0.14249829681179529</v>
      </c>
      <c r="AR982" s="3">
        <v>0.14446901460293121</v>
      </c>
      <c r="AS982" s="3">
        <v>0.14644824500141601</v>
      </c>
      <c r="AT982" s="3">
        <v>0.14844041730443799</v>
      </c>
      <c r="AU982" s="3">
        <v>0.1504404854072646</v>
      </c>
      <c r="AV982" s="3">
        <v>0.15244792314431979</v>
      </c>
      <c r="AW982" s="3">
        <v>0.15446573828142601</v>
      </c>
      <c r="AX982" s="3">
        <v>0.15648543368669221</v>
      </c>
      <c r="AY982" s="3">
        <v>0.15850546070891791</v>
      </c>
      <c r="AZ982" s="3">
        <v>0.16051770136493579</v>
      </c>
      <c r="BA982" s="3">
        <v>0.16251282174272741</v>
      </c>
      <c r="BC982" s="17" t="s">
        <v>522</v>
      </c>
      <c r="BD982" s="3">
        <v>8.9167735999999997E-2</v>
      </c>
      <c r="BE982" s="3">
        <v>0.106864256591645</v>
      </c>
      <c r="BF982" s="3">
        <v>0.12882020925686399</v>
      </c>
      <c r="BG982" s="3">
        <v>0.13084057010682881</v>
      </c>
      <c r="BH982" s="3">
        <v>0.1327586215978554</v>
      </c>
      <c r="BI982" s="3">
        <v>0.13468912088414961</v>
      </c>
      <c r="BJ982" s="3">
        <v>0.13663553557371749</v>
      </c>
      <c r="BK982" s="3">
        <v>0.13858609768605831</v>
      </c>
      <c r="BL982" s="3">
        <v>0.1405385168533719</v>
      </c>
      <c r="BM982" s="3">
        <v>0.14249829681179529</v>
      </c>
      <c r="BN982" s="3">
        <v>0.14446901460293121</v>
      </c>
      <c r="BO982" s="3">
        <v>0.14644824500141601</v>
      </c>
      <c r="BP982" s="3">
        <v>0.14844041730443799</v>
      </c>
      <c r="BQ982" s="3">
        <v>0.1504404854072646</v>
      </c>
      <c r="BR982" s="3">
        <v>0.15244792314431979</v>
      </c>
      <c r="BS982" s="3">
        <v>0.15446573828142601</v>
      </c>
      <c r="BT982" s="3">
        <v>0.15648543368669221</v>
      </c>
      <c r="BU982" s="3">
        <v>0.15850546070891791</v>
      </c>
      <c r="BV982" s="3">
        <v>0.16051770136493579</v>
      </c>
      <c r="BW982" s="3">
        <v>0.16251282174272741</v>
      </c>
      <c r="BY982" s="17" t="s">
        <v>523</v>
      </c>
      <c r="BZ982" s="3">
        <v>8.9167735999999997E-2</v>
      </c>
      <c r="CA982" s="3">
        <v>0.106864256591645</v>
      </c>
      <c r="CB982" s="3">
        <v>0.12882020925686399</v>
      </c>
      <c r="CC982" s="3">
        <v>0.13084057010682881</v>
      </c>
      <c r="CD982" s="3">
        <v>0.1327586215978554</v>
      </c>
      <c r="CE982" s="3">
        <v>0.13468912088414961</v>
      </c>
      <c r="CF982" s="3">
        <v>0.13663553557371749</v>
      </c>
      <c r="CG982" s="3">
        <v>0.13858609768605831</v>
      </c>
      <c r="CH982" s="3">
        <v>0.1405385168533719</v>
      </c>
      <c r="CI982" s="3">
        <v>0.14249829681179529</v>
      </c>
      <c r="CJ982" s="3">
        <v>0.14446901460293121</v>
      </c>
      <c r="CK982" s="3">
        <v>0.14644824500141601</v>
      </c>
      <c r="CL982" s="3">
        <v>0.14844041730443799</v>
      </c>
      <c r="CM982" s="3">
        <v>0.1504404854072646</v>
      </c>
      <c r="CN982" s="3">
        <v>0.15244792314431979</v>
      </c>
      <c r="CO982" s="3">
        <v>0.15446573828142601</v>
      </c>
      <c r="CP982" s="3">
        <v>0.15648543368669221</v>
      </c>
      <c r="CQ982" s="3">
        <v>0.15850546070891791</v>
      </c>
      <c r="CR982" s="3">
        <v>0.16051770136493579</v>
      </c>
      <c r="CS982" s="3">
        <v>0.16251282174272741</v>
      </c>
      <c r="CU982" s="17" t="s">
        <v>524</v>
      </c>
      <c r="CV982" s="3">
        <v>8.9167735999999997E-2</v>
      </c>
      <c r="CW982" s="3">
        <v>0.106864256591645</v>
      </c>
      <c r="CX982" s="3">
        <v>0.12882020925686399</v>
      </c>
      <c r="CY982" s="3">
        <v>0.13084057010682881</v>
      </c>
      <c r="CZ982" s="3">
        <v>0.1327586215978554</v>
      </c>
      <c r="DA982" s="3">
        <v>0.13468912088414961</v>
      </c>
      <c r="DB982" s="3">
        <v>0.13663553557371749</v>
      </c>
      <c r="DC982" s="3">
        <v>0.13858609768605831</v>
      </c>
      <c r="DD982" s="3">
        <v>0.1405385168533719</v>
      </c>
      <c r="DE982" s="3">
        <v>0.14249829681179529</v>
      </c>
      <c r="DF982" s="3">
        <v>0.14446901460293121</v>
      </c>
      <c r="DG982" s="3">
        <v>0.14644824500141601</v>
      </c>
      <c r="DH982" s="3">
        <v>0.14844041730443799</v>
      </c>
      <c r="DI982" s="3">
        <v>0.1504404854072646</v>
      </c>
      <c r="DJ982" s="3">
        <v>0.15244792314431979</v>
      </c>
      <c r="DK982" s="3">
        <v>0.15446573828142601</v>
      </c>
      <c r="DL982" s="3">
        <v>0.15648543368669221</v>
      </c>
      <c r="DM982" s="3">
        <v>0.15850546070891791</v>
      </c>
      <c r="DN982" s="3">
        <v>0.16051770136493579</v>
      </c>
      <c r="DO982" s="3">
        <v>0.16251282174272741</v>
      </c>
    </row>
    <row r="983" spans="1:119" x14ac:dyDescent="0.45">
      <c r="A983" s="11"/>
      <c r="B983" s="3" t="s">
        <v>89</v>
      </c>
      <c r="C983" s="16" t="s">
        <v>480</v>
      </c>
      <c r="H983" s="11" t="s">
        <v>5031</v>
      </c>
      <c r="I983" s="11"/>
    </row>
    <row r="984" spans="1:119" x14ac:dyDescent="0.45">
      <c r="A984" s="16" t="s">
        <v>458</v>
      </c>
      <c r="B984" s="3" t="s">
        <v>89</v>
      </c>
      <c r="C984" s="16" t="s">
        <v>5032</v>
      </c>
      <c r="H984" s="3" t="s">
        <v>459</v>
      </c>
      <c r="I984" s="3" t="s">
        <v>289</v>
      </c>
      <c r="K984" s="17" t="s">
        <v>460</v>
      </c>
      <c r="L984" s="19">
        <v>52.945361865309529</v>
      </c>
      <c r="M984" s="19">
        <v>55.452822043386817</v>
      </c>
      <c r="N984" s="19">
        <v>55.869028028896437</v>
      </c>
      <c r="O984" s="19">
        <v>58.86187412005188</v>
      </c>
      <c r="P984" s="19">
        <v>59.474785121455092</v>
      </c>
      <c r="Q984" s="19">
        <v>60.100867511738421</v>
      </c>
      <c r="R984" s="19">
        <v>60.752293235529457</v>
      </c>
      <c r="S984" s="19">
        <v>61.391303457693738</v>
      </c>
      <c r="T984" s="19">
        <v>62.004614526110103</v>
      </c>
      <c r="U984" s="19">
        <v>62.625506539369773</v>
      </c>
      <c r="V984" s="19">
        <v>63.237919127951074</v>
      </c>
      <c r="W984" s="19">
        <v>63.868233221312657</v>
      </c>
      <c r="X984" s="19">
        <v>64.492996959989071</v>
      </c>
      <c r="Y984" s="19">
        <v>65.118131812233372</v>
      </c>
      <c r="Z984" s="19">
        <v>65.740070904151253</v>
      </c>
      <c r="AA984" s="19">
        <v>66.359928829796701</v>
      </c>
      <c r="AB984" s="19">
        <v>66.974729427923975</v>
      </c>
      <c r="AC984" s="19">
        <v>67.58388738920587</v>
      </c>
      <c r="AD984" s="19">
        <v>68.184428082368754</v>
      </c>
      <c r="AE984" s="19">
        <v>68.77291505481368</v>
      </c>
      <c r="AG984" s="17" t="s">
        <v>461</v>
      </c>
      <c r="AH984" s="19">
        <v>52.945361865309529</v>
      </c>
      <c r="AI984" s="19">
        <v>55.452473044202932</v>
      </c>
      <c r="AJ984" s="19">
        <v>55.868691852313091</v>
      </c>
      <c r="AK984" s="19">
        <v>58.861550384892411</v>
      </c>
      <c r="AL984" s="19">
        <v>59.474460561114157</v>
      </c>
      <c r="AM984" s="19">
        <v>59.923152656552901</v>
      </c>
      <c r="AN984" s="19">
        <v>60.49992753827668</v>
      </c>
      <c r="AO984" s="19">
        <v>61.181795125916217</v>
      </c>
      <c r="AP984" s="19">
        <v>61.782396194948802</v>
      </c>
      <c r="AQ984" s="19">
        <v>62.410172799899811</v>
      </c>
      <c r="AR984" s="19">
        <v>63.017507581065097</v>
      </c>
      <c r="AS984" s="19">
        <v>63.650858651236923</v>
      </c>
      <c r="AT984" s="19">
        <v>64.27512628018593</v>
      </c>
      <c r="AU984" s="19">
        <v>64.901328487540198</v>
      </c>
      <c r="AV984" s="19">
        <v>65.525302215112916</v>
      </c>
      <c r="AW984" s="19">
        <v>66.149655679109316</v>
      </c>
      <c r="AX984" s="19">
        <v>66.766384348208206</v>
      </c>
      <c r="AY984" s="19">
        <v>67.376262619845036</v>
      </c>
      <c r="AZ984" s="19">
        <v>67.974297477319226</v>
      </c>
      <c r="BA984" s="19">
        <v>68.55944022704</v>
      </c>
      <c r="BC984" s="17" t="s">
        <v>462</v>
      </c>
      <c r="BD984" s="19">
        <v>52.945361865309529</v>
      </c>
      <c r="BE984" s="19">
        <v>55.451600298974597</v>
      </c>
      <c r="BF984" s="19">
        <v>55.867851118966527</v>
      </c>
      <c r="BG984" s="19">
        <v>58.860740710521789</v>
      </c>
      <c r="BH984" s="19">
        <v>59.473650931201007</v>
      </c>
      <c r="BI984" s="19">
        <v>59.985454932627732</v>
      </c>
      <c r="BJ984" s="19">
        <v>60.489531075230047</v>
      </c>
      <c r="BK984" s="19">
        <v>61.015450901480683</v>
      </c>
      <c r="BL984" s="19">
        <v>61.56160047331413</v>
      </c>
      <c r="BM984" s="19">
        <v>62.131310314343978</v>
      </c>
      <c r="BN984" s="19">
        <v>62.675411746356161</v>
      </c>
      <c r="BO984" s="19">
        <v>63.245096134765063</v>
      </c>
      <c r="BP984" s="19">
        <v>63.804301974634562</v>
      </c>
      <c r="BQ984" s="19">
        <v>64.377407171317742</v>
      </c>
      <c r="BR984" s="19">
        <v>64.94229267887259</v>
      </c>
      <c r="BS984" s="19">
        <v>65.518632303821022</v>
      </c>
      <c r="BT984" s="19">
        <v>66.083323534815548</v>
      </c>
      <c r="BU984" s="19">
        <v>66.655165077259724</v>
      </c>
      <c r="BV984" s="19">
        <v>67.205464203191369</v>
      </c>
      <c r="BW984" s="19">
        <v>67.759586102033651</v>
      </c>
      <c r="BY984" s="17" t="s">
        <v>463</v>
      </c>
      <c r="BZ984" s="19">
        <v>52.945361865309529</v>
      </c>
      <c r="CA984" s="19">
        <v>55.450755407430293</v>
      </c>
      <c r="CB984" s="19">
        <v>55.867036182122142</v>
      </c>
      <c r="CC984" s="19">
        <v>58.859954822177919</v>
      </c>
      <c r="CD984" s="19">
        <v>59.47286237388245</v>
      </c>
      <c r="CE984" s="19">
        <v>59.898983160931088</v>
      </c>
      <c r="CF984" s="19">
        <v>60.54376800898185</v>
      </c>
      <c r="CG984" s="19">
        <v>61.178565455648119</v>
      </c>
      <c r="CH984" s="19">
        <v>61.780739651686027</v>
      </c>
      <c r="CI984" s="19">
        <v>62.390229808430711</v>
      </c>
      <c r="CJ984" s="19">
        <v>62.979015958626768</v>
      </c>
      <c r="CK984" s="19">
        <v>63.598906962574887</v>
      </c>
      <c r="CL984" s="19">
        <v>64.186915613239094</v>
      </c>
      <c r="CM984" s="19">
        <v>64.7801645821216</v>
      </c>
      <c r="CN984" s="19">
        <v>65.37402794567798</v>
      </c>
      <c r="CO984" s="19">
        <v>65.962420695778505</v>
      </c>
      <c r="CP984" s="19">
        <v>66.547298137353366</v>
      </c>
      <c r="CQ984" s="19">
        <v>67.127227595164257</v>
      </c>
      <c r="CR984" s="19">
        <v>67.694897130287615</v>
      </c>
      <c r="CS984" s="19">
        <v>68.253087895658993</v>
      </c>
      <c r="CU984" s="17" t="s">
        <v>464</v>
      </c>
      <c r="CV984" s="19">
        <v>52.945361865309529</v>
      </c>
      <c r="CW984" s="19">
        <v>55.451984162446827</v>
      </c>
      <c r="CX984" s="19">
        <v>55.868220911335847</v>
      </c>
      <c r="CY984" s="19">
        <v>58.861096850858758</v>
      </c>
      <c r="CZ984" s="19">
        <v>59.474006701644029</v>
      </c>
      <c r="DA984" s="19">
        <v>59.775014494437947</v>
      </c>
      <c r="DB984" s="19">
        <v>60.269243422514343</v>
      </c>
      <c r="DC984" s="19">
        <v>60.949979734852199</v>
      </c>
      <c r="DD984" s="19">
        <v>61.556161753906657</v>
      </c>
      <c r="DE984" s="19">
        <v>62.209402934614459</v>
      </c>
      <c r="DF984" s="19">
        <v>62.791814825734683</v>
      </c>
      <c r="DG984" s="19">
        <v>63.413604629150647</v>
      </c>
      <c r="DH984" s="19">
        <v>64.015823997480837</v>
      </c>
      <c r="DI984" s="19">
        <v>64.626150287542416</v>
      </c>
      <c r="DJ984" s="19">
        <v>65.229394275099082</v>
      </c>
      <c r="DK984" s="19">
        <v>65.841151551804728</v>
      </c>
      <c r="DL984" s="19">
        <v>66.43806725450797</v>
      </c>
      <c r="DM984" s="19">
        <v>67.033126952758963</v>
      </c>
      <c r="DN984" s="19">
        <v>67.609501053725353</v>
      </c>
      <c r="DO984" s="19">
        <v>68.177589421858571</v>
      </c>
    </row>
    <row r="985" spans="1:119" x14ac:dyDescent="0.45">
      <c r="A985" s="16" t="s">
        <v>5033</v>
      </c>
      <c r="B985" s="3" t="s">
        <v>89</v>
      </c>
      <c r="C985" s="16" t="s">
        <v>5034</v>
      </c>
      <c r="H985" s="3" t="s">
        <v>5035</v>
      </c>
      <c r="I985" s="3" t="s">
        <v>5036</v>
      </c>
      <c r="K985" s="17" t="s">
        <v>5037</v>
      </c>
      <c r="L985" s="3">
        <v>0</v>
      </c>
      <c r="M985" s="3">
        <v>0</v>
      </c>
      <c r="N985" s="3">
        <v>0</v>
      </c>
      <c r="O985" s="3">
        <v>0</v>
      </c>
      <c r="P985" s="3">
        <v>0</v>
      </c>
      <c r="Q985" s="3">
        <v>0</v>
      </c>
      <c r="R985" s="3">
        <v>0</v>
      </c>
      <c r="S985" s="3">
        <v>0</v>
      </c>
      <c r="T985" s="3">
        <v>0</v>
      </c>
      <c r="U985" s="3">
        <v>0</v>
      </c>
      <c r="V985" s="3">
        <v>0</v>
      </c>
      <c r="W985" s="3">
        <v>0</v>
      </c>
      <c r="X985" s="3">
        <v>0</v>
      </c>
      <c r="Y985" s="3">
        <v>0</v>
      </c>
      <c r="Z985" s="3">
        <v>0</v>
      </c>
      <c r="AA985" s="3">
        <v>0</v>
      </c>
      <c r="AB985" s="3">
        <v>0</v>
      </c>
      <c r="AC985" s="3">
        <v>0</v>
      </c>
      <c r="AD985" s="3">
        <v>0</v>
      </c>
      <c r="AE985" s="3">
        <v>0</v>
      </c>
      <c r="AG985" s="17" t="s">
        <v>5038</v>
      </c>
      <c r="AH985" s="3">
        <v>0</v>
      </c>
      <c r="AI985" s="3">
        <v>0</v>
      </c>
      <c r="AJ985" s="3">
        <v>0</v>
      </c>
      <c r="AK985" s="3">
        <v>0</v>
      </c>
      <c r="AL985" s="3">
        <v>0</v>
      </c>
      <c r="AM985" s="3">
        <v>0</v>
      </c>
      <c r="AN985" s="3">
        <v>0</v>
      </c>
      <c r="AO985" s="3">
        <v>0</v>
      </c>
      <c r="AP985" s="3">
        <v>0</v>
      </c>
      <c r="AQ985" s="3">
        <v>0</v>
      </c>
      <c r="AR985" s="3">
        <v>0</v>
      </c>
      <c r="AS985" s="3">
        <v>0</v>
      </c>
      <c r="AT985" s="3">
        <v>0</v>
      </c>
      <c r="AU985" s="3">
        <v>0</v>
      </c>
      <c r="AV985" s="3">
        <v>0</v>
      </c>
      <c r="AW985" s="3">
        <v>0</v>
      </c>
      <c r="AX985" s="3">
        <v>0</v>
      </c>
      <c r="AY985" s="3">
        <v>0</v>
      </c>
      <c r="AZ985" s="3">
        <v>0</v>
      </c>
      <c r="BA985" s="3">
        <v>0</v>
      </c>
      <c r="BC985" s="17" t="s">
        <v>5039</v>
      </c>
      <c r="BD985" s="3">
        <v>0</v>
      </c>
      <c r="BE985" s="3">
        <v>0</v>
      </c>
      <c r="BF985" s="3">
        <v>0</v>
      </c>
      <c r="BG985" s="3">
        <v>0</v>
      </c>
      <c r="BH985" s="3">
        <v>0</v>
      </c>
      <c r="BI985" s="3">
        <v>0</v>
      </c>
      <c r="BJ985" s="3">
        <v>0</v>
      </c>
      <c r="BK985" s="3">
        <v>0</v>
      </c>
      <c r="BL985" s="3">
        <v>0</v>
      </c>
      <c r="BM985" s="3">
        <v>0</v>
      </c>
      <c r="BN985" s="3">
        <v>0</v>
      </c>
      <c r="BO985" s="3">
        <v>0</v>
      </c>
      <c r="BP985" s="3">
        <v>0</v>
      </c>
      <c r="BQ985" s="3">
        <v>0</v>
      </c>
      <c r="BR985" s="3">
        <v>0</v>
      </c>
      <c r="BS985" s="3">
        <v>0</v>
      </c>
      <c r="BT985" s="3">
        <v>0</v>
      </c>
      <c r="BU985" s="3">
        <v>0</v>
      </c>
      <c r="BV985" s="3">
        <v>0</v>
      </c>
      <c r="BW985" s="3">
        <v>0</v>
      </c>
      <c r="BY985" s="17" t="s">
        <v>5040</v>
      </c>
      <c r="BZ985" s="3">
        <v>0</v>
      </c>
      <c r="CA985" s="3">
        <v>0</v>
      </c>
      <c r="CB985" s="3">
        <v>0</v>
      </c>
      <c r="CC985" s="3">
        <v>0</v>
      </c>
      <c r="CD985" s="3">
        <v>0</v>
      </c>
      <c r="CE985" s="3">
        <v>0</v>
      </c>
      <c r="CF985" s="3">
        <v>0</v>
      </c>
      <c r="CG985" s="3">
        <v>0</v>
      </c>
      <c r="CH985" s="3">
        <v>0</v>
      </c>
      <c r="CI985" s="3">
        <v>0</v>
      </c>
      <c r="CJ985" s="3">
        <v>0</v>
      </c>
      <c r="CK985" s="3">
        <v>0</v>
      </c>
      <c r="CL985" s="3">
        <v>0</v>
      </c>
      <c r="CM985" s="3">
        <v>0</v>
      </c>
      <c r="CN985" s="3">
        <v>0</v>
      </c>
      <c r="CO985" s="3">
        <v>0</v>
      </c>
      <c r="CP985" s="3">
        <v>0</v>
      </c>
      <c r="CQ985" s="3">
        <v>0</v>
      </c>
      <c r="CR985" s="3">
        <v>0</v>
      </c>
      <c r="CS985" s="3">
        <v>0</v>
      </c>
      <c r="CU985" s="17" t="s">
        <v>5041</v>
      </c>
      <c r="CV985" s="3">
        <v>0</v>
      </c>
      <c r="CW985" s="3">
        <v>0</v>
      </c>
      <c r="CX985" s="3">
        <v>0</v>
      </c>
      <c r="CY985" s="3">
        <v>0</v>
      </c>
      <c r="CZ985" s="3">
        <v>0</v>
      </c>
      <c r="DA985" s="3">
        <v>0</v>
      </c>
      <c r="DB985" s="3">
        <v>0</v>
      </c>
      <c r="DC985" s="3">
        <v>0</v>
      </c>
      <c r="DD985" s="3">
        <v>0</v>
      </c>
      <c r="DE985" s="3">
        <v>0</v>
      </c>
      <c r="DF985" s="3">
        <v>0</v>
      </c>
      <c r="DG985" s="3">
        <v>0</v>
      </c>
      <c r="DH985" s="3">
        <v>0</v>
      </c>
      <c r="DI985" s="3">
        <v>0</v>
      </c>
      <c r="DJ985" s="3">
        <v>0</v>
      </c>
      <c r="DK985" s="3">
        <v>0</v>
      </c>
      <c r="DL985" s="3">
        <v>0</v>
      </c>
      <c r="DM985" s="3">
        <v>0</v>
      </c>
      <c r="DN985" s="3">
        <v>0</v>
      </c>
      <c r="DO985" s="3">
        <v>0</v>
      </c>
    </row>
    <row r="986" spans="1:119" x14ac:dyDescent="0.45">
      <c r="A986" s="16" t="s">
        <v>5042</v>
      </c>
      <c r="B986" s="3" t="s">
        <v>89</v>
      </c>
      <c r="C986" s="16" t="s">
        <v>5043</v>
      </c>
      <c r="H986" s="3" t="s">
        <v>5044</v>
      </c>
      <c r="I986" s="3" t="s">
        <v>5036</v>
      </c>
      <c r="K986" s="17" t="s">
        <v>5045</v>
      </c>
      <c r="L986" s="3">
        <v>0</v>
      </c>
      <c r="M986" s="3">
        <v>0</v>
      </c>
      <c r="N986" s="3">
        <v>0</v>
      </c>
      <c r="O986" s="3">
        <v>0</v>
      </c>
      <c r="P986" s="3">
        <v>0</v>
      </c>
      <c r="Q986" s="3">
        <v>0</v>
      </c>
      <c r="R986" s="3">
        <v>0</v>
      </c>
      <c r="S986" s="3">
        <v>0</v>
      </c>
      <c r="T986" s="3">
        <v>0</v>
      </c>
      <c r="U986" s="3">
        <v>0</v>
      </c>
      <c r="V986" s="3">
        <v>0</v>
      </c>
      <c r="W986" s="3">
        <v>0</v>
      </c>
      <c r="X986" s="3">
        <v>0</v>
      </c>
      <c r="Y986" s="3">
        <v>0</v>
      </c>
      <c r="Z986" s="3">
        <v>0</v>
      </c>
      <c r="AA986" s="3">
        <v>0</v>
      </c>
      <c r="AB986" s="3">
        <v>0</v>
      </c>
      <c r="AC986" s="3">
        <v>0</v>
      </c>
      <c r="AD986" s="3">
        <v>0</v>
      </c>
      <c r="AE986" s="3">
        <v>0</v>
      </c>
      <c r="AG986" s="17" t="s">
        <v>5046</v>
      </c>
      <c r="AH986" s="3">
        <v>0</v>
      </c>
      <c r="AI986" s="3">
        <v>0</v>
      </c>
      <c r="AJ986" s="3">
        <v>0</v>
      </c>
      <c r="AK986" s="3">
        <v>0</v>
      </c>
      <c r="AL986" s="3">
        <v>0</v>
      </c>
      <c r="AM986" s="3">
        <v>0</v>
      </c>
      <c r="AN986" s="3">
        <v>0</v>
      </c>
      <c r="AO986" s="3">
        <v>0</v>
      </c>
      <c r="AP986" s="3">
        <v>0</v>
      </c>
      <c r="AQ986" s="3">
        <v>0</v>
      </c>
      <c r="AR986" s="3">
        <v>0</v>
      </c>
      <c r="AS986" s="3">
        <v>0</v>
      </c>
      <c r="AT986" s="3">
        <v>0</v>
      </c>
      <c r="AU986" s="3">
        <v>0</v>
      </c>
      <c r="AV986" s="3">
        <v>0</v>
      </c>
      <c r="AW986" s="3">
        <v>0</v>
      </c>
      <c r="AX986" s="3">
        <v>0</v>
      </c>
      <c r="AY986" s="3">
        <v>0</v>
      </c>
      <c r="AZ986" s="3">
        <v>0</v>
      </c>
      <c r="BA986" s="3">
        <v>0</v>
      </c>
      <c r="BC986" s="17" t="s">
        <v>5047</v>
      </c>
      <c r="BD986" s="3">
        <v>0</v>
      </c>
      <c r="BE986" s="3">
        <v>0</v>
      </c>
      <c r="BF986" s="3">
        <v>0</v>
      </c>
      <c r="BG986" s="3">
        <v>0</v>
      </c>
      <c r="BH986" s="3">
        <v>0</v>
      </c>
      <c r="BI986" s="3">
        <v>0</v>
      </c>
      <c r="BJ986" s="3">
        <v>0</v>
      </c>
      <c r="BK986" s="3">
        <v>0</v>
      </c>
      <c r="BL986" s="3">
        <v>0</v>
      </c>
      <c r="BM986" s="3">
        <v>0</v>
      </c>
      <c r="BN986" s="3">
        <v>0</v>
      </c>
      <c r="BO986" s="3">
        <v>0</v>
      </c>
      <c r="BP986" s="3">
        <v>0</v>
      </c>
      <c r="BQ986" s="3">
        <v>0</v>
      </c>
      <c r="BR986" s="3">
        <v>0</v>
      </c>
      <c r="BS986" s="3">
        <v>0</v>
      </c>
      <c r="BT986" s="3">
        <v>0</v>
      </c>
      <c r="BU986" s="3">
        <v>0</v>
      </c>
      <c r="BV986" s="3">
        <v>0</v>
      </c>
      <c r="BW986" s="3">
        <v>0</v>
      </c>
      <c r="BY986" s="17" t="s">
        <v>5048</v>
      </c>
      <c r="BZ986" s="3">
        <v>0</v>
      </c>
      <c r="CA986" s="3">
        <v>0</v>
      </c>
      <c r="CB986" s="3">
        <v>0</v>
      </c>
      <c r="CC986" s="3">
        <v>0</v>
      </c>
      <c r="CD986" s="3">
        <v>0</v>
      </c>
      <c r="CE986" s="3">
        <v>0</v>
      </c>
      <c r="CF986" s="3">
        <v>0</v>
      </c>
      <c r="CG986" s="3">
        <v>0</v>
      </c>
      <c r="CH986" s="3">
        <v>0</v>
      </c>
      <c r="CI986" s="3">
        <v>0</v>
      </c>
      <c r="CJ986" s="3">
        <v>0</v>
      </c>
      <c r="CK986" s="3">
        <v>0</v>
      </c>
      <c r="CL986" s="3">
        <v>0</v>
      </c>
      <c r="CM986" s="3">
        <v>0</v>
      </c>
      <c r="CN986" s="3">
        <v>0</v>
      </c>
      <c r="CO986" s="3">
        <v>0</v>
      </c>
      <c r="CP986" s="3">
        <v>0</v>
      </c>
      <c r="CQ986" s="3">
        <v>0</v>
      </c>
      <c r="CR986" s="3">
        <v>0</v>
      </c>
      <c r="CS986" s="3">
        <v>0</v>
      </c>
      <c r="CU986" s="17" t="s">
        <v>5049</v>
      </c>
      <c r="CV986" s="3">
        <v>0</v>
      </c>
      <c r="CW986" s="3">
        <v>0</v>
      </c>
      <c r="CX986" s="3">
        <v>0</v>
      </c>
      <c r="CY986" s="3">
        <v>0</v>
      </c>
      <c r="CZ986" s="3">
        <v>0</v>
      </c>
      <c r="DA986" s="3">
        <v>0</v>
      </c>
      <c r="DB986" s="3">
        <v>0</v>
      </c>
      <c r="DC986" s="3">
        <v>0</v>
      </c>
      <c r="DD986" s="3">
        <v>0</v>
      </c>
      <c r="DE986" s="3">
        <v>0</v>
      </c>
      <c r="DF986" s="3">
        <v>0</v>
      </c>
      <c r="DG986" s="3">
        <v>0</v>
      </c>
      <c r="DH986" s="3">
        <v>0</v>
      </c>
      <c r="DI986" s="3">
        <v>0</v>
      </c>
      <c r="DJ986" s="3">
        <v>0</v>
      </c>
      <c r="DK986" s="3">
        <v>0</v>
      </c>
      <c r="DL986" s="3">
        <v>0</v>
      </c>
      <c r="DM986" s="3">
        <v>0</v>
      </c>
      <c r="DN986" s="3">
        <v>0</v>
      </c>
      <c r="DO986" s="3">
        <v>0</v>
      </c>
    </row>
    <row r="987" spans="1:119" x14ac:dyDescent="0.45">
      <c r="A987" s="11"/>
      <c r="B987" s="3" t="s">
        <v>89</v>
      </c>
      <c r="C987" s="16" t="s">
        <v>5050</v>
      </c>
      <c r="H987" s="11" t="s">
        <v>5051</v>
      </c>
      <c r="I987" s="11"/>
    </row>
    <row r="988" spans="1:119" x14ac:dyDescent="0.45">
      <c r="A988" s="11"/>
      <c r="B988" s="3" t="s">
        <v>89</v>
      </c>
      <c r="C988" s="16" t="s">
        <v>5052</v>
      </c>
      <c r="H988" s="11" t="s">
        <v>5053</v>
      </c>
      <c r="I988" s="11"/>
    </row>
    <row r="989" spans="1:119" x14ac:dyDescent="0.45">
      <c r="A989" s="11"/>
      <c r="B989" s="3" t="s">
        <v>89</v>
      </c>
      <c r="C989" s="16" t="s">
        <v>5054</v>
      </c>
      <c r="H989" s="11" t="s">
        <v>5055</v>
      </c>
      <c r="I989" s="11"/>
    </row>
    <row r="990" spans="1:119" x14ac:dyDescent="0.45">
      <c r="A990" s="11"/>
      <c r="B990" s="3" t="s">
        <v>89</v>
      </c>
      <c r="C990" s="16" t="s">
        <v>5056</v>
      </c>
      <c r="H990" s="11" t="s">
        <v>5057</v>
      </c>
      <c r="I990" s="11"/>
    </row>
    <row r="991" spans="1:119" x14ac:dyDescent="0.45">
      <c r="A991" s="11"/>
      <c r="B991" s="3" t="s">
        <v>89</v>
      </c>
      <c r="C991" s="16" t="s">
        <v>5058</v>
      </c>
      <c r="H991" s="11" t="s">
        <v>5059</v>
      </c>
      <c r="I991" s="11"/>
    </row>
    <row r="992" spans="1:119" x14ac:dyDescent="0.45">
      <c r="A992" s="11"/>
      <c r="B992" s="3" t="s">
        <v>89</v>
      </c>
      <c r="C992" s="16" t="s">
        <v>5060</v>
      </c>
      <c r="H992" s="11" t="s">
        <v>5061</v>
      </c>
      <c r="I992" s="11"/>
    </row>
    <row r="993" spans="1:230" ht="15.4" x14ac:dyDescent="0.45">
      <c r="A993" s="5"/>
      <c r="B993" s="15" t="s">
        <v>5062</v>
      </c>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row>
    <row r="994" spans="1:230" x14ac:dyDescent="0.45">
      <c r="A994" s="11"/>
      <c r="B994" s="3" t="s">
        <v>89</v>
      </c>
      <c r="C994" s="16" t="s">
        <v>5063</v>
      </c>
      <c r="H994" s="11" t="s">
        <v>5064</v>
      </c>
      <c r="I994" s="11"/>
    </row>
    <row r="995" spans="1:230" x14ac:dyDescent="0.45">
      <c r="A995" s="11"/>
      <c r="B995" s="3" t="s">
        <v>89</v>
      </c>
      <c r="C995" s="16" t="s">
        <v>5065</v>
      </c>
      <c r="H995" s="11" t="s">
        <v>5066</v>
      </c>
      <c r="I995" s="11"/>
    </row>
    <row r="996" spans="1:230" x14ac:dyDescent="0.45">
      <c r="A996" s="11"/>
      <c r="B996" s="3" t="s">
        <v>89</v>
      </c>
      <c r="C996" s="16" t="s">
        <v>5067</v>
      </c>
      <c r="H996" s="11" t="s">
        <v>5068</v>
      </c>
      <c r="I996" s="11"/>
    </row>
    <row r="997" spans="1:230" x14ac:dyDescent="0.45">
      <c r="A997" s="16" t="s">
        <v>5069</v>
      </c>
      <c r="B997" s="3" t="s">
        <v>89</v>
      </c>
      <c r="C997" s="16" t="s">
        <v>5070</v>
      </c>
      <c r="H997" s="3" t="s">
        <v>5071</v>
      </c>
      <c r="I997" s="3" t="s">
        <v>5072</v>
      </c>
      <c r="K997" s="17" t="s">
        <v>5073</v>
      </c>
      <c r="L997" s="3">
        <v>40.263836831200663</v>
      </c>
      <c r="M997" s="3">
        <v>34.124368833958663</v>
      </c>
      <c r="N997" s="3">
        <v>32.642701340688163</v>
      </c>
      <c r="O997" s="3">
        <v>29.0620892646775</v>
      </c>
      <c r="P997" s="3">
        <v>31.90807045868987</v>
      </c>
      <c r="Q997" s="3">
        <v>29.85943647669859</v>
      </c>
      <c r="R997" s="3">
        <v>29.70341326459895</v>
      </c>
      <c r="S997" s="3">
        <v>29.874968608935941</v>
      </c>
      <c r="T997" s="3">
        <v>30.082218552680981</v>
      </c>
      <c r="U997" s="3">
        <v>30.164394115230809</v>
      </c>
      <c r="V997" s="3">
        <v>30.639243866269741</v>
      </c>
      <c r="W997" s="3">
        <v>31.134880992799179</v>
      </c>
      <c r="X997" s="3">
        <v>31.65349557476782</v>
      </c>
      <c r="Y997" s="3">
        <v>32.196594698691712</v>
      </c>
      <c r="Z997" s="3">
        <v>32.765474806950863</v>
      </c>
      <c r="AA997" s="3">
        <v>33.361452177630689</v>
      </c>
      <c r="AB997" s="3">
        <v>33.987298396810857</v>
      </c>
      <c r="AC997" s="3">
        <v>34.64453662391054</v>
      </c>
      <c r="AD997" s="3">
        <v>35.334581602114078</v>
      </c>
      <c r="AE997" s="3">
        <v>35.997577556424993</v>
      </c>
      <c r="AG997" s="17" t="s">
        <v>5074</v>
      </c>
      <c r="AH997" s="3">
        <v>40.263836831200663</v>
      </c>
      <c r="AI997" s="3">
        <v>34.124368833958663</v>
      </c>
      <c r="AJ997" s="3">
        <v>32.642701340688163</v>
      </c>
      <c r="AK997" s="3">
        <v>29.0620892646775</v>
      </c>
      <c r="AL997" s="3">
        <v>31.90807046045574</v>
      </c>
      <c r="AM997" s="3">
        <v>29.858870103582191</v>
      </c>
      <c r="AN997" s="3">
        <v>29.715539524226791</v>
      </c>
      <c r="AO997" s="3">
        <v>29.900588111346881</v>
      </c>
      <c r="AP997" s="3">
        <v>30.122005898606201</v>
      </c>
      <c r="AQ997" s="3">
        <v>30.217985435830691</v>
      </c>
      <c r="AR997" s="3">
        <v>30.707471152778041</v>
      </c>
      <c r="AS997" s="3">
        <v>31.21816019731952</v>
      </c>
      <c r="AT997" s="3">
        <v>31.752323754923289</v>
      </c>
      <c r="AU997" s="3">
        <v>32.311590624254769</v>
      </c>
      <c r="AV997" s="3">
        <v>32.897304869883968</v>
      </c>
      <c r="AW997" s="3">
        <v>33.510817417775122</v>
      </c>
      <c r="AX997" s="3">
        <v>34.155082399242353</v>
      </c>
      <c r="AY997" s="3">
        <v>34.831702506932373</v>
      </c>
      <c r="AZ997" s="3">
        <v>35.54219588857751</v>
      </c>
      <c r="BA997" s="3">
        <v>36.226768457671412</v>
      </c>
      <c r="BC997" s="17" t="s">
        <v>5075</v>
      </c>
      <c r="BD997" s="3">
        <v>40.263836831200663</v>
      </c>
      <c r="BE997" s="3">
        <v>34.124368833958663</v>
      </c>
      <c r="BF997" s="3">
        <v>32.642701340688163</v>
      </c>
      <c r="BG997" s="3">
        <v>29.0620892646775</v>
      </c>
      <c r="BH997" s="3">
        <v>31.908070464577388</v>
      </c>
      <c r="BI997" s="3">
        <v>29.859146540818209</v>
      </c>
      <c r="BJ997" s="3">
        <v>29.709212666371929</v>
      </c>
      <c r="BK997" s="3">
        <v>29.89618246342566</v>
      </c>
      <c r="BL997" s="3">
        <v>30.128721138435299</v>
      </c>
      <c r="BM997" s="3">
        <v>30.245217874966201</v>
      </c>
      <c r="BN997" s="3">
        <v>30.765136953593441</v>
      </c>
      <c r="BO997" s="3">
        <v>31.316634399620671</v>
      </c>
      <c r="BP997" s="3">
        <v>31.902494875533922</v>
      </c>
      <c r="BQ997" s="3">
        <v>32.524893615444512</v>
      </c>
      <c r="BR997" s="3">
        <v>33.185880570731896</v>
      </c>
      <c r="BS997" s="3">
        <v>33.887559950706382</v>
      </c>
      <c r="BT997" s="3">
        <v>34.633847270857643</v>
      </c>
      <c r="BU997" s="3">
        <v>35.42739431507281</v>
      </c>
      <c r="BV997" s="3">
        <v>36.270860951640522</v>
      </c>
      <c r="BW997" s="3">
        <v>37.105754890778307</v>
      </c>
      <c r="BY997" s="17" t="s">
        <v>5076</v>
      </c>
      <c r="BZ997" s="3">
        <v>40.263836831200663</v>
      </c>
      <c r="CA997" s="3">
        <v>34.124368833958663</v>
      </c>
      <c r="CB997" s="3">
        <v>32.642701340688163</v>
      </c>
      <c r="CC997" s="3">
        <v>29.0620892646775</v>
      </c>
      <c r="CD997" s="3">
        <v>31.908070468800879</v>
      </c>
      <c r="CE997" s="3">
        <v>29.858736535175229</v>
      </c>
      <c r="CF997" s="3">
        <v>29.71840352786489</v>
      </c>
      <c r="CG997" s="3">
        <v>29.906641848509668</v>
      </c>
      <c r="CH997" s="3">
        <v>30.131368711958551</v>
      </c>
      <c r="CI997" s="3">
        <v>30.230562639119618</v>
      </c>
      <c r="CJ997" s="3">
        <v>30.723457711774191</v>
      </c>
      <c r="CK997" s="3">
        <v>31.237665623559099</v>
      </c>
      <c r="CL997" s="3">
        <v>31.775526340586541</v>
      </c>
      <c r="CM997" s="3">
        <v>32.338663216341757</v>
      </c>
      <c r="CN997" s="3">
        <v>32.928431522658833</v>
      </c>
      <c r="CO997" s="3">
        <v>33.546199025184173</v>
      </c>
      <c r="CP997" s="3">
        <v>34.194933042814768</v>
      </c>
      <c r="CQ997" s="3">
        <v>34.876239725872829</v>
      </c>
      <c r="CR997" s="3">
        <v>35.591651153339768</v>
      </c>
      <c r="CS997" s="3">
        <v>36.281386560266128</v>
      </c>
      <c r="CU997" s="17" t="s">
        <v>5077</v>
      </c>
      <c r="CV997" s="3">
        <v>40.263836831200663</v>
      </c>
      <c r="CW997" s="3">
        <v>34.124368833958663</v>
      </c>
      <c r="CX997" s="3">
        <v>32.642701340688163</v>
      </c>
      <c r="CY997" s="3">
        <v>29.0620892646775</v>
      </c>
      <c r="CZ997" s="3">
        <v>31.908070462813448</v>
      </c>
      <c r="DA997" s="3">
        <v>29.85810886110383</v>
      </c>
      <c r="DB997" s="3">
        <v>29.732135283018341</v>
      </c>
      <c r="DC997" s="3">
        <v>29.935635135592779</v>
      </c>
      <c r="DD997" s="3">
        <v>30.17641231208977</v>
      </c>
      <c r="DE997" s="3">
        <v>30.29125695667048</v>
      </c>
      <c r="DF997" s="3">
        <v>30.80074538208456</v>
      </c>
      <c r="DG997" s="3">
        <v>31.332007487324859</v>
      </c>
      <c r="DH997" s="3">
        <v>31.88743962439997</v>
      </c>
      <c r="DI997" s="3">
        <v>32.468816995354928</v>
      </c>
      <c r="DJ997" s="3">
        <v>33.07755620336377</v>
      </c>
      <c r="DK997" s="3">
        <v>33.715055231149847</v>
      </c>
      <c r="DL997" s="3">
        <v>34.384512547812172</v>
      </c>
      <c r="DM997" s="3">
        <v>35.087631459037233</v>
      </c>
      <c r="DN997" s="3">
        <v>35.8260713800546</v>
      </c>
      <c r="DO997" s="3">
        <v>36.540123255983232</v>
      </c>
    </row>
    <row r="998" spans="1:230" x14ac:dyDescent="0.45">
      <c r="A998" s="16" t="s">
        <v>5078</v>
      </c>
      <c r="B998" s="3" t="s">
        <v>89</v>
      </c>
      <c r="C998" s="16" t="s">
        <v>5079</v>
      </c>
      <c r="H998" s="3" t="s">
        <v>5080</v>
      </c>
      <c r="I998" s="3" t="s">
        <v>5081</v>
      </c>
      <c r="K998" s="17" t="s">
        <v>5082</v>
      </c>
      <c r="L998" s="3">
        <v>306.84818094360429</v>
      </c>
      <c r="M998" s="3">
        <v>334.85635391649379</v>
      </c>
      <c r="N998" s="3">
        <v>424.13735943224083</v>
      </c>
      <c r="O998" s="3">
        <v>434.71879084367151</v>
      </c>
      <c r="P998" s="3">
        <v>444.9750006645852</v>
      </c>
      <c r="Q998" s="3">
        <v>457.18408278135342</v>
      </c>
      <c r="R998" s="3">
        <v>471.78470905888702</v>
      </c>
      <c r="S998" s="3">
        <v>485.66781459866797</v>
      </c>
      <c r="T998" s="3">
        <v>498.5315292047012</v>
      </c>
      <c r="U998" s="3">
        <v>511.45901600868461</v>
      </c>
      <c r="V998" s="3">
        <v>524.49828638705844</v>
      </c>
      <c r="W998" s="3">
        <v>537.64468369500298</v>
      </c>
      <c r="X998" s="3">
        <v>550.89350992577556</v>
      </c>
      <c r="Y998" s="3">
        <v>564.24002601638472</v>
      </c>
      <c r="Z998" s="3">
        <v>577.67945160777276</v>
      </c>
      <c r="AA998" s="3">
        <v>591.20696426894108</v>
      </c>
      <c r="AB998" s="3">
        <v>604.81769819505894</v>
      </c>
      <c r="AC998" s="3">
        <v>618.50674239005957</v>
      </c>
      <c r="AD998" s="3">
        <v>632.26913834452591</v>
      </c>
      <c r="AE998" s="3">
        <v>646.09987721986829</v>
      </c>
      <c r="AG998" s="17" t="s">
        <v>5083</v>
      </c>
      <c r="AH998" s="3">
        <v>306.84818094360429</v>
      </c>
      <c r="AI998" s="3">
        <v>334.85635391649379</v>
      </c>
      <c r="AJ998" s="3">
        <v>424.13735943224083</v>
      </c>
      <c r="AK998" s="3">
        <v>434.71879084367151</v>
      </c>
      <c r="AL998" s="3">
        <v>444.9750006645852</v>
      </c>
      <c r="AM998" s="3">
        <v>419.44784217253408</v>
      </c>
      <c r="AN998" s="3">
        <v>432.84326678017902</v>
      </c>
      <c r="AO998" s="3">
        <v>445.7616052462576</v>
      </c>
      <c r="AP998" s="3">
        <v>457.1507196474351</v>
      </c>
      <c r="AQ998" s="3">
        <v>469.07876028191271</v>
      </c>
      <c r="AR998" s="3">
        <v>480.86335088159922</v>
      </c>
      <c r="AS998" s="3">
        <v>493.1499708759178</v>
      </c>
      <c r="AT998" s="3">
        <v>505.73283938507888</v>
      </c>
      <c r="AU998" s="3">
        <v>518.32074855774715</v>
      </c>
      <c r="AV998" s="3">
        <v>531.08776699091868</v>
      </c>
      <c r="AW998" s="3">
        <v>544.14821904363089</v>
      </c>
      <c r="AX998" s="3">
        <v>557.10754939242202</v>
      </c>
      <c r="AY998" s="3">
        <v>570.04427333550075</v>
      </c>
      <c r="AZ998" s="3">
        <v>582.81109567134718</v>
      </c>
      <c r="BA998" s="3">
        <v>595.57252922326188</v>
      </c>
      <c r="BC998" s="17" t="s">
        <v>5084</v>
      </c>
      <c r="BD998" s="3">
        <v>306.84818094360429</v>
      </c>
      <c r="BE998" s="3">
        <v>334.85635391649379</v>
      </c>
      <c r="BF998" s="3">
        <v>424.13735943224083</v>
      </c>
      <c r="BG998" s="3">
        <v>434.71879084367151</v>
      </c>
      <c r="BH998" s="3">
        <v>444.9750006645852</v>
      </c>
      <c r="BI998" s="3">
        <v>430.50329033634472</v>
      </c>
      <c r="BJ998" s="3">
        <v>413.56430568861401</v>
      </c>
      <c r="BK998" s="3">
        <v>399.49249882588163</v>
      </c>
      <c r="BL998" s="3">
        <v>386.96894897040232</v>
      </c>
      <c r="BM998" s="3">
        <v>381.21605094225339</v>
      </c>
      <c r="BN998" s="3">
        <v>376.22856252570398</v>
      </c>
      <c r="BO998" s="3">
        <v>372.07323133228698</v>
      </c>
      <c r="BP998" s="3">
        <v>368.72963549870258</v>
      </c>
      <c r="BQ998" s="3">
        <v>366.03313146439513</v>
      </c>
      <c r="BR998" s="3">
        <v>363.90055733137928</v>
      </c>
      <c r="BS998" s="3">
        <v>362.3213699755438</v>
      </c>
      <c r="BT998" s="3">
        <v>361.16239849652408</v>
      </c>
      <c r="BU998" s="3">
        <v>360.33060934663422</v>
      </c>
      <c r="BV998" s="3">
        <v>359.68041118173721</v>
      </c>
      <c r="BW998" s="3">
        <v>359.16039339761858</v>
      </c>
      <c r="BY998" s="17" t="s">
        <v>5085</v>
      </c>
      <c r="BZ998" s="3">
        <v>306.84818094360429</v>
      </c>
      <c r="CA998" s="3">
        <v>334.85635391649379</v>
      </c>
      <c r="CB998" s="3">
        <v>424.13735943224083</v>
      </c>
      <c r="CC998" s="3">
        <v>434.71879084367151</v>
      </c>
      <c r="CD998" s="3">
        <v>444.9750006645852</v>
      </c>
      <c r="CE998" s="3">
        <v>411.20829793413782</v>
      </c>
      <c r="CF998" s="3">
        <v>424.34032490303338</v>
      </c>
      <c r="CG998" s="3">
        <v>436.97854824238772</v>
      </c>
      <c r="CH998" s="3">
        <v>448.16845987259791</v>
      </c>
      <c r="CI998" s="3">
        <v>459.94440082446448</v>
      </c>
      <c r="CJ998" s="3">
        <v>471.47824523652389</v>
      </c>
      <c r="CK998" s="3">
        <v>483.55337845542368</v>
      </c>
      <c r="CL998" s="3">
        <v>495.74863820150142</v>
      </c>
      <c r="CM998" s="3">
        <v>507.97664644111762</v>
      </c>
      <c r="CN998" s="3">
        <v>520.3743443241658</v>
      </c>
      <c r="CO998" s="3">
        <v>533.00713139717016</v>
      </c>
      <c r="CP998" s="3">
        <v>545.551952287272</v>
      </c>
      <c r="CQ998" s="3">
        <v>558.13574372178266</v>
      </c>
      <c r="CR998" s="3">
        <v>570.60187081718902</v>
      </c>
      <c r="CS998" s="3">
        <v>583.1535939249876</v>
      </c>
      <c r="CU998" s="17" t="s">
        <v>5086</v>
      </c>
      <c r="CV998" s="3">
        <v>306.84818094360429</v>
      </c>
      <c r="CW998" s="3">
        <v>334.85635391649379</v>
      </c>
      <c r="CX998" s="3">
        <v>424.13735943224083</v>
      </c>
      <c r="CY998" s="3">
        <v>434.71879084367151</v>
      </c>
      <c r="CZ998" s="3">
        <v>444.9750006645852</v>
      </c>
      <c r="DA998" s="3">
        <v>375.47682230738798</v>
      </c>
      <c r="DB998" s="3">
        <v>387.46792916238331</v>
      </c>
      <c r="DC998" s="3">
        <v>399.21703690743419</v>
      </c>
      <c r="DD998" s="3">
        <v>408.97782752640057</v>
      </c>
      <c r="DE998" s="3">
        <v>419.76183018362462</v>
      </c>
      <c r="DF998" s="3">
        <v>430.10150233692491</v>
      </c>
      <c r="DG998" s="3">
        <v>441.35699959138032</v>
      </c>
      <c r="DH998" s="3">
        <v>453.02434782525802</v>
      </c>
      <c r="DI998" s="3">
        <v>464.63137826134073</v>
      </c>
      <c r="DJ998" s="3">
        <v>476.48692179475051</v>
      </c>
      <c r="DK998" s="3">
        <v>488.82203456210351</v>
      </c>
      <c r="DL998" s="3">
        <v>500.87541249576537</v>
      </c>
      <c r="DM998" s="3">
        <v>512.83599023841077</v>
      </c>
      <c r="DN998" s="3">
        <v>524.40670598923418</v>
      </c>
      <c r="DO998" s="3">
        <v>535.92045086821406</v>
      </c>
    </row>
    <row r="999" spans="1:230" x14ac:dyDescent="0.45">
      <c r="A999" s="16" t="s">
        <v>5087</v>
      </c>
      <c r="B999" s="3" t="s">
        <v>89</v>
      </c>
      <c r="C999" s="16" t="s">
        <v>5088</v>
      </c>
      <c r="H999" s="3" t="s">
        <v>5089</v>
      </c>
      <c r="I999" s="3" t="s">
        <v>4288</v>
      </c>
      <c r="K999" s="17" t="s">
        <v>5090</v>
      </c>
      <c r="L999" s="3">
        <v>3.091293215158224</v>
      </c>
      <c r="M999" s="3">
        <v>3.853382691864617</v>
      </c>
      <c r="N999" s="3">
        <v>5.2607282786857628</v>
      </c>
      <c r="O999" s="3">
        <v>4.1122556519231832</v>
      </c>
      <c r="P999" s="3">
        <v>5.1196634127279914</v>
      </c>
      <c r="Q999" s="3">
        <v>4.2902232150380861</v>
      </c>
      <c r="R999" s="3">
        <v>4.1518755174128463</v>
      </c>
      <c r="S999" s="3">
        <v>4.1311634176404723</v>
      </c>
      <c r="T999" s="3">
        <v>4.1123175950846873</v>
      </c>
      <c r="U999" s="3">
        <v>4.0759914039545837</v>
      </c>
      <c r="V999" s="3">
        <v>4.1799057984858337</v>
      </c>
      <c r="W999" s="3">
        <v>4.2846739240696126</v>
      </c>
      <c r="X999" s="3">
        <v>4.3902583406872671</v>
      </c>
      <c r="Y999" s="3">
        <v>4.4966212811288937</v>
      </c>
      <c r="Z999" s="3">
        <v>4.6037246490821424</v>
      </c>
      <c r="AA999" s="3">
        <v>4.711530012949015</v>
      </c>
      <c r="AB999" s="3">
        <v>4.8199985954706444</v>
      </c>
      <c r="AC999" s="3">
        <v>4.9290912592437861</v>
      </c>
      <c r="AD999" s="3">
        <v>5.0387684882150934</v>
      </c>
      <c r="AE999" s="3">
        <v>5.1489903652408744</v>
      </c>
      <c r="AG999" s="17" t="s">
        <v>5091</v>
      </c>
      <c r="AH999" s="3">
        <v>3.091293215158224</v>
      </c>
      <c r="AI999" s="3">
        <v>3.853382691864617</v>
      </c>
      <c r="AJ999" s="3">
        <v>5.2607282786857628</v>
      </c>
      <c r="AK999" s="3">
        <v>4.1122556519231832</v>
      </c>
      <c r="AL999" s="3">
        <v>5.1196634127279914</v>
      </c>
      <c r="AM999" s="3">
        <v>3.383417097619025</v>
      </c>
      <c r="AN999" s="3">
        <v>3.2388376121911122</v>
      </c>
      <c r="AO999" s="3">
        <v>3.204354083397031</v>
      </c>
      <c r="AP999" s="3">
        <v>3.1686049512307162</v>
      </c>
      <c r="AQ999" s="3">
        <v>3.120163541841213</v>
      </c>
      <c r="AR999" s="3">
        <v>3.1985509109955279</v>
      </c>
      <c r="AS999" s="3">
        <v>3.2802776208889588</v>
      </c>
      <c r="AT999" s="3">
        <v>3.3639748821984909</v>
      </c>
      <c r="AU999" s="3">
        <v>3.447705672407289</v>
      </c>
      <c r="AV999" s="3">
        <v>3.5326278407639529</v>
      </c>
      <c r="AW999" s="3">
        <v>3.619501836743535</v>
      </c>
      <c r="AX999" s="3">
        <v>3.7057032031338468</v>
      </c>
      <c r="AY999" s="3">
        <v>3.7917541988638601</v>
      </c>
      <c r="AZ999" s="3">
        <v>3.876675062843145</v>
      </c>
      <c r="BA999" s="3">
        <v>3.961560082336212</v>
      </c>
      <c r="BC999" s="17" t="s">
        <v>5092</v>
      </c>
      <c r="BD999" s="3">
        <v>3.091293215158224</v>
      </c>
      <c r="BE999" s="3">
        <v>3.853382691864617</v>
      </c>
      <c r="BF999" s="3">
        <v>5.2607282786857628</v>
      </c>
      <c r="BG999" s="3">
        <v>4.1122556519231832</v>
      </c>
      <c r="BH999" s="3">
        <v>5.1196634127279914</v>
      </c>
      <c r="BI999" s="3">
        <v>3.75622226090394</v>
      </c>
      <c r="BJ999" s="3">
        <v>3.0037561875938148</v>
      </c>
      <c r="BK999" s="3">
        <v>2.4330870411479322</v>
      </c>
      <c r="BL999" s="3">
        <v>1.9173219690164911</v>
      </c>
      <c r="BM999" s="3">
        <v>1.4473855189984</v>
      </c>
      <c r="BN999" s="3">
        <v>1.0979556365741749</v>
      </c>
      <c r="BO999" s="3">
        <v>0.75898565906898796</v>
      </c>
      <c r="BP999" s="3">
        <v>0.42825887122461448</v>
      </c>
      <c r="BQ999" s="3">
        <v>0.103589499595865</v>
      </c>
      <c r="BR999" s="3">
        <v>0</v>
      </c>
      <c r="BS999" s="3">
        <v>0</v>
      </c>
      <c r="BT999" s="3">
        <v>0</v>
      </c>
      <c r="BU999" s="3">
        <v>0</v>
      </c>
      <c r="BV999" s="3">
        <v>0</v>
      </c>
      <c r="BW999" s="3">
        <v>0</v>
      </c>
      <c r="BY999" s="17" t="s">
        <v>5093</v>
      </c>
      <c r="BZ999" s="3">
        <v>3.091293215158224</v>
      </c>
      <c r="CA999" s="3">
        <v>3.853382691864617</v>
      </c>
      <c r="CB999" s="3">
        <v>5.2607282786857628</v>
      </c>
      <c r="CC999" s="3">
        <v>4.1122556519231832</v>
      </c>
      <c r="CD999" s="3">
        <v>5.1196634127279914</v>
      </c>
      <c r="CE999" s="3">
        <v>3.1814960474637868</v>
      </c>
      <c r="CF999" s="3">
        <v>3.0354288210375362</v>
      </c>
      <c r="CG999" s="3">
        <v>2.997270126626729</v>
      </c>
      <c r="CH999" s="3">
        <v>2.9587139426813511</v>
      </c>
      <c r="CI999" s="3">
        <v>2.9078923751546011</v>
      </c>
      <c r="CJ999" s="3">
        <v>2.9808124458455949</v>
      </c>
      <c r="CK999" s="3">
        <v>3.0571546901544142</v>
      </c>
      <c r="CL999" s="3">
        <v>3.1342564067207679</v>
      </c>
      <c r="CM999" s="3">
        <v>3.2115651680831618</v>
      </c>
      <c r="CN999" s="3">
        <v>3.2899467530724849</v>
      </c>
      <c r="CO999" s="3">
        <v>3.3698146352353988</v>
      </c>
      <c r="CP999" s="3">
        <v>3.449126371498779</v>
      </c>
      <c r="CQ999" s="3">
        <v>3.5286844900395331</v>
      </c>
      <c r="CR999" s="3">
        <v>3.607498702938877</v>
      </c>
      <c r="CS999" s="3">
        <v>3.6868540768814522</v>
      </c>
      <c r="CU999" s="17" t="s">
        <v>5094</v>
      </c>
      <c r="CV999" s="3">
        <v>3.091293215158224</v>
      </c>
      <c r="CW999" s="3">
        <v>3.853382691864617</v>
      </c>
      <c r="CX999" s="3">
        <v>5.2607282786857628</v>
      </c>
      <c r="CY999" s="3">
        <v>4.1122556519231832</v>
      </c>
      <c r="CZ999" s="3">
        <v>5.1196634127279914</v>
      </c>
      <c r="DA999" s="3">
        <v>2.2866062687030748</v>
      </c>
      <c r="DB999" s="3">
        <v>2.133482405461264</v>
      </c>
      <c r="DC999" s="3">
        <v>2.080721808185666</v>
      </c>
      <c r="DD999" s="3">
        <v>2.026369753034063</v>
      </c>
      <c r="DE999" s="3">
        <v>1.9624694391964801</v>
      </c>
      <c r="DF999" s="3">
        <v>2.0108094481088821</v>
      </c>
      <c r="DG999" s="3">
        <v>2.0634311202012832</v>
      </c>
      <c r="DH999" s="3">
        <v>2.117978276943552</v>
      </c>
      <c r="DI999" s="3">
        <v>2.1722434360712208</v>
      </c>
      <c r="DJ999" s="3">
        <v>2.227670442998464</v>
      </c>
      <c r="DK999" s="3">
        <v>2.2853395307866111</v>
      </c>
      <c r="DL999" s="3">
        <v>2.34169145259796</v>
      </c>
      <c r="DM999" s="3">
        <v>2.3976095151926642</v>
      </c>
      <c r="DN999" s="3">
        <v>2.4517048959963139</v>
      </c>
      <c r="DO999" s="3">
        <v>2.5055339267250458</v>
      </c>
    </row>
    <row r="1000" spans="1:230" x14ac:dyDescent="0.45">
      <c r="A1000" s="16" t="s">
        <v>5095</v>
      </c>
      <c r="B1000" s="3" t="s">
        <v>89</v>
      </c>
      <c r="C1000" s="16" t="s">
        <v>5096</v>
      </c>
      <c r="H1000" s="3" t="s">
        <v>5097</v>
      </c>
      <c r="I1000" s="3" t="s">
        <v>4288</v>
      </c>
      <c r="K1000" s="17" t="s">
        <v>5098</v>
      </c>
      <c r="L1000" s="3">
        <v>3.707451665099486</v>
      </c>
      <c r="M1000" s="3">
        <v>3.7799001085299859</v>
      </c>
      <c r="N1000" s="3">
        <v>4.7055074333042164</v>
      </c>
      <c r="O1000" s="3">
        <v>4.5460595916783451</v>
      </c>
      <c r="P1000" s="3">
        <v>5.0093157430590436</v>
      </c>
      <c r="Q1000" s="3">
        <v>5.1800687915685879</v>
      </c>
      <c r="R1000" s="3">
        <v>5.5472502739073226</v>
      </c>
      <c r="S1000" s="3">
        <v>5.9366953380691658</v>
      </c>
      <c r="T1000" s="3">
        <v>6.3255256676741283</v>
      </c>
      <c r="U1000" s="3">
        <v>6.6745463808075423</v>
      </c>
      <c r="V1000" s="3">
        <v>7.0937668985791689</v>
      </c>
      <c r="W1000" s="3">
        <v>7.5380467729828018</v>
      </c>
      <c r="X1000" s="3">
        <v>8.0095033358257748</v>
      </c>
      <c r="Y1000" s="3">
        <v>8.5099881135710209</v>
      </c>
      <c r="Z1000" s="3">
        <v>9.0413147385270332</v>
      </c>
      <c r="AA1000" s="3">
        <v>9.6053810673999198</v>
      </c>
      <c r="AB1000" s="3">
        <v>10.205038487052519</v>
      </c>
      <c r="AC1000" s="3">
        <v>10.84251886080582</v>
      </c>
      <c r="AD1000" s="3">
        <v>11.520069934355631</v>
      </c>
      <c r="AE1000" s="3">
        <v>12.200430362674849</v>
      </c>
      <c r="AG1000" s="17" t="s">
        <v>5099</v>
      </c>
      <c r="AH1000" s="3">
        <v>3.707451665099486</v>
      </c>
      <c r="AI1000" s="3">
        <v>3.7799001085299859</v>
      </c>
      <c r="AJ1000" s="3">
        <v>4.7055074333042164</v>
      </c>
      <c r="AK1000" s="3">
        <v>4.5460595916783451</v>
      </c>
      <c r="AL1000" s="3">
        <v>5.009315743844815</v>
      </c>
      <c r="AM1000" s="3">
        <v>4.7522653309362832</v>
      </c>
      <c r="AN1000" s="3">
        <v>5.0946250978494154</v>
      </c>
      <c r="AO1000" s="3">
        <v>5.460310901844263</v>
      </c>
      <c r="AP1000" s="3">
        <v>5.8186616860973954</v>
      </c>
      <c r="AQ1000" s="3">
        <v>6.1466220782466134</v>
      </c>
      <c r="AR1000" s="3">
        <v>6.5364184227649096</v>
      </c>
      <c r="AS1000" s="3">
        <v>6.95527783178765</v>
      </c>
      <c r="AT1000" s="3">
        <v>7.4028878716360031</v>
      </c>
      <c r="AU1000" s="3">
        <v>7.8770285759036023</v>
      </c>
      <c r="AV1000" s="3">
        <v>8.3821172899834835</v>
      </c>
      <c r="AW1000" s="3">
        <v>8.9220911583230329</v>
      </c>
      <c r="AX1000" s="3">
        <v>9.4935028670740227</v>
      </c>
      <c r="AY1000" s="3">
        <v>10.099657122191809</v>
      </c>
      <c r="AZ1000" s="3">
        <v>10.73993443223018</v>
      </c>
      <c r="BA1000" s="3">
        <v>11.382812371723441</v>
      </c>
      <c r="BC1000" s="17" t="s">
        <v>5100</v>
      </c>
      <c r="BD1000" s="3">
        <v>3.707451665099486</v>
      </c>
      <c r="BE1000" s="3">
        <v>3.7799001085299859</v>
      </c>
      <c r="BF1000" s="3">
        <v>4.7055074333042164</v>
      </c>
      <c r="BG1000" s="3">
        <v>4.5460595916783451</v>
      </c>
      <c r="BH1000" s="3">
        <v>5.009315745678844</v>
      </c>
      <c r="BI1000" s="3">
        <v>4.877640490914219</v>
      </c>
      <c r="BJ1000" s="3">
        <v>4.8650924975858008</v>
      </c>
      <c r="BK1000" s="3">
        <v>4.8917822218654043</v>
      </c>
      <c r="BL1000" s="3">
        <v>4.9279794326669366</v>
      </c>
      <c r="BM1000" s="3">
        <v>5.0056854167947797</v>
      </c>
      <c r="BN1000" s="3">
        <v>5.1358039323022142</v>
      </c>
      <c r="BO1000" s="3">
        <v>5.284277961037942</v>
      </c>
      <c r="BP1000" s="3">
        <v>5.4528154886572651</v>
      </c>
      <c r="BQ1000" s="3">
        <v>5.6407578422833824</v>
      </c>
      <c r="BR1000" s="3">
        <v>5.6317490759103261</v>
      </c>
      <c r="BS1000" s="3">
        <v>5.5432659229788532</v>
      </c>
      <c r="BT1000" s="3">
        <v>5.4778064865600262</v>
      </c>
      <c r="BU1000" s="3">
        <v>5.4346016818079379</v>
      </c>
      <c r="BV1000" s="3">
        <v>5.4122165876974444</v>
      </c>
      <c r="BW1000" s="3">
        <v>5.3887523069913916</v>
      </c>
      <c r="BY1000" s="17" t="s">
        <v>5101</v>
      </c>
      <c r="BZ1000" s="3">
        <v>3.707451665099486</v>
      </c>
      <c r="CA1000" s="3">
        <v>3.7799001085299859</v>
      </c>
      <c r="CB1000" s="3">
        <v>4.7055074333042164</v>
      </c>
      <c r="CC1000" s="3">
        <v>4.5460595916783451</v>
      </c>
      <c r="CD1000" s="3">
        <v>5.009315747558194</v>
      </c>
      <c r="CE1000" s="3">
        <v>4.6588579166541706</v>
      </c>
      <c r="CF1000" s="3">
        <v>4.9957596085152938</v>
      </c>
      <c r="CG1000" s="3">
        <v>5.3553691023799894</v>
      </c>
      <c r="CH1000" s="3">
        <v>5.7085306714370523</v>
      </c>
      <c r="CI1000" s="3">
        <v>6.0327138680521308</v>
      </c>
      <c r="CJ1000" s="3">
        <v>6.4163831593390324</v>
      </c>
      <c r="CK1000" s="3">
        <v>6.8293615351177568</v>
      </c>
      <c r="CL1000" s="3">
        <v>7.2682423659898578</v>
      </c>
      <c r="CM1000" s="3">
        <v>7.7335793420306853</v>
      </c>
      <c r="CN1000" s="3">
        <v>8.2292256773572845</v>
      </c>
      <c r="CO1000" s="3">
        <v>8.7582756827590078</v>
      </c>
      <c r="CP1000" s="3">
        <v>9.3183279946966397</v>
      </c>
      <c r="CQ1000" s="3">
        <v>9.9135276994833355</v>
      </c>
      <c r="CR1000" s="3">
        <v>10.543164374881529</v>
      </c>
      <c r="CS1000" s="3">
        <v>11.177307623113521</v>
      </c>
      <c r="CU1000" s="17" t="s">
        <v>5102</v>
      </c>
      <c r="CV1000" s="3">
        <v>3.707451665099486</v>
      </c>
      <c r="CW1000" s="3">
        <v>3.7799001085299859</v>
      </c>
      <c r="CX1000" s="3">
        <v>4.7055074333042164</v>
      </c>
      <c r="CY1000" s="3">
        <v>4.5460595916783451</v>
      </c>
      <c r="CZ1000" s="3">
        <v>5.0093157448939367</v>
      </c>
      <c r="DA1000" s="3">
        <v>4.2537960993238784</v>
      </c>
      <c r="DB1000" s="3">
        <v>4.5669814244777678</v>
      </c>
      <c r="DC1000" s="3">
        <v>4.9041593719171583</v>
      </c>
      <c r="DD1000" s="3">
        <v>5.2277631448831201</v>
      </c>
      <c r="DE1000" s="3">
        <v>5.5311491688001047</v>
      </c>
      <c r="DF1000" s="3">
        <v>5.8865254735654817</v>
      </c>
      <c r="DG1000" s="3">
        <v>6.2750485483615446</v>
      </c>
      <c r="DH1000" s="3">
        <v>6.6925548182212236</v>
      </c>
      <c r="DI1000" s="3">
        <v>7.1341523174359596</v>
      </c>
      <c r="DJ1000" s="3">
        <v>7.6062437619441399</v>
      </c>
      <c r="DK1000" s="3">
        <v>8.1147748882750808</v>
      </c>
      <c r="DL1000" s="3">
        <v>8.6501837869146794</v>
      </c>
      <c r="DM1000" s="3">
        <v>9.2173292096460333</v>
      </c>
      <c r="DN1000" s="3">
        <v>9.8125354173826231</v>
      </c>
      <c r="DO1000" s="3">
        <v>10.41065203902318</v>
      </c>
    </row>
    <row r="1001" spans="1:230" x14ac:dyDescent="0.45">
      <c r="A1001" s="11"/>
      <c r="B1001" s="3" t="s">
        <v>89</v>
      </c>
      <c r="C1001" s="16" t="s">
        <v>5103</v>
      </c>
      <c r="H1001" s="11" t="s">
        <v>5104</v>
      </c>
      <c r="I1001" s="11"/>
    </row>
    <row r="1002" spans="1:230" x14ac:dyDescent="0.45">
      <c r="A1002" s="11"/>
      <c r="B1002" s="3" t="s">
        <v>89</v>
      </c>
      <c r="C1002" s="16" t="s">
        <v>5105</v>
      </c>
      <c r="H1002" s="11" t="s">
        <v>5106</v>
      </c>
      <c r="I1002" s="11"/>
    </row>
    <row r="1003" spans="1:230" x14ac:dyDescent="0.45">
      <c r="A1003" s="11"/>
      <c r="B1003" s="3" t="s">
        <v>89</v>
      </c>
      <c r="C1003" s="16" t="s">
        <v>5107</v>
      </c>
      <c r="H1003" s="11" t="s">
        <v>5108</v>
      </c>
      <c r="I1003" s="11"/>
    </row>
    <row r="1004" spans="1:230" x14ac:dyDescent="0.45">
      <c r="A1004" s="16" t="s">
        <v>5109</v>
      </c>
      <c r="B1004" s="3" t="s">
        <v>89</v>
      </c>
      <c r="C1004" s="16" t="s">
        <v>5110</v>
      </c>
      <c r="H1004" s="3" t="s">
        <v>5111</v>
      </c>
      <c r="I1004" s="3" t="s">
        <v>5072</v>
      </c>
      <c r="K1004" s="17" t="s">
        <v>5112</v>
      </c>
      <c r="L1004" s="3">
        <v>41.906886764145689</v>
      </c>
      <c r="M1004" s="3">
        <v>36.128977760555188</v>
      </c>
      <c r="N1004" s="3">
        <v>33.814200243137208</v>
      </c>
      <c r="O1004" s="3">
        <v>29.823445109494969</v>
      </c>
      <c r="P1004" s="3">
        <v>32.489930844932751</v>
      </c>
      <c r="Q1004" s="3">
        <v>30.75954760655069</v>
      </c>
      <c r="R1004" s="3">
        <v>30.77561110575796</v>
      </c>
      <c r="S1004" s="3">
        <v>31.068974977494801</v>
      </c>
      <c r="T1004" s="3">
        <v>31.385821607474529</v>
      </c>
      <c r="U1004" s="3">
        <v>31.483370367198859</v>
      </c>
      <c r="V1004" s="3">
        <v>31.974286896916311</v>
      </c>
      <c r="W1004" s="3">
        <v>32.484549595816667</v>
      </c>
      <c r="X1004" s="3">
        <v>33.014698507694249</v>
      </c>
      <c r="Y1004" s="3">
        <v>33.564980259396471</v>
      </c>
      <c r="Z1004" s="3">
        <v>34.135533349864453</v>
      </c>
      <c r="AA1004" s="3">
        <v>34.727392263524457</v>
      </c>
      <c r="AB1004" s="3">
        <v>35.341040080763371</v>
      </c>
      <c r="AC1004" s="3">
        <v>35.97696837245978</v>
      </c>
      <c r="AD1004" s="3">
        <v>36.635632535202809</v>
      </c>
      <c r="AE1004" s="3">
        <v>37.069630335842817</v>
      </c>
      <c r="AG1004" s="17" t="s">
        <v>5113</v>
      </c>
      <c r="AH1004" s="3">
        <v>41.906886764145689</v>
      </c>
      <c r="AI1004" s="3">
        <v>36.128977760555188</v>
      </c>
      <c r="AJ1004" s="3">
        <v>33.814200243137208</v>
      </c>
      <c r="AK1004" s="3">
        <v>29.823445109494969</v>
      </c>
      <c r="AL1004" s="3">
        <v>32.489930844937348</v>
      </c>
      <c r="AM1004" s="3">
        <v>30.914140017414422</v>
      </c>
      <c r="AN1004" s="3">
        <v>30.958462076641471</v>
      </c>
      <c r="AO1004" s="3">
        <v>31.278979974922191</v>
      </c>
      <c r="AP1004" s="3">
        <v>31.6217429065271</v>
      </c>
      <c r="AQ1004" s="3">
        <v>31.744744206774609</v>
      </c>
      <c r="AR1004" s="3">
        <v>32.259846093431193</v>
      </c>
      <c r="AS1004" s="3">
        <v>32.793567106607448</v>
      </c>
      <c r="AT1004" s="3">
        <v>33.346647185603587</v>
      </c>
      <c r="AU1004" s="3">
        <v>33.919298732785052</v>
      </c>
      <c r="AV1004" s="3">
        <v>34.51174665443137</v>
      </c>
      <c r="AW1004" s="3">
        <v>35.125167588923127</v>
      </c>
      <c r="AX1004" s="3">
        <v>35.760110490434947</v>
      </c>
      <c r="AY1004" s="3">
        <v>36.417134112661699</v>
      </c>
      <c r="AZ1004" s="3">
        <v>37.096731321790642</v>
      </c>
      <c r="BA1004" s="3">
        <v>37.55321330363013</v>
      </c>
      <c r="BC1004" s="17" t="s">
        <v>5114</v>
      </c>
      <c r="BD1004" s="3">
        <v>41.906886764145689</v>
      </c>
      <c r="BE1004" s="3">
        <v>36.128977760555188</v>
      </c>
      <c r="BF1004" s="3">
        <v>33.814200243137208</v>
      </c>
      <c r="BG1004" s="3">
        <v>29.823445109494969</v>
      </c>
      <c r="BH1004" s="3">
        <v>32.489930844948077</v>
      </c>
      <c r="BI1004" s="3">
        <v>30.848323591186301</v>
      </c>
      <c r="BJ1004" s="3">
        <v>30.985509714181621</v>
      </c>
      <c r="BK1004" s="3">
        <v>31.407391442940529</v>
      </c>
      <c r="BL1004" s="3">
        <v>31.861167654539521</v>
      </c>
      <c r="BM1004" s="3">
        <v>32.093940763794578</v>
      </c>
      <c r="BN1004" s="3">
        <v>32.73171987564757</v>
      </c>
      <c r="BO1004" s="3">
        <v>33.400190817807001</v>
      </c>
      <c r="BP1004" s="3">
        <v>34.100496830108142</v>
      </c>
      <c r="BQ1004" s="3">
        <v>34.832778280277871</v>
      </c>
      <c r="BR1004" s="3">
        <v>35.597161607900311</v>
      </c>
      <c r="BS1004" s="3">
        <v>36.394911220966343</v>
      </c>
      <c r="BT1004" s="3">
        <v>37.226688497252063</v>
      </c>
      <c r="BU1004" s="3">
        <v>38.093044220007549</v>
      </c>
      <c r="BV1004" s="3">
        <v>38.994557295966622</v>
      </c>
      <c r="BW1004" s="3">
        <v>39.69092188994572</v>
      </c>
      <c r="BY1004" s="17" t="s">
        <v>5115</v>
      </c>
      <c r="BZ1004" s="3">
        <v>41.906886764145689</v>
      </c>
      <c r="CA1004" s="3">
        <v>36.128977760555188</v>
      </c>
      <c r="CB1004" s="3">
        <v>33.814200243137208</v>
      </c>
      <c r="CC1004" s="3">
        <v>29.823445109494969</v>
      </c>
      <c r="CD1004" s="3">
        <v>32.489930844959069</v>
      </c>
      <c r="CE1004" s="3">
        <v>30.948021471154959</v>
      </c>
      <c r="CF1004" s="3">
        <v>30.99923039891414</v>
      </c>
      <c r="CG1004" s="3">
        <v>31.326333324083912</v>
      </c>
      <c r="CH1004" s="3">
        <v>31.675417536184831</v>
      </c>
      <c r="CI1004" s="3">
        <v>31.804577227197409</v>
      </c>
      <c r="CJ1004" s="3">
        <v>32.325532614489028</v>
      </c>
      <c r="CK1004" s="3">
        <v>32.8649293865342</v>
      </c>
      <c r="CL1004" s="3">
        <v>33.42355863584875</v>
      </c>
      <c r="CM1004" s="3">
        <v>34.001648319749329</v>
      </c>
      <c r="CN1004" s="3">
        <v>34.599431826543203</v>
      </c>
      <c r="CO1004" s="3">
        <v>35.218113563690999</v>
      </c>
      <c r="CP1004" s="3">
        <v>35.858270796859181</v>
      </c>
      <c r="CQ1004" s="3">
        <v>36.52047636702882</v>
      </c>
      <c r="CR1004" s="3">
        <v>37.205234840563662</v>
      </c>
      <c r="CS1004" s="3">
        <v>37.667220580605708</v>
      </c>
      <c r="CU1004" s="17" t="s">
        <v>5116</v>
      </c>
      <c r="CV1004" s="3">
        <v>41.906886764145689</v>
      </c>
      <c r="CW1004" s="3">
        <v>36.128977760555188</v>
      </c>
      <c r="CX1004" s="3">
        <v>33.814200243137208</v>
      </c>
      <c r="CY1004" s="3">
        <v>29.823445109494969</v>
      </c>
      <c r="CZ1004" s="3">
        <v>32.489930844943487</v>
      </c>
      <c r="DA1004" s="3">
        <v>31.095801424472409</v>
      </c>
      <c r="DB1004" s="3">
        <v>31.18035665588372</v>
      </c>
      <c r="DC1004" s="3">
        <v>31.539425537009961</v>
      </c>
      <c r="DD1004" s="3">
        <v>31.91900910348182</v>
      </c>
      <c r="DE1004" s="3">
        <v>32.077819383177662</v>
      </c>
      <c r="DF1004" s="3">
        <v>32.627052458725878</v>
      </c>
      <c r="DG1004" s="3">
        <v>33.193827790304262</v>
      </c>
      <c r="DH1004" s="3">
        <v>33.779221268969863</v>
      </c>
      <c r="DI1004" s="3">
        <v>34.383424951403413</v>
      </c>
      <c r="DJ1004" s="3">
        <v>35.006748549806822</v>
      </c>
      <c r="DK1004" s="3">
        <v>35.650547081805392</v>
      </c>
      <c r="DL1004" s="3">
        <v>36.315504407593608</v>
      </c>
      <c r="DM1004" s="3">
        <v>37.002251045978042</v>
      </c>
      <c r="DN1004" s="3">
        <v>37.711343149599223</v>
      </c>
      <c r="DO1004" s="3">
        <v>38.199010498095667</v>
      </c>
    </row>
    <row r="1005" spans="1:230" x14ac:dyDescent="0.45">
      <c r="A1005" s="16" t="s">
        <v>5117</v>
      </c>
      <c r="B1005" s="3" t="s">
        <v>89</v>
      </c>
      <c r="C1005" s="16" t="s">
        <v>5118</v>
      </c>
      <c r="H1005" s="3" t="s">
        <v>5119</v>
      </c>
      <c r="I1005" s="3" t="s">
        <v>5081</v>
      </c>
      <c r="K1005" s="17" t="s">
        <v>5120</v>
      </c>
      <c r="L1005" s="3">
        <v>643.39988844852564</v>
      </c>
      <c r="M1005" s="3">
        <v>674.39823690686285</v>
      </c>
      <c r="N1005" s="3">
        <v>815.2223916825875</v>
      </c>
      <c r="O1005" s="3">
        <v>831.45960482846317</v>
      </c>
      <c r="P1005" s="3">
        <v>847.12469910427706</v>
      </c>
      <c r="Q1005" s="3">
        <v>865.67351469460914</v>
      </c>
      <c r="R1005" s="3">
        <v>887.7204125169236</v>
      </c>
      <c r="S1005" s="3">
        <v>908.56057292385071</v>
      </c>
      <c r="T1005" s="3">
        <v>927.76843804123655</v>
      </c>
      <c r="U1005" s="3">
        <v>946.97309700040364</v>
      </c>
      <c r="V1005" s="3">
        <v>966.24681824622951</v>
      </c>
      <c r="W1005" s="3">
        <v>985.58329346061907</v>
      </c>
      <c r="X1005" s="3">
        <v>1004.976259451178</v>
      </c>
      <c r="Y1005" s="3">
        <v>1024.4194953318779</v>
      </c>
      <c r="Z1005" s="3">
        <v>1043.906819059649</v>
      </c>
      <c r="AA1005" s="3">
        <v>1063.4320833561021</v>
      </c>
      <c r="AB1005" s="3">
        <v>1082.989171042469</v>
      </c>
      <c r="AC1005" s="3">
        <v>1102.571989814722</v>
      </c>
      <c r="AD1005" s="3">
        <v>1122.1744664844539</v>
      </c>
      <c r="AE1005" s="3">
        <v>1141.790540709859</v>
      </c>
      <c r="AG1005" s="17" t="s">
        <v>5121</v>
      </c>
      <c r="AH1005" s="3">
        <v>643.39988844852564</v>
      </c>
      <c r="AI1005" s="3">
        <v>674.39823690686285</v>
      </c>
      <c r="AJ1005" s="3">
        <v>815.2223916825875</v>
      </c>
      <c r="AK1005" s="3">
        <v>831.45960482846317</v>
      </c>
      <c r="AL1005" s="3">
        <v>847.12469910427706</v>
      </c>
      <c r="AM1005" s="3">
        <v>754.07479158789954</v>
      </c>
      <c r="AN1005" s="3">
        <v>773.27695322643774</v>
      </c>
      <c r="AO1005" s="3">
        <v>791.67901908742181</v>
      </c>
      <c r="AP1005" s="3">
        <v>807.80574632020068</v>
      </c>
      <c r="AQ1005" s="3">
        <v>824.61084641857269</v>
      </c>
      <c r="AR1005" s="3">
        <v>841.1277929607719</v>
      </c>
      <c r="AS1005" s="3">
        <v>858.26335272986955</v>
      </c>
      <c r="AT1005" s="3">
        <v>875.72364400956576</v>
      </c>
      <c r="AU1005" s="3">
        <v>893.1026483040157</v>
      </c>
      <c r="AV1005" s="3">
        <v>910.64224442269369</v>
      </c>
      <c r="AW1005" s="3">
        <v>928.49779709117195</v>
      </c>
      <c r="AX1005" s="3">
        <v>946.12864039702572</v>
      </c>
      <c r="AY1005" s="3">
        <v>963.6456196661303</v>
      </c>
      <c r="AZ1005" s="3">
        <v>980.8527009381927</v>
      </c>
      <c r="BA1005" s="3">
        <v>997.97615526825564</v>
      </c>
      <c r="BC1005" s="17" t="s">
        <v>5122</v>
      </c>
      <c r="BD1005" s="3">
        <v>643.39988844852564</v>
      </c>
      <c r="BE1005" s="3">
        <v>674.39823690686285</v>
      </c>
      <c r="BF1005" s="3">
        <v>815.2223916825875</v>
      </c>
      <c r="BG1005" s="3">
        <v>831.45960482846317</v>
      </c>
      <c r="BH1005" s="3">
        <v>847.12469910427706</v>
      </c>
      <c r="BI1005" s="3">
        <v>791.59076652882948</v>
      </c>
      <c r="BJ1005" s="3">
        <v>732.48788724678957</v>
      </c>
      <c r="BK1005" s="3">
        <v>686.22934910533286</v>
      </c>
      <c r="BL1005" s="3">
        <v>648.06540956144249</v>
      </c>
      <c r="BM1005" s="3">
        <v>624.47646575977808</v>
      </c>
      <c r="BN1005" s="3">
        <v>604.36612524326938</v>
      </c>
      <c r="BO1005" s="3">
        <v>587.26819179471647</v>
      </c>
      <c r="BP1005" s="3">
        <v>572.74250769729395</v>
      </c>
      <c r="BQ1005" s="3">
        <v>560.26944500099444</v>
      </c>
      <c r="BR1005" s="3">
        <v>549.50956951337184</v>
      </c>
      <c r="BS1005" s="3">
        <v>540.26612450989683</v>
      </c>
      <c r="BT1005" s="3">
        <v>532.23200331883118</v>
      </c>
      <c r="BU1005" s="3">
        <v>525.18176719981045</v>
      </c>
      <c r="BV1005" s="3">
        <v>518.85268781937759</v>
      </c>
      <c r="BW1005" s="3">
        <v>513.11368926684395</v>
      </c>
      <c r="BY1005" s="17" t="s">
        <v>5123</v>
      </c>
      <c r="BZ1005" s="3">
        <v>643.39988844852564</v>
      </c>
      <c r="CA1005" s="3">
        <v>674.39823690686285</v>
      </c>
      <c r="CB1005" s="3">
        <v>815.2223916825875</v>
      </c>
      <c r="CC1005" s="3">
        <v>831.45960482846317</v>
      </c>
      <c r="CD1005" s="3">
        <v>847.12469910427706</v>
      </c>
      <c r="CE1005" s="3">
        <v>731.49303917996474</v>
      </c>
      <c r="CF1005" s="3">
        <v>750.11927201662593</v>
      </c>
      <c r="CG1005" s="3">
        <v>767.93128494658049</v>
      </c>
      <c r="CH1005" s="3">
        <v>783.60521824214084</v>
      </c>
      <c r="CI1005" s="3">
        <v>800.01758288005635</v>
      </c>
      <c r="CJ1005" s="3">
        <v>816.00747699570809</v>
      </c>
      <c r="CK1005" s="3">
        <v>832.66571257830049</v>
      </c>
      <c r="CL1005" s="3">
        <v>849.40404015902698</v>
      </c>
      <c r="CM1005" s="3">
        <v>866.10289603483943</v>
      </c>
      <c r="CN1005" s="3">
        <v>882.95060878294032</v>
      </c>
      <c r="CO1005" s="3">
        <v>900.03485301661328</v>
      </c>
      <c r="CP1005" s="3">
        <v>916.91755614312081</v>
      </c>
      <c r="CQ1005" s="3">
        <v>933.77315415401449</v>
      </c>
      <c r="CR1005" s="3">
        <v>950.39370776701776</v>
      </c>
      <c r="CS1005" s="3">
        <v>967.05393027160164</v>
      </c>
      <c r="CU1005" s="17" t="s">
        <v>5124</v>
      </c>
      <c r="CV1005" s="3">
        <v>643.39988844852564</v>
      </c>
      <c r="CW1005" s="3">
        <v>674.39823690686285</v>
      </c>
      <c r="CX1005" s="3">
        <v>815.2223916825875</v>
      </c>
      <c r="CY1005" s="3">
        <v>831.45960482846317</v>
      </c>
      <c r="CZ1005" s="3">
        <v>847.12469910427706</v>
      </c>
      <c r="DA1005" s="3">
        <v>639.94069576775485</v>
      </c>
      <c r="DB1005" s="3">
        <v>656.23393150220556</v>
      </c>
      <c r="DC1005" s="3">
        <v>672.09353180273945</v>
      </c>
      <c r="DD1005" s="3">
        <v>685.17014858621451</v>
      </c>
      <c r="DE1005" s="3">
        <v>699.55610397017495</v>
      </c>
      <c r="DF1005" s="3">
        <v>713.26984045864299</v>
      </c>
      <c r="DG1005" s="3">
        <v>728.13234061124365</v>
      </c>
      <c r="DH1005" s="3">
        <v>743.459917827293</v>
      </c>
      <c r="DI1005" s="3">
        <v>758.62483226586266</v>
      </c>
      <c r="DJ1005" s="3">
        <v>774.0352386082501</v>
      </c>
      <c r="DK1005" s="3">
        <v>789.98960737554376</v>
      </c>
      <c r="DL1005" s="3">
        <v>805.49373988379978</v>
      </c>
      <c r="DM1005" s="3">
        <v>820.79916948209132</v>
      </c>
      <c r="DN1005" s="3">
        <v>835.52819796355243</v>
      </c>
      <c r="DO1005" s="3">
        <v>850.11527554244424</v>
      </c>
    </row>
    <row r="1006" spans="1:230" x14ac:dyDescent="0.45">
      <c r="A1006" s="16" t="s">
        <v>5125</v>
      </c>
      <c r="B1006" s="3" t="s">
        <v>89</v>
      </c>
      <c r="C1006" s="16" t="s">
        <v>5126</v>
      </c>
      <c r="H1006" s="3" t="s">
        <v>5127</v>
      </c>
      <c r="I1006" s="3" t="s">
        <v>4288</v>
      </c>
      <c r="K1006" s="17" t="s">
        <v>5128</v>
      </c>
      <c r="L1006" s="3">
        <v>11.27846375520808</v>
      </c>
      <c r="M1006" s="3">
        <v>10.35711140304578</v>
      </c>
      <c r="N1006" s="3">
        <v>11.56433429502083</v>
      </c>
      <c r="O1006" s="3">
        <v>9.3888092789521185</v>
      </c>
      <c r="P1006" s="3">
        <v>11.269274517389499</v>
      </c>
      <c r="Q1006" s="3">
        <v>9.7108580691104116</v>
      </c>
      <c r="R1006" s="3">
        <v>9.4488934591283087</v>
      </c>
      <c r="S1006" s="3">
        <v>9.4079709668945295</v>
      </c>
      <c r="T1006" s="3">
        <v>9.3722349019907814</v>
      </c>
      <c r="U1006" s="3">
        <v>9.3060585150563391</v>
      </c>
      <c r="V1006" s="3">
        <v>9.4954645058755922</v>
      </c>
      <c r="W1006" s="3">
        <v>9.6854871901419539</v>
      </c>
      <c r="X1006" s="3">
        <v>9.8760650184459404</v>
      </c>
      <c r="Y1006" s="3">
        <v>10.06713685712961</v>
      </c>
      <c r="Z1006" s="3">
        <v>10.25864195425109</v>
      </c>
      <c r="AA1006" s="3">
        <v>10.45051989950665</v>
      </c>
      <c r="AB1006" s="3">
        <v>10.642710578386451</v>
      </c>
      <c r="AC1006" s="3">
        <v>10.83515412082877</v>
      </c>
      <c r="AD1006" s="3">
        <v>11.02779084462418</v>
      </c>
      <c r="AE1006" s="3">
        <v>11.2205611938089</v>
      </c>
      <c r="AG1006" s="17" t="s">
        <v>5129</v>
      </c>
      <c r="AH1006" s="3">
        <v>11.27846375520808</v>
      </c>
      <c r="AI1006" s="3">
        <v>10.35711140304578</v>
      </c>
      <c r="AJ1006" s="3">
        <v>11.56433429502083</v>
      </c>
      <c r="AK1006" s="3">
        <v>9.3888092789521185</v>
      </c>
      <c r="AL1006" s="3">
        <v>11.269274517389499</v>
      </c>
      <c r="AM1006" s="3">
        <v>7.3883832467136283</v>
      </c>
      <c r="AN1006" s="3">
        <v>7.1329000089095649</v>
      </c>
      <c r="AO1006" s="3">
        <v>7.0736989480316792</v>
      </c>
      <c r="AP1006" s="3">
        <v>7.0134956013201819</v>
      </c>
      <c r="AQ1006" s="3">
        <v>6.9328341812485048</v>
      </c>
      <c r="AR1006" s="3">
        <v>7.0716932863410493</v>
      </c>
      <c r="AS1006" s="3">
        <v>7.215753408051941</v>
      </c>
      <c r="AT1006" s="3">
        <v>7.3625434324970902</v>
      </c>
      <c r="AU1006" s="3">
        <v>7.5086493548491902</v>
      </c>
      <c r="AV1006" s="3">
        <v>7.6561049959708134</v>
      </c>
      <c r="AW1006" s="3">
        <v>7.8062167212563756</v>
      </c>
      <c r="AX1006" s="3">
        <v>7.9544383590591279</v>
      </c>
      <c r="AY1006" s="3">
        <v>8.1017019425147137</v>
      </c>
      <c r="AZ1006" s="3">
        <v>8.246359130512479</v>
      </c>
      <c r="BA1006" s="3">
        <v>8.3903125055826244</v>
      </c>
      <c r="BC1006" s="17" t="s">
        <v>5130</v>
      </c>
      <c r="BD1006" s="3">
        <v>11.27846375520808</v>
      </c>
      <c r="BE1006" s="3">
        <v>10.35711140304578</v>
      </c>
      <c r="BF1006" s="3">
        <v>11.56433429502083</v>
      </c>
      <c r="BG1006" s="3">
        <v>9.3888092789521185</v>
      </c>
      <c r="BH1006" s="3">
        <v>11.269274517389499</v>
      </c>
      <c r="BI1006" s="3">
        <v>8.3177444375004139</v>
      </c>
      <c r="BJ1006" s="3">
        <v>6.5833151014473366</v>
      </c>
      <c r="BK1006" s="3">
        <v>5.3199967341849321</v>
      </c>
      <c r="BL1006" s="3">
        <v>4.2474475662878577</v>
      </c>
      <c r="BM1006" s="3">
        <v>3.331041038428427</v>
      </c>
      <c r="BN1006" s="3">
        <v>2.652717561576607</v>
      </c>
      <c r="BO1006" s="3">
        <v>2.0229166620356098</v>
      </c>
      <c r="BP1006" s="3">
        <v>1.4319715744355319</v>
      </c>
      <c r="BQ1006" s="3">
        <v>0.87176226542693447</v>
      </c>
      <c r="BR1006" s="3">
        <v>0.33624809758617291</v>
      </c>
      <c r="BS1006" s="3">
        <v>0</v>
      </c>
      <c r="BT1006" s="3">
        <v>0</v>
      </c>
      <c r="BU1006" s="3">
        <v>0</v>
      </c>
      <c r="BV1006" s="3">
        <v>0</v>
      </c>
      <c r="BW1006" s="3">
        <v>0</v>
      </c>
      <c r="BY1006" s="17" t="s">
        <v>5131</v>
      </c>
      <c r="BZ1006" s="3">
        <v>11.27846375520808</v>
      </c>
      <c r="CA1006" s="3">
        <v>10.35711140304578</v>
      </c>
      <c r="CB1006" s="3">
        <v>11.56433429502083</v>
      </c>
      <c r="CC1006" s="3">
        <v>9.3888092789521185</v>
      </c>
      <c r="CD1006" s="3">
        <v>11.269274517389499</v>
      </c>
      <c r="CE1006" s="3">
        <v>6.9076275905114857</v>
      </c>
      <c r="CF1006" s="3">
        <v>6.6531789846233371</v>
      </c>
      <c r="CG1006" s="3">
        <v>6.5890833282090897</v>
      </c>
      <c r="CH1006" s="3">
        <v>6.5253930840679324</v>
      </c>
      <c r="CI1006" s="3">
        <v>6.4422556334323557</v>
      </c>
      <c r="CJ1006" s="3">
        <v>6.5710098755906721</v>
      </c>
      <c r="CK1006" s="3">
        <v>6.7051462287905013</v>
      </c>
      <c r="CL1006" s="3">
        <v>6.8399269269471166</v>
      </c>
      <c r="CM1006" s="3">
        <v>6.9743889976464306</v>
      </c>
      <c r="CN1006" s="3">
        <v>7.1100492217181852</v>
      </c>
      <c r="CO1006" s="3">
        <v>7.2476137125969977</v>
      </c>
      <c r="CP1006" s="3">
        <v>7.3835542480031142</v>
      </c>
      <c r="CQ1006" s="3">
        <v>7.5192757189966937</v>
      </c>
      <c r="CR1006" s="3">
        <v>7.6531033934491512</v>
      </c>
      <c r="CS1006" s="3">
        <v>7.7872497847075026</v>
      </c>
      <c r="CU1006" s="17" t="s">
        <v>5132</v>
      </c>
      <c r="CV1006" s="3">
        <v>11.27846375520808</v>
      </c>
      <c r="CW1006" s="3">
        <v>10.35711140304578</v>
      </c>
      <c r="CX1006" s="3">
        <v>11.56433429502083</v>
      </c>
      <c r="CY1006" s="3">
        <v>9.3888092789521185</v>
      </c>
      <c r="CZ1006" s="3">
        <v>11.269274517389499</v>
      </c>
      <c r="DA1006" s="3">
        <v>4.9085187243561084</v>
      </c>
      <c r="DB1006" s="3">
        <v>4.6570135667476551</v>
      </c>
      <c r="DC1006" s="3">
        <v>4.5751973763967806</v>
      </c>
      <c r="DD1006" s="3">
        <v>4.4909256979495851</v>
      </c>
      <c r="DE1006" s="3">
        <v>4.3930062154530782</v>
      </c>
      <c r="DF1006" s="3">
        <v>4.479112474811763</v>
      </c>
      <c r="DG1006" s="3">
        <v>4.5724344247842206</v>
      </c>
      <c r="DH1006" s="3">
        <v>4.6686768984756108</v>
      </c>
      <c r="DI1006" s="3">
        <v>4.7638962367980273</v>
      </c>
      <c r="DJ1006" s="3">
        <v>4.8606565559462602</v>
      </c>
      <c r="DK1006" s="3">
        <v>4.9608328883910691</v>
      </c>
      <c r="DL1006" s="3">
        <v>5.0581794238007154</v>
      </c>
      <c r="DM1006" s="3">
        <v>5.1542763487902583</v>
      </c>
      <c r="DN1006" s="3">
        <v>5.2467508911944218</v>
      </c>
      <c r="DO1006" s="3">
        <v>5.3383323552730237</v>
      </c>
    </row>
    <row r="1007" spans="1:230" x14ac:dyDescent="0.45">
      <c r="A1007" s="16" t="s">
        <v>5133</v>
      </c>
      <c r="B1007" s="3" t="s">
        <v>89</v>
      </c>
      <c r="C1007" s="16" t="s">
        <v>5134</v>
      </c>
      <c r="H1007" s="3" t="s">
        <v>5135</v>
      </c>
      <c r="I1007" s="3" t="s">
        <v>4288</v>
      </c>
      <c r="K1007" s="17" t="s">
        <v>5136</v>
      </c>
      <c r="L1007" s="3">
        <v>8.4601387381529225</v>
      </c>
      <c r="M1007" s="3">
        <v>8.7821806325445291</v>
      </c>
      <c r="N1007" s="3">
        <v>10.43648900206883</v>
      </c>
      <c r="O1007" s="3">
        <v>9.7320643008152405</v>
      </c>
      <c r="P1007" s="3">
        <v>10.470691338016239</v>
      </c>
      <c r="Q1007" s="3">
        <v>11.007183583254429</v>
      </c>
      <c r="R1007" s="3">
        <v>11.81105337323584</v>
      </c>
      <c r="S1007" s="3">
        <v>12.617614086911949</v>
      </c>
      <c r="T1007" s="3">
        <v>13.41295301013696</v>
      </c>
      <c r="U1007" s="3">
        <v>14.04315521036977</v>
      </c>
      <c r="V1007" s="3">
        <v>14.8033217540533</v>
      </c>
      <c r="W1007" s="3">
        <v>15.60247136064206</v>
      </c>
      <c r="X1007" s="3">
        <v>16.442262616770339</v>
      </c>
      <c r="Y1007" s="3">
        <v>17.324089774646051</v>
      </c>
      <c r="Z1007" s="3">
        <v>18.249246673076229</v>
      </c>
      <c r="AA1007" s="3">
        <v>19.21998288505845</v>
      </c>
      <c r="AB1007" s="3">
        <v>20.23802264338152</v>
      </c>
      <c r="AC1007" s="3">
        <v>21.305127188575419</v>
      </c>
      <c r="AD1007" s="3">
        <v>22.423044237567499</v>
      </c>
      <c r="AE1007" s="3">
        <v>23.31054291686122</v>
      </c>
      <c r="AG1007" s="17" t="s">
        <v>5137</v>
      </c>
      <c r="AH1007" s="3">
        <v>8.4601387381529225</v>
      </c>
      <c r="AI1007" s="3">
        <v>8.7821806325445291</v>
      </c>
      <c r="AJ1007" s="3">
        <v>10.43648900206883</v>
      </c>
      <c r="AK1007" s="3">
        <v>9.7320643008152405</v>
      </c>
      <c r="AL1007" s="3">
        <v>10.47069133802013</v>
      </c>
      <c r="AM1007" s="3">
        <v>9.7047613863321818</v>
      </c>
      <c r="AN1007" s="3">
        <v>10.42978618986249</v>
      </c>
      <c r="AO1007" s="3">
        <v>11.160680743135821</v>
      </c>
      <c r="AP1007" s="3">
        <v>11.869204488599561</v>
      </c>
      <c r="AQ1007" s="3">
        <v>12.444113635444531</v>
      </c>
      <c r="AR1007" s="3">
        <v>13.126635613170571</v>
      </c>
      <c r="AS1007" s="3">
        <v>13.85212624888482</v>
      </c>
      <c r="AT1007" s="3">
        <v>14.61827568309848</v>
      </c>
      <c r="AU1007" s="3">
        <v>15.41981646070837</v>
      </c>
      <c r="AV1007" s="3">
        <v>16.262153533377958</v>
      </c>
      <c r="AW1007" s="3">
        <v>17.15057610348175</v>
      </c>
      <c r="AX1007" s="3">
        <v>18.076978643543089</v>
      </c>
      <c r="AY1007" s="3">
        <v>19.044800518096022</v>
      </c>
      <c r="AZ1007" s="3">
        <v>20.051453682735271</v>
      </c>
      <c r="BA1007" s="3">
        <v>20.857064531337869</v>
      </c>
      <c r="BC1007" s="17" t="s">
        <v>5138</v>
      </c>
      <c r="BD1007" s="3">
        <v>8.4601387381529225</v>
      </c>
      <c r="BE1007" s="3">
        <v>8.7821806325445291</v>
      </c>
      <c r="BF1007" s="3">
        <v>10.43648900206883</v>
      </c>
      <c r="BG1007" s="3">
        <v>9.7320643008152405</v>
      </c>
      <c r="BH1007" s="3">
        <v>10.470691338029219</v>
      </c>
      <c r="BI1007" s="3">
        <v>10.13548329457781</v>
      </c>
      <c r="BJ1007" s="3">
        <v>9.8994444790055987</v>
      </c>
      <c r="BK1007" s="3">
        <v>9.7622256338731201</v>
      </c>
      <c r="BL1007" s="3">
        <v>9.6772799448411249</v>
      </c>
      <c r="BM1007" s="3">
        <v>9.6419722436839397</v>
      </c>
      <c r="BN1007" s="3">
        <v>9.7169188857871927</v>
      </c>
      <c r="BO1007" s="3">
        <v>9.8345922873559282</v>
      </c>
      <c r="BP1007" s="3">
        <v>9.9924352773202205</v>
      </c>
      <c r="BQ1007" s="3">
        <v>10.18509710056107</v>
      </c>
      <c r="BR1007" s="3">
        <v>10.40953006746515</v>
      </c>
      <c r="BS1007" s="3">
        <v>10.48605365187894</v>
      </c>
      <c r="BT1007" s="3">
        <v>10.27050892748661</v>
      </c>
      <c r="BU1007" s="3">
        <v>10.09386360126976</v>
      </c>
      <c r="BV1007" s="3">
        <v>9.9504106868699385</v>
      </c>
      <c r="BW1007" s="3">
        <v>9.7135671717169103</v>
      </c>
      <c r="BY1007" s="17" t="s">
        <v>5139</v>
      </c>
      <c r="BZ1007" s="3">
        <v>8.4601387381529225</v>
      </c>
      <c r="CA1007" s="3">
        <v>8.7821806325445291</v>
      </c>
      <c r="CB1007" s="3">
        <v>10.43648900206883</v>
      </c>
      <c r="CC1007" s="3">
        <v>9.7320643008152405</v>
      </c>
      <c r="CD1007" s="3">
        <v>10.47069133803854</v>
      </c>
      <c r="CE1007" s="3">
        <v>9.4389237061238358</v>
      </c>
      <c r="CF1007" s="3">
        <v>10.148021681478779</v>
      </c>
      <c r="CG1007" s="3">
        <v>10.862261606159681</v>
      </c>
      <c r="CH1007" s="3">
        <v>11.55568241447352</v>
      </c>
      <c r="CI1007" s="3">
        <v>12.120846807601049</v>
      </c>
      <c r="CJ1007" s="3">
        <v>12.78820879561656</v>
      </c>
      <c r="CK1007" s="3">
        <v>13.49840854566563</v>
      </c>
      <c r="CL1007" s="3">
        <v>14.24425681558033</v>
      </c>
      <c r="CM1007" s="3">
        <v>15.02497688401832</v>
      </c>
      <c r="CN1007" s="3">
        <v>15.845060889365451</v>
      </c>
      <c r="CO1007" s="3">
        <v>16.708482689358991</v>
      </c>
      <c r="CP1007" s="3">
        <v>17.60886901679109</v>
      </c>
      <c r="CQ1007" s="3">
        <v>18.550920768917141</v>
      </c>
      <c r="CR1007" s="3">
        <v>19.53190521373579</v>
      </c>
      <c r="CS1007" s="3">
        <v>20.321060955114479</v>
      </c>
      <c r="CU1007" s="17" t="s">
        <v>5140</v>
      </c>
      <c r="CV1007" s="3">
        <v>8.4601387381529225</v>
      </c>
      <c r="CW1007" s="3">
        <v>8.7821806325445291</v>
      </c>
      <c r="CX1007" s="3">
        <v>10.43648900206883</v>
      </c>
      <c r="CY1007" s="3">
        <v>9.7320643008152405</v>
      </c>
      <c r="CZ1007" s="3">
        <v>10.47069133802534</v>
      </c>
      <c r="DA1007" s="3">
        <v>8.3521355233308494</v>
      </c>
      <c r="DB1007" s="3">
        <v>8.9967509039728348</v>
      </c>
      <c r="DC1007" s="3">
        <v>9.6498702630557833</v>
      </c>
      <c r="DD1007" s="3">
        <v>10.27098016884278</v>
      </c>
      <c r="DE1007" s="3">
        <v>10.78993073360672</v>
      </c>
      <c r="DF1007" s="3">
        <v>11.393202350061991</v>
      </c>
      <c r="DG1007" s="3">
        <v>12.04329149741876</v>
      </c>
      <c r="DH1007" s="3">
        <v>12.732025845495279</v>
      </c>
      <c r="DI1007" s="3">
        <v>13.450094526835111</v>
      </c>
      <c r="DJ1007" s="3">
        <v>14.205788884991319</v>
      </c>
      <c r="DK1007" s="3">
        <v>15.00719191865325</v>
      </c>
      <c r="DL1007" s="3">
        <v>15.837338164137771</v>
      </c>
      <c r="DM1007" s="3">
        <v>16.70194927572609</v>
      </c>
      <c r="DN1007" s="3">
        <v>17.594127876634989</v>
      </c>
      <c r="DO1007" s="3">
        <v>18.315868600229649</v>
      </c>
    </row>
    <row r="1008" spans="1:230" x14ac:dyDescent="0.45">
      <c r="A1008" s="11"/>
      <c r="B1008" s="3" t="s">
        <v>89</v>
      </c>
      <c r="C1008" s="16" t="s">
        <v>5141</v>
      </c>
      <c r="H1008" s="11" t="s">
        <v>5142</v>
      </c>
      <c r="I1008" s="11"/>
    </row>
    <row r="1009" spans="1:119" x14ac:dyDescent="0.45">
      <c r="A1009" s="11"/>
      <c r="B1009" s="3" t="s">
        <v>89</v>
      </c>
      <c r="C1009" s="16" t="s">
        <v>5143</v>
      </c>
      <c r="H1009" s="11" t="s">
        <v>5144</v>
      </c>
      <c r="I1009" s="11"/>
    </row>
    <row r="1010" spans="1:119" x14ac:dyDescent="0.45">
      <c r="A1010" s="16" t="s">
        <v>5145</v>
      </c>
      <c r="B1010" s="3" t="s">
        <v>89</v>
      </c>
      <c r="C1010" s="16" t="s">
        <v>5146</v>
      </c>
      <c r="H1010" s="3" t="s">
        <v>5147</v>
      </c>
      <c r="I1010" s="3" t="s">
        <v>5072</v>
      </c>
      <c r="K1010" s="17" t="s">
        <v>5148</v>
      </c>
      <c r="L1010" s="3">
        <v>33.294363840015883</v>
      </c>
      <c r="M1010" s="3">
        <v>29.826970635424551</v>
      </c>
      <c r="N1010" s="3">
        <v>28.982104408355639</v>
      </c>
      <c r="O1010" s="3">
        <v>26.117758575711541</v>
      </c>
      <c r="P1010" s="3">
        <v>28.419501071901681</v>
      </c>
      <c r="Q1010" s="3">
        <v>26.448849397842171</v>
      </c>
      <c r="R1010" s="3">
        <v>26.06822977608498</v>
      </c>
      <c r="S1010" s="3">
        <v>25.99229382929262</v>
      </c>
      <c r="T1010" s="3">
        <v>25.962356694772129</v>
      </c>
      <c r="U1010" s="3">
        <v>25.913428121225149</v>
      </c>
      <c r="V1010" s="3">
        <v>26.16313324206763</v>
      </c>
      <c r="W1010" s="3">
        <v>26.422804999873531</v>
      </c>
      <c r="X1010" s="3">
        <v>26.692833813093909</v>
      </c>
      <c r="Y1010" s="3">
        <v>26.973630712258071</v>
      </c>
      <c r="Z1010" s="3">
        <v>27.265615334564529</v>
      </c>
      <c r="AA1010" s="3">
        <v>27.569236458728469</v>
      </c>
      <c r="AB1010" s="3">
        <v>27.884939093894921</v>
      </c>
      <c r="AC1010" s="3">
        <v>28.213195709565682</v>
      </c>
      <c r="AD1010" s="3">
        <v>28.55449679905561</v>
      </c>
      <c r="AE1010" s="3">
        <v>28.902329408572989</v>
      </c>
      <c r="AG1010" s="17" t="s">
        <v>5149</v>
      </c>
      <c r="AH1010" s="3">
        <v>33.294363840015883</v>
      </c>
      <c r="AI1010" s="3">
        <v>29.826970635424551</v>
      </c>
      <c r="AJ1010" s="3">
        <v>28.982104408355639</v>
      </c>
      <c r="AK1010" s="3">
        <v>26.117758575711541</v>
      </c>
      <c r="AL1010" s="3">
        <v>28.419501071901681</v>
      </c>
      <c r="AM1010" s="3">
        <v>26.448270761103419</v>
      </c>
      <c r="AN1010" s="3">
        <v>26.067596583537931</v>
      </c>
      <c r="AO1010" s="3">
        <v>25.99161570687798</v>
      </c>
      <c r="AP1010" s="3">
        <v>25.961614178284169</v>
      </c>
      <c r="AQ1010" s="3">
        <v>25.91267179291339</v>
      </c>
      <c r="AR1010" s="3">
        <v>26.16233713285127</v>
      </c>
      <c r="AS1010" s="3">
        <v>26.421984329112849</v>
      </c>
      <c r="AT1010" s="3">
        <v>26.691996287850689</v>
      </c>
      <c r="AU1010" s="3">
        <v>26.972772350460598</v>
      </c>
      <c r="AV1010" s="3">
        <v>27.264739659960881</v>
      </c>
      <c r="AW1010" s="3">
        <v>27.568352321312119</v>
      </c>
      <c r="AX1010" s="3">
        <v>27.88403862136262</v>
      </c>
      <c r="AY1010" s="3">
        <v>28.212274416703401</v>
      </c>
      <c r="AZ1010" s="3">
        <v>28.553543517084769</v>
      </c>
      <c r="BA1010" s="3">
        <v>28.901376403304059</v>
      </c>
      <c r="BC1010" s="17" t="s">
        <v>5150</v>
      </c>
      <c r="BD1010" s="3">
        <v>33.294363840015883</v>
      </c>
      <c r="BE1010" s="3">
        <v>29.826970635424551</v>
      </c>
      <c r="BF1010" s="3">
        <v>28.982104408355639</v>
      </c>
      <c r="BG1010" s="3">
        <v>26.117758575711541</v>
      </c>
      <c r="BH1010" s="3">
        <v>28.419501071901681</v>
      </c>
      <c r="BI1010" s="3">
        <v>26.447984739997271</v>
      </c>
      <c r="BJ1010" s="3">
        <v>26.066358536804529</v>
      </c>
      <c r="BK1010" s="3">
        <v>25.989520497204161</v>
      </c>
      <c r="BL1010" s="3">
        <v>25.958742581321179</v>
      </c>
      <c r="BM1010" s="3">
        <v>25.909641504381739</v>
      </c>
      <c r="BN1010" s="3">
        <v>26.159076082300839</v>
      </c>
      <c r="BO1010" s="3">
        <v>26.418465861942021</v>
      </c>
      <c r="BP1010" s="3">
        <v>26.688208860774299</v>
      </c>
      <c r="BQ1010" s="3">
        <v>26.96871421241223</v>
      </c>
      <c r="BR1010" s="3">
        <v>27.260402783202029</v>
      </c>
      <c r="BS1010" s="3">
        <v>27.563727750646869</v>
      </c>
      <c r="BT1010" s="3">
        <v>27.879130689580279</v>
      </c>
      <c r="BU1010" s="3">
        <v>28.20708158495993</v>
      </c>
      <c r="BV1010" s="3">
        <v>28.548063505542821</v>
      </c>
      <c r="BW1010" s="3">
        <v>28.89580844178878</v>
      </c>
      <c r="BY1010" s="17" t="s">
        <v>5151</v>
      </c>
      <c r="BZ1010" s="3">
        <v>33.294363840015883</v>
      </c>
      <c r="CA1010" s="3">
        <v>29.826970635424551</v>
      </c>
      <c r="CB1010" s="3">
        <v>28.982104408355639</v>
      </c>
      <c r="CC1010" s="3">
        <v>26.117758575711541</v>
      </c>
      <c r="CD1010" s="3">
        <v>28.419501071901681</v>
      </c>
      <c r="CE1010" s="3">
        <v>26.44814910074863</v>
      </c>
      <c r="CF1010" s="3">
        <v>26.067463432067491</v>
      </c>
      <c r="CG1010" s="3">
        <v>25.991470632070889</v>
      </c>
      <c r="CH1010" s="3">
        <v>25.96145987006329</v>
      </c>
      <c r="CI1010" s="3">
        <v>25.91251730476122</v>
      </c>
      <c r="CJ1010" s="3">
        <v>26.162175067085439</v>
      </c>
      <c r="CK1010" s="3">
        <v>26.421816482972769</v>
      </c>
      <c r="CL1010" s="3">
        <v>26.691815289044879</v>
      </c>
      <c r="CM1010" s="3">
        <v>26.97257898562788</v>
      </c>
      <c r="CN1010" s="3">
        <v>27.264533304461679</v>
      </c>
      <c r="CO1010" s="3">
        <v>27.568130258067239</v>
      </c>
      <c r="CP1010" s="3">
        <v>27.883800906383151</v>
      </c>
      <c r="CQ1010" s="3">
        <v>28.212023423592679</v>
      </c>
      <c r="CR1010" s="3">
        <v>28.55328117933762</v>
      </c>
      <c r="CS1010" s="3">
        <v>28.90111660028775</v>
      </c>
      <c r="CU1010" s="17" t="s">
        <v>5152</v>
      </c>
      <c r="CV1010" s="3">
        <v>33.294363840015883</v>
      </c>
      <c r="CW1010" s="3">
        <v>29.826970635424551</v>
      </c>
      <c r="CX1010" s="3">
        <v>28.982104408355639</v>
      </c>
      <c r="CY1010" s="3">
        <v>26.117758575711541</v>
      </c>
      <c r="CZ1010" s="3">
        <v>28.419501071901681</v>
      </c>
      <c r="DA1010" s="3">
        <v>26.447632692902001</v>
      </c>
      <c r="DB1010" s="3">
        <v>26.06689825172095</v>
      </c>
      <c r="DC1010" s="3">
        <v>25.99086794410627</v>
      </c>
      <c r="DD1010" s="3">
        <v>25.960794179434171</v>
      </c>
      <c r="DE1010" s="3">
        <v>25.911838187392181</v>
      </c>
      <c r="DF1010" s="3">
        <v>26.16145806762438</v>
      </c>
      <c r="DG1010" s="3">
        <v>26.42107957696869</v>
      </c>
      <c r="DH1010" s="3">
        <v>26.691071899114679</v>
      </c>
      <c r="DI1010" s="3">
        <v>26.971824769937999</v>
      </c>
      <c r="DJ1010" s="3">
        <v>27.263772508289701</v>
      </c>
      <c r="DK1010" s="3">
        <v>27.56737557311676</v>
      </c>
      <c r="DL1010" s="3">
        <v>27.883042830182131</v>
      </c>
      <c r="DM1010" s="3">
        <v>28.211255661000909</v>
      </c>
      <c r="DN1010" s="3">
        <v>28.552489417764821</v>
      </c>
      <c r="DO1010" s="3">
        <v>28.900323429253849</v>
      </c>
    </row>
    <row r="1011" spans="1:119" x14ac:dyDescent="0.45">
      <c r="A1011" s="16" t="s">
        <v>5153</v>
      </c>
      <c r="B1011" s="3" t="s">
        <v>89</v>
      </c>
      <c r="C1011" s="16" t="s">
        <v>5154</v>
      </c>
      <c r="H1011" s="3" t="s">
        <v>5155</v>
      </c>
      <c r="I1011" s="3" t="s">
        <v>5081</v>
      </c>
      <c r="K1011" s="17" t="s">
        <v>5156</v>
      </c>
      <c r="L1011" s="3">
        <v>220.63159970162289</v>
      </c>
      <c r="M1011" s="3">
        <v>246.50035364477969</v>
      </c>
      <c r="N1011" s="3">
        <v>247.61360470213171</v>
      </c>
      <c r="O1011" s="3">
        <v>253.70500151011171</v>
      </c>
      <c r="P1011" s="3">
        <v>259.64768036614748</v>
      </c>
      <c r="Q1011" s="3">
        <v>266.64333175478248</v>
      </c>
      <c r="R1011" s="3">
        <v>274.92816546510011</v>
      </c>
      <c r="S1011" s="3">
        <v>282.86364042794099</v>
      </c>
      <c r="T1011" s="3">
        <v>290.28936277274198</v>
      </c>
      <c r="U1011" s="3">
        <v>297.77818002523497</v>
      </c>
      <c r="V1011" s="3">
        <v>305.35643640299747</v>
      </c>
      <c r="W1011" s="3">
        <v>313.0226108697924</v>
      </c>
      <c r="X1011" s="3">
        <v>320.77514328258292</v>
      </c>
      <c r="Y1011" s="3">
        <v>328.61243335559033</v>
      </c>
      <c r="Z1011" s="3">
        <v>336.53283936463782</v>
      </c>
      <c r="AA1011" s="3">
        <v>344.53467659067661</v>
      </c>
      <c r="AB1011" s="3">
        <v>352.61621550152711</v>
      </c>
      <c r="AC1011" s="3">
        <v>360.77567967097667</v>
      </c>
      <c r="AD1011" s="3">
        <v>369.01124343441268</v>
      </c>
      <c r="AE1011" s="3">
        <v>377.32102928020379</v>
      </c>
      <c r="AG1011" s="17" t="s">
        <v>5157</v>
      </c>
      <c r="AH1011" s="3">
        <v>220.63159970162289</v>
      </c>
      <c r="AI1011" s="3">
        <v>246.50035364477969</v>
      </c>
      <c r="AJ1011" s="3">
        <v>247.61360470213171</v>
      </c>
      <c r="AK1011" s="3">
        <v>253.70500151011171</v>
      </c>
      <c r="AL1011" s="3">
        <v>259.64768036614748</v>
      </c>
      <c r="AM1011" s="3">
        <v>223.70739448955871</v>
      </c>
      <c r="AN1011" s="3">
        <v>230.64179886637999</v>
      </c>
      <c r="AO1011" s="3">
        <v>237.37062235206699</v>
      </c>
      <c r="AP1011" s="3">
        <v>243.38549719585239</v>
      </c>
      <c r="AQ1011" s="3">
        <v>249.68464141994059</v>
      </c>
      <c r="AR1011" s="3">
        <v>255.9391004685514</v>
      </c>
      <c r="AS1011" s="3">
        <v>262.46240603479418</v>
      </c>
      <c r="AT1011" s="3">
        <v>269.15624423128992</v>
      </c>
      <c r="AU1011" s="3">
        <v>275.88009992573001</v>
      </c>
      <c r="AV1011" s="3">
        <v>282.71947035378997</v>
      </c>
      <c r="AW1011" s="3">
        <v>289.7312464638992</v>
      </c>
      <c r="AX1011" s="3">
        <v>296.72361435639181</v>
      </c>
      <c r="AY1011" s="3">
        <v>303.73536577399437</v>
      </c>
      <c r="AZ1011" s="3">
        <v>310.69458329997639</v>
      </c>
      <c r="BA1011" s="3">
        <v>317.68229566978528</v>
      </c>
      <c r="BC1011" s="17" t="s">
        <v>5158</v>
      </c>
      <c r="BD1011" s="3">
        <v>220.63159970162289</v>
      </c>
      <c r="BE1011" s="3">
        <v>246.50035364477969</v>
      </c>
      <c r="BF1011" s="3">
        <v>247.61360470213171</v>
      </c>
      <c r="BG1011" s="3">
        <v>253.70500151011171</v>
      </c>
      <c r="BH1011" s="3">
        <v>259.64768036614748</v>
      </c>
      <c r="BI1011" s="3">
        <v>240.92000130459689</v>
      </c>
      <c r="BJ1011" s="3">
        <v>221.87109275932451</v>
      </c>
      <c r="BK1011" s="3">
        <v>207.61409831141069</v>
      </c>
      <c r="BL1011" s="3">
        <v>196.2097034516043</v>
      </c>
      <c r="BM1011" s="3">
        <v>188.0402040745943</v>
      </c>
      <c r="BN1011" s="3">
        <v>181.34565381485569</v>
      </c>
      <c r="BO1011" s="3">
        <v>175.8551905875037</v>
      </c>
      <c r="BP1011" s="3">
        <v>171.35115822199009</v>
      </c>
      <c r="BQ1011" s="3">
        <v>167.61593291425541</v>
      </c>
      <c r="BR1011" s="3">
        <v>164.5081195299644</v>
      </c>
      <c r="BS1011" s="3">
        <v>161.94390158456781</v>
      </c>
      <c r="BT1011" s="3">
        <v>159.8089041088775</v>
      </c>
      <c r="BU1011" s="3">
        <v>158.0199459523181</v>
      </c>
      <c r="BV1011" s="3">
        <v>156.48367175026689</v>
      </c>
      <c r="BW1011" s="3">
        <v>155.15236330457469</v>
      </c>
      <c r="BY1011" s="17" t="s">
        <v>5159</v>
      </c>
      <c r="BZ1011" s="3">
        <v>220.63159970162289</v>
      </c>
      <c r="CA1011" s="3">
        <v>246.50035364477969</v>
      </c>
      <c r="CB1011" s="3">
        <v>247.61360470213171</v>
      </c>
      <c r="CC1011" s="3">
        <v>253.70500151011171</v>
      </c>
      <c r="CD1011" s="3">
        <v>259.64768036614748</v>
      </c>
      <c r="CE1011" s="3">
        <v>215.59181935710691</v>
      </c>
      <c r="CF1011" s="3">
        <v>222.2712244000229</v>
      </c>
      <c r="CG1011" s="3">
        <v>228.74011795538041</v>
      </c>
      <c r="CH1011" s="3">
        <v>234.54530079594659</v>
      </c>
      <c r="CI1011" s="3">
        <v>240.6516864753041</v>
      </c>
      <c r="CJ1011" s="3">
        <v>246.66674941707339</v>
      </c>
      <c r="CK1011" s="3">
        <v>252.9640885330048</v>
      </c>
      <c r="CL1011" s="3">
        <v>259.34430359427881</v>
      </c>
      <c r="CM1011" s="3">
        <v>265.76642481850979</v>
      </c>
      <c r="CN1011" s="3">
        <v>272.29670578370951</v>
      </c>
      <c r="CO1011" s="3">
        <v>278.96750717117828</v>
      </c>
      <c r="CP1011" s="3">
        <v>285.62458492631401</v>
      </c>
      <c r="CQ1011" s="3">
        <v>292.32939899700608</v>
      </c>
      <c r="CR1011" s="3">
        <v>299.00693272331478</v>
      </c>
      <c r="CS1011" s="3">
        <v>305.75567979660758</v>
      </c>
      <c r="CU1011" s="17" t="s">
        <v>5160</v>
      </c>
      <c r="CV1011" s="3">
        <v>220.63159970162289</v>
      </c>
      <c r="CW1011" s="3">
        <v>246.50035364477969</v>
      </c>
      <c r="CX1011" s="3">
        <v>247.61360470213171</v>
      </c>
      <c r="CY1011" s="3">
        <v>253.70500151011171</v>
      </c>
      <c r="CZ1011" s="3">
        <v>259.64768036614748</v>
      </c>
      <c r="DA1011" s="3">
        <v>184.26772166661539</v>
      </c>
      <c r="DB1011" s="3">
        <v>189.96471280083551</v>
      </c>
      <c r="DC1011" s="3">
        <v>195.5742455419319</v>
      </c>
      <c r="DD1011" s="3">
        <v>200.32220917827291</v>
      </c>
      <c r="DE1011" s="3">
        <v>205.54300548110811</v>
      </c>
      <c r="DF1011" s="3">
        <v>210.58631894129701</v>
      </c>
      <c r="DG1011" s="3">
        <v>216.05759744085711</v>
      </c>
      <c r="DH1011" s="3">
        <v>221.73433296849819</v>
      </c>
      <c r="DI1011" s="3">
        <v>227.40692617422451</v>
      </c>
      <c r="DJ1011" s="3">
        <v>233.21397257611159</v>
      </c>
      <c r="DK1011" s="3">
        <v>239.26011134521531</v>
      </c>
      <c r="DL1011" s="3">
        <v>245.20508618084131</v>
      </c>
      <c r="DM1011" s="3">
        <v>251.1337283160922</v>
      </c>
      <c r="DN1011" s="3">
        <v>256.91238071395082</v>
      </c>
      <c r="DO1011" s="3">
        <v>262.69081465762702</v>
      </c>
    </row>
    <row r="1012" spans="1:119" x14ac:dyDescent="0.45">
      <c r="A1012" s="16" t="s">
        <v>5161</v>
      </c>
      <c r="B1012" s="3" t="s">
        <v>89</v>
      </c>
      <c r="C1012" s="16" t="s">
        <v>5162</v>
      </c>
      <c r="H1012" s="3" t="s">
        <v>5163</v>
      </c>
      <c r="I1012" s="3" t="s">
        <v>4288</v>
      </c>
      <c r="K1012" s="17" t="s">
        <v>5164</v>
      </c>
      <c r="L1012" s="3">
        <v>4.2884067443512732</v>
      </c>
      <c r="M1012" s="3">
        <v>4.6083111698810768</v>
      </c>
      <c r="N1012" s="3">
        <v>4.2607292031475739</v>
      </c>
      <c r="O1012" s="3">
        <v>3.6934740834761821</v>
      </c>
      <c r="P1012" s="3">
        <v>4.2580190608408</v>
      </c>
      <c r="Q1012" s="3">
        <v>3.863702083576122</v>
      </c>
      <c r="R1012" s="3">
        <v>3.839354047267264</v>
      </c>
      <c r="S1012" s="3">
        <v>3.875283956943989</v>
      </c>
      <c r="T1012" s="3">
        <v>3.909808022315425</v>
      </c>
      <c r="U1012" s="3">
        <v>3.9357715154937241</v>
      </c>
      <c r="V1012" s="3">
        <v>4.0359342795558142</v>
      </c>
      <c r="W1012" s="3">
        <v>4.1372590680163386</v>
      </c>
      <c r="X1012" s="3">
        <v>4.2397252602692994</v>
      </c>
      <c r="Y1012" s="3">
        <v>4.3433117051370536</v>
      </c>
      <c r="Z1012" s="3">
        <v>4.4479967037454573</v>
      </c>
      <c r="AA1012" s="3">
        <v>4.5537579889517534</v>
      </c>
      <c r="AB1012" s="3">
        <v>4.6605727013124243</v>
      </c>
      <c r="AC1012" s="3">
        <v>4.7684173615796386</v>
      </c>
      <c r="AD1012" s="3">
        <v>4.8772678397154694</v>
      </c>
      <c r="AE1012" s="3">
        <v>4.9870993204134377</v>
      </c>
      <c r="AG1012" s="17" t="s">
        <v>5165</v>
      </c>
      <c r="AH1012" s="3">
        <v>4.2884067443512732</v>
      </c>
      <c r="AI1012" s="3">
        <v>4.6083111698810768</v>
      </c>
      <c r="AJ1012" s="3">
        <v>4.2607292031475739</v>
      </c>
      <c r="AK1012" s="3">
        <v>3.6934740834761821</v>
      </c>
      <c r="AL1012" s="3">
        <v>4.2580190608408</v>
      </c>
      <c r="AM1012" s="3">
        <v>2.935996092665893</v>
      </c>
      <c r="AN1012" s="3">
        <v>2.9058684421238992</v>
      </c>
      <c r="AO1012" s="3">
        <v>2.9278010972190591</v>
      </c>
      <c r="AP1012" s="3">
        <v>2.9456401766556648</v>
      </c>
      <c r="AQ1012" s="3">
        <v>2.9590735638018528</v>
      </c>
      <c r="AR1012" s="3">
        <v>3.033196682954777</v>
      </c>
      <c r="AS1012" s="3">
        <v>3.1105059677385589</v>
      </c>
      <c r="AT1012" s="3">
        <v>3.1898362763028869</v>
      </c>
      <c r="AU1012" s="3">
        <v>3.2695223295542482</v>
      </c>
      <c r="AV1012" s="3">
        <v>3.3505773760786441</v>
      </c>
      <c r="AW1012" s="3">
        <v>3.4336756443771139</v>
      </c>
      <c r="AX1012" s="3">
        <v>3.516543901156481</v>
      </c>
      <c r="AY1012" s="3">
        <v>3.5996418768180338</v>
      </c>
      <c r="AZ1012" s="3">
        <v>3.6821172605211321</v>
      </c>
      <c r="BA1012" s="3">
        <v>3.7649303435660602</v>
      </c>
      <c r="BC1012" s="17" t="s">
        <v>5166</v>
      </c>
      <c r="BD1012" s="3">
        <v>4.2884067443512732</v>
      </c>
      <c r="BE1012" s="3">
        <v>4.6083111698810768</v>
      </c>
      <c r="BF1012" s="3">
        <v>4.2607292031475739</v>
      </c>
      <c r="BG1012" s="3">
        <v>3.6934740834761821</v>
      </c>
      <c r="BH1012" s="3">
        <v>4.2580190608408</v>
      </c>
      <c r="BI1012" s="3">
        <v>3.3264330633451848</v>
      </c>
      <c r="BJ1012" s="3">
        <v>2.7448575744448398</v>
      </c>
      <c r="BK1012" s="3">
        <v>2.3244615815808469</v>
      </c>
      <c r="BL1012" s="3">
        <v>1.9726833095382079</v>
      </c>
      <c r="BM1012" s="3">
        <v>1.6720222725250651</v>
      </c>
      <c r="BN1012" s="3">
        <v>1.447364330546163</v>
      </c>
      <c r="BO1012" s="3">
        <v>1.243412026541409</v>
      </c>
      <c r="BP1012" s="3">
        <v>1.0555353027025951</v>
      </c>
      <c r="BQ1012" s="3">
        <v>0.87989705121169481</v>
      </c>
      <c r="BR1012" s="3">
        <v>0.71378357469174114</v>
      </c>
      <c r="BS1012" s="3">
        <v>0.5551935837671812</v>
      </c>
      <c r="BT1012" s="3">
        <v>0.40235414036441169</v>
      </c>
      <c r="BU1012" s="3">
        <v>0.25395903275516168</v>
      </c>
      <c r="BV1012" s="3">
        <v>0.108997937325547</v>
      </c>
      <c r="BW1012" s="3">
        <v>0</v>
      </c>
      <c r="BY1012" s="17" t="s">
        <v>5167</v>
      </c>
      <c r="BZ1012" s="3">
        <v>4.2884067443512732</v>
      </c>
      <c r="CA1012" s="3">
        <v>4.6083111698810768</v>
      </c>
      <c r="CB1012" s="3">
        <v>4.2607292031475739</v>
      </c>
      <c r="CC1012" s="3">
        <v>3.6934740834761821</v>
      </c>
      <c r="CD1012" s="3">
        <v>4.2580190608408</v>
      </c>
      <c r="CE1012" s="3">
        <v>2.7558668809912148</v>
      </c>
      <c r="CF1012" s="3">
        <v>2.724508086828938</v>
      </c>
      <c r="CG1012" s="3">
        <v>2.743241871563689</v>
      </c>
      <c r="CH1012" s="3">
        <v>2.758558988721092</v>
      </c>
      <c r="CI1012" s="3">
        <v>2.7698463922663161</v>
      </c>
      <c r="CJ1012" s="3">
        <v>2.8390784040279469</v>
      </c>
      <c r="CK1012" s="3">
        <v>2.9115593506051911</v>
      </c>
      <c r="CL1012" s="3">
        <v>2.9849941805379809</v>
      </c>
      <c r="CM1012" s="3">
        <v>3.0589113409126649</v>
      </c>
      <c r="CN1012" s="3">
        <v>3.134073395402567</v>
      </c>
      <c r="CO1012" s="3">
        <v>3.2108528081182222</v>
      </c>
      <c r="CP1012" s="3">
        <v>3.2874742649347781</v>
      </c>
      <c r="CQ1012" s="3">
        <v>3.3646451559288399</v>
      </c>
      <c r="CR1012" s="3">
        <v>3.4415020563393459</v>
      </c>
      <c r="CS1012" s="3">
        <v>3.5191786062404251</v>
      </c>
      <c r="CU1012" s="17" t="s">
        <v>5168</v>
      </c>
      <c r="CV1012" s="3">
        <v>4.2884067443512732</v>
      </c>
      <c r="CW1012" s="3">
        <v>4.6083111698810768</v>
      </c>
      <c r="CX1012" s="3">
        <v>4.2607292031475739</v>
      </c>
      <c r="CY1012" s="3">
        <v>3.6934740834761821</v>
      </c>
      <c r="CZ1012" s="3">
        <v>4.2580190608408</v>
      </c>
      <c r="DA1012" s="3">
        <v>2.0408474039749471</v>
      </c>
      <c r="DB1012" s="3">
        <v>2.0041717217453199</v>
      </c>
      <c r="DC1012" s="3">
        <v>2.0115750776307948</v>
      </c>
      <c r="DD1012" s="3">
        <v>2.0140302524501341</v>
      </c>
      <c r="DE1012" s="3">
        <v>2.0148191986787549</v>
      </c>
      <c r="DF1012" s="3">
        <v>2.0642558835260898</v>
      </c>
      <c r="DG1012" s="3">
        <v>2.1178876621236111</v>
      </c>
      <c r="DH1012" s="3">
        <v>2.1735334171330871</v>
      </c>
      <c r="DI1012" s="3">
        <v>2.2291385673567108</v>
      </c>
      <c r="DJ1012" s="3">
        <v>2.2860616844958921</v>
      </c>
      <c r="DK1012" s="3">
        <v>2.3453284858222241</v>
      </c>
      <c r="DL1012" s="3">
        <v>2.403603635620899</v>
      </c>
      <c r="DM1012" s="3">
        <v>2.461718685404469</v>
      </c>
      <c r="DN1012" s="3">
        <v>2.5183634725449719</v>
      </c>
      <c r="DO1012" s="3">
        <v>2.5750061183054749</v>
      </c>
    </row>
    <row r="1013" spans="1:119" x14ac:dyDescent="0.45">
      <c r="A1013" s="16" t="s">
        <v>5169</v>
      </c>
      <c r="B1013" s="3" t="s">
        <v>89</v>
      </c>
      <c r="C1013" s="16" t="s">
        <v>5170</v>
      </c>
      <c r="H1013" s="3" t="s">
        <v>5171</v>
      </c>
      <c r="I1013" s="3" t="s">
        <v>4288</v>
      </c>
      <c r="K1013" s="17" t="s">
        <v>5172</v>
      </c>
      <c r="L1013" s="3">
        <v>1.7497503379495649</v>
      </c>
      <c r="M1013" s="3">
        <v>1.8878695208620351</v>
      </c>
      <c r="N1013" s="3">
        <v>1.908275530972229</v>
      </c>
      <c r="O1013" s="3">
        <v>1.9005918478140731</v>
      </c>
      <c r="P1013" s="3">
        <v>2.0647220092741758</v>
      </c>
      <c r="Q1013" s="3">
        <v>2.1039305929016439</v>
      </c>
      <c r="R1013" s="3">
        <v>2.209054966538436</v>
      </c>
      <c r="S1013" s="3">
        <v>2.3262256809760031</v>
      </c>
      <c r="T1013" s="3">
        <v>2.4458129092137209</v>
      </c>
      <c r="U1013" s="3">
        <v>2.569240380395184</v>
      </c>
      <c r="V1013" s="3">
        <v>2.710874902955585</v>
      </c>
      <c r="W1013" s="3">
        <v>2.8602163345795559</v>
      </c>
      <c r="X1013" s="3">
        <v>3.0176729429262199</v>
      </c>
      <c r="Y1013" s="3">
        <v>3.1836751320723069</v>
      </c>
      <c r="Z1013" s="3">
        <v>3.3586723165372749</v>
      </c>
      <c r="AA1013" s="3">
        <v>3.543140431175325</v>
      </c>
      <c r="AB1013" s="3">
        <v>3.7375715748360592</v>
      </c>
      <c r="AC1013" s="3">
        <v>3.9424851891300889</v>
      </c>
      <c r="AD1013" s="3">
        <v>4.1584257386055246</v>
      </c>
      <c r="AE1013" s="3">
        <v>4.3833141300847007</v>
      </c>
      <c r="AG1013" s="17" t="s">
        <v>5173</v>
      </c>
      <c r="AH1013" s="3">
        <v>1.7497503379495649</v>
      </c>
      <c r="AI1013" s="3">
        <v>1.8878695208620351</v>
      </c>
      <c r="AJ1013" s="3">
        <v>1.908275530972229</v>
      </c>
      <c r="AK1013" s="3">
        <v>1.9005918478140731</v>
      </c>
      <c r="AL1013" s="3">
        <v>2.0647220092741758</v>
      </c>
      <c r="AM1013" s="3">
        <v>1.7650181322631351</v>
      </c>
      <c r="AN1013" s="3">
        <v>1.8530668173714231</v>
      </c>
      <c r="AO1013" s="3">
        <v>1.9519373549195509</v>
      </c>
      <c r="AP1013" s="3">
        <v>2.050446922452597</v>
      </c>
      <c r="AQ1013" s="3">
        <v>2.1540988313974192</v>
      </c>
      <c r="AR1013" s="3">
        <v>2.2719569113105762</v>
      </c>
      <c r="AS1013" s="3">
        <v>2.3980115535204001</v>
      </c>
      <c r="AT1013" s="3">
        <v>2.531845817418922</v>
      </c>
      <c r="AU1013" s="3">
        <v>2.672554983851684</v>
      </c>
      <c r="AV1013" s="3">
        <v>2.8213553978665149</v>
      </c>
      <c r="AW1013" s="3">
        <v>2.979294412119605</v>
      </c>
      <c r="AX1013" s="3">
        <v>3.144868221618323</v>
      </c>
      <c r="AY1013" s="3">
        <v>3.3188801043693061</v>
      </c>
      <c r="AZ1013" s="3">
        <v>3.5009531049356468</v>
      </c>
      <c r="BA1013" s="3">
        <v>3.6901920444424881</v>
      </c>
      <c r="BC1013" s="17" t="s">
        <v>5174</v>
      </c>
      <c r="BD1013" s="3">
        <v>1.7497503379495649</v>
      </c>
      <c r="BE1013" s="3">
        <v>1.8878695208620351</v>
      </c>
      <c r="BF1013" s="3">
        <v>1.908275530972229</v>
      </c>
      <c r="BG1013" s="3">
        <v>1.9005918478140731</v>
      </c>
      <c r="BH1013" s="3">
        <v>2.0647220092741758</v>
      </c>
      <c r="BI1013" s="3">
        <v>1.900754136548038</v>
      </c>
      <c r="BJ1013" s="3">
        <v>1.7823248322432499</v>
      </c>
      <c r="BK1013" s="3">
        <v>1.7068096078513431</v>
      </c>
      <c r="BL1013" s="3">
        <v>1.6524421351225509</v>
      </c>
      <c r="BM1013" s="3">
        <v>1.6217053128618739</v>
      </c>
      <c r="BN1013" s="3">
        <v>1.6092037292515751</v>
      </c>
      <c r="BO1013" s="3">
        <v>1.6060981417001019</v>
      </c>
      <c r="BP1013" s="3">
        <v>1.6111832644604589</v>
      </c>
      <c r="BQ1013" s="3">
        <v>1.623078797594915</v>
      </c>
      <c r="BR1013" s="3">
        <v>1.640969982841546</v>
      </c>
      <c r="BS1013" s="3">
        <v>1.664513514279081</v>
      </c>
      <c r="BT1013" s="3">
        <v>1.6929734950987281</v>
      </c>
      <c r="BU1013" s="3">
        <v>1.7258445257062449</v>
      </c>
      <c r="BV1013" s="3">
        <v>1.7624239213338311</v>
      </c>
      <c r="BW1013" s="3">
        <v>1.768174077751693</v>
      </c>
      <c r="BY1013" s="17" t="s">
        <v>5175</v>
      </c>
      <c r="BZ1013" s="3">
        <v>1.7497503379495649</v>
      </c>
      <c r="CA1013" s="3">
        <v>1.8878695208620351</v>
      </c>
      <c r="CB1013" s="3">
        <v>1.908275530972229</v>
      </c>
      <c r="CC1013" s="3">
        <v>1.9005918478140731</v>
      </c>
      <c r="CD1013" s="3">
        <v>2.0647220092741758</v>
      </c>
      <c r="CE1013" s="3">
        <v>1.700961220280518</v>
      </c>
      <c r="CF1013" s="3">
        <v>1.785784738073517</v>
      </c>
      <c r="CG1013" s="3">
        <v>1.8809341247593589</v>
      </c>
      <c r="CH1013" s="3">
        <v>1.9759348320274559</v>
      </c>
      <c r="CI1013" s="3">
        <v>2.076131839459753</v>
      </c>
      <c r="CJ1013" s="3">
        <v>2.1896067995116741</v>
      </c>
      <c r="CK1013" s="3">
        <v>2.311186856010754</v>
      </c>
      <c r="CL1013" s="3">
        <v>2.439501850444223</v>
      </c>
      <c r="CM1013" s="3">
        <v>2.5745285938893598</v>
      </c>
      <c r="CN1013" s="3">
        <v>2.7172868346761501</v>
      </c>
      <c r="CO1013" s="3">
        <v>2.8685493781761822</v>
      </c>
      <c r="CP1013" s="3">
        <v>3.0271656527265098</v>
      </c>
      <c r="CQ1013" s="3">
        <v>3.1941750935319031</v>
      </c>
      <c r="CR1013" s="3">
        <v>3.3691764666880002</v>
      </c>
      <c r="CS1013" s="3">
        <v>3.551573244773286</v>
      </c>
      <c r="CU1013" s="17" t="s">
        <v>5176</v>
      </c>
      <c r="CV1013" s="3">
        <v>1.7497503379495649</v>
      </c>
      <c r="CW1013" s="3">
        <v>1.8878695208620351</v>
      </c>
      <c r="CX1013" s="3">
        <v>1.908275530972229</v>
      </c>
      <c r="CY1013" s="3">
        <v>1.9005918478140731</v>
      </c>
      <c r="CZ1013" s="3">
        <v>2.0647220092741758</v>
      </c>
      <c r="DA1013" s="3">
        <v>1.453727393293901</v>
      </c>
      <c r="DB1013" s="3">
        <v>1.5261184699392929</v>
      </c>
      <c r="DC1013" s="3">
        <v>1.608092686137931</v>
      </c>
      <c r="DD1013" s="3">
        <v>1.687487884733212</v>
      </c>
      <c r="DE1013" s="3">
        <v>1.773105321893699</v>
      </c>
      <c r="DF1013" s="3">
        <v>1.8691777170888411</v>
      </c>
      <c r="DG1013" s="3">
        <v>1.973834336652972</v>
      </c>
      <c r="DH1013" s="3">
        <v>2.0855617765690622</v>
      </c>
      <c r="DI1013" s="3">
        <v>2.2027615100564981</v>
      </c>
      <c r="DJ1013" s="3">
        <v>2.3270973564622408</v>
      </c>
      <c r="DK1013" s="3">
        <v>2.4600681223860139</v>
      </c>
      <c r="DL1013" s="3">
        <v>2.5985974627204338</v>
      </c>
      <c r="DM1013" s="3">
        <v>2.7438524436385001</v>
      </c>
      <c r="DN1013" s="3">
        <v>2.8946563787572561</v>
      </c>
      <c r="DO1013" s="3">
        <v>3.051135346812091</v>
      </c>
    </row>
    <row r="1014" spans="1:119" x14ac:dyDescent="0.45">
      <c r="A1014" s="11"/>
      <c r="B1014" s="3" t="s">
        <v>89</v>
      </c>
      <c r="C1014" s="16" t="s">
        <v>5177</v>
      </c>
      <c r="H1014" s="11" t="s">
        <v>5178</v>
      </c>
      <c r="I1014" s="11"/>
    </row>
    <row r="1015" spans="1:119" x14ac:dyDescent="0.45">
      <c r="A1015" s="11"/>
      <c r="B1015" s="3" t="s">
        <v>89</v>
      </c>
      <c r="C1015" s="16" t="s">
        <v>5179</v>
      </c>
      <c r="H1015" s="11" t="s">
        <v>5180</v>
      </c>
      <c r="I1015" s="11"/>
    </row>
    <row r="1016" spans="1:119" x14ac:dyDescent="0.45">
      <c r="A1016" s="16" t="s">
        <v>5181</v>
      </c>
      <c r="B1016" s="3" t="s">
        <v>89</v>
      </c>
      <c r="C1016" s="16" t="s">
        <v>5182</v>
      </c>
      <c r="H1016" s="3" t="s">
        <v>5183</v>
      </c>
      <c r="I1016" s="3" t="s">
        <v>5072</v>
      </c>
      <c r="K1016" s="17" t="s">
        <v>5184</v>
      </c>
      <c r="L1016" s="3">
        <v>27.072607002675539</v>
      </c>
      <c r="M1016" s="3">
        <v>25.469714523082349</v>
      </c>
      <c r="N1016" s="3">
        <v>25.69796333843108</v>
      </c>
      <c r="O1016" s="3">
        <v>22.701763987204089</v>
      </c>
      <c r="P1016" s="3">
        <v>24.891068446678069</v>
      </c>
      <c r="Q1016" s="3">
        <v>23.202969799725839</v>
      </c>
      <c r="R1016" s="3">
        <v>22.989819283581291</v>
      </c>
      <c r="S1016" s="3">
        <v>23.037848952585051</v>
      </c>
      <c r="T1016" s="3">
        <v>23.11801053629349</v>
      </c>
      <c r="U1016" s="3">
        <v>23.10875022983732</v>
      </c>
      <c r="V1016" s="3">
        <v>23.398646976547081</v>
      </c>
      <c r="W1016" s="3">
        <v>23.69928750352501</v>
      </c>
      <c r="X1016" s="3">
        <v>24.010991749379102</v>
      </c>
      <c r="Y1016" s="3">
        <v>24.33416576158697</v>
      </c>
      <c r="Z1016" s="3">
        <v>24.669124800548499</v>
      </c>
      <c r="AA1016" s="3">
        <v>25.01637032659519</v>
      </c>
      <c r="AB1016" s="3">
        <v>25.37612860395663</v>
      </c>
      <c r="AC1016" s="3">
        <v>25.748773695590661</v>
      </c>
      <c r="AD1016" s="3">
        <v>26.13468716383726</v>
      </c>
      <c r="AE1016" s="3">
        <v>26.44192359803937</v>
      </c>
      <c r="AG1016" s="17" t="s">
        <v>5185</v>
      </c>
      <c r="AH1016" s="3">
        <v>27.072607002675539</v>
      </c>
      <c r="AI1016" s="3">
        <v>25.469714523082349</v>
      </c>
      <c r="AJ1016" s="3">
        <v>25.69796333843108</v>
      </c>
      <c r="AK1016" s="3">
        <v>22.701763987204089</v>
      </c>
      <c r="AL1016" s="3">
        <v>24.891068446678069</v>
      </c>
      <c r="AM1016" s="3">
        <v>23.20511313967511</v>
      </c>
      <c r="AN1016" s="3">
        <v>22.992116477123449</v>
      </c>
      <c r="AO1016" s="3">
        <v>23.04023184043356</v>
      </c>
      <c r="AP1016" s="3">
        <v>23.120633146852811</v>
      </c>
      <c r="AQ1016" s="3">
        <v>23.111357191716358</v>
      </c>
      <c r="AR1016" s="3">
        <v>23.401362356661721</v>
      </c>
      <c r="AS1016" s="3">
        <v>23.701994670693541</v>
      </c>
      <c r="AT1016" s="3">
        <v>24.013631911859299</v>
      </c>
      <c r="AU1016" s="3">
        <v>24.336762619897371</v>
      </c>
      <c r="AV1016" s="3">
        <v>24.671650634771531</v>
      </c>
      <c r="AW1016" s="3">
        <v>25.01876357266201</v>
      </c>
      <c r="AX1016" s="3">
        <v>25.37843928761113</v>
      </c>
      <c r="AY1016" s="3">
        <v>25.751027833907809</v>
      </c>
      <c r="AZ1016" s="3">
        <v>26.136951230955969</v>
      </c>
      <c r="BA1016" s="3">
        <v>26.444131908924408</v>
      </c>
      <c r="BC1016" s="17" t="s">
        <v>5186</v>
      </c>
      <c r="BD1016" s="3">
        <v>27.072607002675539</v>
      </c>
      <c r="BE1016" s="3">
        <v>25.469714523082349</v>
      </c>
      <c r="BF1016" s="3">
        <v>25.69796333843108</v>
      </c>
      <c r="BG1016" s="3">
        <v>22.701763987204089</v>
      </c>
      <c r="BH1016" s="3">
        <v>24.891068446678069</v>
      </c>
      <c r="BI1016" s="3">
        <v>23.209440237325939</v>
      </c>
      <c r="BJ1016" s="3">
        <v>23.004411853260969</v>
      </c>
      <c r="BK1016" s="3">
        <v>23.060042233916189</v>
      </c>
      <c r="BL1016" s="3">
        <v>23.147403906779189</v>
      </c>
      <c r="BM1016" s="3">
        <v>23.138132483962298</v>
      </c>
      <c r="BN1016" s="3">
        <v>23.428771100448849</v>
      </c>
      <c r="BO1016" s="3">
        <v>23.730208148222498</v>
      </c>
      <c r="BP1016" s="3">
        <v>24.042705600275951</v>
      </c>
      <c r="BQ1016" s="3">
        <v>24.36667971705856</v>
      </c>
      <c r="BR1016" s="3">
        <v>24.70243379054283</v>
      </c>
      <c r="BS1016" s="3">
        <v>25.05043665825594</v>
      </c>
      <c r="BT1016" s="3">
        <v>25.410935992694291</v>
      </c>
      <c r="BU1016" s="3">
        <v>25.784319838000521</v>
      </c>
      <c r="BV1016" s="3">
        <v>26.17101439935885</v>
      </c>
      <c r="BW1016" s="3">
        <v>26.477726228007018</v>
      </c>
      <c r="BY1016" s="17" t="s">
        <v>5187</v>
      </c>
      <c r="BZ1016" s="3">
        <v>27.072607002675539</v>
      </c>
      <c r="CA1016" s="3">
        <v>25.469714523082349</v>
      </c>
      <c r="CB1016" s="3">
        <v>25.69796333843108</v>
      </c>
      <c r="CC1016" s="3">
        <v>22.701763987204089</v>
      </c>
      <c r="CD1016" s="3">
        <v>24.891068446678069</v>
      </c>
      <c r="CE1016" s="3">
        <v>23.205609803816639</v>
      </c>
      <c r="CF1016" s="3">
        <v>22.992649125234351</v>
      </c>
      <c r="CG1016" s="3">
        <v>23.04080429239065</v>
      </c>
      <c r="CH1016" s="3">
        <v>23.121226664545681</v>
      </c>
      <c r="CI1016" s="3">
        <v>23.11192804611332</v>
      </c>
      <c r="CJ1016" s="3">
        <v>23.40195244712449</v>
      </c>
      <c r="CK1016" s="3">
        <v>23.702589423379059</v>
      </c>
      <c r="CL1016" s="3">
        <v>24.014281147192609</v>
      </c>
      <c r="CM1016" s="3">
        <v>24.337458001993951</v>
      </c>
      <c r="CN1016" s="3">
        <v>24.672393601506599</v>
      </c>
      <c r="CO1016" s="3">
        <v>25.019569126041681</v>
      </c>
      <c r="CP1016" s="3">
        <v>25.379303795049498</v>
      </c>
      <c r="CQ1016" s="3">
        <v>25.751933005145069</v>
      </c>
      <c r="CR1016" s="3">
        <v>26.137882458464819</v>
      </c>
      <c r="CS1016" s="3">
        <v>26.445028340926051</v>
      </c>
      <c r="CU1016" s="17" t="s">
        <v>5188</v>
      </c>
      <c r="CV1016" s="3">
        <v>27.072607002675539</v>
      </c>
      <c r="CW1016" s="3">
        <v>25.469714523082349</v>
      </c>
      <c r="CX1016" s="3">
        <v>25.69796333843108</v>
      </c>
      <c r="CY1016" s="3">
        <v>22.701763987204089</v>
      </c>
      <c r="CZ1016" s="3">
        <v>24.891068446678069</v>
      </c>
      <c r="DA1016" s="3">
        <v>23.207895264693011</v>
      </c>
      <c r="DB1016" s="3">
        <v>22.99510080631519</v>
      </c>
      <c r="DC1016" s="3">
        <v>23.043337938594149</v>
      </c>
      <c r="DD1016" s="3">
        <v>23.124039825075052</v>
      </c>
      <c r="DE1016" s="3">
        <v>23.114737337385911</v>
      </c>
      <c r="DF1016" s="3">
        <v>23.404887720096109</v>
      </c>
      <c r="DG1016" s="3">
        <v>23.705513694581729</v>
      </c>
      <c r="DH1016" s="3">
        <v>24.017096576092051</v>
      </c>
      <c r="DI1016" s="3">
        <v>24.340193476352429</v>
      </c>
      <c r="DJ1016" s="3">
        <v>24.675018619165019</v>
      </c>
      <c r="DK1016" s="3">
        <v>25.021998715639899</v>
      </c>
      <c r="DL1016" s="3">
        <v>25.38160225534088</v>
      </c>
      <c r="DM1016" s="3">
        <v>25.754140804015901</v>
      </c>
      <c r="DN1016" s="3">
        <v>26.140088489238469</v>
      </c>
      <c r="DO1016" s="3">
        <v>26.44719240761291</v>
      </c>
    </row>
    <row r="1017" spans="1:119" x14ac:dyDescent="0.45">
      <c r="A1017" s="16" t="s">
        <v>5189</v>
      </c>
      <c r="B1017" s="3" t="s">
        <v>89</v>
      </c>
      <c r="C1017" s="16" t="s">
        <v>5190</v>
      </c>
      <c r="H1017" s="3" t="s">
        <v>5191</v>
      </c>
      <c r="I1017" s="3" t="s">
        <v>5081</v>
      </c>
      <c r="K1017" s="17" t="s">
        <v>5192</v>
      </c>
      <c r="L1017" s="3">
        <v>26.864374217459311</v>
      </c>
      <c r="M1017" s="3">
        <v>27.993045202730801</v>
      </c>
      <c r="N1017" s="3">
        <v>30.373050929831798</v>
      </c>
      <c r="O1017" s="3">
        <v>31.235770433582829</v>
      </c>
      <c r="P1017" s="3">
        <v>32.074540185101952</v>
      </c>
      <c r="Q1017" s="3">
        <v>33.077066179853773</v>
      </c>
      <c r="R1017" s="3">
        <v>34.281427112087442</v>
      </c>
      <c r="S1017" s="3">
        <v>35.431091543759983</v>
      </c>
      <c r="T1017" s="3">
        <v>36.500000591110933</v>
      </c>
      <c r="U1017" s="3">
        <v>37.577954255812458</v>
      </c>
      <c r="V1017" s="3">
        <v>38.668961508179017</v>
      </c>
      <c r="W1017" s="3">
        <v>39.772641481280473</v>
      </c>
      <c r="X1017" s="3">
        <v>40.888604985475908</v>
      </c>
      <c r="Y1017" s="3">
        <v>42.016454616961653</v>
      </c>
      <c r="Z1017" s="3">
        <v>43.155784818470217</v>
      </c>
      <c r="AA1017" s="3">
        <v>44.306181891983663</v>
      </c>
      <c r="AB1017" s="3">
        <v>45.467223963453861</v>
      </c>
      <c r="AC1017" s="3">
        <v>46.638480899637408</v>
      </c>
      <c r="AD1017" s="3">
        <v>47.819514177250653</v>
      </c>
      <c r="AE1017" s="3">
        <v>49.00987670474003</v>
      </c>
      <c r="AG1017" s="17" t="s">
        <v>5193</v>
      </c>
      <c r="AH1017" s="3">
        <v>26.864374217459311</v>
      </c>
      <c r="AI1017" s="3">
        <v>27.993045202730801</v>
      </c>
      <c r="AJ1017" s="3">
        <v>30.373050929831798</v>
      </c>
      <c r="AK1017" s="3">
        <v>31.235770433582829</v>
      </c>
      <c r="AL1017" s="3">
        <v>32.074540185101952</v>
      </c>
      <c r="AM1017" s="3">
        <v>29.740190505880069</v>
      </c>
      <c r="AN1017" s="3">
        <v>30.823037800562659</v>
      </c>
      <c r="AO1017" s="3">
        <v>31.871491540512999</v>
      </c>
      <c r="AP1017" s="3">
        <v>32.798806451841862</v>
      </c>
      <c r="AQ1017" s="3">
        <v>33.773490075528017</v>
      </c>
      <c r="AR1017" s="3">
        <v>34.739665875139067</v>
      </c>
      <c r="AS1017" s="3">
        <v>35.750538344355697</v>
      </c>
      <c r="AT1017" s="3">
        <v>36.789374667791208</v>
      </c>
      <c r="AU1017" s="3">
        <v>37.832089383711939</v>
      </c>
      <c r="AV1017" s="3">
        <v>38.893157566891723</v>
      </c>
      <c r="AW1017" s="3">
        <v>39.982238720622767</v>
      </c>
      <c r="AX1017" s="3">
        <v>41.066303259316527</v>
      </c>
      <c r="AY1017" s="3">
        <v>42.151821199019892</v>
      </c>
      <c r="AZ1017" s="3">
        <v>43.226234817602247</v>
      </c>
      <c r="BA1017" s="3">
        <v>44.303315936939022</v>
      </c>
      <c r="BC1017" s="17" t="s">
        <v>5194</v>
      </c>
      <c r="BD1017" s="3">
        <v>26.864374217459311</v>
      </c>
      <c r="BE1017" s="3">
        <v>27.993045202730801</v>
      </c>
      <c r="BF1017" s="3">
        <v>30.373050929831798</v>
      </c>
      <c r="BG1017" s="3">
        <v>31.235770433582829</v>
      </c>
      <c r="BH1017" s="3">
        <v>32.074540185101952</v>
      </c>
      <c r="BI1017" s="3">
        <v>31.286065895172801</v>
      </c>
      <c r="BJ1017" s="3">
        <v>30.330602256591661</v>
      </c>
      <c r="BK1017" s="3">
        <v>29.53352748356015</v>
      </c>
      <c r="BL1017" s="3">
        <v>28.808012617004039</v>
      </c>
      <c r="BM1017" s="3">
        <v>28.21627391498324</v>
      </c>
      <c r="BN1017" s="3">
        <v>27.725579310211831</v>
      </c>
      <c r="BO1017" s="3">
        <v>27.331988738367119</v>
      </c>
      <c r="BP1017" s="3">
        <v>27.026919331210731</v>
      </c>
      <c r="BQ1017" s="3">
        <v>26.7916569974231</v>
      </c>
      <c r="BR1017" s="3">
        <v>26.615683132438431</v>
      </c>
      <c r="BS1017" s="3">
        <v>26.49548479988535</v>
      </c>
      <c r="BT1017" s="3">
        <v>26.41798813018476</v>
      </c>
      <c r="BU1017" s="3">
        <v>26.37395021403896</v>
      </c>
      <c r="BV1017" s="3">
        <v>26.350068443595269</v>
      </c>
      <c r="BW1017" s="3">
        <v>26.341135862748249</v>
      </c>
      <c r="BY1017" s="17" t="s">
        <v>5195</v>
      </c>
      <c r="BZ1017" s="3">
        <v>26.864374217459311</v>
      </c>
      <c r="CA1017" s="3">
        <v>27.993045202730801</v>
      </c>
      <c r="CB1017" s="3">
        <v>30.373050929831798</v>
      </c>
      <c r="CC1017" s="3">
        <v>31.235770433582829</v>
      </c>
      <c r="CD1017" s="3">
        <v>32.074540185101952</v>
      </c>
      <c r="CE1017" s="3">
        <v>29.04081518659109</v>
      </c>
      <c r="CF1017" s="3">
        <v>30.098174628390922</v>
      </c>
      <c r="CG1017" s="3">
        <v>31.119828776393661</v>
      </c>
      <c r="CH1017" s="3">
        <v>32.027326860901958</v>
      </c>
      <c r="CI1017" s="3">
        <v>32.985815162348651</v>
      </c>
      <c r="CJ1017" s="3">
        <v>33.927708955911207</v>
      </c>
      <c r="CK1017" s="3">
        <v>34.917285704129959</v>
      </c>
      <c r="CL1017" s="3">
        <v>35.920102637028613</v>
      </c>
      <c r="CM1017" s="3">
        <v>36.928935115814738</v>
      </c>
      <c r="CN1017" s="3">
        <v>37.955135919692673</v>
      </c>
      <c r="CO1017" s="3">
        <v>39.004233581442527</v>
      </c>
      <c r="CP1017" s="3">
        <v>40.049278732740383</v>
      </c>
      <c r="CQ1017" s="3">
        <v>41.100799787200181</v>
      </c>
      <c r="CR1017" s="3">
        <v>42.145555007589479</v>
      </c>
      <c r="CS1017" s="3">
        <v>43.200577617768879</v>
      </c>
      <c r="CU1017" s="17" t="s">
        <v>5196</v>
      </c>
      <c r="CV1017" s="3">
        <v>26.864374217459311</v>
      </c>
      <c r="CW1017" s="3">
        <v>27.993045202730801</v>
      </c>
      <c r="CX1017" s="3">
        <v>30.373050929831798</v>
      </c>
      <c r="CY1017" s="3">
        <v>31.235770433582829</v>
      </c>
      <c r="CZ1017" s="3">
        <v>32.074540185101952</v>
      </c>
      <c r="DA1017" s="3">
        <v>26.11385962884362</v>
      </c>
      <c r="DB1017" s="3">
        <v>27.064654825950559</v>
      </c>
      <c r="DC1017" s="3">
        <v>28.00006261931518</v>
      </c>
      <c r="DD1017" s="3">
        <v>28.779459654580432</v>
      </c>
      <c r="DE1017" s="3">
        <v>29.643787227616691</v>
      </c>
      <c r="DF1017" s="3">
        <v>30.47515780289396</v>
      </c>
      <c r="DG1017" s="3">
        <v>31.383504611022389</v>
      </c>
      <c r="DH1017" s="3">
        <v>32.328494937002397</v>
      </c>
      <c r="DI1017" s="3">
        <v>33.271818704132087</v>
      </c>
      <c r="DJ1017" s="3">
        <v>34.238676136041263</v>
      </c>
      <c r="DK1017" s="3">
        <v>35.248217894551409</v>
      </c>
      <c r="DL1017" s="3">
        <v>36.237907279543997</v>
      </c>
      <c r="DM1017" s="3">
        <v>37.223090015798178</v>
      </c>
      <c r="DN1017" s="3">
        <v>38.17893844112681</v>
      </c>
      <c r="DO1017" s="3">
        <v>39.132840013589679</v>
      </c>
    </row>
    <row r="1018" spans="1:119" x14ac:dyDescent="0.45">
      <c r="A1018" s="16" t="s">
        <v>5197</v>
      </c>
      <c r="B1018" s="3" t="s">
        <v>89</v>
      </c>
      <c r="C1018" s="16" t="s">
        <v>5198</v>
      </c>
      <c r="H1018" s="3" t="s">
        <v>5199</v>
      </c>
      <c r="I1018" s="3" t="s">
        <v>4288</v>
      </c>
      <c r="K1018" s="17" t="s">
        <v>5200</v>
      </c>
      <c r="L1018" s="3">
        <v>0.2587479896815274</v>
      </c>
      <c r="M1018" s="3">
        <v>0.32716277984794112</v>
      </c>
      <c r="N1018" s="3">
        <v>0.3526711802529508</v>
      </c>
      <c r="O1018" s="3">
        <v>0.28392145042244732</v>
      </c>
      <c r="P1018" s="3">
        <v>0.34775871207868719</v>
      </c>
      <c r="Q1018" s="3">
        <v>0.29851720962894679</v>
      </c>
      <c r="R1018" s="3">
        <v>0.29224676659329069</v>
      </c>
      <c r="S1018" s="3">
        <v>0.29311804230675031</v>
      </c>
      <c r="T1018" s="3">
        <v>0.29391650755151338</v>
      </c>
      <c r="U1018" s="3">
        <v>0.29359900295780461</v>
      </c>
      <c r="V1018" s="3">
        <v>0.30212311364605499</v>
      </c>
      <c r="W1018" s="3">
        <v>0.31074623712641208</v>
      </c>
      <c r="X1018" s="3">
        <v>0.31946533263487509</v>
      </c>
      <c r="Y1018" s="3">
        <v>0.32827729522965421</v>
      </c>
      <c r="Z1018" s="3">
        <v>0.33717895626541672</v>
      </c>
      <c r="AA1018" s="3">
        <v>0.3461670834926161</v>
      </c>
      <c r="AB1018" s="3">
        <v>0.35523838078185022</v>
      </c>
      <c r="AC1018" s="3">
        <v>0.36438948747408623</v>
      </c>
      <c r="AD1018" s="3">
        <v>0.37361697735836052</v>
      </c>
      <c r="AE1018" s="3">
        <v>0.38291735727925952</v>
      </c>
      <c r="AG1018" s="17" t="s">
        <v>5201</v>
      </c>
      <c r="AH1018" s="3">
        <v>0.2587479896815274</v>
      </c>
      <c r="AI1018" s="3">
        <v>0.32716277984794112</v>
      </c>
      <c r="AJ1018" s="3">
        <v>0.3526711802529508</v>
      </c>
      <c r="AK1018" s="3">
        <v>0.28392145042244732</v>
      </c>
      <c r="AL1018" s="3">
        <v>0.34775871207868719</v>
      </c>
      <c r="AM1018" s="3">
        <v>0.22608524113002701</v>
      </c>
      <c r="AN1018" s="3">
        <v>0.2189064403460404</v>
      </c>
      <c r="AO1018" s="3">
        <v>0.2183201556531183</v>
      </c>
      <c r="AP1018" s="3">
        <v>0.217443485501703</v>
      </c>
      <c r="AQ1018" s="3">
        <v>0.2158184689902253</v>
      </c>
      <c r="AR1018" s="3">
        <v>0.22199249572778579</v>
      </c>
      <c r="AS1018" s="3">
        <v>0.22845214132739031</v>
      </c>
      <c r="AT1018" s="3">
        <v>0.23509048171271241</v>
      </c>
      <c r="AU1018" s="3">
        <v>0.24175360866566639</v>
      </c>
      <c r="AV1018" s="3">
        <v>0.24853401937002151</v>
      </c>
      <c r="AW1018" s="3">
        <v>0.25549343909451588</v>
      </c>
      <c r="AX1018" s="3">
        <v>0.2624208057585396</v>
      </c>
      <c r="AY1018" s="3">
        <v>0.2693574634562238</v>
      </c>
      <c r="AZ1018" s="3">
        <v>0.27622316718909518</v>
      </c>
      <c r="BA1018" s="3">
        <v>0.28310592030083859</v>
      </c>
      <c r="BC1018" s="17" t="s">
        <v>5202</v>
      </c>
      <c r="BD1018" s="3">
        <v>0.2587479896815274</v>
      </c>
      <c r="BE1018" s="3">
        <v>0.32716277984794112</v>
      </c>
      <c r="BF1018" s="3">
        <v>0.3526711802529508</v>
      </c>
      <c r="BG1018" s="3">
        <v>0.28392145042244732</v>
      </c>
      <c r="BH1018" s="3">
        <v>0.34775871207868719</v>
      </c>
      <c r="BI1018" s="3">
        <v>0.26009524715062993</v>
      </c>
      <c r="BJ1018" s="3">
        <v>0.2082159372937335</v>
      </c>
      <c r="BK1018" s="3">
        <v>0.16728509541249939</v>
      </c>
      <c r="BL1018" s="3">
        <v>0.12949864746434919</v>
      </c>
      <c r="BM1018" s="3">
        <v>9.3316295142684358E-2</v>
      </c>
      <c r="BN1018" s="3">
        <v>6.5392740328749782E-2</v>
      </c>
      <c r="BO1018" s="3">
        <v>3.8537026659503433E-2</v>
      </c>
      <c r="BP1018" s="3">
        <v>1.246885056038524E-2</v>
      </c>
      <c r="BQ1018" s="3">
        <v>0</v>
      </c>
      <c r="BR1018" s="3">
        <v>0</v>
      </c>
      <c r="BS1018" s="3">
        <v>0</v>
      </c>
      <c r="BT1018" s="3">
        <v>0</v>
      </c>
      <c r="BU1018" s="3">
        <v>0</v>
      </c>
      <c r="BV1018" s="3">
        <v>0</v>
      </c>
      <c r="BW1018" s="3">
        <v>0</v>
      </c>
      <c r="BY1018" s="17" t="s">
        <v>5203</v>
      </c>
      <c r="BZ1018" s="3">
        <v>0.2587479896815274</v>
      </c>
      <c r="CA1018" s="3">
        <v>0.32716277984794112</v>
      </c>
      <c r="CB1018" s="3">
        <v>0.3526711802529508</v>
      </c>
      <c r="CC1018" s="3">
        <v>0.28392145042244732</v>
      </c>
      <c r="CD1018" s="3">
        <v>0.34775871207868719</v>
      </c>
      <c r="CE1018" s="3">
        <v>0.2104380984928044</v>
      </c>
      <c r="CF1018" s="3">
        <v>0.203051815174844</v>
      </c>
      <c r="CG1018" s="3">
        <v>0.20210120609797999</v>
      </c>
      <c r="CH1018" s="3">
        <v>0.20093600247561599</v>
      </c>
      <c r="CI1018" s="3">
        <v>0.19905126006600621</v>
      </c>
      <c r="CJ1018" s="3">
        <v>0.20473506582622689</v>
      </c>
      <c r="CK1018" s="3">
        <v>0.2107066108193269</v>
      </c>
      <c r="CL1018" s="3">
        <v>0.21675805556011729</v>
      </c>
      <c r="CM1018" s="3">
        <v>0.22284580418024949</v>
      </c>
      <c r="CN1018" s="3">
        <v>0.22903836344773951</v>
      </c>
      <c r="CO1018" s="3">
        <v>0.23536909462213659</v>
      </c>
      <c r="CP1018" s="3">
        <v>0.2416753758596509</v>
      </c>
      <c r="CQ1018" s="3">
        <v>0.24802073941713429</v>
      </c>
      <c r="CR1018" s="3">
        <v>0.25432528005335198</v>
      </c>
      <c r="CS1018" s="3">
        <v>0.2606917823804229</v>
      </c>
      <c r="CU1018" s="17" t="s">
        <v>5204</v>
      </c>
      <c r="CV1018" s="3">
        <v>0.2587479896815274</v>
      </c>
      <c r="CW1018" s="3">
        <v>0.32716277984794112</v>
      </c>
      <c r="CX1018" s="3">
        <v>0.3526711802529508</v>
      </c>
      <c r="CY1018" s="3">
        <v>0.28392145042244732</v>
      </c>
      <c r="CZ1018" s="3">
        <v>0.34775871207868719</v>
      </c>
      <c r="DA1018" s="3">
        <v>0.1427819437959765</v>
      </c>
      <c r="DB1018" s="3">
        <v>0.13444900305081439</v>
      </c>
      <c r="DC1018" s="3">
        <v>0.1320390485259931</v>
      </c>
      <c r="DD1018" s="3">
        <v>0.1293714891750701</v>
      </c>
      <c r="DE1018" s="3">
        <v>0.12615889177119269</v>
      </c>
      <c r="DF1018" s="3">
        <v>0.12969705457424749</v>
      </c>
      <c r="DG1018" s="3">
        <v>0.133562805808422</v>
      </c>
      <c r="DH1018" s="3">
        <v>0.13758450506461159</v>
      </c>
      <c r="DI1018" s="3">
        <v>0.14159911928509181</v>
      </c>
      <c r="DJ1018" s="3">
        <v>0.14571389146439201</v>
      </c>
      <c r="DK1018" s="3">
        <v>0.15001032007360179</v>
      </c>
      <c r="DL1018" s="3">
        <v>0.15422227228155139</v>
      </c>
      <c r="DM1018" s="3">
        <v>0.15841505396254491</v>
      </c>
      <c r="DN1018" s="3">
        <v>0.16248300772181631</v>
      </c>
      <c r="DO1018" s="3">
        <v>0.1665426846791884</v>
      </c>
    </row>
    <row r="1019" spans="1:119" x14ac:dyDescent="0.45">
      <c r="A1019" s="16" t="s">
        <v>5205</v>
      </c>
      <c r="B1019" s="3" t="s">
        <v>89</v>
      </c>
      <c r="C1019" s="16" t="s">
        <v>5206</v>
      </c>
      <c r="H1019" s="3" t="s">
        <v>5207</v>
      </c>
      <c r="I1019" s="3" t="s">
        <v>4288</v>
      </c>
      <c r="K1019" s="17" t="s">
        <v>5208</v>
      </c>
      <c r="L1019" s="3">
        <v>0.18502509755347929</v>
      </c>
      <c r="M1019" s="3">
        <v>0.19415727275540989</v>
      </c>
      <c r="N1019" s="3">
        <v>0.2129286638908299</v>
      </c>
      <c r="O1019" s="3">
        <v>0.20415515925106811</v>
      </c>
      <c r="P1019" s="3">
        <v>0.22364508403075711</v>
      </c>
      <c r="Q1019" s="3">
        <v>0.23490910709802501</v>
      </c>
      <c r="R1019" s="3">
        <v>0.25329490084790329</v>
      </c>
      <c r="S1019" s="3">
        <v>0.27242069375044747</v>
      </c>
      <c r="T1019" s="3">
        <v>0.29160968007466909</v>
      </c>
      <c r="U1019" s="3">
        <v>0.30887153251538879</v>
      </c>
      <c r="V1019" s="3">
        <v>0.32904905933852202</v>
      </c>
      <c r="W1019" s="3">
        <v>0.35039796442174748</v>
      </c>
      <c r="X1019" s="3">
        <v>0.37297478253609923</v>
      </c>
      <c r="Y1019" s="3">
        <v>0.3968413476837388</v>
      </c>
      <c r="Z1019" s="3">
        <v>0.42205763138588998</v>
      </c>
      <c r="AA1019" s="3">
        <v>0.44869347975106749</v>
      </c>
      <c r="AB1019" s="3">
        <v>0.47680868812622101</v>
      </c>
      <c r="AC1019" s="3">
        <v>0.50647110373410675</v>
      </c>
      <c r="AD1019" s="3">
        <v>0.53775074235663944</v>
      </c>
      <c r="AE1019" s="3">
        <v>0.56619449419719381</v>
      </c>
      <c r="AG1019" s="17" t="s">
        <v>5209</v>
      </c>
      <c r="AH1019" s="3">
        <v>0.18502509755347929</v>
      </c>
      <c r="AI1019" s="3">
        <v>0.19415727275540989</v>
      </c>
      <c r="AJ1019" s="3">
        <v>0.2129286638908299</v>
      </c>
      <c r="AK1019" s="3">
        <v>0.20415515925106811</v>
      </c>
      <c r="AL1019" s="3">
        <v>0.22364508403075711</v>
      </c>
      <c r="AM1019" s="3">
        <v>0.21127478480969239</v>
      </c>
      <c r="AN1019" s="3">
        <v>0.22781273443748351</v>
      </c>
      <c r="AO1019" s="3">
        <v>0.24512777660288099</v>
      </c>
      <c r="AP1019" s="3">
        <v>0.26212572538265599</v>
      </c>
      <c r="AQ1019" s="3">
        <v>0.27768883221009139</v>
      </c>
      <c r="AR1019" s="3">
        <v>0.29570750361954062</v>
      </c>
      <c r="AS1019" s="3">
        <v>0.31505991805247741</v>
      </c>
      <c r="AT1019" s="3">
        <v>0.3356798435270103</v>
      </c>
      <c r="AU1019" s="3">
        <v>0.35741866757645091</v>
      </c>
      <c r="AV1019" s="3">
        <v>0.38046796165441948</v>
      </c>
      <c r="AW1019" s="3">
        <v>0.40500012851558381</v>
      </c>
      <c r="AX1019" s="3">
        <v>0.4307517133677648</v>
      </c>
      <c r="AY1019" s="3">
        <v>0.45784318868721879</v>
      </c>
      <c r="AZ1019" s="3">
        <v>0.48619523262612119</v>
      </c>
      <c r="BA1019" s="3">
        <v>0.51191902837996661</v>
      </c>
      <c r="BC1019" s="17" t="s">
        <v>5210</v>
      </c>
      <c r="BD1019" s="3">
        <v>0.18502509755347929</v>
      </c>
      <c r="BE1019" s="3">
        <v>0.19415727275540989</v>
      </c>
      <c r="BF1019" s="3">
        <v>0.2129286638908299</v>
      </c>
      <c r="BG1019" s="3">
        <v>0.20415515925106811</v>
      </c>
      <c r="BH1019" s="3">
        <v>0.22364508403075711</v>
      </c>
      <c r="BI1019" s="3">
        <v>0.2223920859434331</v>
      </c>
      <c r="BJ1019" s="3">
        <v>0.22454607489432241</v>
      </c>
      <c r="BK1019" s="3">
        <v>0.22773126250222681</v>
      </c>
      <c r="BL1019" s="3">
        <v>0.23100279765037901</v>
      </c>
      <c r="BM1019" s="3">
        <v>0.23275237390335179</v>
      </c>
      <c r="BN1019" s="3">
        <v>0.23676282193708459</v>
      </c>
      <c r="BO1019" s="3">
        <v>0.24164062587352839</v>
      </c>
      <c r="BP1019" s="3">
        <v>0.24738936726516789</v>
      </c>
      <c r="BQ1019" s="3">
        <v>0.24086112780609789</v>
      </c>
      <c r="BR1019" s="3">
        <v>0.2229674299991061</v>
      </c>
      <c r="BS1019" s="3">
        <v>0.20604700328485859</v>
      </c>
      <c r="BT1019" s="3">
        <v>0.18990750192743641</v>
      </c>
      <c r="BU1019" s="3">
        <v>0.17441979649508851</v>
      </c>
      <c r="BV1019" s="3">
        <v>0.15945519101562339</v>
      </c>
      <c r="BW1019" s="3">
        <v>0.14249265033734529</v>
      </c>
      <c r="BY1019" s="17" t="s">
        <v>5211</v>
      </c>
      <c r="BZ1019" s="3">
        <v>0.18502509755347929</v>
      </c>
      <c r="CA1019" s="3">
        <v>0.19415727275540989</v>
      </c>
      <c r="CB1019" s="3">
        <v>0.2129286638908299</v>
      </c>
      <c r="CC1019" s="3">
        <v>0.20415515925106811</v>
      </c>
      <c r="CD1019" s="3">
        <v>0.22364508403075711</v>
      </c>
      <c r="CE1019" s="3">
        <v>0.2063208349861709</v>
      </c>
      <c r="CF1019" s="3">
        <v>0.22247131041528281</v>
      </c>
      <c r="CG1019" s="3">
        <v>0.23936445536648551</v>
      </c>
      <c r="CH1019" s="3">
        <v>0.25597912421824731</v>
      </c>
      <c r="CI1019" s="3">
        <v>0.27123132461466481</v>
      </c>
      <c r="CJ1019" s="3">
        <v>0.28881606569155183</v>
      </c>
      <c r="CK1019" s="3">
        <v>0.3077374528841908</v>
      </c>
      <c r="CL1019" s="3">
        <v>0.32777160503119029</v>
      </c>
      <c r="CM1019" s="3">
        <v>0.34891179727624289</v>
      </c>
      <c r="CN1019" s="3">
        <v>0.37132006926112682</v>
      </c>
      <c r="CO1019" s="3">
        <v>0.39512484443787682</v>
      </c>
      <c r="CP1019" s="3">
        <v>0.42011858624849868</v>
      </c>
      <c r="CQ1019" s="3">
        <v>0.44646444405214719</v>
      </c>
      <c r="CR1019" s="3">
        <v>0.47407932964580568</v>
      </c>
      <c r="CS1019" s="3">
        <v>0.49921575753116593</v>
      </c>
      <c r="CU1019" s="17" t="s">
        <v>5212</v>
      </c>
      <c r="CV1019" s="3">
        <v>0.18502509755347929</v>
      </c>
      <c r="CW1019" s="3">
        <v>0.19415727275540989</v>
      </c>
      <c r="CX1019" s="3">
        <v>0.2129286638908299</v>
      </c>
      <c r="CY1019" s="3">
        <v>0.20415515925106811</v>
      </c>
      <c r="CZ1019" s="3">
        <v>0.22364508403075711</v>
      </c>
      <c r="DA1019" s="3">
        <v>0.18558592479505759</v>
      </c>
      <c r="DB1019" s="3">
        <v>0.20011533691882591</v>
      </c>
      <c r="DC1019" s="3">
        <v>0.21543908541462911</v>
      </c>
      <c r="DD1019" s="3">
        <v>0.23010143437682751</v>
      </c>
      <c r="DE1019" s="3">
        <v>0.24383422481908709</v>
      </c>
      <c r="DF1019" s="3">
        <v>0.25951502123520448</v>
      </c>
      <c r="DG1019" s="3">
        <v>0.27668485884565408</v>
      </c>
      <c r="DH1019" s="3">
        <v>0.29508913650803342</v>
      </c>
      <c r="DI1019" s="3">
        <v>0.31444966078854669</v>
      </c>
      <c r="DJ1019" s="3">
        <v>0.33505133323236858</v>
      </c>
      <c r="DK1019" s="3">
        <v>0.35716089268119833</v>
      </c>
      <c r="DL1019" s="3">
        <v>0.38022043384688531</v>
      </c>
      <c r="DM1019" s="3">
        <v>0.40442434173167241</v>
      </c>
      <c r="DN1019" s="3">
        <v>0.42954459142988249</v>
      </c>
      <c r="DO1019" s="3">
        <v>0.45229462050221109</v>
      </c>
    </row>
    <row r="1020" spans="1:119" x14ac:dyDescent="0.45">
      <c r="A1020" s="11"/>
      <c r="B1020" s="3" t="s">
        <v>89</v>
      </c>
      <c r="C1020" s="16" t="s">
        <v>5213</v>
      </c>
      <c r="H1020" s="11" t="s">
        <v>5214</v>
      </c>
      <c r="I1020" s="11"/>
    </row>
    <row r="1021" spans="1:119" x14ac:dyDescent="0.45">
      <c r="A1021" s="11"/>
      <c r="B1021" s="3" t="s">
        <v>89</v>
      </c>
      <c r="C1021" s="16" t="s">
        <v>5215</v>
      </c>
      <c r="H1021" s="11" t="s">
        <v>5216</v>
      </c>
      <c r="I1021" s="11"/>
    </row>
    <row r="1022" spans="1:119" x14ac:dyDescent="0.45">
      <c r="A1022" s="16" t="s">
        <v>5217</v>
      </c>
      <c r="B1022" s="3" t="s">
        <v>89</v>
      </c>
      <c r="C1022" s="16" t="s">
        <v>5218</v>
      </c>
      <c r="H1022" s="3" t="s">
        <v>5219</v>
      </c>
      <c r="I1022" s="3" t="s">
        <v>5072</v>
      </c>
      <c r="K1022" s="17" t="s">
        <v>5220</v>
      </c>
      <c r="L1022" s="3">
        <v>31.121957045591309</v>
      </c>
      <c r="M1022" s="3">
        <v>27.931079799552691</v>
      </c>
      <c r="N1022" s="3">
        <v>27.493080911633999</v>
      </c>
      <c r="O1022" s="3">
        <v>22.720783951948629</v>
      </c>
      <c r="P1022" s="3">
        <v>24.946408656137169</v>
      </c>
      <c r="Q1022" s="3">
        <v>23.42762078591624</v>
      </c>
      <c r="R1022" s="3">
        <v>23.457374195154109</v>
      </c>
      <c r="S1022" s="3">
        <v>23.682052607383159</v>
      </c>
      <c r="T1022" s="3">
        <v>23.900437646203631</v>
      </c>
      <c r="U1022" s="3">
        <v>24.126313589635359</v>
      </c>
      <c r="V1022" s="3">
        <v>24.73049892926386</v>
      </c>
      <c r="W1022" s="3">
        <v>25.362020305321469</v>
      </c>
      <c r="X1022" s="3">
        <v>26.018647733337001</v>
      </c>
      <c r="Y1022" s="3">
        <v>26.705208480067238</v>
      </c>
      <c r="Z1022" s="3">
        <v>27.420616945862282</v>
      </c>
      <c r="AA1022" s="3">
        <v>28.166287147679611</v>
      </c>
      <c r="AB1022" s="3">
        <v>28.942076057981222</v>
      </c>
      <c r="AC1022" s="3">
        <v>29.748369511861728</v>
      </c>
      <c r="AD1022" s="3">
        <v>30.585522514042982</v>
      </c>
      <c r="AE1022" s="3">
        <v>31.040818516676278</v>
      </c>
      <c r="AG1022" s="17" t="s">
        <v>5221</v>
      </c>
      <c r="AH1022" s="3">
        <v>31.121957045591309</v>
      </c>
      <c r="AI1022" s="3">
        <v>27.931872830859959</v>
      </c>
      <c r="AJ1022" s="3">
        <v>27.493869151258991</v>
      </c>
      <c r="AK1022" s="3">
        <v>22.721211437280079</v>
      </c>
      <c r="AL1022" s="3">
        <v>24.946788236468919</v>
      </c>
      <c r="AM1022" s="3">
        <v>23.06755052311836</v>
      </c>
      <c r="AN1022" s="3">
        <v>23.085530153902109</v>
      </c>
      <c r="AO1022" s="3">
        <v>23.604187703301029</v>
      </c>
      <c r="AP1022" s="3">
        <v>23.8046023628069</v>
      </c>
      <c r="AQ1022" s="3">
        <v>24.026846371828618</v>
      </c>
      <c r="AR1022" s="3">
        <v>24.623289127091152</v>
      </c>
      <c r="AS1022" s="3">
        <v>25.250357632935199</v>
      </c>
      <c r="AT1022" s="3">
        <v>25.904481281034251</v>
      </c>
      <c r="AU1022" s="3">
        <v>26.587856515697961</v>
      </c>
      <c r="AV1022" s="3">
        <v>27.300872879315889</v>
      </c>
      <c r="AW1022" s="3">
        <v>28.045741724685289</v>
      </c>
      <c r="AX1022" s="3">
        <v>28.819900502216189</v>
      </c>
      <c r="AY1022" s="3">
        <v>29.624312931072549</v>
      </c>
      <c r="AZ1022" s="3">
        <v>30.458204426777801</v>
      </c>
      <c r="BA1022" s="3">
        <v>30.914787808617309</v>
      </c>
      <c r="BC1022" s="17" t="s">
        <v>5222</v>
      </c>
      <c r="BD1022" s="3">
        <v>31.121957045591309</v>
      </c>
      <c r="BE1022" s="3">
        <v>27.933452290618241</v>
      </c>
      <c r="BF1022" s="3">
        <v>27.495439015316599</v>
      </c>
      <c r="BG1022" s="3">
        <v>22.722063087712911</v>
      </c>
      <c r="BH1022" s="3">
        <v>24.947545025982969</v>
      </c>
      <c r="BI1022" s="3">
        <v>23.198021730094261</v>
      </c>
      <c r="BJ1022" s="3">
        <v>22.979273756183989</v>
      </c>
      <c r="BK1022" s="3">
        <v>23.279084778497928</v>
      </c>
      <c r="BL1022" s="3">
        <v>23.597027243292349</v>
      </c>
      <c r="BM1022" s="3">
        <v>23.671741784889051</v>
      </c>
      <c r="BN1022" s="3">
        <v>24.117724865097522</v>
      </c>
      <c r="BO1022" s="3">
        <v>24.589242053494871</v>
      </c>
      <c r="BP1022" s="3">
        <v>25.086104902492981</v>
      </c>
      <c r="BQ1022" s="3">
        <v>25.607917138167199</v>
      </c>
      <c r="BR1022" s="3">
        <v>26.154416991270729</v>
      </c>
      <c r="BS1022" s="3">
        <v>26.72665407619305</v>
      </c>
      <c r="BT1022" s="3">
        <v>27.323749421785099</v>
      </c>
      <c r="BU1022" s="3">
        <v>27.945589983893399</v>
      </c>
      <c r="BV1022" s="3">
        <v>28.591456197605101</v>
      </c>
      <c r="BW1022" s="3">
        <v>28.9283474884292</v>
      </c>
      <c r="BY1022" s="17" t="s">
        <v>5223</v>
      </c>
      <c r="BZ1022" s="3">
        <v>31.121957045591309</v>
      </c>
      <c r="CA1022" s="3">
        <v>27.93527718320713</v>
      </c>
      <c r="CB1022" s="3">
        <v>27.497252734534719</v>
      </c>
      <c r="CC1022" s="3">
        <v>22.723045942832421</v>
      </c>
      <c r="CD1022" s="3">
        <v>24.948416530806941</v>
      </c>
      <c r="CE1022" s="3">
        <v>22.99820630072535</v>
      </c>
      <c r="CF1022" s="3">
        <v>23.014061084359341</v>
      </c>
      <c r="CG1022" s="3">
        <v>23.230130326500969</v>
      </c>
      <c r="CH1022" s="3">
        <v>23.44212039046106</v>
      </c>
      <c r="CI1022" s="3">
        <v>23.647094953968999</v>
      </c>
      <c r="CJ1022" s="3">
        <v>24.21883935485037</v>
      </c>
      <c r="CK1022" s="3">
        <v>24.81923000906324</v>
      </c>
      <c r="CL1022" s="3">
        <v>25.447073587397281</v>
      </c>
      <c r="CM1022" s="3">
        <v>26.10290332046209</v>
      </c>
      <c r="CN1022" s="3">
        <v>26.788070908728539</v>
      </c>
      <c r="CO1022" s="3">
        <v>27.504257003780239</v>
      </c>
      <c r="CP1022" s="3">
        <v>28.249640926215591</v>
      </c>
      <c r="CQ1022" s="3">
        <v>29.02547616352226</v>
      </c>
      <c r="CR1022" s="3">
        <v>29.831155963940791</v>
      </c>
      <c r="CS1022" s="3">
        <v>30.28404118788189</v>
      </c>
      <c r="CU1022" s="17" t="s">
        <v>5224</v>
      </c>
      <c r="CV1022" s="3">
        <v>31.121957045591309</v>
      </c>
      <c r="CW1022" s="3">
        <v>27.93282398739661</v>
      </c>
      <c r="CX1022" s="3">
        <v>27.494814537558849</v>
      </c>
      <c r="CY1022" s="3">
        <v>22.721724250275209</v>
      </c>
      <c r="CZ1022" s="3">
        <v>24.947243808410938</v>
      </c>
      <c r="DA1022" s="3">
        <v>22.717295032103319</v>
      </c>
      <c r="DB1022" s="3">
        <v>22.726467776418978</v>
      </c>
      <c r="DC1022" s="3">
        <v>23.204343871038791</v>
      </c>
      <c r="DD1022" s="3">
        <v>23.691797747401122</v>
      </c>
      <c r="DE1022" s="3">
        <v>23.91022543283945</v>
      </c>
      <c r="DF1022" s="3">
        <v>24.498540756672138</v>
      </c>
      <c r="DG1022" s="3">
        <v>25.11925671749751</v>
      </c>
      <c r="DH1022" s="3">
        <v>25.76928939353056</v>
      </c>
      <c r="DI1022" s="3">
        <v>26.447655858482111</v>
      </c>
      <c r="DJ1022" s="3">
        <v>27.156471015157781</v>
      </c>
      <c r="DK1022" s="3">
        <v>27.898956640810258</v>
      </c>
      <c r="DL1022" s="3">
        <v>28.669683969558289</v>
      </c>
      <c r="DM1022" s="3">
        <v>29.47055690944612</v>
      </c>
      <c r="DN1022" s="3">
        <v>30.299346123585259</v>
      </c>
      <c r="DO1022" s="3">
        <v>30.756713391579449</v>
      </c>
    </row>
    <row r="1023" spans="1:119" x14ac:dyDescent="0.45">
      <c r="A1023" s="16" t="s">
        <v>5225</v>
      </c>
      <c r="B1023" s="3" t="s">
        <v>89</v>
      </c>
      <c r="C1023" s="16" t="s">
        <v>5226</v>
      </c>
      <c r="H1023" s="3" t="s">
        <v>5227</v>
      </c>
      <c r="I1023" s="3" t="s">
        <v>5072</v>
      </c>
      <c r="K1023" s="17" t="s">
        <v>5228</v>
      </c>
      <c r="L1023" s="3">
        <v>4.8634415868015042</v>
      </c>
      <c r="M1023" s="3">
        <v>4.3984442736846976</v>
      </c>
      <c r="N1023" s="3">
        <v>4.1856180444947881</v>
      </c>
      <c r="O1023" s="3">
        <v>4.1856180444947881</v>
      </c>
      <c r="P1023" s="3">
        <v>4.1856180444947881</v>
      </c>
      <c r="Q1023" s="3">
        <v>4.1856180444947881</v>
      </c>
      <c r="R1023" s="3">
        <v>4.1856180444947881</v>
      </c>
      <c r="S1023" s="3">
        <v>4.1856180444947881</v>
      </c>
      <c r="T1023" s="3">
        <v>4.1856180444947881</v>
      </c>
      <c r="U1023" s="3">
        <v>4.1856180444947881</v>
      </c>
      <c r="V1023" s="3">
        <v>4.1856180444947881</v>
      </c>
      <c r="W1023" s="3">
        <v>4.1856180444947872</v>
      </c>
      <c r="X1023" s="3">
        <v>4.1856180444947917</v>
      </c>
      <c r="Y1023" s="3">
        <v>4.1856180444947917</v>
      </c>
      <c r="Z1023" s="3">
        <v>4.1856180444947917</v>
      </c>
      <c r="AA1023" s="3">
        <v>4.1856180444947899</v>
      </c>
      <c r="AB1023" s="3">
        <v>4.1856180444947926</v>
      </c>
      <c r="AC1023" s="3">
        <v>4.1856180444947917</v>
      </c>
      <c r="AD1023" s="3">
        <v>4.1856180444947917</v>
      </c>
      <c r="AE1023" s="3">
        <v>4.1856180444947917</v>
      </c>
      <c r="AG1023" s="17" t="s">
        <v>5229</v>
      </c>
      <c r="AH1023" s="3">
        <v>4.8634415868015042</v>
      </c>
      <c r="AI1023" s="3">
        <v>4.3984442736846976</v>
      </c>
      <c r="AJ1023" s="3">
        <v>4.1856180444947881</v>
      </c>
      <c r="AK1023" s="3">
        <v>4.1856180444947881</v>
      </c>
      <c r="AL1023" s="3">
        <v>4.1856180444947881</v>
      </c>
      <c r="AM1023" s="3">
        <v>5.6416126124145078</v>
      </c>
      <c r="AN1023" s="3">
        <v>5.6416290357412997</v>
      </c>
      <c r="AO1023" s="3">
        <v>5.6416454055812526</v>
      </c>
      <c r="AP1023" s="3">
        <v>5.6416617220666838</v>
      </c>
      <c r="AQ1023" s="3">
        <v>5.6416779853298902</v>
      </c>
      <c r="AR1023" s="3">
        <v>5.6416941955031454</v>
      </c>
      <c r="AS1023" s="3">
        <v>5.6417103527186931</v>
      </c>
      <c r="AT1023" s="3">
        <v>5.641726457108752</v>
      </c>
      <c r="AU1023" s="3">
        <v>5.641742508805498</v>
      </c>
      <c r="AV1023" s="3">
        <v>5.6417585079410859</v>
      </c>
      <c r="AW1023" s="3">
        <v>5.6417744546476243</v>
      </c>
      <c r="AX1023" s="3">
        <v>5.6417903490571906</v>
      </c>
      <c r="AY1023" s="3">
        <v>5.6418061913018063</v>
      </c>
      <c r="AZ1023" s="3">
        <v>5.6418219815134627</v>
      </c>
      <c r="BA1023" s="3">
        <v>5.6418377198240961</v>
      </c>
      <c r="BC1023" s="17" t="s">
        <v>5230</v>
      </c>
      <c r="BD1023" s="3">
        <v>4.8634415868015042</v>
      </c>
      <c r="BE1023" s="3">
        <v>4.3984442736846976</v>
      </c>
      <c r="BF1023" s="3">
        <v>4.1856180444947881</v>
      </c>
      <c r="BG1023" s="3">
        <v>4.1856180444947881</v>
      </c>
      <c r="BH1023" s="3">
        <v>4.1856180444947881</v>
      </c>
      <c r="BI1023" s="3">
        <v>4.9162333226272636</v>
      </c>
      <c r="BJ1023" s="3">
        <v>5.8831002828632846</v>
      </c>
      <c r="BK1023" s="3">
        <v>6.8430952658526518</v>
      </c>
      <c r="BL1023" s="3">
        <v>7.7972854771701661</v>
      </c>
      <c r="BM1023" s="3">
        <v>8.7446316911955098</v>
      </c>
      <c r="BN1023" s="3">
        <v>9.6861971989548099</v>
      </c>
      <c r="BO1023" s="3">
        <v>10.622296915558939</v>
      </c>
      <c r="BP1023" s="3">
        <v>11.55319930750162</v>
      </c>
      <c r="BQ1023" s="3">
        <v>12.4791369889502</v>
      </c>
      <c r="BR1023" s="3">
        <v>13.400314192525469</v>
      </c>
      <c r="BS1023" s="3">
        <v>14.316912213019361</v>
      </c>
      <c r="BT1023" s="3">
        <v>15.229093483292999</v>
      </c>
      <c r="BU1023" s="3">
        <v>16.137004696415762</v>
      </c>
      <c r="BV1023" s="3">
        <v>17.040779244129428</v>
      </c>
      <c r="BW1023" s="3">
        <v>17.940539153526579</v>
      </c>
      <c r="BY1023" s="17" t="s">
        <v>5231</v>
      </c>
      <c r="BZ1023" s="3">
        <v>4.8634415868015042</v>
      </c>
      <c r="CA1023" s="3">
        <v>4.3984442736846976</v>
      </c>
      <c r="CB1023" s="3">
        <v>4.1856180444947881</v>
      </c>
      <c r="CC1023" s="3">
        <v>4.1856180444947881</v>
      </c>
      <c r="CD1023" s="3">
        <v>4.1856180444947881</v>
      </c>
      <c r="CE1023" s="3">
        <v>6.0025323657397252</v>
      </c>
      <c r="CF1023" s="3">
        <v>6.0025518719610282</v>
      </c>
      <c r="CG1023" s="3">
        <v>6.0025713147072963</v>
      </c>
      <c r="CH1023" s="3">
        <v>6.0025906941351819</v>
      </c>
      <c r="CI1023" s="3">
        <v>6.0026100104013036</v>
      </c>
      <c r="CJ1023" s="3">
        <v>6.0026292636622678</v>
      </c>
      <c r="CK1023" s="3">
        <v>6.0026484540746416</v>
      </c>
      <c r="CL1023" s="3">
        <v>6.0026675817949737</v>
      </c>
      <c r="CM1023" s="3">
        <v>6.002686646979754</v>
      </c>
      <c r="CN1023" s="3">
        <v>6.0027056497854581</v>
      </c>
      <c r="CO1023" s="3">
        <v>6.0027245903685058</v>
      </c>
      <c r="CP1023" s="3">
        <v>6.0027434688852894</v>
      </c>
      <c r="CQ1023" s="3">
        <v>6.0027622854921328</v>
      </c>
      <c r="CR1023" s="3">
        <v>6.0027810403453277</v>
      </c>
      <c r="CS1023" s="3">
        <v>6.002799733601103</v>
      </c>
      <c r="CU1023" s="17" t="s">
        <v>5232</v>
      </c>
      <c r="CV1023" s="3">
        <v>4.8634415868015042</v>
      </c>
      <c r="CW1023" s="3">
        <v>4.3984442736846976</v>
      </c>
      <c r="CX1023" s="3">
        <v>4.1856180444947881</v>
      </c>
      <c r="CY1023" s="3">
        <v>4.1856180444947881</v>
      </c>
      <c r="CZ1023" s="3">
        <v>4.1856180444947881</v>
      </c>
      <c r="DA1023" s="3">
        <v>7.7909087896110654</v>
      </c>
      <c r="DB1023" s="3">
        <v>7.7909380065595979</v>
      </c>
      <c r="DC1023" s="3">
        <v>7.7909671287239606</v>
      </c>
      <c r="DD1023" s="3">
        <v>7.7909961563359564</v>
      </c>
      <c r="DE1023" s="3">
        <v>7.7910250896273698</v>
      </c>
      <c r="DF1023" s="3">
        <v>7.7910539288299692</v>
      </c>
      <c r="DG1023" s="3">
        <v>7.7910826741754979</v>
      </c>
      <c r="DH1023" s="3">
        <v>7.7911113258956686</v>
      </c>
      <c r="DI1023" s="3">
        <v>7.7911398842221553</v>
      </c>
      <c r="DJ1023" s="3">
        <v>7.7911683493866004</v>
      </c>
      <c r="DK1023" s="3">
        <v>7.7911967216205964</v>
      </c>
      <c r="DL1023" s="3">
        <v>7.7912250011556994</v>
      </c>
      <c r="DM1023" s="3">
        <v>7.7912531882234006</v>
      </c>
      <c r="DN1023" s="3">
        <v>7.791281283055139</v>
      </c>
      <c r="DO1023" s="3">
        <v>7.7913092858822921</v>
      </c>
    </row>
    <row r="1024" spans="1:119" x14ac:dyDescent="0.45">
      <c r="A1024" s="16" t="s">
        <v>5233</v>
      </c>
      <c r="B1024" s="3" t="s">
        <v>89</v>
      </c>
      <c r="C1024" s="16" t="s">
        <v>5234</v>
      </c>
      <c r="H1024" s="3" t="s">
        <v>5235</v>
      </c>
      <c r="I1024" s="3" t="s">
        <v>5081</v>
      </c>
      <c r="K1024" s="17" t="s">
        <v>5236</v>
      </c>
      <c r="L1024" s="3">
        <v>317.22175775540001</v>
      </c>
      <c r="M1024" s="3">
        <v>295.71365802334361</v>
      </c>
      <c r="N1024" s="3">
        <v>305.73687231057761</v>
      </c>
      <c r="O1024" s="3">
        <v>348.11765554818498</v>
      </c>
      <c r="P1024" s="3">
        <v>392.7971840792984</v>
      </c>
      <c r="Q1024" s="3">
        <v>440.73158800981611</v>
      </c>
      <c r="R1024" s="3">
        <v>492.29412508279711</v>
      </c>
      <c r="S1024" s="3">
        <v>546.67359100386966</v>
      </c>
      <c r="T1024" s="3">
        <v>604.00473050119024</v>
      </c>
      <c r="U1024" s="3">
        <v>596.49228849623728</v>
      </c>
      <c r="V1024" s="3">
        <v>589.51688373511286</v>
      </c>
      <c r="W1024" s="3">
        <v>582.97590819635809</v>
      </c>
      <c r="X1024" s="3">
        <v>577.30253298395826</v>
      </c>
      <c r="Y1024" s="3">
        <v>571.80542833060099</v>
      </c>
      <c r="Z1024" s="3">
        <v>566.72408923992384</v>
      </c>
      <c r="AA1024" s="3">
        <v>562.00253164696778</v>
      </c>
      <c r="AB1024" s="3">
        <v>557.63498589957089</v>
      </c>
      <c r="AC1024" s="3">
        <v>553.61049890895356</v>
      </c>
      <c r="AD1024" s="3">
        <v>549.91348040758237</v>
      </c>
      <c r="AE1024" s="3">
        <v>546.53323444889418</v>
      </c>
      <c r="AG1024" s="17" t="s">
        <v>5237</v>
      </c>
      <c r="AH1024" s="3">
        <v>317.22175775540001</v>
      </c>
      <c r="AI1024" s="3">
        <v>295.65747403116058</v>
      </c>
      <c r="AJ1024" s="3">
        <v>305.68229357531408</v>
      </c>
      <c r="AK1024" s="3">
        <v>348.06454525485748</v>
      </c>
      <c r="AL1024" s="3">
        <v>392.74540592591842</v>
      </c>
      <c r="AM1024" s="3">
        <v>417.61674437792641</v>
      </c>
      <c r="AN1024" s="3">
        <v>468.25238087470308</v>
      </c>
      <c r="AO1024" s="3">
        <v>462.51924328092258</v>
      </c>
      <c r="AP1024" s="3">
        <v>514.05237924799894</v>
      </c>
      <c r="AQ1024" s="3">
        <v>507.32374325772429</v>
      </c>
      <c r="AR1024" s="3">
        <v>501.10477962560049</v>
      </c>
      <c r="AS1024" s="3">
        <v>495.1769316393532</v>
      </c>
      <c r="AT1024" s="3">
        <v>489.97697305734721</v>
      </c>
      <c r="AU1024" s="3">
        <v>484.96779523920259</v>
      </c>
      <c r="AV1024" s="3">
        <v>480.35669050162682</v>
      </c>
      <c r="AW1024" s="3">
        <v>476.13836479476151</v>
      </c>
      <c r="AX1024" s="3">
        <v>472.18149029888019</v>
      </c>
      <c r="AY1024" s="3">
        <v>468.49260788728441</v>
      </c>
      <c r="AZ1024" s="3">
        <v>465.01916910418839</v>
      </c>
      <c r="BA1024" s="3">
        <v>461.80162742356379</v>
      </c>
      <c r="BC1024" s="17" t="s">
        <v>5238</v>
      </c>
      <c r="BD1024" s="3">
        <v>317.22175775540001</v>
      </c>
      <c r="BE1024" s="3">
        <v>295.54564033666378</v>
      </c>
      <c r="BF1024" s="3">
        <v>305.57365512923138</v>
      </c>
      <c r="BG1024" s="3">
        <v>347.9587876661293</v>
      </c>
      <c r="BH1024" s="3">
        <v>392.6422154840937</v>
      </c>
      <c r="BI1024" s="3">
        <v>425.63808227780839</v>
      </c>
      <c r="BJ1024" s="3">
        <v>461.73784273051439</v>
      </c>
      <c r="BK1024" s="3">
        <v>444.57235615758248</v>
      </c>
      <c r="BL1024" s="3">
        <v>429.21624897599088</v>
      </c>
      <c r="BM1024" s="3">
        <v>416.40137829101531</v>
      </c>
      <c r="BN1024" s="3">
        <v>404.55831619974231</v>
      </c>
      <c r="BO1024" s="3">
        <v>393.53674063145479</v>
      </c>
      <c r="BP1024" s="3">
        <v>383.2510992417528</v>
      </c>
      <c r="BQ1024" s="3">
        <v>373.57545196015752</v>
      </c>
      <c r="BR1024" s="3">
        <v>364.44308394186987</v>
      </c>
      <c r="BS1024" s="3">
        <v>355.80732434949277</v>
      </c>
      <c r="BT1024" s="3">
        <v>347.60650006146841</v>
      </c>
      <c r="BU1024" s="3">
        <v>339.78905866622392</v>
      </c>
      <c r="BV1024" s="3">
        <v>332.30000041623549</v>
      </c>
      <c r="BW1024" s="3">
        <v>325.10712929446731</v>
      </c>
      <c r="BY1024" s="17" t="s">
        <v>5239</v>
      </c>
      <c r="BZ1024" s="3">
        <v>317.22175775540001</v>
      </c>
      <c r="CA1024" s="3">
        <v>295.4165388921017</v>
      </c>
      <c r="CB1024" s="3">
        <v>305.44824229737122</v>
      </c>
      <c r="CC1024" s="3">
        <v>347.83682064231721</v>
      </c>
      <c r="CD1024" s="3">
        <v>392.52345322185721</v>
      </c>
      <c r="CE1024" s="3">
        <v>413.14289219571168</v>
      </c>
      <c r="CF1024" s="3">
        <v>463.61187782089672</v>
      </c>
      <c r="CG1024" s="3">
        <v>516.98055498423332</v>
      </c>
      <c r="CH1024" s="3">
        <v>573.20005295971555</v>
      </c>
      <c r="CI1024" s="3">
        <v>564.21487100991715</v>
      </c>
      <c r="CJ1024" s="3">
        <v>555.56606002245167</v>
      </c>
      <c r="CK1024" s="3">
        <v>547.48378840319174</v>
      </c>
      <c r="CL1024" s="3">
        <v>539.83009831231311</v>
      </c>
      <c r="CM1024" s="3">
        <v>532.56837476855515</v>
      </c>
      <c r="CN1024" s="3">
        <v>525.73239520040681</v>
      </c>
      <c r="CO1024" s="3">
        <v>519.33466033677428</v>
      </c>
      <c r="CP1024" s="3">
        <v>513.26410965182686</v>
      </c>
      <c r="CQ1024" s="3">
        <v>507.55223210167418</v>
      </c>
      <c r="CR1024" s="3">
        <v>502.13983815074602</v>
      </c>
      <c r="CS1024" s="3">
        <v>497.08423493719903</v>
      </c>
      <c r="CU1024" s="17" t="s">
        <v>5240</v>
      </c>
      <c r="CV1024" s="3">
        <v>317.22175775540001</v>
      </c>
      <c r="CW1024" s="3">
        <v>295.59011676442691</v>
      </c>
      <c r="CX1024" s="3">
        <v>305.61686080191561</v>
      </c>
      <c r="CY1024" s="3">
        <v>348.00085630355761</v>
      </c>
      <c r="CZ1024" s="3">
        <v>392.68328060572583</v>
      </c>
      <c r="DA1024" s="3">
        <v>397.15187277422501</v>
      </c>
      <c r="DB1024" s="3">
        <v>446.96808459961812</v>
      </c>
      <c r="DC1024" s="3">
        <v>440.48581071537421</v>
      </c>
      <c r="DD1024" s="3">
        <v>433.88931838669163</v>
      </c>
      <c r="DE1024" s="3">
        <v>427.80666580623023</v>
      </c>
      <c r="DF1024" s="3">
        <v>422.10573808674809</v>
      </c>
      <c r="DG1024" s="3">
        <v>416.87932151395881</v>
      </c>
      <c r="DH1024" s="3">
        <v>412.14907398265927</v>
      </c>
      <c r="DI1024" s="3">
        <v>407.65153687115293</v>
      </c>
      <c r="DJ1024" s="3">
        <v>403.51559250943251</v>
      </c>
      <c r="DK1024" s="3">
        <v>399.7715973158501</v>
      </c>
      <c r="DL1024" s="3">
        <v>396.20945021597947</v>
      </c>
      <c r="DM1024" s="3">
        <v>392.85323133161802</v>
      </c>
      <c r="DN1024" s="3">
        <v>389.62492417006553</v>
      </c>
      <c r="DO1024" s="3">
        <v>386.60042579111501</v>
      </c>
    </row>
    <row r="1025" spans="1:119" x14ac:dyDescent="0.45">
      <c r="A1025" s="16" t="s">
        <v>5241</v>
      </c>
      <c r="B1025" s="3" t="s">
        <v>89</v>
      </c>
      <c r="C1025" s="16" t="s">
        <v>5242</v>
      </c>
      <c r="H1025" s="3" t="s">
        <v>5243</v>
      </c>
      <c r="I1025" s="3" t="s">
        <v>4288</v>
      </c>
      <c r="K1025" s="17" t="s">
        <v>5244</v>
      </c>
      <c r="L1025" s="3">
        <v>4.3950169688827083</v>
      </c>
      <c r="M1025" s="3">
        <v>3.3503017379580089</v>
      </c>
      <c r="N1025" s="3">
        <v>3.347859865071849</v>
      </c>
      <c r="O1025" s="3">
        <v>3.009743829182344</v>
      </c>
      <c r="P1025" s="3">
        <v>4.0251120527366044</v>
      </c>
      <c r="Q1025" s="3">
        <v>3.7843941440508391</v>
      </c>
      <c r="R1025" s="3">
        <v>4.0022220026118136</v>
      </c>
      <c r="S1025" s="3">
        <v>4.318410994181682</v>
      </c>
      <c r="T1025" s="3">
        <v>4.6496458623524388</v>
      </c>
      <c r="U1025" s="3">
        <v>4.4612986604253999</v>
      </c>
      <c r="V1025" s="3">
        <v>4.4091280548419123</v>
      </c>
      <c r="W1025" s="3">
        <v>4.3602066421569514</v>
      </c>
      <c r="X1025" s="3">
        <v>4.3177742055214683</v>
      </c>
      <c r="Y1025" s="3">
        <v>4.2766601356513174</v>
      </c>
      <c r="Z1025" s="3">
        <v>4.2386556690126032</v>
      </c>
      <c r="AA1025" s="3">
        <v>4.20334208831623</v>
      </c>
      <c r="AB1025" s="3">
        <v>4.1706762410488158</v>
      </c>
      <c r="AC1025" s="3">
        <v>4.1405762066201994</v>
      </c>
      <c r="AD1025" s="3">
        <v>4.1129253819476546</v>
      </c>
      <c r="AE1025" s="3">
        <v>4.0876437696649166</v>
      </c>
      <c r="AG1025" s="17" t="s">
        <v>5245</v>
      </c>
      <c r="AH1025" s="3">
        <v>4.3950169688827083</v>
      </c>
      <c r="AI1025" s="3">
        <v>3.3496651987872652</v>
      </c>
      <c r="AJ1025" s="3">
        <v>3.3472622205813618</v>
      </c>
      <c r="AK1025" s="3">
        <v>3.0092846500081172</v>
      </c>
      <c r="AL1025" s="3">
        <v>4.0245814662719201</v>
      </c>
      <c r="AM1025" s="3">
        <v>2.9778680816295422</v>
      </c>
      <c r="AN1025" s="3">
        <v>3.1249883202738569</v>
      </c>
      <c r="AO1025" s="3">
        <v>2.98019875268115</v>
      </c>
      <c r="AP1025" s="3">
        <v>3.2087073473455199</v>
      </c>
      <c r="AQ1025" s="3">
        <v>3.0556934737679602</v>
      </c>
      <c r="AR1025" s="3">
        <v>3.0182275206654938</v>
      </c>
      <c r="AS1025" s="3">
        <v>2.9825152228842162</v>
      </c>
      <c r="AT1025" s="3">
        <v>2.951187303568152</v>
      </c>
      <c r="AU1025" s="3">
        <v>2.9210086685618322</v>
      </c>
      <c r="AV1025" s="3">
        <v>2.8932278464920049</v>
      </c>
      <c r="AW1025" s="3">
        <v>2.8678129310489981</v>
      </c>
      <c r="AX1025" s="3">
        <v>2.8439729086407071</v>
      </c>
      <c r="AY1025" s="3">
        <v>2.8217471620235011</v>
      </c>
      <c r="AZ1025" s="3">
        <v>2.8008191774871118</v>
      </c>
      <c r="BA1025" s="3">
        <v>2.7814325956185288</v>
      </c>
      <c r="BC1025" s="17" t="s">
        <v>5246</v>
      </c>
      <c r="BD1025" s="3">
        <v>4.3950169688827083</v>
      </c>
      <c r="BE1025" s="3">
        <v>3.3483981737078712</v>
      </c>
      <c r="BF1025" s="3">
        <v>3.346072614987849</v>
      </c>
      <c r="BG1025" s="3">
        <v>3.008370294631447</v>
      </c>
      <c r="BH1025" s="3">
        <v>4.0235240424716734</v>
      </c>
      <c r="BI1025" s="3">
        <v>3.3438142779466178</v>
      </c>
      <c r="BJ1025" s="3">
        <v>2.9700156617351481</v>
      </c>
      <c r="BK1025" s="3">
        <v>2.3304282972906281</v>
      </c>
      <c r="BL1025" s="3">
        <v>1.75393273472415</v>
      </c>
      <c r="BM1025" s="3">
        <v>1.215979071850098</v>
      </c>
      <c r="BN1025" s="3">
        <v>0.80047669838233892</v>
      </c>
      <c r="BO1025" s="3">
        <v>0.41027929771926203</v>
      </c>
      <c r="BP1025" s="3">
        <v>4.2786700833163938E-2</v>
      </c>
      <c r="BQ1025" s="3">
        <v>0</v>
      </c>
      <c r="BR1025" s="3">
        <v>0</v>
      </c>
      <c r="BS1025" s="3">
        <v>0</v>
      </c>
      <c r="BT1025" s="3">
        <v>0</v>
      </c>
      <c r="BU1025" s="3">
        <v>0</v>
      </c>
      <c r="BV1025" s="3">
        <v>0</v>
      </c>
      <c r="BW1025" s="3">
        <v>0</v>
      </c>
      <c r="BY1025" s="17" t="s">
        <v>5247</v>
      </c>
      <c r="BZ1025" s="3">
        <v>4.3950169688827083</v>
      </c>
      <c r="CA1025" s="3">
        <v>3.3469355128453979</v>
      </c>
      <c r="CB1025" s="3">
        <v>3.3446993276143728</v>
      </c>
      <c r="CC1025" s="3">
        <v>3.007315796270241</v>
      </c>
      <c r="CD1025" s="3">
        <v>4.0223070494979094</v>
      </c>
      <c r="CE1025" s="3">
        <v>2.796855292061327</v>
      </c>
      <c r="CF1025" s="3">
        <v>2.9266907582484052</v>
      </c>
      <c r="CG1025" s="3">
        <v>3.1445233578772842</v>
      </c>
      <c r="CH1025" s="3">
        <v>3.3710217458306682</v>
      </c>
      <c r="CI1025" s="3">
        <v>3.194714779414606</v>
      </c>
      <c r="CJ1025" s="3">
        <v>3.1457325196286989</v>
      </c>
      <c r="CK1025" s="3">
        <v>3.0999584820904071</v>
      </c>
      <c r="CL1025" s="3">
        <v>3.056611491397653</v>
      </c>
      <c r="CM1025" s="3">
        <v>3.015484201768325</v>
      </c>
      <c r="CN1025" s="3">
        <v>2.9767678417020971</v>
      </c>
      <c r="CO1025" s="3">
        <v>2.940533166146472</v>
      </c>
      <c r="CP1025" s="3">
        <v>2.9061513134251089</v>
      </c>
      <c r="CQ1025" s="3">
        <v>2.8738005567379492</v>
      </c>
      <c r="CR1025" s="3">
        <v>2.8431457400147502</v>
      </c>
      <c r="CS1025" s="3">
        <v>2.814511320690912</v>
      </c>
      <c r="CU1025" s="17" t="s">
        <v>5248</v>
      </c>
      <c r="CV1025" s="3">
        <v>4.3950169688827083</v>
      </c>
      <c r="CW1025" s="3">
        <v>3.3489020714792108</v>
      </c>
      <c r="CX1025" s="3">
        <v>3.3465457229137252</v>
      </c>
      <c r="CY1025" s="3">
        <v>3.0087340102312861</v>
      </c>
      <c r="CZ1025" s="3">
        <v>4.0239448492460799</v>
      </c>
      <c r="DA1025" s="3">
        <v>1.978343770127819</v>
      </c>
      <c r="DB1025" s="3">
        <v>2.0222702344103469</v>
      </c>
      <c r="DC1025" s="3">
        <v>1.891482703895021</v>
      </c>
      <c r="DD1025" s="3">
        <v>1.7757574545600929</v>
      </c>
      <c r="DE1025" s="3">
        <v>1.657244156337353</v>
      </c>
      <c r="DF1025" s="3">
        <v>1.635147640136362</v>
      </c>
      <c r="DG1025" s="3">
        <v>1.6148896332190441</v>
      </c>
      <c r="DH1025" s="3">
        <v>1.5965539899224099</v>
      </c>
      <c r="DI1025" s="3">
        <v>1.579120106287335</v>
      </c>
      <c r="DJ1025" s="3">
        <v>1.563087208945827</v>
      </c>
      <c r="DK1025" s="3">
        <v>1.5485728557292751</v>
      </c>
      <c r="DL1025" s="3">
        <v>1.5347631613125161</v>
      </c>
      <c r="DM1025" s="3">
        <v>1.521751385646237</v>
      </c>
      <c r="DN1025" s="3">
        <v>1.5092353087727699</v>
      </c>
      <c r="DO1025" s="3">
        <v>1.4975089085766169</v>
      </c>
    </row>
    <row r="1026" spans="1:119" x14ac:dyDescent="0.45">
      <c r="A1026" s="16" t="s">
        <v>5249</v>
      </c>
      <c r="B1026" s="3" t="s">
        <v>89</v>
      </c>
      <c r="C1026" s="16" t="s">
        <v>5250</v>
      </c>
      <c r="H1026" s="3" t="s">
        <v>5251</v>
      </c>
      <c r="I1026" s="3" t="s">
        <v>5072</v>
      </c>
      <c r="K1026" s="17" t="s">
        <v>5252</v>
      </c>
      <c r="L1026" s="3">
        <v>0</v>
      </c>
      <c r="M1026" s="3">
        <v>0</v>
      </c>
      <c r="N1026" s="3">
        <v>0</v>
      </c>
      <c r="O1026" s="3">
        <v>0</v>
      </c>
      <c r="P1026" s="3">
        <v>0</v>
      </c>
      <c r="Q1026" s="3">
        <v>0</v>
      </c>
      <c r="R1026" s="3">
        <v>0</v>
      </c>
      <c r="S1026" s="3">
        <v>0</v>
      </c>
      <c r="T1026" s="3">
        <v>0</v>
      </c>
      <c r="U1026" s="3">
        <v>0</v>
      </c>
      <c r="V1026" s="3">
        <v>0</v>
      </c>
      <c r="W1026" s="3">
        <v>0</v>
      </c>
      <c r="X1026" s="3">
        <v>0</v>
      </c>
      <c r="Y1026" s="3">
        <v>0</v>
      </c>
      <c r="Z1026" s="3">
        <v>0</v>
      </c>
      <c r="AA1026" s="3">
        <v>0</v>
      </c>
      <c r="AB1026" s="3">
        <v>0</v>
      </c>
      <c r="AC1026" s="3">
        <v>0</v>
      </c>
      <c r="AD1026" s="3">
        <v>0</v>
      </c>
      <c r="AE1026" s="3">
        <v>0</v>
      </c>
      <c r="AG1026" s="17" t="s">
        <v>5253</v>
      </c>
      <c r="AH1026" s="3">
        <v>0</v>
      </c>
      <c r="AI1026" s="3">
        <v>0</v>
      </c>
      <c r="AJ1026" s="3">
        <v>0</v>
      </c>
      <c r="AK1026" s="3">
        <v>0</v>
      </c>
      <c r="AL1026" s="3">
        <v>0</v>
      </c>
      <c r="AM1026" s="3">
        <v>0</v>
      </c>
      <c r="AN1026" s="3">
        <v>0</v>
      </c>
      <c r="AO1026" s="3">
        <v>0</v>
      </c>
      <c r="AP1026" s="3">
        <v>0</v>
      </c>
      <c r="AQ1026" s="3">
        <v>0</v>
      </c>
      <c r="AR1026" s="3">
        <v>0</v>
      </c>
      <c r="AS1026" s="3">
        <v>0</v>
      </c>
      <c r="AT1026" s="3">
        <v>0</v>
      </c>
      <c r="AU1026" s="3">
        <v>0</v>
      </c>
      <c r="AV1026" s="3">
        <v>0</v>
      </c>
      <c r="AW1026" s="3">
        <v>0</v>
      </c>
      <c r="AX1026" s="3">
        <v>0</v>
      </c>
      <c r="AY1026" s="3">
        <v>0</v>
      </c>
      <c r="AZ1026" s="3">
        <v>0</v>
      </c>
      <c r="BA1026" s="3">
        <v>0</v>
      </c>
      <c r="BC1026" s="17" t="s">
        <v>5254</v>
      </c>
      <c r="BD1026" s="3">
        <v>0</v>
      </c>
      <c r="BE1026" s="3">
        <v>0</v>
      </c>
      <c r="BF1026" s="3">
        <v>0</v>
      </c>
      <c r="BG1026" s="3">
        <v>0</v>
      </c>
      <c r="BH1026" s="3">
        <v>0</v>
      </c>
      <c r="BI1026" s="3">
        <v>0</v>
      </c>
      <c r="BJ1026" s="3">
        <v>0</v>
      </c>
      <c r="BK1026" s="3">
        <v>0</v>
      </c>
      <c r="BL1026" s="3">
        <v>0</v>
      </c>
      <c r="BM1026" s="3">
        <v>0</v>
      </c>
      <c r="BN1026" s="3">
        <v>0</v>
      </c>
      <c r="BO1026" s="3">
        <v>0</v>
      </c>
      <c r="BP1026" s="3">
        <v>0</v>
      </c>
      <c r="BQ1026" s="3">
        <v>0</v>
      </c>
      <c r="BR1026" s="3">
        <v>0</v>
      </c>
      <c r="BS1026" s="3">
        <v>0</v>
      </c>
      <c r="BT1026" s="3">
        <v>0</v>
      </c>
      <c r="BU1026" s="3">
        <v>0</v>
      </c>
      <c r="BV1026" s="3">
        <v>0</v>
      </c>
      <c r="BW1026" s="3">
        <v>0</v>
      </c>
      <c r="BY1026" s="17" t="s">
        <v>5255</v>
      </c>
      <c r="BZ1026" s="3">
        <v>0</v>
      </c>
      <c r="CA1026" s="3">
        <v>0</v>
      </c>
      <c r="CB1026" s="3">
        <v>0</v>
      </c>
      <c r="CC1026" s="3">
        <v>0</v>
      </c>
      <c r="CD1026" s="3">
        <v>0</v>
      </c>
      <c r="CE1026" s="3">
        <v>0</v>
      </c>
      <c r="CF1026" s="3">
        <v>0</v>
      </c>
      <c r="CG1026" s="3">
        <v>0</v>
      </c>
      <c r="CH1026" s="3">
        <v>0</v>
      </c>
      <c r="CI1026" s="3">
        <v>0</v>
      </c>
      <c r="CJ1026" s="3">
        <v>0</v>
      </c>
      <c r="CK1026" s="3">
        <v>0</v>
      </c>
      <c r="CL1026" s="3">
        <v>0</v>
      </c>
      <c r="CM1026" s="3">
        <v>0</v>
      </c>
      <c r="CN1026" s="3">
        <v>0</v>
      </c>
      <c r="CO1026" s="3">
        <v>0</v>
      </c>
      <c r="CP1026" s="3">
        <v>0</v>
      </c>
      <c r="CQ1026" s="3">
        <v>0</v>
      </c>
      <c r="CR1026" s="3">
        <v>0</v>
      </c>
      <c r="CS1026" s="3">
        <v>0</v>
      </c>
      <c r="CU1026" s="17" t="s">
        <v>5256</v>
      </c>
      <c r="CV1026" s="3">
        <v>0</v>
      </c>
      <c r="CW1026" s="3">
        <v>0</v>
      </c>
      <c r="CX1026" s="3">
        <v>0</v>
      </c>
      <c r="CY1026" s="3">
        <v>0</v>
      </c>
      <c r="CZ1026" s="3">
        <v>0</v>
      </c>
      <c r="DA1026" s="3">
        <v>0</v>
      </c>
      <c r="DB1026" s="3">
        <v>0</v>
      </c>
      <c r="DC1026" s="3">
        <v>0</v>
      </c>
      <c r="DD1026" s="3">
        <v>0</v>
      </c>
      <c r="DE1026" s="3">
        <v>0</v>
      </c>
      <c r="DF1026" s="3">
        <v>0</v>
      </c>
      <c r="DG1026" s="3">
        <v>0</v>
      </c>
      <c r="DH1026" s="3">
        <v>0</v>
      </c>
      <c r="DI1026" s="3">
        <v>0</v>
      </c>
      <c r="DJ1026" s="3">
        <v>0</v>
      </c>
      <c r="DK1026" s="3">
        <v>0</v>
      </c>
      <c r="DL1026" s="3">
        <v>0</v>
      </c>
      <c r="DM1026" s="3">
        <v>0</v>
      </c>
      <c r="DN1026" s="3">
        <v>0</v>
      </c>
      <c r="DO1026" s="3">
        <v>0</v>
      </c>
    </row>
    <row r="1027" spans="1:119" x14ac:dyDescent="0.45">
      <c r="A1027" s="16" t="s">
        <v>5257</v>
      </c>
      <c r="B1027" s="3" t="s">
        <v>89</v>
      </c>
      <c r="C1027" s="16" t="s">
        <v>5258</v>
      </c>
      <c r="H1027" s="3" t="s">
        <v>5259</v>
      </c>
      <c r="I1027" s="3" t="s">
        <v>5072</v>
      </c>
      <c r="K1027" s="17" t="s">
        <v>5260</v>
      </c>
      <c r="L1027" s="3">
        <v>15.24360186652304</v>
      </c>
      <c r="M1027" s="3">
        <v>13.63740099867776</v>
      </c>
      <c r="N1027" s="3">
        <v>12.920477779835929</v>
      </c>
      <c r="O1027" s="3">
        <v>12.97362223641505</v>
      </c>
      <c r="P1027" s="3">
        <v>13.074359521425571</v>
      </c>
      <c r="Q1027" s="3">
        <v>13.290043817805699</v>
      </c>
      <c r="R1027" s="3">
        <v>13.53223425805643</v>
      </c>
      <c r="S1027" s="3">
        <v>13.729078915256061</v>
      </c>
      <c r="T1027" s="3">
        <v>13.911141569269949</v>
      </c>
      <c r="U1027" s="3">
        <v>14.087356418910639</v>
      </c>
      <c r="V1027" s="3">
        <v>14.270220913723589</v>
      </c>
      <c r="W1027" s="3">
        <v>14.46033142068721</v>
      </c>
      <c r="X1027" s="3">
        <v>14.65796440751784</v>
      </c>
      <c r="Y1027" s="3">
        <v>14.863415824593719</v>
      </c>
      <c r="Z1027" s="3">
        <v>15.07698069934599</v>
      </c>
      <c r="AA1027" s="3">
        <v>15.298986266768781</v>
      </c>
      <c r="AB1027" s="3">
        <v>15.52973754316921</v>
      </c>
      <c r="AC1027" s="3">
        <v>15.76956787054262</v>
      </c>
      <c r="AD1027" s="3">
        <v>16.018822756947142</v>
      </c>
      <c r="AE1027" s="3">
        <v>16.266615385591731</v>
      </c>
      <c r="AG1027" s="17" t="s">
        <v>5261</v>
      </c>
      <c r="AH1027" s="3">
        <v>15.24360186652304</v>
      </c>
      <c r="AI1027" s="3">
        <v>13.63740099867776</v>
      </c>
      <c r="AJ1027" s="3">
        <v>12.920477779835929</v>
      </c>
      <c r="AK1027" s="3">
        <v>12.97362223641505</v>
      </c>
      <c r="AL1027" s="3">
        <v>13.074359521425571</v>
      </c>
      <c r="AM1027" s="3">
        <v>13.290043817805699</v>
      </c>
      <c r="AN1027" s="3">
        <v>13.53223425805643</v>
      </c>
      <c r="AO1027" s="3">
        <v>13.729078915256061</v>
      </c>
      <c r="AP1027" s="3">
        <v>13.911141569269949</v>
      </c>
      <c r="AQ1027" s="3">
        <v>14.087356418910639</v>
      </c>
      <c r="AR1027" s="3">
        <v>14.270220913723589</v>
      </c>
      <c r="AS1027" s="3">
        <v>14.46033142068721</v>
      </c>
      <c r="AT1027" s="3">
        <v>14.65796440751784</v>
      </c>
      <c r="AU1027" s="3">
        <v>14.863415824593719</v>
      </c>
      <c r="AV1027" s="3">
        <v>15.07698069934599</v>
      </c>
      <c r="AW1027" s="3">
        <v>15.298986266768781</v>
      </c>
      <c r="AX1027" s="3">
        <v>15.52973754316921</v>
      </c>
      <c r="AY1027" s="3">
        <v>15.76956787054262</v>
      </c>
      <c r="AZ1027" s="3">
        <v>16.018822756947142</v>
      </c>
      <c r="BA1027" s="3">
        <v>16.266615385591731</v>
      </c>
      <c r="BC1027" s="17" t="s">
        <v>5262</v>
      </c>
      <c r="BD1027" s="3">
        <v>15.24360186652304</v>
      </c>
      <c r="BE1027" s="3">
        <v>13.63740099867776</v>
      </c>
      <c r="BF1027" s="3">
        <v>12.920477779835929</v>
      </c>
      <c r="BG1027" s="3">
        <v>12.97362223641505</v>
      </c>
      <c r="BH1027" s="3">
        <v>13.074359521425571</v>
      </c>
      <c r="BI1027" s="3">
        <v>13.290043817805699</v>
      </c>
      <c r="BJ1027" s="3">
        <v>13.53223425805643</v>
      </c>
      <c r="BK1027" s="3">
        <v>13.729078915256061</v>
      </c>
      <c r="BL1027" s="3">
        <v>13.911141569269949</v>
      </c>
      <c r="BM1027" s="3">
        <v>14.087356418910639</v>
      </c>
      <c r="BN1027" s="3">
        <v>14.270220913723589</v>
      </c>
      <c r="BO1027" s="3">
        <v>14.46033142068721</v>
      </c>
      <c r="BP1027" s="3">
        <v>14.65796440751784</v>
      </c>
      <c r="BQ1027" s="3">
        <v>14.863415824593719</v>
      </c>
      <c r="BR1027" s="3">
        <v>15.07698069934599</v>
      </c>
      <c r="BS1027" s="3">
        <v>15.298986266768781</v>
      </c>
      <c r="BT1027" s="3">
        <v>15.52973754316921</v>
      </c>
      <c r="BU1027" s="3">
        <v>15.76956787054262</v>
      </c>
      <c r="BV1027" s="3">
        <v>16.018822756947142</v>
      </c>
      <c r="BW1027" s="3">
        <v>16.266615385591731</v>
      </c>
      <c r="BY1027" s="17" t="s">
        <v>5263</v>
      </c>
      <c r="BZ1027" s="3">
        <v>15.24360186652304</v>
      </c>
      <c r="CA1027" s="3">
        <v>13.63740099867776</v>
      </c>
      <c r="CB1027" s="3">
        <v>12.920477779835929</v>
      </c>
      <c r="CC1027" s="3">
        <v>12.97362223641505</v>
      </c>
      <c r="CD1027" s="3">
        <v>13.074359521425571</v>
      </c>
      <c r="CE1027" s="3">
        <v>13.290043815589399</v>
      </c>
      <c r="CF1027" s="3">
        <v>13.532234255826941</v>
      </c>
      <c r="CG1027" s="3">
        <v>13.729078913228101</v>
      </c>
      <c r="CH1027" s="3">
        <v>13.91114156767089</v>
      </c>
      <c r="CI1027" s="3">
        <v>14.087356417995419</v>
      </c>
      <c r="CJ1027" s="3">
        <v>14.27022091365612</v>
      </c>
      <c r="CK1027" s="3">
        <v>14.46033142169742</v>
      </c>
      <c r="CL1027" s="3">
        <v>14.65796440982523</v>
      </c>
      <c r="CM1027" s="3">
        <v>14.86341582843918</v>
      </c>
      <c r="CN1027" s="3">
        <v>15.07698070429409</v>
      </c>
      <c r="CO1027" s="3">
        <v>15.298986272991881</v>
      </c>
      <c r="CP1027" s="3">
        <v>15.529737550843921</v>
      </c>
      <c r="CQ1027" s="3">
        <v>15.76956787985741</v>
      </c>
      <c r="CR1027" s="3">
        <v>16.018822768107491</v>
      </c>
      <c r="CS1027" s="3">
        <v>16.266615398334459</v>
      </c>
      <c r="CU1027" s="17" t="s">
        <v>5264</v>
      </c>
      <c r="CV1027" s="3">
        <v>15.24360186652304</v>
      </c>
      <c r="CW1027" s="3">
        <v>13.63740099867776</v>
      </c>
      <c r="CX1027" s="3">
        <v>12.920477779835929</v>
      </c>
      <c r="CY1027" s="3">
        <v>12.97362223641505</v>
      </c>
      <c r="CZ1027" s="3">
        <v>13.074359521425571</v>
      </c>
      <c r="DA1027" s="3">
        <v>13.290043817805699</v>
      </c>
      <c r="DB1027" s="3">
        <v>13.53223425805643</v>
      </c>
      <c r="DC1027" s="3">
        <v>13.729078915256061</v>
      </c>
      <c r="DD1027" s="3">
        <v>13.911141569269949</v>
      </c>
      <c r="DE1027" s="3">
        <v>14.087356418910639</v>
      </c>
      <c r="DF1027" s="3">
        <v>14.270220913723589</v>
      </c>
      <c r="DG1027" s="3">
        <v>14.46033142068721</v>
      </c>
      <c r="DH1027" s="3">
        <v>14.65796440751784</v>
      </c>
      <c r="DI1027" s="3">
        <v>14.863415824593719</v>
      </c>
      <c r="DJ1027" s="3">
        <v>15.07698069934599</v>
      </c>
      <c r="DK1027" s="3">
        <v>15.298986266768781</v>
      </c>
      <c r="DL1027" s="3">
        <v>15.52973754316921</v>
      </c>
      <c r="DM1027" s="3">
        <v>15.76956787054262</v>
      </c>
      <c r="DN1027" s="3">
        <v>16.018822756947142</v>
      </c>
      <c r="DO1027" s="3">
        <v>16.266615385591731</v>
      </c>
    </row>
    <row r="1028" spans="1:119" x14ac:dyDescent="0.45">
      <c r="A1028" s="16" t="s">
        <v>5265</v>
      </c>
      <c r="B1028" s="3" t="s">
        <v>89</v>
      </c>
      <c r="C1028" s="16" t="s">
        <v>5266</v>
      </c>
      <c r="H1028" s="3" t="s">
        <v>5267</v>
      </c>
      <c r="I1028" s="3" t="s">
        <v>5081</v>
      </c>
      <c r="K1028" s="17" t="s">
        <v>5268</v>
      </c>
      <c r="L1028" s="3">
        <v>454.84949959318249</v>
      </c>
      <c r="M1028" s="3">
        <v>360.25075846681358</v>
      </c>
      <c r="N1028" s="3">
        <v>415.45735148178079</v>
      </c>
      <c r="O1028" s="3">
        <v>431.8751373952008</v>
      </c>
      <c r="P1028" s="3">
        <v>448.09384469227501</v>
      </c>
      <c r="Q1028" s="3">
        <v>467.41848359876241</v>
      </c>
      <c r="R1028" s="3">
        <v>490.62895127465993</v>
      </c>
      <c r="S1028" s="3">
        <v>513.20400570758716</v>
      </c>
      <c r="T1028" s="3">
        <v>534.62885480218245</v>
      </c>
      <c r="U1028" s="3">
        <v>556.51759243707636</v>
      </c>
      <c r="V1028" s="3">
        <v>578.95012546165242</v>
      </c>
      <c r="W1028" s="3">
        <v>601.92651523570953</v>
      </c>
      <c r="X1028" s="3">
        <v>625.44641632113223</v>
      </c>
      <c r="Y1028" s="3">
        <v>649.50907034093905</v>
      </c>
      <c r="Z1028" s="3">
        <v>674.11329900022122</v>
      </c>
      <c r="AA1028" s="3">
        <v>699.25749619998874</v>
      </c>
      <c r="AB1028" s="3">
        <v>724.93961917762203</v>
      </c>
      <c r="AC1028" s="3">
        <v>751.15717861028065</v>
      </c>
      <c r="AD1028" s="3">
        <v>777.90722762018811</v>
      </c>
      <c r="AE1028" s="3">
        <v>805.18634962326666</v>
      </c>
      <c r="AG1028" s="17" t="s">
        <v>5269</v>
      </c>
      <c r="AH1028" s="3">
        <v>454.84949959318249</v>
      </c>
      <c r="AI1028" s="3">
        <v>360.25075846681358</v>
      </c>
      <c r="AJ1028" s="3">
        <v>415.45735148178079</v>
      </c>
      <c r="AK1028" s="3">
        <v>431.8751373952008</v>
      </c>
      <c r="AL1028" s="3">
        <v>448.09384469227501</v>
      </c>
      <c r="AM1028" s="3">
        <v>400.82698232673738</v>
      </c>
      <c r="AN1028" s="3">
        <v>420.73065482375188</v>
      </c>
      <c r="AO1028" s="3">
        <v>440.34514025989063</v>
      </c>
      <c r="AP1028" s="3">
        <v>458.13034001605791</v>
      </c>
      <c r="AQ1028" s="3">
        <v>476.99400153573498</v>
      </c>
      <c r="AR1028" s="3">
        <v>495.96430630339393</v>
      </c>
      <c r="AS1028" s="3">
        <v>515.99691285712458</v>
      </c>
      <c r="AT1028" s="3">
        <v>536.81183787377154</v>
      </c>
      <c r="AU1028" s="3">
        <v>557.98036480186704</v>
      </c>
      <c r="AV1028" s="3">
        <v>579.77433192333638</v>
      </c>
      <c r="AW1028" s="3">
        <v>602.38627234921535</v>
      </c>
      <c r="AX1028" s="3">
        <v>625.2029672504608</v>
      </c>
      <c r="AY1028" s="3">
        <v>648.34562301437609</v>
      </c>
      <c r="AZ1028" s="3">
        <v>671.57060715329305</v>
      </c>
      <c r="BA1028" s="3">
        <v>695.14176088939757</v>
      </c>
      <c r="BC1028" s="17" t="s">
        <v>5270</v>
      </c>
      <c r="BD1028" s="3">
        <v>454.84949959318249</v>
      </c>
      <c r="BE1028" s="3">
        <v>360.25075846681358</v>
      </c>
      <c r="BF1028" s="3">
        <v>415.45735148178079</v>
      </c>
      <c r="BG1028" s="3">
        <v>431.8751373952008</v>
      </c>
      <c r="BH1028" s="3">
        <v>448.09384469227501</v>
      </c>
      <c r="BI1028" s="3">
        <v>425.81255611602307</v>
      </c>
      <c r="BJ1028" s="3">
        <v>401.11736096877371</v>
      </c>
      <c r="BK1028" s="3">
        <v>381.95333676005151</v>
      </c>
      <c r="BL1028" s="3">
        <v>365.85169208719822</v>
      </c>
      <c r="BM1028" s="3">
        <v>356.45380255799279</v>
      </c>
      <c r="BN1028" s="3">
        <v>348.85197629502392</v>
      </c>
      <c r="BO1028" s="3">
        <v>342.92475076910068</v>
      </c>
      <c r="BP1028" s="3">
        <v>338.49614742899092</v>
      </c>
      <c r="BQ1028" s="3">
        <v>335.2451722174664</v>
      </c>
      <c r="BR1028" s="3">
        <v>332.98900599566491</v>
      </c>
      <c r="BS1028" s="3">
        <v>331.66076917926432</v>
      </c>
      <c r="BT1028" s="3">
        <v>331.04807980272801</v>
      </c>
      <c r="BU1028" s="3">
        <v>331.00114604257078</v>
      </c>
      <c r="BV1028" s="3">
        <v>331.30766711753603</v>
      </c>
      <c r="BW1028" s="3">
        <v>331.88295603845529</v>
      </c>
      <c r="BY1028" s="17" t="s">
        <v>5271</v>
      </c>
      <c r="BZ1028" s="3">
        <v>454.84949959318249</v>
      </c>
      <c r="CA1028" s="3">
        <v>360.25075846681358</v>
      </c>
      <c r="CB1028" s="3">
        <v>415.45735148178079</v>
      </c>
      <c r="CC1028" s="3">
        <v>431.8751373952008</v>
      </c>
      <c r="CD1028" s="3">
        <v>448.09384469227501</v>
      </c>
      <c r="CE1028" s="3">
        <v>400.44818457017487</v>
      </c>
      <c r="CF1028" s="3">
        <v>417.0776356986629</v>
      </c>
      <c r="CG1028" s="3">
        <v>433.4028805181365</v>
      </c>
      <c r="CH1028" s="3">
        <v>448.03228890982177</v>
      </c>
      <c r="CI1028" s="3">
        <v>463.86470757857518</v>
      </c>
      <c r="CJ1028" s="3">
        <v>479.66848232994579</v>
      </c>
      <c r="CK1028" s="3">
        <v>496.51158628752341</v>
      </c>
      <c r="CL1028" s="3">
        <v>513.84106067894209</v>
      </c>
      <c r="CM1028" s="3">
        <v>531.50222883855588</v>
      </c>
      <c r="CN1028" s="3">
        <v>550.93578656679256</v>
      </c>
      <c r="CO1028" s="3">
        <v>570.98421513832125</v>
      </c>
      <c r="CP1028" s="3">
        <v>591.17261573031146</v>
      </c>
      <c r="CQ1028" s="3">
        <v>611.69412737891571</v>
      </c>
      <c r="CR1028" s="3">
        <v>632.29531396817833</v>
      </c>
      <c r="CS1028" s="3">
        <v>653.29403308547228</v>
      </c>
      <c r="CU1028" s="17" t="s">
        <v>5272</v>
      </c>
      <c r="CV1028" s="3">
        <v>454.84949959318249</v>
      </c>
      <c r="CW1028" s="3">
        <v>360.25075846681358</v>
      </c>
      <c r="CX1028" s="3">
        <v>415.45735148178079</v>
      </c>
      <c r="CY1028" s="3">
        <v>431.8751373952008</v>
      </c>
      <c r="CZ1028" s="3">
        <v>448.09384469227501</v>
      </c>
      <c r="DA1028" s="3">
        <v>333.48339844433002</v>
      </c>
      <c r="DB1028" s="3">
        <v>350.04293818875158</v>
      </c>
      <c r="DC1028" s="3">
        <v>366.60464349609742</v>
      </c>
      <c r="DD1028" s="3">
        <v>380.82725203669639</v>
      </c>
      <c r="DE1028" s="3">
        <v>396.6603295175824</v>
      </c>
      <c r="DF1028" s="3">
        <v>412.15377321050897</v>
      </c>
      <c r="DG1028" s="3">
        <v>429.17049303118819</v>
      </c>
      <c r="DH1028" s="3">
        <v>447.0551436479131</v>
      </c>
      <c r="DI1028" s="3">
        <v>465.15762763220278</v>
      </c>
      <c r="DJ1028" s="3">
        <v>483.92222099484019</v>
      </c>
      <c r="DK1028" s="3">
        <v>503.70441139406472</v>
      </c>
      <c r="DL1028" s="3">
        <v>523.39777473542051</v>
      </c>
      <c r="DM1028" s="3">
        <v>543.27076861077376</v>
      </c>
      <c r="DN1028" s="3">
        <v>562.86231502463647</v>
      </c>
      <c r="DO1028" s="3">
        <v>582.66635270861696</v>
      </c>
    </row>
    <row r="1029" spans="1:119" x14ac:dyDescent="0.45">
      <c r="A1029" s="16" t="s">
        <v>5273</v>
      </c>
      <c r="B1029" s="3" t="s">
        <v>89</v>
      </c>
      <c r="C1029" s="16" t="s">
        <v>5274</v>
      </c>
      <c r="H1029" s="3" t="s">
        <v>5275</v>
      </c>
      <c r="I1029" s="3" t="s">
        <v>4288</v>
      </c>
      <c r="K1029" s="17" t="s">
        <v>5276</v>
      </c>
      <c r="L1029" s="3">
        <v>3.2220744972998601</v>
      </c>
      <c r="M1029" s="3">
        <v>1.8504810442015269</v>
      </c>
      <c r="N1029" s="3">
        <v>1.8844976517513701</v>
      </c>
      <c r="O1029" s="3">
        <v>1.94878413976208</v>
      </c>
      <c r="P1029" s="3">
        <v>1.996870992214117</v>
      </c>
      <c r="Q1029" s="3">
        <v>2.1141705553762109</v>
      </c>
      <c r="R1029" s="3">
        <v>2.2576550715682702</v>
      </c>
      <c r="S1029" s="3">
        <v>2.375881249709459</v>
      </c>
      <c r="T1029" s="3">
        <v>2.4793074245345168</v>
      </c>
      <c r="U1029" s="3">
        <v>2.5833160123846639</v>
      </c>
      <c r="V1029" s="3">
        <v>2.6874462726823878</v>
      </c>
      <c r="W1029" s="3">
        <v>2.7941010782388251</v>
      </c>
      <c r="X1029" s="3">
        <v>2.903278825554235</v>
      </c>
      <c r="Y1029" s="3">
        <v>3.0149759942953431</v>
      </c>
      <c r="Z1029" s="3">
        <v>3.1291871148990178</v>
      </c>
      <c r="AA1029" s="3">
        <v>3.2459047319652949</v>
      </c>
      <c r="AB1029" s="3">
        <v>3.3651193631319698</v>
      </c>
      <c r="AC1029" s="3">
        <v>3.4868194531353081</v>
      </c>
      <c r="AD1029" s="3">
        <v>3.6109913227733408</v>
      </c>
      <c r="AE1029" s="3">
        <v>3.7376191125000702</v>
      </c>
      <c r="AG1029" s="17" t="s">
        <v>5277</v>
      </c>
      <c r="AH1029" s="3">
        <v>3.2220744972998601</v>
      </c>
      <c r="AI1029" s="3">
        <v>1.8504810442015269</v>
      </c>
      <c r="AJ1029" s="3">
        <v>1.8844976517513701</v>
      </c>
      <c r="AK1029" s="3">
        <v>1.94878413976208</v>
      </c>
      <c r="AL1029" s="3">
        <v>1.996870992214117</v>
      </c>
      <c r="AM1029" s="3">
        <v>1.367643913130798</v>
      </c>
      <c r="AN1029" s="3">
        <v>1.468572876964892</v>
      </c>
      <c r="AO1029" s="3">
        <v>1.549347029854522</v>
      </c>
      <c r="AP1029" s="3">
        <v>1.615557010183633</v>
      </c>
      <c r="AQ1029" s="3">
        <v>1.6842216612228009</v>
      </c>
      <c r="AR1029" s="3">
        <v>1.7512040511623439</v>
      </c>
      <c r="AS1029" s="3">
        <v>1.8219373303648481</v>
      </c>
      <c r="AT1029" s="3">
        <v>1.8954329036359909</v>
      </c>
      <c r="AU1029" s="3">
        <v>1.9701770125214051</v>
      </c>
      <c r="AV1029" s="3">
        <v>2.047129492828867</v>
      </c>
      <c r="AW1029" s="3">
        <v>2.1269701611494969</v>
      </c>
      <c r="AX1029" s="3">
        <v>2.207533798567296</v>
      </c>
      <c r="AY1029" s="3">
        <v>2.2892483736150249</v>
      </c>
      <c r="AZ1029" s="3">
        <v>2.371253642533254</v>
      </c>
      <c r="BA1029" s="3">
        <v>2.454481204252152</v>
      </c>
      <c r="BC1029" s="17" t="s">
        <v>5278</v>
      </c>
      <c r="BD1029" s="3">
        <v>3.2220744972998601</v>
      </c>
      <c r="BE1029" s="3">
        <v>1.8504810442015269</v>
      </c>
      <c r="BF1029" s="3">
        <v>1.8844976517513701</v>
      </c>
      <c r="BG1029" s="3">
        <v>1.94878413976208</v>
      </c>
      <c r="BH1029" s="3">
        <v>1.996870992214117</v>
      </c>
      <c r="BI1029" s="3">
        <v>1.6894398758166069</v>
      </c>
      <c r="BJ1029" s="3">
        <v>1.3258369802970691</v>
      </c>
      <c r="BK1029" s="3">
        <v>0.99026395243700116</v>
      </c>
      <c r="BL1029" s="3">
        <v>0.6804398071386577</v>
      </c>
      <c r="BM1029" s="3">
        <v>0.40054380760718727</v>
      </c>
      <c r="BN1029" s="3">
        <v>0.13361329830016519</v>
      </c>
      <c r="BO1029" s="3">
        <v>0</v>
      </c>
      <c r="BP1029" s="3">
        <v>0</v>
      </c>
      <c r="BQ1029" s="3">
        <v>0</v>
      </c>
      <c r="BR1029" s="3">
        <v>0</v>
      </c>
      <c r="BS1029" s="3">
        <v>0</v>
      </c>
      <c r="BT1029" s="3">
        <v>0</v>
      </c>
      <c r="BU1029" s="3">
        <v>0</v>
      </c>
      <c r="BV1029" s="3">
        <v>0</v>
      </c>
      <c r="BW1029" s="3">
        <v>0</v>
      </c>
      <c r="BY1029" s="17" t="s">
        <v>5279</v>
      </c>
      <c r="BZ1029" s="3">
        <v>3.2220744972998601</v>
      </c>
      <c r="CA1029" s="3">
        <v>1.8504810442015269</v>
      </c>
      <c r="CB1029" s="3">
        <v>1.8844976517513701</v>
      </c>
      <c r="CC1029" s="3">
        <v>1.94878413976208</v>
      </c>
      <c r="CD1029" s="3">
        <v>1.996870992214117</v>
      </c>
      <c r="CE1029" s="3">
        <v>1.4302769624986731</v>
      </c>
      <c r="CF1029" s="3">
        <v>1.519305265987599</v>
      </c>
      <c r="CG1029" s="3">
        <v>1.5879345942048499</v>
      </c>
      <c r="CH1029" s="3">
        <v>1.642276358640326</v>
      </c>
      <c r="CI1029" s="3">
        <v>1.6997373200337049</v>
      </c>
      <c r="CJ1029" s="3">
        <v>1.7550921695157311</v>
      </c>
      <c r="CK1029" s="3">
        <v>1.8141913669709939</v>
      </c>
      <c r="CL1029" s="3">
        <v>1.875053788222276</v>
      </c>
      <c r="CM1029" s="3">
        <v>1.937084201964228</v>
      </c>
      <c r="CN1029" s="3">
        <v>2.0067610917693099</v>
      </c>
      <c r="CO1029" s="3">
        <v>2.078600355712763</v>
      </c>
      <c r="CP1029" s="3">
        <v>2.1508845055035368</v>
      </c>
      <c r="CQ1029" s="3">
        <v>2.2243154912864198</v>
      </c>
      <c r="CR1029" s="3">
        <v>2.2979639857256622</v>
      </c>
      <c r="CS1029" s="3">
        <v>2.3729839433216262</v>
      </c>
      <c r="CU1029" s="17" t="s">
        <v>5280</v>
      </c>
      <c r="CV1029" s="3">
        <v>3.2220744972998601</v>
      </c>
      <c r="CW1029" s="3">
        <v>1.8504810442015269</v>
      </c>
      <c r="CX1029" s="3">
        <v>1.8844976517513701</v>
      </c>
      <c r="CY1029" s="3">
        <v>1.94878413976208</v>
      </c>
      <c r="CZ1029" s="3">
        <v>1.996870992214117</v>
      </c>
      <c r="DA1029" s="3">
        <v>0.58210221644836291</v>
      </c>
      <c r="DB1029" s="3">
        <v>0.63847659982236715</v>
      </c>
      <c r="DC1029" s="3">
        <v>0.67893296818687143</v>
      </c>
      <c r="DD1029" s="3">
        <v>0.7082925336511301</v>
      </c>
      <c r="DE1029" s="3">
        <v>0.7395227050714529</v>
      </c>
      <c r="DF1029" s="3">
        <v>0.76840825912874966</v>
      </c>
      <c r="DG1029" s="3">
        <v>0.80013376767288968</v>
      </c>
      <c r="DH1029" s="3">
        <v>0.83347742273268299</v>
      </c>
      <c r="DI1029" s="3">
        <v>0.86722720038465129</v>
      </c>
      <c r="DJ1029" s="3">
        <v>0.90221139671197315</v>
      </c>
      <c r="DK1029" s="3">
        <v>0.93909277321379081</v>
      </c>
      <c r="DL1029" s="3">
        <v>0.97580854297041497</v>
      </c>
      <c r="DM1029" s="3">
        <v>1.0128592109977519</v>
      </c>
      <c r="DN1029" s="3">
        <v>1.04938515605037</v>
      </c>
      <c r="DO1029" s="3">
        <v>1.086307264034311</v>
      </c>
    </row>
    <row r="1030" spans="1:119" x14ac:dyDescent="0.45">
      <c r="A1030" s="16" t="s">
        <v>5281</v>
      </c>
      <c r="B1030" s="3" t="s">
        <v>89</v>
      </c>
      <c r="C1030" s="16" t="s">
        <v>5282</v>
      </c>
      <c r="H1030" s="3" t="s">
        <v>5283</v>
      </c>
      <c r="I1030" s="3" t="s">
        <v>4288</v>
      </c>
      <c r="K1030" s="17" t="s">
        <v>5284</v>
      </c>
      <c r="L1030" s="3">
        <v>1.482800896669064</v>
      </c>
      <c r="M1030" s="3">
        <v>1.2184756844182629</v>
      </c>
      <c r="N1030" s="3">
        <v>1.453897657300586</v>
      </c>
      <c r="O1030" s="3">
        <v>1.5444875738395529</v>
      </c>
      <c r="P1030" s="3">
        <v>1.6727273578231581</v>
      </c>
      <c r="Q1030" s="3">
        <v>1.8144988971584839</v>
      </c>
      <c r="R1030" s="3">
        <v>1.9849248525162611</v>
      </c>
      <c r="S1030" s="3">
        <v>2.162931761614526</v>
      </c>
      <c r="T1030" s="3">
        <v>2.3463244360654332</v>
      </c>
      <c r="U1030" s="3">
        <v>2.5379531983145558</v>
      </c>
      <c r="V1030" s="3">
        <v>2.7461243621265981</v>
      </c>
      <c r="W1030" s="3">
        <v>2.9695404390533531</v>
      </c>
      <c r="X1030" s="3">
        <v>3.2091822127260889</v>
      </c>
      <c r="Y1030" s="3">
        <v>3.4660908900008738</v>
      </c>
      <c r="Z1030" s="3">
        <v>3.741357738177304</v>
      </c>
      <c r="AA1030" s="3">
        <v>4.0361481688861964</v>
      </c>
      <c r="AB1030" s="3">
        <v>4.351667370250877</v>
      </c>
      <c r="AC1030" s="3">
        <v>4.689196401712258</v>
      </c>
      <c r="AD1030" s="3">
        <v>5.0500842400888892</v>
      </c>
      <c r="AE1030" s="3">
        <v>5.4266964043740753</v>
      </c>
      <c r="AG1030" s="17" t="s">
        <v>5285</v>
      </c>
      <c r="AH1030" s="3">
        <v>1.482800896669064</v>
      </c>
      <c r="AI1030" s="3">
        <v>1.2184756844182629</v>
      </c>
      <c r="AJ1030" s="3">
        <v>1.453897657300586</v>
      </c>
      <c r="AK1030" s="3">
        <v>1.5444875738395529</v>
      </c>
      <c r="AL1030" s="3">
        <v>1.6727273578231581</v>
      </c>
      <c r="AM1030" s="3">
        <v>1.5559934895675871</v>
      </c>
      <c r="AN1030" s="3">
        <v>1.702139123273213</v>
      </c>
      <c r="AO1030" s="3">
        <v>1.855863320138228</v>
      </c>
      <c r="AP1030" s="3">
        <v>2.0105955786474961</v>
      </c>
      <c r="AQ1030" s="3">
        <v>2.1752923325804008</v>
      </c>
      <c r="AR1030" s="3">
        <v>2.3524991262398141</v>
      </c>
      <c r="AS1030" s="3">
        <v>2.5456158856133699</v>
      </c>
      <c r="AT1030" s="3">
        <v>2.754395831090322</v>
      </c>
      <c r="AU1030" s="3">
        <v>2.977649962954203</v>
      </c>
      <c r="AV1030" s="3">
        <v>3.217772422462235</v>
      </c>
      <c r="AW1030" s="3">
        <v>3.477002768389494</v>
      </c>
      <c r="AX1030" s="3">
        <v>3.7529682202418679</v>
      </c>
      <c r="AY1030" s="3">
        <v>4.0473818916696356</v>
      </c>
      <c r="AZ1030" s="3">
        <v>4.3597591317761362</v>
      </c>
      <c r="BA1030" s="3">
        <v>4.6850313546842468</v>
      </c>
      <c r="BC1030" s="17" t="s">
        <v>5286</v>
      </c>
      <c r="BD1030" s="3">
        <v>1.482800896669064</v>
      </c>
      <c r="BE1030" s="3">
        <v>1.2184756844182629</v>
      </c>
      <c r="BF1030" s="3">
        <v>1.453897657300586</v>
      </c>
      <c r="BG1030" s="3">
        <v>1.5444875738395529</v>
      </c>
      <c r="BH1030" s="3">
        <v>1.6727273578231581</v>
      </c>
      <c r="BI1030" s="3">
        <v>1.6529864363087521</v>
      </c>
      <c r="BJ1030" s="3">
        <v>1.6227901278433521</v>
      </c>
      <c r="BK1030" s="3">
        <v>1.6097672550195981</v>
      </c>
      <c r="BL1030" s="3">
        <v>1.6056124868862489</v>
      </c>
      <c r="BM1030" s="3">
        <v>1.6255785630994779</v>
      </c>
      <c r="BN1030" s="3">
        <v>1.65470369337234</v>
      </c>
      <c r="BO1030" s="3">
        <v>1.56912768444104</v>
      </c>
      <c r="BP1030" s="3">
        <v>1.3650436083743429</v>
      </c>
      <c r="BQ1030" s="3">
        <v>1.172499998327752</v>
      </c>
      <c r="BR1030" s="3">
        <v>0.98908495657855922</v>
      </c>
      <c r="BS1030" s="3">
        <v>0.81311501217633708</v>
      </c>
      <c r="BT1030" s="3">
        <v>0.64280130025132076</v>
      </c>
      <c r="BU1030" s="3">
        <v>0.47692766340263282</v>
      </c>
      <c r="BV1030" s="3">
        <v>0.31455572083558908</v>
      </c>
      <c r="BW1030" s="3">
        <v>0.15152031253482351</v>
      </c>
      <c r="BY1030" s="17" t="s">
        <v>5287</v>
      </c>
      <c r="BZ1030" s="3">
        <v>1.482800896669064</v>
      </c>
      <c r="CA1030" s="3">
        <v>1.2184756844182629</v>
      </c>
      <c r="CB1030" s="3">
        <v>1.453897657300586</v>
      </c>
      <c r="CC1030" s="3">
        <v>1.5444875738395529</v>
      </c>
      <c r="CD1030" s="3">
        <v>1.6727273578231581</v>
      </c>
      <c r="CE1030" s="3">
        <v>1.5545230117185369</v>
      </c>
      <c r="CF1030" s="3">
        <v>1.6873601973955401</v>
      </c>
      <c r="CG1030" s="3">
        <v>1.8266047126899421</v>
      </c>
      <c r="CH1030" s="3">
        <v>1.9662782840656481</v>
      </c>
      <c r="CI1030" s="3">
        <v>2.1154172553514332</v>
      </c>
      <c r="CJ1030" s="3">
        <v>2.275203419295345</v>
      </c>
      <c r="CK1030" s="3">
        <v>2.44948710003891</v>
      </c>
      <c r="CL1030" s="3">
        <v>2.6365321629631699</v>
      </c>
      <c r="CM1030" s="3">
        <v>2.836349973916402</v>
      </c>
      <c r="CN1030" s="3">
        <v>3.0577172608895271</v>
      </c>
      <c r="CO1030" s="3">
        <v>3.2957485753131062</v>
      </c>
      <c r="CP1030" s="3">
        <v>3.5486908389238399</v>
      </c>
      <c r="CQ1030" s="3">
        <v>3.818580168055413</v>
      </c>
      <c r="CR1030" s="3">
        <v>4.1047884532591228</v>
      </c>
      <c r="CS1030" s="3">
        <v>4.4029911693183799</v>
      </c>
      <c r="CU1030" s="17" t="s">
        <v>5288</v>
      </c>
      <c r="CV1030" s="3">
        <v>1.482800896669064</v>
      </c>
      <c r="CW1030" s="3">
        <v>1.2184756844182629</v>
      </c>
      <c r="CX1030" s="3">
        <v>1.453897657300586</v>
      </c>
      <c r="CY1030" s="3">
        <v>1.5444875738395529</v>
      </c>
      <c r="CZ1030" s="3">
        <v>1.6727273578231581</v>
      </c>
      <c r="DA1030" s="3">
        <v>1.2945685289102291</v>
      </c>
      <c r="DB1030" s="3">
        <v>1.416159657218647</v>
      </c>
      <c r="DC1030" s="3">
        <v>1.5450791859658251</v>
      </c>
      <c r="DD1030" s="3">
        <v>1.671335692690904</v>
      </c>
      <c r="DE1030" s="3">
        <v>1.808937157826648</v>
      </c>
      <c r="DF1030" s="3">
        <v>1.95496203866139</v>
      </c>
      <c r="DG1030" s="3">
        <v>2.1172669786867901</v>
      </c>
      <c r="DH1030" s="3">
        <v>2.2938518435222108</v>
      </c>
      <c r="DI1030" s="3">
        <v>2.4823034645291142</v>
      </c>
      <c r="DJ1030" s="3">
        <v>2.685789093436056</v>
      </c>
      <c r="DK1030" s="3">
        <v>2.9074062827445259</v>
      </c>
      <c r="DL1030" s="3">
        <v>3.1418520352934198</v>
      </c>
      <c r="DM1030" s="3">
        <v>3.3914384443988692</v>
      </c>
      <c r="DN1030" s="3">
        <v>3.6540374038454249</v>
      </c>
      <c r="DO1030" s="3">
        <v>3.9269833656184492</v>
      </c>
    </row>
    <row r="1031" spans="1:119" x14ac:dyDescent="0.45">
      <c r="A1031" s="11"/>
      <c r="B1031" s="3" t="s">
        <v>89</v>
      </c>
      <c r="C1031" s="16" t="s">
        <v>5289</v>
      </c>
      <c r="H1031" s="11" t="s">
        <v>5290</v>
      </c>
      <c r="I1031" s="11"/>
    </row>
    <row r="1032" spans="1:119" x14ac:dyDescent="0.45">
      <c r="A1032" s="16" t="s">
        <v>5291</v>
      </c>
      <c r="B1032" s="3" t="s">
        <v>89</v>
      </c>
      <c r="C1032" s="16" t="s">
        <v>5292</v>
      </c>
      <c r="H1032" s="3" t="s">
        <v>5293</v>
      </c>
      <c r="I1032" s="3" t="s">
        <v>5072</v>
      </c>
      <c r="K1032" s="17" t="s">
        <v>5294</v>
      </c>
      <c r="L1032" s="3">
        <v>22.86260117049401</v>
      </c>
      <c r="M1032" s="3">
        <v>20.453043214718519</v>
      </c>
      <c r="N1032" s="3">
        <v>19.97525963148836</v>
      </c>
      <c r="O1032" s="3">
        <v>20.04541177219371</v>
      </c>
      <c r="P1032" s="3">
        <v>20.032327210170251</v>
      </c>
      <c r="Q1032" s="3">
        <v>20.401970800807721</v>
      </c>
      <c r="R1032" s="3">
        <v>20.815699964070461</v>
      </c>
      <c r="S1032" s="3">
        <v>21.080345449766519</v>
      </c>
      <c r="T1032" s="3">
        <v>21.29017914907952</v>
      </c>
      <c r="U1032" s="3">
        <v>21.495489738544041</v>
      </c>
      <c r="V1032" s="3">
        <v>21.695216368654432</v>
      </c>
      <c r="W1032" s="3">
        <v>21.902922234448582</v>
      </c>
      <c r="X1032" s="3">
        <v>22.11892458807915</v>
      </c>
      <c r="Y1032" s="3">
        <v>22.34355457954835</v>
      </c>
      <c r="Z1032" s="3">
        <v>22.57715477527622</v>
      </c>
      <c r="AA1032" s="3">
        <v>22.820084370076842</v>
      </c>
      <c r="AB1032" s="3">
        <v>23.072711864313892</v>
      </c>
      <c r="AC1032" s="3">
        <v>23.335422810256102</v>
      </c>
      <c r="AD1032" s="3">
        <v>23.608618014850169</v>
      </c>
      <c r="AE1032" s="3">
        <v>23.89110191320685</v>
      </c>
      <c r="AG1032" s="17" t="s">
        <v>5295</v>
      </c>
      <c r="AH1032" s="3">
        <v>22.86260117049401</v>
      </c>
      <c r="AI1032" s="3">
        <v>20.453043214718519</v>
      </c>
      <c r="AJ1032" s="3">
        <v>19.97525963148836</v>
      </c>
      <c r="AK1032" s="3">
        <v>20.04541177219371</v>
      </c>
      <c r="AL1032" s="3">
        <v>20.032327210170251</v>
      </c>
      <c r="AM1032" s="3">
        <v>20.401970800807721</v>
      </c>
      <c r="AN1032" s="3">
        <v>20.815699964070461</v>
      </c>
      <c r="AO1032" s="3">
        <v>21.080345449766519</v>
      </c>
      <c r="AP1032" s="3">
        <v>21.29017914907952</v>
      </c>
      <c r="AQ1032" s="3">
        <v>21.495489738544041</v>
      </c>
      <c r="AR1032" s="3">
        <v>21.695216368654432</v>
      </c>
      <c r="AS1032" s="3">
        <v>21.902922234448582</v>
      </c>
      <c r="AT1032" s="3">
        <v>22.11892458807915</v>
      </c>
      <c r="AU1032" s="3">
        <v>22.34355457954835</v>
      </c>
      <c r="AV1032" s="3">
        <v>22.57715477527622</v>
      </c>
      <c r="AW1032" s="3">
        <v>22.820084370076842</v>
      </c>
      <c r="AX1032" s="3">
        <v>23.072711864313892</v>
      </c>
      <c r="AY1032" s="3">
        <v>23.335422810256102</v>
      </c>
      <c r="AZ1032" s="3">
        <v>23.608618014850169</v>
      </c>
      <c r="BA1032" s="3">
        <v>23.89110191320685</v>
      </c>
      <c r="BC1032" s="17" t="s">
        <v>5296</v>
      </c>
      <c r="BD1032" s="3">
        <v>22.86260117049401</v>
      </c>
      <c r="BE1032" s="3">
        <v>20.453043214718519</v>
      </c>
      <c r="BF1032" s="3">
        <v>19.97525963148836</v>
      </c>
      <c r="BG1032" s="3">
        <v>20.04541177219371</v>
      </c>
      <c r="BH1032" s="3">
        <v>20.032327210170251</v>
      </c>
      <c r="BI1032" s="3">
        <v>20.401970800807721</v>
      </c>
      <c r="BJ1032" s="3">
        <v>20.815699964070461</v>
      </c>
      <c r="BK1032" s="3">
        <v>21.080345449766519</v>
      </c>
      <c r="BL1032" s="3">
        <v>21.29017914907952</v>
      </c>
      <c r="BM1032" s="3">
        <v>21.495489738544041</v>
      </c>
      <c r="BN1032" s="3">
        <v>21.695216368654432</v>
      </c>
      <c r="BO1032" s="3">
        <v>21.902922234448582</v>
      </c>
      <c r="BP1032" s="3">
        <v>22.11892458807915</v>
      </c>
      <c r="BQ1032" s="3">
        <v>22.34355457954835</v>
      </c>
      <c r="BR1032" s="3">
        <v>22.57715477527622</v>
      </c>
      <c r="BS1032" s="3">
        <v>22.820084370076842</v>
      </c>
      <c r="BT1032" s="3">
        <v>23.072711864313892</v>
      </c>
      <c r="BU1032" s="3">
        <v>23.335422810256102</v>
      </c>
      <c r="BV1032" s="3">
        <v>23.608618014850169</v>
      </c>
      <c r="BW1032" s="3">
        <v>23.89110191320685</v>
      </c>
      <c r="BY1032" s="17" t="s">
        <v>5297</v>
      </c>
      <c r="BZ1032" s="3">
        <v>22.86260117049401</v>
      </c>
      <c r="CA1032" s="3">
        <v>20.453043214718519</v>
      </c>
      <c r="CB1032" s="3">
        <v>19.97525963148836</v>
      </c>
      <c r="CC1032" s="3">
        <v>20.04541177219371</v>
      </c>
      <c r="CD1032" s="3">
        <v>20.032327210170251</v>
      </c>
      <c r="CE1032" s="3">
        <v>20.401970800807721</v>
      </c>
      <c r="CF1032" s="3">
        <v>20.815699964070461</v>
      </c>
      <c r="CG1032" s="3">
        <v>21.080345449766519</v>
      </c>
      <c r="CH1032" s="3">
        <v>21.29017914907952</v>
      </c>
      <c r="CI1032" s="3">
        <v>21.495489738544041</v>
      </c>
      <c r="CJ1032" s="3">
        <v>21.695216368654432</v>
      </c>
      <c r="CK1032" s="3">
        <v>21.902922234448582</v>
      </c>
      <c r="CL1032" s="3">
        <v>22.11892458807915</v>
      </c>
      <c r="CM1032" s="3">
        <v>22.34355457954835</v>
      </c>
      <c r="CN1032" s="3">
        <v>22.57715477527622</v>
      </c>
      <c r="CO1032" s="3">
        <v>22.820084370076842</v>
      </c>
      <c r="CP1032" s="3">
        <v>23.072711864313892</v>
      </c>
      <c r="CQ1032" s="3">
        <v>23.335422810256102</v>
      </c>
      <c r="CR1032" s="3">
        <v>23.608618014850169</v>
      </c>
      <c r="CS1032" s="3">
        <v>23.89110191320685</v>
      </c>
      <c r="CU1032" s="17" t="s">
        <v>5298</v>
      </c>
      <c r="CV1032" s="3">
        <v>22.86260117049401</v>
      </c>
      <c r="CW1032" s="3">
        <v>20.453043214718519</v>
      </c>
      <c r="CX1032" s="3">
        <v>19.97525963148836</v>
      </c>
      <c r="CY1032" s="3">
        <v>20.04541177219371</v>
      </c>
      <c r="CZ1032" s="3">
        <v>20.032327210170251</v>
      </c>
      <c r="DA1032" s="3">
        <v>20.401970800807721</v>
      </c>
      <c r="DB1032" s="3">
        <v>20.815699964070461</v>
      </c>
      <c r="DC1032" s="3">
        <v>21.080345449766519</v>
      </c>
      <c r="DD1032" s="3">
        <v>21.29017914907952</v>
      </c>
      <c r="DE1032" s="3">
        <v>21.495489738544041</v>
      </c>
      <c r="DF1032" s="3">
        <v>21.695216368654432</v>
      </c>
      <c r="DG1032" s="3">
        <v>21.902922234448582</v>
      </c>
      <c r="DH1032" s="3">
        <v>22.11892458807915</v>
      </c>
      <c r="DI1032" s="3">
        <v>22.34355457954835</v>
      </c>
      <c r="DJ1032" s="3">
        <v>22.57715477527622</v>
      </c>
      <c r="DK1032" s="3">
        <v>22.820084370076842</v>
      </c>
      <c r="DL1032" s="3">
        <v>23.072711864313892</v>
      </c>
      <c r="DM1032" s="3">
        <v>23.335422810256102</v>
      </c>
      <c r="DN1032" s="3">
        <v>23.608618014850169</v>
      </c>
      <c r="DO1032" s="3">
        <v>23.89110191320685</v>
      </c>
    </row>
    <row r="1033" spans="1:119" x14ac:dyDescent="0.45">
      <c r="A1033" s="16" t="s">
        <v>5299</v>
      </c>
      <c r="B1033" s="3" t="s">
        <v>89</v>
      </c>
      <c r="C1033" s="16" t="s">
        <v>5300</v>
      </c>
      <c r="H1033" s="3" t="s">
        <v>5301</v>
      </c>
      <c r="I1033" s="3" t="s">
        <v>5081</v>
      </c>
      <c r="K1033" s="17" t="s">
        <v>5302</v>
      </c>
      <c r="L1033" s="3">
        <v>78.304459024680128</v>
      </c>
      <c r="M1033" s="3">
        <v>94.526711047422054</v>
      </c>
      <c r="N1033" s="3">
        <v>138.7159566013392</v>
      </c>
      <c r="O1033" s="3">
        <v>139.711234258102</v>
      </c>
      <c r="P1033" s="3">
        <v>140.63387512151789</v>
      </c>
      <c r="Q1033" s="3">
        <v>141.79025930652119</v>
      </c>
      <c r="R1033" s="3">
        <v>143.22405499395961</v>
      </c>
      <c r="S1033" s="3">
        <v>144.52148218439521</v>
      </c>
      <c r="T1033" s="3">
        <v>145.65201456809089</v>
      </c>
      <c r="U1033" s="3">
        <v>146.75733901917269</v>
      </c>
      <c r="V1033" s="3">
        <v>147.84406219684249</v>
      </c>
      <c r="W1033" s="3">
        <v>148.91209214427849</v>
      </c>
      <c r="X1033" s="3">
        <v>149.96134855091719</v>
      </c>
      <c r="Y1033" s="3">
        <v>150.99176180648419</v>
      </c>
      <c r="Z1033" s="3">
        <v>152.00327206978449</v>
      </c>
      <c r="AA1033" s="3">
        <v>152.99582835364711</v>
      </c>
      <c r="AB1033" s="3">
        <v>153.96938762714839</v>
      </c>
      <c r="AC1033" s="3">
        <v>154.92391393597919</v>
      </c>
      <c r="AD1033" s="3">
        <v>155.8593775415963</v>
      </c>
      <c r="AE1033" s="3">
        <v>156.77575407958861</v>
      </c>
      <c r="AG1033" s="17" t="s">
        <v>5303</v>
      </c>
      <c r="AH1033" s="3">
        <v>78.304459024680128</v>
      </c>
      <c r="AI1033" s="3">
        <v>94.526711047422054</v>
      </c>
      <c r="AJ1033" s="3">
        <v>138.7159566013392</v>
      </c>
      <c r="AK1033" s="3">
        <v>139.711234258102</v>
      </c>
      <c r="AL1033" s="3">
        <v>140.63387512151789</v>
      </c>
      <c r="AM1033" s="3">
        <v>101.2329536826509</v>
      </c>
      <c r="AN1033" s="3">
        <v>102.2566244771905</v>
      </c>
      <c r="AO1033" s="3">
        <v>103.2009154329949</v>
      </c>
      <c r="AP1033" s="3">
        <v>103.9675201914139</v>
      </c>
      <c r="AQ1033" s="3">
        <v>104.7635547732403</v>
      </c>
      <c r="AR1033" s="3">
        <v>105.5229343411343</v>
      </c>
      <c r="AS1033" s="3">
        <v>106.30684898679201</v>
      </c>
      <c r="AT1033" s="3">
        <v>107.0949818724709</v>
      </c>
      <c r="AU1033" s="3">
        <v>107.8607791305102</v>
      </c>
      <c r="AV1033" s="3">
        <v>108.6202893030495</v>
      </c>
      <c r="AW1033" s="3">
        <v>109.3833352821687</v>
      </c>
      <c r="AX1033" s="3">
        <v>110.115976058234</v>
      </c>
      <c r="AY1033" s="3">
        <v>110.82592895945621</v>
      </c>
      <c r="AZ1033" s="3">
        <v>111.5019059727359</v>
      </c>
      <c r="BA1033" s="3">
        <v>112.15849751899481</v>
      </c>
      <c r="BC1033" s="17" t="s">
        <v>5304</v>
      </c>
      <c r="BD1033" s="3">
        <v>78.304459024680128</v>
      </c>
      <c r="BE1033" s="3">
        <v>94.526711047422054</v>
      </c>
      <c r="BF1033" s="3">
        <v>138.7159566013392</v>
      </c>
      <c r="BG1033" s="3">
        <v>139.711234258102</v>
      </c>
      <c r="BH1033" s="3">
        <v>140.63387512151789</v>
      </c>
      <c r="BI1033" s="3">
        <v>117.42599125813859</v>
      </c>
      <c r="BJ1033" s="3">
        <v>97.932296714102677</v>
      </c>
      <c r="BK1033" s="3">
        <v>85.040681235240541</v>
      </c>
      <c r="BL1033" s="3">
        <v>75.729126676104315</v>
      </c>
      <c r="BM1033" s="3">
        <v>68.687949108091431</v>
      </c>
      <c r="BN1033" s="3">
        <v>63.146047375578412</v>
      </c>
      <c r="BO1033" s="3">
        <v>58.665007471639044</v>
      </c>
      <c r="BP1033" s="3">
        <v>54.963634201354793</v>
      </c>
      <c r="BQ1033" s="3">
        <v>51.846139189204102</v>
      </c>
      <c r="BR1033" s="3">
        <v>49.180312532205569</v>
      </c>
      <c r="BS1033" s="3">
        <v>46.874865709996762</v>
      </c>
      <c r="BT1033" s="3">
        <v>44.855894589966617</v>
      </c>
      <c r="BU1033" s="3">
        <v>43.068952103521873</v>
      </c>
      <c r="BV1033" s="3">
        <v>41.469063871296591</v>
      </c>
      <c r="BW1033" s="3">
        <v>40.024875613059592</v>
      </c>
      <c r="BY1033" s="17" t="s">
        <v>5305</v>
      </c>
      <c r="BZ1033" s="3">
        <v>78.304459024680128</v>
      </c>
      <c r="CA1033" s="3">
        <v>94.526711047422054</v>
      </c>
      <c r="CB1033" s="3">
        <v>138.7159566013392</v>
      </c>
      <c r="CC1033" s="3">
        <v>139.711234258102</v>
      </c>
      <c r="CD1033" s="3">
        <v>140.63387512151789</v>
      </c>
      <c r="CE1033" s="3">
        <v>94.97098829203965</v>
      </c>
      <c r="CF1033" s="3">
        <v>95.931312631643749</v>
      </c>
      <c r="CG1033" s="3">
        <v>96.814691154159618</v>
      </c>
      <c r="CH1033" s="3">
        <v>97.536207987506671</v>
      </c>
      <c r="CI1033" s="3">
        <v>98.290535649491517</v>
      </c>
      <c r="CJ1033" s="3">
        <v>99.00108182314996</v>
      </c>
      <c r="CK1033" s="3">
        <v>99.739049487230801</v>
      </c>
      <c r="CL1033" s="3">
        <v>100.46609327718571</v>
      </c>
      <c r="CM1033" s="3">
        <v>101.17498216206261</v>
      </c>
      <c r="CN1033" s="3">
        <v>101.87780477205079</v>
      </c>
      <c r="CO1033" s="3">
        <v>102.5799432283407</v>
      </c>
      <c r="CP1033" s="3">
        <v>103.2549161045043</v>
      </c>
      <c r="CQ1033" s="3">
        <v>103.9138837004281</v>
      </c>
      <c r="CR1033" s="3">
        <v>104.5450321611012</v>
      </c>
      <c r="CS1033" s="3">
        <v>105.1651113692607</v>
      </c>
      <c r="CU1033" s="17" t="s">
        <v>5306</v>
      </c>
      <c r="CV1033" s="3">
        <v>78.304459024680128</v>
      </c>
      <c r="CW1033" s="3">
        <v>94.526711047422054</v>
      </c>
      <c r="CX1033" s="3">
        <v>138.7159566013392</v>
      </c>
      <c r="CY1033" s="3">
        <v>139.711234258102</v>
      </c>
      <c r="CZ1033" s="3">
        <v>140.63387512151789</v>
      </c>
      <c r="DA1033" s="3">
        <v>73.722852589140246</v>
      </c>
      <c r="DB1033" s="3">
        <v>74.468334966908898</v>
      </c>
      <c r="DC1033" s="3">
        <v>75.1709463377438</v>
      </c>
      <c r="DD1033" s="3">
        <v>75.694516054973334</v>
      </c>
      <c r="DE1033" s="3">
        <v>76.282869844082114</v>
      </c>
      <c r="DF1033" s="3">
        <v>76.820045249105064</v>
      </c>
      <c r="DG1033" s="3">
        <v>77.410721080242027</v>
      </c>
      <c r="DH1033" s="3">
        <v>78.014596573521544</v>
      </c>
      <c r="DI1033" s="3">
        <v>78.596456072691936</v>
      </c>
      <c r="DJ1033" s="3">
        <v>79.179174794032306</v>
      </c>
      <c r="DK1033" s="3">
        <v>79.778599837977296</v>
      </c>
      <c r="DL1033" s="3">
        <v>80.341257858770419</v>
      </c>
      <c r="DM1033" s="3">
        <v>80.881528238706125</v>
      </c>
      <c r="DN1033" s="3">
        <v>81.380523787698749</v>
      </c>
      <c r="DO1033" s="3">
        <v>81.86178168937974</v>
      </c>
    </row>
    <row r="1034" spans="1:119" x14ac:dyDescent="0.45">
      <c r="A1034" s="16" t="s">
        <v>5307</v>
      </c>
      <c r="B1034" s="3" t="s">
        <v>89</v>
      </c>
      <c r="C1034" s="16" t="s">
        <v>5308</v>
      </c>
      <c r="H1034" s="3" t="s">
        <v>5309</v>
      </c>
      <c r="I1034" s="3" t="s">
        <v>4288</v>
      </c>
      <c r="K1034" s="17" t="s">
        <v>5310</v>
      </c>
      <c r="L1034" s="3">
        <v>0.94083406357905419</v>
      </c>
      <c r="M1034" s="3">
        <v>1.13439172801194</v>
      </c>
      <c r="N1034" s="3">
        <v>1.7191593793275151</v>
      </c>
      <c r="O1034" s="3">
        <v>1.722584495017484</v>
      </c>
      <c r="P1034" s="3">
        <v>1.7126574060856099</v>
      </c>
      <c r="Q1034" s="3">
        <v>1.7523211077201679</v>
      </c>
      <c r="R1034" s="3">
        <v>1.800436980341021</v>
      </c>
      <c r="S1034" s="3">
        <v>1.827672260482242</v>
      </c>
      <c r="T1034" s="3">
        <v>1.845093138566932</v>
      </c>
      <c r="U1034" s="3">
        <v>1.8608788116537749</v>
      </c>
      <c r="V1034" s="3">
        <v>1.874658430097216</v>
      </c>
      <c r="W1034" s="3">
        <v>1.8882010189222671</v>
      </c>
      <c r="X1034" s="3">
        <v>1.9015055597933079</v>
      </c>
      <c r="Y1034" s="3">
        <v>1.9145711700540771</v>
      </c>
      <c r="Z1034" s="3">
        <v>1.927397090919948</v>
      </c>
      <c r="AA1034" s="3">
        <v>1.939982675875072</v>
      </c>
      <c r="AB1034" s="3">
        <v>1.9523273792885809</v>
      </c>
      <c r="AC1034" s="3">
        <v>1.964430745260878</v>
      </c>
      <c r="AD1034" s="3">
        <v>1.9762923967080921</v>
      </c>
      <c r="AE1034" s="3">
        <v>1.9879120246901969</v>
      </c>
      <c r="AG1034" s="17" t="s">
        <v>5311</v>
      </c>
      <c r="AH1034" s="3">
        <v>0.94083406357905419</v>
      </c>
      <c r="AI1034" s="3">
        <v>1.13439172801194</v>
      </c>
      <c r="AJ1034" s="3">
        <v>1.7191593793275151</v>
      </c>
      <c r="AK1034" s="3">
        <v>1.722584495017484</v>
      </c>
      <c r="AL1034" s="3">
        <v>1.7126574060856099</v>
      </c>
      <c r="AM1034" s="3">
        <v>1.1386197237742479</v>
      </c>
      <c r="AN1034" s="3">
        <v>1.171835266125145</v>
      </c>
      <c r="AO1034" s="3">
        <v>1.1904584459481771</v>
      </c>
      <c r="AP1034" s="3">
        <v>1.2015312523688331</v>
      </c>
      <c r="AQ1034" s="3">
        <v>1.212004110879918</v>
      </c>
      <c r="AR1034" s="3">
        <v>1.220789333565403</v>
      </c>
      <c r="AS1034" s="3">
        <v>1.229858401288167</v>
      </c>
      <c r="AT1034" s="3">
        <v>1.238976269610123</v>
      </c>
      <c r="AU1034" s="3">
        <v>1.2478357382187739</v>
      </c>
      <c r="AV1034" s="3">
        <v>1.2566224718626</v>
      </c>
      <c r="AW1034" s="3">
        <v>1.265450111068664</v>
      </c>
      <c r="AX1034" s="3">
        <v>1.2739259940635781</v>
      </c>
      <c r="AY1034" s="3">
        <v>1.2821394022156301</v>
      </c>
      <c r="AZ1034" s="3">
        <v>1.2899597450889571</v>
      </c>
      <c r="BA1034" s="3">
        <v>1.297555818503584</v>
      </c>
      <c r="BC1034" s="17" t="s">
        <v>5312</v>
      </c>
      <c r="BD1034" s="3">
        <v>0.94083406357905419</v>
      </c>
      <c r="BE1034" s="3">
        <v>1.13439172801194</v>
      </c>
      <c r="BF1034" s="3">
        <v>1.7191593793275151</v>
      </c>
      <c r="BG1034" s="3">
        <v>1.722584495017484</v>
      </c>
      <c r="BH1034" s="3">
        <v>1.7126574060856099</v>
      </c>
      <c r="BI1034" s="3">
        <v>1.38598274195052</v>
      </c>
      <c r="BJ1034" s="3">
        <v>1.1041453803289749</v>
      </c>
      <c r="BK1034" s="3">
        <v>0.90223869349872421</v>
      </c>
      <c r="BL1034" s="3">
        <v>0.74898072882061872</v>
      </c>
      <c r="BM1034" s="3">
        <v>0.62930052436010342</v>
      </c>
      <c r="BN1034" s="3">
        <v>0.53175596466652952</v>
      </c>
      <c r="BO1034" s="3">
        <v>0.45056878778741488</v>
      </c>
      <c r="BP1034" s="3">
        <v>0.3814303036238087</v>
      </c>
      <c r="BQ1034" s="3">
        <v>0.32139436416273143</v>
      </c>
      <c r="BR1034" s="3">
        <v>0.26844192085428409</v>
      </c>
      <c r="BS1034" s="3">
        <v>0.22113867947081911</v>
      </c>
      <c r="BT1034" s="3">
        <v>0.17838994582555881</v>
      </c>
      <c r="BU1034" s="3">
        <v>0.13938295199938941</v>
      </c>
      <c r="BV1034" s="3">
        <v>0.1034898819172608</v>
      </c>
      <c r="BW1034" s="3">
        <v>7.0240068424852489E-2</v>
      </c>
      <c r="BY1034" s="17" t="s">
        <v>5313</v>
      </c>
      <c r="BZ1034" s="3">
        <v>0.94083406357905419</v>
      </c>
      <c r="CA1034" s="3">
        <v>1.13439172801194</v>
      </c>
      <c r="CB1034" s="3">
        <v>1.7191593793275151</v>
      </c>
      <c r="CC1034" s="3">
        <v>1.722584495017484</v>
      </c>
      <c r="CD1034" s="3">
        <v>1.7126574060856099</v>
      </c>
      <c r="CE1034" s="3">
        <v>1.041809398545821</v>
      </c>
      <c r="CF1034" s="3">
        <v>1.072703302393732</v>
      </c>
      <c r="CG1034" s="3">
        <v>1.0899002880524269</v>
      </c>
      <c r="CH1034" s="3">
        <v>1.1001146540710061</v>
      </c>
      <c r="CI1034" s="3">
        <v>1.109817325166647</v>
      </c>
      <c r="CJ1034" s="3">
        <v>1.1178402385493671</v>
      </c>
      <c r="CK1034" s="3">
        <v>1.126172773249658</v>
      </c>
      <c r="CL1034" s="3">
        <v>1.1343819643881039</v>
      </c>
      <c r="CM1034" s="3">
        <v>1.142386165004732</v>
      </c>
      <c r="CN1034" s="3">
        <v>1.150321870145919</v>
      </c>
      <c r="CO1034" s="3">
        <v>1.1582498503762351</v>
      </c>
      <c r="CP1034" s="3">
        <v>1.165871098821307</v>
      </c>
      <c r="CQ1034" s="3">
        <v>1.1733116285716749</v>
      </c>
      <c r="CR1034" s="3">
        <v>1.180438047120304</v>
      </c>
      <c r="CS1034" s="3">
        <v>1.1874394806117761</v>
      </c>
      <c r="CU1034" s="17" t="s">
        <v>5314</v>
      </c>
      <c r="CV1034" s="3">
        <v>0.94083406357905419</v>
      </c>
      <c r="CW1034" s="3">
        <v>1.13439172801194</v>
      </c>
      <c r="CX1034" s="3">
        <v>1.7191593793275151</v>
      </c>
      <c r="CY1034" s="3">
        <v>1.722584495017484</v>
      </c>
      <c r="CZ1034" s="3">
        <v>1.7126574060856099</v>
      </c>
      <c r="DA1034" s="3">
        <v>0.70633760633486009</v>
      </c>
      <c r="DB1034" s="3">
        <v>0.72928437570025484</v>
      </c>
      <c r="DC1034" s="3">
        <v>0.7418480161104557</v>
      </c>
      <c r="DD1034" s="3">
        <v>0.74863842078964804</v>
      </c>
      <c r="DE1034" s="3">
        <v>0.75538450126942902</v>
      </c>
      <c r="DF1034" s="3">
        <v>0.76070383411895148</v>
      </c>
      <c r="DG1034" s="3">
        <v>0.7665529502970303</v>
      </c>
      <c r="DH1034" s="3">
        <v>0.77253277498443573</v>
      </c>
      <c r="DI1034" s="3">
        <v>0.77829458820001185</v>
      </c>
      <c r="DJ1034" s="3">
        <v>0.78406490978859067</v>
      </c>
      <c r="DK1034" s="3">
        <v>0.79000066428752713</v>
      </c>
      <c r="DL1034" s="3">
        <v>0.79557233652915593</v>
      </c>
      <c r="DM1034" s="3">
        <v>0.80092231709926986</v>
      </c>
      <c r="DN1034" s="3">
        <v>0.80586357723646573</v>
      </c>
      <c r="DO1034" s="3">
        <v>0.81062919185985782</v>
      </c>
    </row>
    <row r="1035" spans="1:119" x14ac:dyDescent="0.45">
      <c r="A1035" s="16" t="s">
        <v>5315</v>
      </c>
      <c r="B1035" s="3" t="s">
        <v>89</v>
      </c>
      <c r="C1035" s="16" t="s">
        <v>5316</v>
      </c>
      <c r="H1035" s="3" t="s">
        <v>5317</v>
      </c>
      <c r="I1035" s="3" t="s">
        <v>4288</v>
      </c>
      <c r="K1035" s="17" t="s">
        <v>5318</v>
      </c>
      <c r="L1035" s="3">
        <v>0.46129440175269931</v>
      </c>
      <c r="M1035" s="3">
        <v>0.5404510919963923</v>
      </c>
      <c r="N1035" s="3">
        <v>0.80243308259250723</v>
      </c>
      <c r="O1035" s="3">
        <v>0.82690126534527664</v>
      </c>
      <c r="P1035" s="3">
        <v>0.85182480426901497</v>
      </c>
      <c r="Q1035" s="3">
        <v>0.88565982202747828</v>
      </c>
      <c r="R1035" s="3">
        <v>0.92347541514767884</v>
      </c>
      <c r="S1035" s="3">
        <v>0.95916226355929135</v>
      </c>
      <c r="T1035" s="3">
        <v>0.99410435197168612</v>
      </c>
      <c r="U1035" s="3">
        <v>1.029995625217307</v>
      </c>
      <c r="V1035" s="3">
        <v>1.0671510344482089</v>
      </c>
      <c r="W1035" s="3">
        <v>1.105790080610753</v>
      </c>
      <c r="X1035" s="3">
        <v>1.1459736436816179</v>
      </c>
      <c r="Y1035" s="3">
        <v>1.1877651270642759</v>
      </c>
      <c r="Z1035" s="3">
        <v>1.2312300891674619</v>
      </c>
      <c r="AA1035" s="3">
        <v>1.2764370330669721</v>
      </c>
      <c r="AB1035" s="3">
        <v>1.323456293091607</v>
      </c>
      <c r="AC1035" s="3">
        <v>1.3723612089663879</v>
      </c>
      <c r="AD1035" s="3">
        <v>1.423227852922696</v>
      </c>
      <c r="AE1035" s="3">
        <v>1.4758823593883721</v>
      </c>
      <c r="AG1035" s="17" t="s">
        <v>5319</v>
      </c>
      <c r="AH1035" s="3">
        <v>0.46129440175269931</v>
      </c>
      <c r="AI1035" s="3">
        <v>0.5404510919963923</v>
      </c>
      <c r="AJ1035" s="3">
        <v>0.80243308259250723</v>
      </c>
      <c r="AK1035" s="3">
        <v>0.82690126534527664</v>
      </c>
      <c r="AL1035" s="3">
        <v>0.85182480426901497</v>
      </c>
      <c r="AM1035" s="3">
        <v>0.63232806104170081</v>
      </c>
      <c r="AN1035" s="3">
        <v>0.6593269457749702</v>
      </c>
      <c r="AO1035" s="3">
        <v>0.68492532841453568</v>
      </c>
      <c r="AP1035" s="3">
        <v>0.70959927737677408</v>
      </c>
      <c r="AQ1035" s="3">
        <v>0.73526819046885372</v>
      </c>
      <c r="AR1035" s="3">
        <v>0.76167352862790094</v>
      </c>
      <c r="AS1035" s="3">
        <v>0.7894124474235753</v>
      </c>
      <c r="AT1035" s="3">
        <v>0.81839772569624336</v>
      </c>
      <c r="AU1035" s="3">
        <v>0.84847855602477273</v>
      </c>
      <c r="AV1035" s="3">
        <v>0.87982690545365982</v>
      </c>
      <c r="AW1035" s="3">
        <v>0.91258004520103619</v>
      </c>
      <c r="AX1035" s="3">
        <v>0.94651075600237222</v>
      </c>
      <c r="AY1035" s="3">
        <v>0.98172839807334933</v>
      </c>
      <c r="AZ1035" s="3">
        <v>1.018178185602036</v>
      </c>
      <c r="BA1035" s="3">
        <v>1.0558568122705689</v>
      </c>
      <c r="BC1035" s="17" t="s">
        <v>5320</v>
      </c>
      <c r="BD1035" s="3">
        <v>0.46129440175269931</v>
      </c>
      <c r="BE1035" s="3">
        <v>0.5404510919963923</v>
      </c>
      <c r="BF1035" s="3">
        <v>0.80243308259250723</v>
      </c>
      <c r="BG1035" s="3">
        <v>0.82690126534527664</v>
      </c>
      <c r="BH1035" s="3">
        <v>0.85182480426901497</v>
      </c>
      <c r="BI1035" s="3">
        <v>0.73347409778169503</v>
      </c>
      <c r="BJ1035" s="3">
        <v>0.63144468551903377</v>
      </c>
      <c r="BK1035" s="3">
        <v>0.56439922339119752</v>
      </c>
      <c r="BL1035" s="3">
        <v>0.51686655088822342</v>
      </c>
      <c r="BM1035" s="3">
        <v>0.48207665496878832</v>
      </c>
      <c r="BN1035" s="3">
        <v>0.4557935488030932</v>
      </c>
      <c r="BO1035" s="3">
        <v>0.43563408724552399</v>
      </c>
      <c r="BP1035" s="3">
        <v>0.42002073710562732</v>
      </c>
      <c r="BQ1035" s="3">
        <v>0.40784368209956579</v>
      </c>
      <c r="BR1035" s="3">
        <v>0.39836169155958462</v>
      </c>
      <c r="BS1035" s="3">
        <v>0.39107481005285</v>
      </c>
      <c r="BT1035" s="3">
        <v>0.38556246077371359</v>
      </c>
      <c r="BU1035" s="3">
        <v>0.38151733761470669</v>
      </c>
      <c r="BV1035" s="3">
        <v>0.37867421047866129</v>
      </c>
      <c r="BW1035" s="3">
        <v>0.37679300731693571</v>
      </c>
      <c r="BY1035" s="17" t="s">
        <v>5321</v>
      </c>
      <c r="BZ1035" s="3">
        <v>0.46129440175269931</v>
      </c>
      <c r="CA1035" s="3">
        <v>0.5404510919963923</v>
      </c>
      <c r="CB1035" s="3">
        <v>0.80243308259250723</v>
      </c>
      <c r="CC1035" s="3">
        <v>0.82690126534527664</v>
      </c>
      <c r="CD1035" s="3">
        <v>0.85182480426901497</v>
      </c>
      <c r="CE1035" s="3">
        <v>0.59321415307287695</v>
      </c>
      <c r="CF1035" s="3">
        <v>0.61854280527042205</v>
      </c>
      <c r="CG1035" s="3">
        <v>0.64254114273984475</v>
      </c>
      <c r="CH1035" s="3">
        <v>0.66570427551393407</v>
      </c>
      <c r="CI1035" s="3">
        <v>0.68983822135134232</v>
      </c>
      <c r="CJ1035" s="3">
        <v>0.71459824161489083</v>
      </c>
      <c r="CK1035" s="3">
        <v>0.74064134070231269</v>
      </c>
      <c r="CL1035" s="3">
        <v>0.76774112857635857</v>
      </c>
      <c r="CM1035" s="3">
        <v>0.79588524635843694</v>
      </c>
      <c r="CN1035" s="3">
        <v>0.82521262171310605</v>
      </c>
      <c r="CO1035" s="3">
        <v>0.85581966381399222</v>
      </c>
      <c r="CP1035" s="3">
        <v>0.88753596164239712</v>
      </c>
      <c r="CQ1035" s="3">
        <v>0.92049948545996108</v>
      </c>
      <c r="CR1035" s="3">
        <v>0.9546515840323323</v>
      </c>
      <c r="CS1035" s="3">
        <v>0.99002127978418863</v>
      </c>
      <c r="CU1035" s="17" t="s">
        <v>5322</v>
      </c>
      <c r="CV1035" s="3">
        <v>0.46129440175269931</v>
      </c>
      <c r="CW1035" s="3">
        <v>0.5404510919963923</v>
      </c>
      <c r="CX1035" s="3">
        <v>0.80243308259250723</v>
      </c>
      <c r="CY1035" s="3">
        <v>0.82690126534527664</v>
      </c>
      <c r="CZ1035" s="3">
        <v>0.85182480426901497</v>
      </c>
      <c r="DA1035" s="3">
        <v>0.46049262356101078</v>
      </c>
      <c r="DB1035" s="3">
        <v>0.4801545142107792</v>
      </c>
      <c r="DC1035" s="3">
        <v>0.49889562405131149</v>
      </c>
      <c r="DD1035" s="3">
        <v>0.51663032642409368</v>
      </c>
      <c r="DE1035" s="3">
        <v>0.53538053185988288</v>
      </c>
      <c r="DF1035" s="3">
        <v>0.55449363021960751</v>
      </c>
      <c r="DG1035" s="3">
        <v>0.5748358395268589</v>
      </c>
      <c r="DH1035" s="3">
        <v>0.59617142923567779</v>
      </c>
      <c r="DI1035" s="3">
        <v>0.61827300057355628</v>
      </c>
      <c r="DJ1035" s="3">
        <v>0.64135318348348425</v>
      </c>
      <c r="DK1035" s="3">
        <v>0.66558912341087662</v>
      </c>
      <c r="DL1035" s="3">
        <v>0.69057976359280615</v>
      </c>
      <c r="DM1035" s="3">
        <v>0.71647216402361813</v>
      </c>
      <c r="DN1035" s="3">
        <v>0.74312518096114932</v>
      </c>
      <c r="DO1035" s="3">
        <v>0.77064441636889303</v>
      </c>
    </row>
    <row r="1036" spans="1:119" x14ac:dyDescent="0.45">
      <c r="A1036" s="16" t="s">
        <v>5323</v>
      </c>
      <c r="B1036" s="3" t="s">
        <v>89</v>
      </c>
      <c r="C1036" s="16" t="s">
        <v>5324</v>
      </c>
      <c r="H1036" s="3" t="s">
        <v>5325</v>
      </c>
      <c r="I1036" s="3" t="s">
        <v>5072</v>
      </c>
      <c r="K1036" s="17" t="s">
        <v>5326</v>
      </c>
      <c r="L1036" s="3">
        <v>15.0445350246563</v>
      </c>
      <c r="M1036" s="3">
        <v>13.07484630861803</v>
      </c>
      <c r="N1036" s="3">
        <v>12.56335521643026</v>
      </c>
      <c r="O1036" s="3">
        <v>12.602436999922091</v>
      </c>
      <c r="P1036" s="3">
        <v>12.805442358163109</v>
      </c>
      <c r="Q1036" s="3">
        <v>12.92345276351238</v>
      </c>
      <c r="R1036" s="3">
        <v>13.057810435133989</v>
      </c>
      <c r="S1036" s="3">
        <v>13.223452303304439</v>
      </c>
      <c r="T1036" s="3">
        <v>13.40406202498537</v>
      </c>
      <c r="U1036" s="3">
        <v>13.576323001550721</v>
      </c>
      <c r="V1036" s="3">
        <v>13.765920049480521</v>
      </c>
      <c r="W1036" s="3">
        <v>13.962935646039149</v>
      </c>
      <c r="X1036" s="3">
        <v>14.167641120589231</v>
      </c>
      <c r="Y1036" s="3">
        <v>14.380334407598379</v>
      </c>
      <c r="Z1036" s="3">
        <v>14.60130183492247</v>
      </c>
      <c r="AA1036" s="3">
        <v>14.830879009956019</v>
      </c>
      <c r="AB1036" s="3">
        <v>15.06934997537247</v>
      </c>
      <c r="AC1036" s="3">
        <v>15.317040184913489</v>
      </c>
      <c r="AD1036" s="3">
        <v>15.57428619260744</v>
      </c>
      <c r="AE1036" s="3">
        <v>15.820900567750879</v>
      </c>
      <c r="AG1036" s="17" t="s">
        <v>5327</v>
      </c>
      <c r="AH1036" s="3">
        <v>15.0445350246563</v>
      </c>
      <c r="AI1036" s="3">
        <v>13.07484630861803</v>
      </c>
      <c r="AJ1036" s="3">
        <v>12.56335521643026</v>
      </c>
      <c r="AK1036" s="3">
        <v>12.602436999922091</v>
      </c>
      <c r="AL1036" s="3">
        <v>12.805442358163109</v>
      </c>
      <c r="AM1036" s="3">
        <v>12.92345276351238</v>
      </c>
      <c r="AN1036" s="3">
        <v>13.057810435133989</v>
      </c>
      <c r="AO1036" s="3">
        <v>13.223452303304439</v>
      </c>
      <c r="AP1036" s="3">
        <v>13.40406202498537</v>
      </c>
      <c r="AQ1036" s="3">
        <v>13.576323001550721</v>
      </c>
      <c r="AR1036" s="3">
        <v>13.765920049480521</v>
      </c>
      <c r="AS1036" s="3">
        <v>13.962935646039149</v>
      </c>
      <c r="AT1036" s="3">
        <v>14.167641120589231</v>
      </c>
      <c r="AU1036" s="3">
        <v>14.380334407598379</v>
      </c>
      <c r="AV1036" s="3">
        <v>14.60130183492247</v>
      </c>
      <c r="AW1036" s="3">
        <v>14.830879009956019</v>
      </c>
      <c r="AX1036" s="3">
        <v>15.06934997537247</v>
      </c>
      <c r="AY1036" s="3">
        <v>15.317040184913489</v>
      </c>
      <c r="AZ1036" s="3">
        <v>15.57428619260744</v>
      </c>
      <c r="BA1036" s="3">
        <v>15.820900567750879</v>
      </c>
      <c r="BC1036" s="17" t="s">
        <v>5328</v>
      </c>
      <c r="BD1036" s="3">
        <v>15.0445350246563</v>
      </c>
      <c r="BE1036" s="3">
        <v>13.07484630861803</v>
      </c>
      <c r="BF1036" s="3">
        <v>12.56335521643026</v>
      </c>
      <c r="BG1036" s="3">
        <v>12.602436999922091</v>
      </c>
      <c r="BH1036" s="3">
        <v>12.805442358163109</v>
      </c>
      <c r="BI1036" s="3">
        <v>12.92345276351238</v>
      </c>
      <c r="BJ1036" s="3">
        <v>13.057810435133989</v>
      </c>
      <c r="BK1036" s="3">
        <v>13.223452303304439</v>
      </c>
      <c r="BL1036" s="3">
        <v>13.40406202498537</v>
      </c>
      <c r="BM1036" s="3">
        <v>13.576323001550721</v>
      </c>
      <c r="BN1036" s="3">
        <v>13.765920049480521</v>
      </c>
      <c r="BO1036" s="3">
        <v>13.962935646039149</v>
      </c>
      <c r="BP1036" s="3">
        <v>14.167641120589231</v>
      </c>
      <c r="BQ1036" s="3">
        <v>14.380334407598379</v>
      </c>
      <c r="BR1036" s="3">
        <v>14.60130183492247</v>
      </c>
      <c r="BS1036" s="3">
        <v>14.830879009956019</v>
      </c>
      <c r="BT1036" s="3">
        <v>15.06934997537247</v>
      </c>
      <c r="BU1036" s="3">
        <v>15.317040184913489</v>
      </c>
      <c r="BV1036" s="3">
        <v>15.57428619260744</v>
      </c>
      <c r="BW1036" s="3">
        <v>15.820900567750879</v>
      </c>
      <c r="BY1036" s="17" t="s">
        <v>5329</v>
      </c>
      <c r="BZ1036" s="3">
        <v>15.0445350246563</v>
      </c>
      <c r="CA1036" s="3">
        <v>13.07484630861803</v>
      </c>
      <c r="CB1036" s="3">
        <v>12.56335521643026</v>
      </c>
      <c r="CC1036" s="3">
        <v>12.602436999922091</v>
      </c>
      <c r="CD1036" s="3">
        <v>12.805442358163109</v>
      </c>
      <c r="CE1036" s="3">
        <v>12.92345276351238</v>
      </c>
      <c r="CF1036" s="3">
        <v>13.057810435133989</v>
      </c>
      <c r="CG1036" s="3">
        <v>13.223452303304439</v>
      </c>
      <c r="CH1036" s="3">
        <v>13.40406202498537</v>
      </c>
      <c r="CI1036" s="3">
        <v>13.576323001550721</v>
      </c>
      <c r="CJ1036" s="3">
        <v>13.765920049480521</v>
      </c>
      <c r="CK1036" s="3">
        <v>13.962935646039149</v>
      </c>
      <c r="CL1036" s="3">
        <v>14.167641120589231</v>
      </c>
      <c r="CM1036" s="3">
        <v>14.380334407598379</v>
      </c>
      <c r="CN1036" s="3">
        <v>14.60130183492247</v>
      </c>
      <c r="CO1036" s="3">
        <v>14.830879009956019</v>
      </c>
      <c r="CP1036" s="3">
        <v>15.06934997537247</v>
      </c>
      <c r="CQ1036" s="3">
        <v>15.317040184913489</v>
      </c>
      <c r="CR1036" s="3">
        <v>15.57428619260744</v>
      </c>
      <c r="CS1036" s="3">
        <v>15.820900567750879</v>
      </c>
      <c r="CU1036" s="17" t="s">
        <v>5330</v>
      </c>
      <c r="CV1036" s="3">
        <v>15.0445350246563</v>
      </c>
      <c r="CW1036" s="3">
        <v>13.07484630861803</v>
      </c>
      <c r="CX1036" s="3">
        <v>12.56335521643026</v>
      </c>
      <c r="CY1036" s="3">
        <v>12.602436999922091</v>
      </c>
      <c r="CZ1036" s="3">
        <v>12.805442358163109</v>
      </c>
      <c r="DA1036" s="3">
        <v>12.92345276351238</v>
      </c>
      <c r="DB1036" s="3">
        <v>13.057810435133989</v>
      </c>
      <c r="DC1036" s="3">
        <v>13.223452303304439</v>
      </c>
      <c r="DD1036" s="3">
        <v>13.40406202498537</v>
      </c>
      <c r="DE1036" s="3">
        <v>13.576323001550721</v>
      </c>
      <c r="DF1036" s="3">
        <v>13.765920049480521</v>
      </c>
      <c r="DG1036" s="3">
        <v>13.962935646039149</v>
      </c>
      <c r="DH1036" s="3">
        <v>14.167641120589231</v>
      </c>
      <c r="DI1036" s="3">
        <v>14.380334407598379</v>
      </c>
      <c r="DJ1036" s="3">
        <v>14.60130183492247</v>
      </c>
      <c r="DK1036" s="3">
        <v>14.830879009956019</v>
      </c>
      <c r="DL1036" s="3">
        <v>15.06934997537247</v>
      </c>
      <c r="DM1036" s="3">
        <v>15.317040184913489</v>
      </c>
      <c r="DN1036" s="3">
        <v>15.57428619260744</v>
      </c>
      <c r="DO1036" s="3">
        <v>15.820900567750879</v>
      </c>
    </row>
    <row r="1037" spans="1:119" x14ac:dyDescent="0.45">
      <c r="A1037" s="16" t="s">
        <v>5331</v>
      </c>
      <c r="B1037" s="3" t="s">
        <v>89</v>
      </c>
      <c r="C1037" s="16" t="s">
        <v>5332</v>
      </c>
      <c r="H1037" s="3" t="s">
        <v>5333</v>
      </c>
      <c r="I1037" s="3" t="s">
        <v>5081</v>
      </c>
      <c r="K1037" s="17" t="s">
        <v>5334</v>
      </c>
      <c r="L1037" s="3">
        <v>1196.0670809679871</v>
      </c>
      <c r="M1037" s="3">
        <v>1129.2254334698509</v>
      </c>
      <c r="N1037" s="3">
        <v>1332.997172482942</v>
      </c>
      <c r="O1037" s="3">
        <v>1473.0181727473839</v>
      </c>
      <c r="P1037" s="3">
        <v>1479.8236288057819</v>
      </c>
      <c r="Q1037" s="3">
        <v>1468.3908570371759</v>
      </c>
      <c r="R1037" s="3">
        <v>1455.943898141637</v>
      </c>
      <c r="S1037" s="3">
        <v>1442.470481637482</v>
      </c>
      <c r="T1037" s="3">
        <v>1404.0561126451109</v>
      </c>
      <c r="U1037" s="3">
        <v>1396.3407078019679</v>
      </c>
      <c r="V1037" s="3">
        <v>1380.9583701748829</v>
      </c>
      <c r="W1037" s="3">
        <v>1417.2761095178</v>
      </c>
      <c r="X1037" s="3">
        <v>1441.367649337144</v>
      </c>
      <c r="Y1037" s="3">
        <v>1473.4671891086939</v>
      </c>
      <c r="Z1037" s="3">
        <v>1505.1239597027061</v>
      </c>
      <c r="AA1037" s="3">
        <v>1537.421688707733</v>
      </c>
      <c r="AB1037" s="3">
        <v>1570.1053997923771</v>
      </c>
      <c r="AC1037" s="3">
        <v>1603.237313996525</v>
      </c>
      <c r="AD1037" s="3">
        <v>1637.0472440012461</v>
      </c>
      <c r="AE1037" s="3">
        <v>1671.620197523217</v>
      </c>
      <c r="AG1037" s="17" t="s">
        <v>5335</v>
      </c>
      <c r="AH1037" s="3">
        <v>1196.0670809679871</v>
      </c>
      <c r="AI1037" s="3">
        <v>1128.340947529065</v>
      </c>
      <c r="AJ1037" s="3">
        <v>1332.1452125535161</v>
      </c>
      <c r="AK1037" s="3">
        <v>1472.197717538003</v>
      </c>
      <c r="AL1037" s="3">
        <v>1479.000929341167</v>
      </c>
      <c r="AM1037" s="3">
        <v>1467.5448229942001</v>
      </c>
      <c r="AN1037" s="3">
        <v>1274.6441925504371</v>
      </c>
      <c r="AO1037" s="3">
        <v>1377.801341742201</v>
      </c>
      <c r="AP1037" s="3">
        <v>1327.128575555952</v>
      </c>
      <c r="AQ1037" s="3">
        <v>1342.926158160833</v>
      </c>
      <c r="AR1037" s="3">
        <v>1327.420005182435</v>
      </c>
      <c r="AS1037" s="3">
        <v>1373.0731375197779</v>
      </c>
      <c r="AT1037" s="3">
        <v>1392.1254854526851</v>
      </c>
      <c r="AU1037" s="3">
        <v>1425.7026033265549</v>
      </c>
      <c r="AV1037" s="3">
        <v>1458.9679601654891</v>
      </c>
      <c r="AW1037" s="3">
        <v>1493.7031333576469</v>
      </c>
      <c r="AX1037" s="3">
        <v>1527.302136590416</v>
      </c>
      <c r="AY1037" s="3">
        <v>1560.9756467250991</v>
      </c>
      <c r="AZ1037" s="3">
        <v>1593.4486095231459</v>
      </c>
      <c r="BA1037" s="3">
        <v>1626.3661645647319</v>
      </c>
      <c r="BC1037" s="17" t="s">
        <v>5336</v>
      </c>
      <c r="BD1037" s="3">
        <v>1196.0670809679871</v>
      </c>
      <c r="BE1037" s="3">
        <v>1126.127291201924</v>
      </c>
      <c r="BF1037" s="3">
        <v>1330.0128094980039</v>
      </c>
      <c r="BG1037" s="3">
        <v>1470.1440126790801</v>
      </c>
      <c r="BH1037" s="3">
        <v>1476.9470251598179</v>
      </c>
      <c r="BI1037" s="3">
        <v>1465.437939552485</v>
      </c>
      <c r="BJ1037" s="3">
        <v>1356.94246709916</v>
      </c>
      <c r="BK1037" s="3">
        <v>1268.780120229934</v>
      </c>
      <c r="BL1037" s="3">
        <v>1238.5100501961131</v>
      </c>
      <c r="BM1037" s="3">
        <v>1234.4413743478931</v>
      </c>
      <c r="BN1037" s="3">
        <v>1167.037394217256</v>
      </c>
      <c r="BO1037" s="3">
        <v>1156.059749248926</v>
      </c>
      <c r="BP1037" s="3">
        <v>1104.7512066205629</v>
      </c>
      <c r="BQ1037" s="3">
        <v>1084.488765096922</v>
      </c>
      <c r="BR1037" s="3">
        <v>1041.1032881836079</v>
      </c>
      <c r="BS1037" s="3">
        <v>1021.92246651933</v>
      </c>
      <c r="BT1037" s="3">
        <v>979.07761504536734</v>
      </c>
      <c r="BU1037" s="3">
        <v>964.43448880400365</v>
      </c>
      <c r="BV1037" s="3">
        <v>917.39704343932794</v>
      </c>
      <c r="BW1037" s="3">
        <v>912.73453237047886</v>
      </c>
      <c r="BY1037" s="17" t="s">
        <v>5337</v>
      </c>
      <c r="BZ1037" s="3">
        <v>1196.0670809679871</v>
      </c>
      <c r="CA1037" s="3">
        <v>1123.985602923877</v>
      </c>
      <c r="CB1037" s="3">
        <v>1327.947108672967</v>
      </c>
      <c r="CC1037" s="3">
        <v>1468.1518630504911</v>
      </c>
      <c r="CD1037" s="3">
        <v>1474.947734880102</v>
      </c>
      <c r="CE1037" s="3">
        <v>1463.380227471866</v>
      </c>
      <c r="CF1037" s="3">
        <v>1450.873417125159</v>
      </c>
      <c r="CG1037" s="3">
        <v>1438.294700736262</v>
      </c>
      <c r="CH1037" s="3">
        <v>1397.322929587838</v>
      </c>
      <c r="CI1037" s="3">
        <v>1370.935369203755</v>
      </c>
      <c r="CJ1037" s="3">
        <v>1315.335765626025</v>
      </c>
      <c r="CK1037" s="3">
        <v>1332.55500412981</v>
      </c>
      <c r="CL1037" s="3">
        <v>1269.8717386837191</v>
      </c>
      <c r="CM1037" s="3">
        <v>1229.279758547488</v>
      </c>
      <c r="CN1037" s="3">
        <v>1193.4705064364409</v>
      </c>
      <c r="CO1037" s="3">
        <v>1145.750277698937</v>
      </c>
      <c r="CP1037" s="3">
        <v>1107.0377000237791</v>
      </c>
      <c r="CQ1037" s="3">
        <v>1071.626382536464</v>
      </c>
      <c r="CR1037" s="3">
        <v>1032.6870717055169</v>
      </c>
      <c r="CS1037" s="3">
        <v>1000.595054553929</v>
      </c>
      <c r="CU1037" s="17" t="s">
        <v>5338</v>
      </c>
      <c r="CV1037" s="3">
        <v>1196.0670809679871</v>
      </c>
      <c r="CW1037" s="3">
        <v>1127.101231957113</v>
      </c>
      <c r="CX1037" s="3">
        <v>1330.9510261990481</v>
      </c>
      <c r="CY1037" s="3">
        <v>1471.0476293207789</v>
      </c>
      <c r="CZ1037" s="3">
        <v>1477.849829956217</v>
      </c>
      <c r="DA1037" s="3">
        <v>1466.363153821912</v>
      </c>
      <c r="DB1037" s="3">
        <v>1072.14047896028</v>
      </c>
      <c r="DC1037" s="3">
        <v>1175.0860715063191</v>
      </c>
      <c r="DD1037" s="3">
        <v>1162.804598326604</v>
      </c>
      <c r="DE1037" s="3">
        <v>1247.5373001666819</v>
      </c>
      <c r="DF1037" s="3">
        <v>1182.1021343952241</v>
      </c>
      <c r="DG1037" s="3">
        <v>1198.0579849141261</v>
      </c>
      <c r="DH1037" s="3">
        <v>1156.7146064658821</v>
      </c>
      <c r="DI1037" s="3">
        <v>1147.72411777548</v>
      </c>
      <c r="DJ1037" s="3">
        <v>1123.788868246407</v>
      </c>
      <c r="DK1037" s="3">
        <v>1116.215637921026</v>
      </c>
      <c r="DL1037" s="3">
        <v>1094.833987223943</v>
      </c>
      <c r="DM1037" s="3">
        <v>1088.483000156057</v>
      </c>
      <c r="DN1037" s="3">
        <v>1070.1879633899489</v>
      </c>
      <c r="DO1037" s="3">
        <v>1065.544538275678</v>
      </c>
    </row>
    <row r="1038" spans="1:119" x14ac:dyDescent="0.45">
      <c r="A1038" s="16" t="s">
        <v>5339</v>
      </c>
      <c r="B1038" s="3" t="s">
        <v>89</v>
      </c>
      <c r="C1038" s="16" t="s">
        <v>5340</v>
      </c>
      <c r="H1038" s="3" t="s">
        <v>5341</v>
      </c>
      <c r="I1038" s="3" t="s">
        <v>4288</v>
      </c>
      <c r="K1038" s="17" t="s">
        <v>5342</v>
      </c>
      <c r="L1038" s="3">
        <v>10.10459337071207</v>
      </c>
      <c r="M1038" s="3">
        <v>7.7775215550894066</v>
      </c>
      <c r="N1038" s="3">
        <v>8.1489480088166903</v>
      </c>
      <c r="O1038" s="3">
        <v>9.0234312620678221</v>
      </c>
      <c r="P1038" s="3">
        <v>9.1092648499172864</v>
      </c>
      <c r="Q1038" s="3">
        <v>8.9867171942760606</v>
      </c>
      <c r="R1038" s="3">
        <v>8.8496893377977699</v>
      </c>
      <c r="S1038" s="3">
        <v>8.7463182896547043</v>
      </c>
      <c r="T1038" s="3">
        <v>8.5074653481180107</v>
      </c>
      <c r="U1038" s="3">
        <v>8.4573740572044986</v>
      </c>
      <c r="V1038" s="3">
        <v>8.3642061201390128</v>
      </c>
      <c r="W1038" s="3">
        <v>8.5841758630670153</v>
      </c>
      <c r="X1038" s="3">
        <v>8.7300938061075524</v>
      </c>
      <c r="Y1038" s="3">
        <v>8.9245147045281463</v>
      </c>
      <c r="Z1038" s="3">
        <v>9.1162538329949534</v>
      </c>
      <c r="AA1038" s="3">
        <v>9.3118751264711808</v>
      </c>
      <c r="AB1038" s="3">
        <v>9.5098342410883827</v>
      </c>
      <c r="AC1038" s="3">
        <v>9.7105080380277915</v>
      </c>
      <c r="AD1038" s="3">
        <v>9.9152884496423344</v>
      </c>
      <c r="AE1038" s="3">
        <v>10.124690351745389</v>
      </c>
      <c r="AG1038" s="17" t="s">
        <v>5343</v>
      </c>
      <c r="AH1038" s="3">
        <v>10.10459337071207</v>
      </c>
      <c r="AI1038" s="3">
        <v>7.771429672755068</v>
      </c>
      <c r="AJ1038" s="3">
        <v>8.1437397628325296</v>
      </c>
      <c r="AK1038" s="3">
        <v>9.0184053083338984</v>
      </c>
      <c r="AL1038" s="3">
        <v>9.10420060633502</v>
      </c>
      <c r="AM1038" s="3">
        <v>8.9815393707800073</v>
      </c>
      <c r="AN1038" s="3">
        <v>7.7476921567496344</v>
      </c>
      <c r="AO1038" s="3">
        <v>8.3542015092820172</v>
      </c>
      <c r="AP1038" s="3">
        <v>8.0413455469163679</v>
      </c>
      <c r="AQ1038" s="3">
        <v>8.1338521374551913</v>
      </c>
      <c r="AR1038" s="3">
        <v>8.0399342740041</v>
      </c>
      <c r="AS1038" s="3">
        <v>8.3164467432765541</v>
      </c>
      <c r="AT1038" s="3">
        <v>8.4318432451734608</v>
      </c>
      <c r="AU1038" s="3">
        <v>8.6352135573297133</v>
      </c>
      <c r="AV1038" s="3">
        <v>8.8366955913070182</v>
      </c>
      <c r="AW1038" s="3">
        <v>9.0470800275598968</v>
      </c>
      <c r="AX1038" s="3">
        <v>9.2505828952346896</v>
      </c>
      <c r="AY1038" s="3">
        <v>9.4545370372552089</v>
      </c>
      <c r="AZ1038" s="3">
        <v>9.6512196889850213</v>
      </c>
      <c r="BA1038" s="3">
        <v>9.8505951526378297</v>
      </c>
      <c r="BC1038" s="17" t="s">
        <v>5344</v>
      </c>
      <c r="BD1038" s="3">
        <v>10.10459337071207</v>
      </c>
      <c r="BE1038" s="3">
        <v>7.7561831512992159</v>
      </c>
      <c r="BF1038" s="3">
        <v>8.1307038449837012</v>
      </c>
      <c r="BG1038" s="3">
        <v>9.0058247000495477</v>
      </c>
      <c r="BH1038" s="3">
        <v>9.0915575069817844</v>
      </c>
      <c r="BI1038" s="3">
        <v>8.9686450071565496</v>
      </c>
      <c r="BJ1038" s="3">
        <v>8.2479272027033996</v>
      </c>
      <c r="BK1038" s="3">
        <v>7.6931590021308152</v>
      </c>
      <c r="BL1038" s="3">
        <v>7.5043876383895967</v>
      </c>
      <c r="BM1038" s="3">
        <v>7.4767801269533516</v>
      </c>
      <c r="BN1038" s="3">
        <v>7.0685268477042449</v>
      </c>
      <c r="BO1038" s="3">
        <v>7.0020373088362557</v>
      </c>
      <c r="BP1038" s="3">
        <v>6.6912710789945713</v>
      </c>
      <c r="BQ1038" s="3">
        <v>6.568545266934402</v>
      </c>
      <c r="BR1038" s="3">
        <v>6.3057675617110842</v>
      </c>
      <c r="BS1038" s="3">
        <v>6.1895929184933216</v>
      </c>
      <c r="BT1038" s="3">
        <v>5.93008968026784</v>
      </c>
      <c r="BU1038" s="3">
        <v>5.8413990080714928</v>
      </c>
      <c r="BV1038" s="3">
        <v>5.5565020141490029</v>
      </c>
      <c r="BW1038" s="3">
        <v>5.5282620581448656</v>
      </c>
      <c r="BY1038" s="17" t="s">
        <v>5345</v>
      </c>
      <c r="BZ1038" s="3">
        <v>10.10459337071207</v>
      </c>
      <c r="CA1038" s="3">
        <v>7.7414323085949261</v>
      </c>
      <c r="CB1038" s="3">
        <v>8.1180756946976498</v>
      </c>
      <c r="CC1038" s="3">
        <v>8.9936211674863369</v>
      </c>
      <c r="CD1038" s="3">
        <v>9.079250591268794</v>
      </c>
      <c r="CE1038" s="3">
        <v>8.9560515777932803</v>
      </c>
      <c r="CF1038" s="3">
        <v>8.8188693440835131</v>
      </c>
      <c r="CG1038" s="3">
        <v>8.7209987359204302</v>
      </c>
      <c r="CH1038" s="3">
        <v>8.4666676043338445</v>
      </c>
      <c r="CI1038" s="3">
        <v>8.303498681105749</v>
      </c>
      <c r="CJ1038" s="3">
        <v>7.9667422990409769</v>
      </c>
      <c r="CK1038" s="3">
        <v>8.0710360005659982</v>
      </c>
      <c r="CL1038" s="3">
        <v>7.6913752057166231</v>
      </c>
      <c r="CM1038" s="3">
        <v>7.4455171870994299</v>
      </c>
      <c r="CN1038" s="3">
        <v>7.2286272560677718</v>
      </c>
      <c r="CO1038" s="3">
        <v>6.9395947711782267</v>
      </c>
      <c r="CP1038" s="3">
        <v>6.7051199411542672</v>
      </c>
      <c r="CQ1038" s="3">
        <v>6.4906402255839311</v>
      </c>
      <c r="CR1038" s="3">
        <v>6.2547921153147161</v>
      </c>
      <c r="CS1038" s="3">
        <v>6.0604167799938358</v>
      </c>
      <c r="CU1038" s="17" t="s">
        <v>5346</v>
      </c>
      <c r="CV1038" s="3">
        <v>10.10459337071207</v>
      </c>
      <c r="CW1038" s="3">
        <v>7.7628911521928767</v>
      </c>
      <c r="CX1038" s="3">
        <v>8.1364394003739413</v>
      </c>
      <c r="CY1038" s="3">
        <v>9.011360085019323</v>
      </c>
      <c r="CZ1038" s="3">
        <v>9.0971148503287171</v>
      </c>
      <c r="DA1038" s="3">
        <v>8.9743074225438484</v>
      </c>
      <c r="DB1038" s="3">
        <v>6.5168102818980769</v>
      </c>
      <c r="DC1038" s="3">
        <v>7.1250517289387219</v>
      </c>
      <c r="DD1038" s="3">
        <v>7.0456727033930839</v>
      </c>
      <c r="DE1038" s="3">
        <v>7.556099696064285</v>
      </c>
      <c r="DF1038" s="3">
        <v>7.159771156523564</v>
      </c>
      <c r="DG1038" s="3">
        <v>7.256412753724879</v>
      </c>
      <c r="DH1038" s="3">
        <v>7.0060036563092707</v>
      </c>
      <c r="DI1038" s="3">
        <v>6.9515499507151031</v>
      </c>
      <c r="DJ1038" s="3">
        <v>6.8065786286811383</v>
      </c>
      <c r="DK1038" s="3">
        <v>6.760708991474945</v>
      </c>
      <c r="DL1038" s="3">
        <v>6.6312043391395008</v>
      </c>
      <c r="DM1038" s="3">
        <v>6.5927376003518541</v>
      </c>
      <c r="DN1038" s="3">
        <v>6.4819279903070024</v>
      </c>
      <c r="DO1038" s="3">
        <v>6.4538036343539167</v>
      </c>
    </row>
    <row r="1039" spans="1:119" x14ac:dyDescent="0.45">
      <c r="A1039" s="16" t="s">
        <v>5347</v>
      </c>
      <c r="B1039" s="3" t="s">
        <v>89</v>
      </c>
      <c r="C1039" s="16" t="s">
        <v>5348</v>
      </c>
      <c r="H1039" s="3" t="s">
        <v>5349</v>
      </c>
      <c r="I1039" s="3" t="s">
        <v>4288</v>
      </c>
      <c r="K1039" s="17" t="s">
        <v>5350</v>
      </c>
      <c r="L1039" s="3">
        <v>4.1170204700220117</v>
      </c>
      <c r="M1039" s="3">
        <v>4.0241616721693267</v>
      </c>
      <c r="N1039" s="3">
        <v>4.893599100241139</v>
      </c>
      <c r="O1039" s="3">
        <v>5.4467023033339421</v>
      </c>
      <c r="P1039" s="3">
        <v>5.728133959668626</v>
      </c>
      <c r="Q1039" s="3">
        <v>5.9093367373783297</v>
      </c>
      <c r="R1039" s="3">
        <v>6.1157139661374398</v>
      </c>
      <c r="S1039" s="3">
        <v>6.3195275296200988</v>
      </c>
      <c r="T1039" s="3">
        <v>6.4107487666511309</v>
      </c>
      <c r="U1039" s="3">
        <v>6.6193982470814401</v>
      </c>
      <c r="V1039" s="3">
        <v>6.808303408790163</v>
      </c>
      <c r="W1039" s="3">
        <v>7.2665800600987449</v>
      </c>
      <c r="X1039" s="3">
        <v>7.6851567256911917</v>
      </c>
      <c r="Y1039" s="3">
        <v>8.169703250483149</v>
      </c>
      <c r="Z1039" s="3">
        <v>8.6778089682654294</v>
      </c>
      <c r="AA1039" s="3">
        <v>9.2169788130166168</v>
      </c>
      <c r="AB1039" s="3">
        <v>9.7873450981762886</v>
      </c>
      <c r="AC1039" s="3">
        <v>10.39098103594395</v>
      </c>
      <c r="AD1039" s="3">
        <v>11.031235495728129</v>
      </c>
      <c r="AE1039" s="3">
        <v>11.67645075813153</v>
      </c>
      <c r="AG1039" s="17" t="s">
        <v>5351</v>
      </c>
      <c r="AH1039" s="3">
        <v>4.1170204700220117</v>
      </c>
      <c r="AI1039" s="3">
        <v>4.0210096758389318</v>
      </c>
      <c r="AJ1039" s="3">
        <v>4.8904714489376389</v>
      </c>
      <c r="AK1039" s="3">
        <v>5.4436685489910586</v>
      </c>
      <c r="AL1039" s="3">
        <v>5.7249494364253612</v>
      </c>
      <c r="AM1039" s="3">
        <v>5.9059319899112133</v>
      </c>
      <c r="AN1039" s="3">
        <v>5.3541618603482339</v>
      </c>
      <c r="AO1039" s="3">
        <v>6.0362091428055917</v>
      </c>
      <c r="AP1039" s="3">
        <v>6.05950702561646</v>
      </c>
      <c r="AQ1039" s="3">
        <v>6.3661848484548624</v>
      </c>
      <c r="AR1039" s="3">
        <v>6.5443523435361284</v>
      </c>
      <c r="AS1039" s="3">
        <v>7.0399450150564524</v>
      </c>
      <c r="AT1039" s="3">
        <v>7.4226048728462386</v>
      </c>
      <c r="AU1039" s="3">
        <v>7.9048704163306827</v>
      </c>
      <c r="AV1039" s="3">
        <v>8.4116960384025408</v>
      </c>
      <c r="AW1039" s="3">
        <v>8.9548822123525955</v>
      </c>
      <c r="AX1039" s="3">
        <v>9.5205284192825914</v>
      </c>
      <c r="AY1039" s="3">
        <v>10.11707262617143</v>
      </c>
      <c r="AZ1039" s="3">
        <v>10.737446293258589</v>
      </c>
      <c r="BA1039" s="3">
        <v>11.3603463653816</v>
      </c>
      <c r="BC1039" s="17" t="s">
        <v>5352</v>
      </c>
      <c r="BD1039" s="3">
        <v>4.1170204700220117</v>
      </c>
      <c r="BE1039" s="3">
        <v>4.0131209844554414</v>
      </c>
      <c r="BF1039" s="3">
        <v>4.8826431310017764</v>
      </c>
      <c r="BG1039" s="3">
        <v>5.4360746718804993</v>
      </c>
      <c r="BH1039" s="3">
        <v>5.7169991387938914</v>
      </c>
      <c r="BI1039" s="3">
        <v>5.8974531277173803</v>
      </c>
      <c r="BJ1039" s="3">
        <v>5.6998569847888563</v>
      </c>
      <c r="BK1039" s="3">
        <v>5.5585823078512417</v>
      </c>
      <c r="BL1039" s="3">
        <v>5.6548856596777721</v>
      </c>
      <c r="BM1039" s="3">
        <v>5.8519092251818154</v>
      </c>
      <c r="BN1039" s="3">
        <v>5.7536453240286427</v>
      </c>
      <c r="BO1039" s="3">
        <v>5.9272859153980493</v>
      </c>
      <c r="BP1039" s="3">
        <v>5.8903681997302666</v>
      </c>
      <c r="BQ1039" s="3">
        <v>6.0129953722852818</v>
      </c>
      <c r="BR1039" s="3">
        <v>6.0024926138806842</v>
      </c>
      <c r="BS1039" s="3">
        <v>6.1265154457209734</v>
      </c>
      <c r="BT1039" s="3">
        <v>6.1031383610396839</v>
      </c>
      <c r="BU1039" s="3">
        <v>6.2507405460714152</v>
      </c>
      <c r="BV1039" s="3">
        <v>6.181875853826158</v>
      </c>
      <c r="BW1039" s="3">
        <v>6.3755510003175164</v>
      </c>
      <c r="BY1039" s="17" t="s">
        <v>5353</v>
      </c>
      <c r="BZ1039" s="3">
        <v>4.1170204700220117</v>
      </c>
      <c r="CA1039" s="3">
        <v>4.0054887618479764</v>
      </c>
      <c r="CB1039" s="3">
        <v>4.8750596852845272</v>
      </c>
      <c r="CC1039" s="3">
        <v>5.4287084043276819</v>
      </c>
      <c r="CD1039" s="3">
        <v>5.7092602418580984</v>
      </c>
      <c r="CE1039" s="3">
        <v>5.8891721488930608</v>
      </c>
      <c r="CF1039" s="3">
        <v>6.094415335326806</v>
      </c>
      <c r="CG1039" s="3">
        <v>6.3012332472074979</v>
      </c>
      <c r="CH1039" s="3">
        <v>6.3800058749737243</v>
      </c>
      <c r="CI1039" s="3">
        <v>6.4989634185013578</v>
      </c>
      <c r="CJ1039" s="3">
        <v>6.4847754792790777</v>
      </c>
      <c r="CK1039" s="3">
        <v>6.8322026717073259</v>
      </c>
      <c r="CL1039" s="3">
        <v>6.7707661801611767</v>
      </c>
      <c r="CM1039" s="3">
        <v>6.8157953657817876</v>
      </c>
      <c r="CN1039" s="3">
        <v>6.8809675092542557</v>
      </c>
      <c r="CO1039" s="3">
        <v>6.868874110547659</v>
      </c>
      <c r="CP1039" s="3">
        <v>6.9007851372632967</v>
      </c>
      <c r="CQ1039" s="3">
        <v>6.9454779534764217</v>
      </c>
      <c r="CR1039" s="3">
        <v>6.9587571911081483</v>
      </c>
      <c r="CS1039" s="3">
        <v>6.9892664019253807</v>
      </c>
      <c r="CU1039" s="17" t="s">
        <v>5354</v>
      </c>
      <c r="CV1039" s="3">
        <v>4.1170204700220117</v>
      </c>
      <c r="CW1039" s="3">
        <v>4.0165917662336641</v>
      </c>
      <c r="CX1039" s="3">
        <v>4.8860874416866267</v>
      </c>
      <c r="CY1039" s="3">
        <v>5.439415927904852</v>
      </c>
      <c r="CZ1039" s="3">
        <v>5.7204937355232186</v>
      </c>
      <c r="DA1039" s="3">
        <v>5.9011765250989932</v>
      </c>
      <c r="DB1039" s="3">
        <v>4.5035420040620284</v>
      </c>
      <c r="DC1039" s="3">
        <v>5.148104500639338</v>
      </c>
      <c r="DD1039" s="3">
        <v>5.3092238105320826</v>
      </c>
      <c r="DE1039" s="3">
        <v>5.9139908847112164</v>
      </c>
      <c r="DF1039" s="3">
        <v>5.8279164419141214</v>
      </c>
      <c r="DG1039" s="3">
        <v>6.1426169576660943</v>
      </c>
      <c r="DH1039" s="3">
        <v>6.1674292757122933</v>
      </c>
      <c r="DI1039" s="3">
        <v>6.3636065498819576</v>
      </c>
      <c r="DJ1039" s="3">
        <v>6.4792172474829002</v>
      </c>
      <c r="DK1039" s="3">
        <v>6.6918113365003524</v>
      </c>
      <c r="DL1039" s="3">
        <v>6.8247125699905382</v>
      </c>
      <c r="DM1039" s="3">
        <v>7.0547298979553874</v>
      </c>
      <c r="DN1039" s="3">
        <v>7.2114567811698533</v>
      </c>
      <c r="DO1039" s="3">
        <v>7.4429456824023292</v>
      </c>
    </row>
    <row r="1040" spans="1:119" x14ac:dyDescent="0.45">
      <c r="A1040" s="16" t="s">
        <v>5355</v>
      </c>
      <c r="B1040" s="3" t="s">
        <v>89</v>
      </c>
      <c r="C1040" s="16" t="s">
        <v>5356</v>
      </c>
      <c r="H1040" s="3" t="s">
        <v>5357</v>
      </c>
      <c r="I1040" s="3" t="s">
        <v>5072</v>
      </c>
      <c r="K1040" s="17" t="s">
        <v>5358</v>
      </c>
      <c r="L1040" s="3">
        <v>11.94580978814782</v>
      </c>
      <c r="M1040" s="3">
        <v>9.9921556149217334</v>
      </c>
      <c r="N1040" s="3">
        <v>9.398081439562409</v>
      </c>
      <c r="O1040" s="3">
        <v>9.3656652272841878</v>
      </c>
      <c r="P1040" s="3">
        <v>9.365430497145157</v>
      </c>
      <c r="Q1040" s="3">
        <v>9.372353210772113</v>
      </c>
      <c r="R1040" s="3">
        <v>9.3827012614321834</v>
      </c>
      <c r="S1040" s="3">
        <v>9.3920755051384681</v>
      </c>
      <c r="T1040" s="3">
        <v>9.4068919779742046</v>
      </c>
      <c r="U1040" s="3">
        <v>9.4132981209363589</v>
      </c>
      <c r="V1040" s="3">
        <v>9.4213330416179986</v>
      </c>
      <c r="W1040" s="3">
        <v>9.4151343774482203</v>
      </c>
      <c r="X1040" s="3">
        <v>9.4124203704909792</v>
      </c>
      <c r="Y1040" s="3">
        <v>9.407787407647648</v>
      </c>
      <c r="Z1040" s="3">
        <v>9.4034771391793104</v>
      </c>
      <c r="AA1040" s="3">
        <v>9.3992109619463946</v>
      </c>
      <c r="AB1040" s="3">
        <v>9.3950498132284146</v>
      </c>
      <c r="AC1040" s="3">
        <v>9.390976769240492</v>
      </c>
      <c r="AD1040" s="3">
        <v>9.3869407219115928</v>
      </c>
      <c r="AE1040" s="3">
        <v>9.382926662267721</v>
      </c>
      <c r="AG1040" s="17" t="s">
        <v>5359</v>
      </c>
      <c r="AH1040" s="3">
        <v>11.94580978814782</v>
      </c>
      <c r="AI1040" s="3">
        <v>9.9924243249231122</v>
      </c>
      <c r="AJ1040" s="3">
        <v>9.3983099083364969</v>
      </c>
      <c r="AK1040" s="3">
        <v>9.3658502409959823</v>
      </c>
      <c r="AL1040" s="3">
        <v>9.3656019061581706</v>
      </c>
      <c r="AM1040" s="3">
        <v>9.2728515697818956</v>
      </c>
      <c r="AN1040" s="3">
        <v>9.3180407478050515</v>
      </c>
      <c r="AO1040" s="3">
        <v>9.2972966195923075</v>
      </c>
      <c r="AP1040" s="3">
        <v>9.3137670926319007</v>
      </c>
      <c r="AQ1040" s="3">
        <v>9.3141445579151227</v>
      </c>
      <c r="AR1040" s="3">
        <v>9.3221153129977754</v>
      </c>
      <c r="AS1040" s="3">
        <v>9.3150700164164491</v>
      </c>
      <c r="AT1040" s="3">
        <v>9.3147492972223773</v>
      </c>
      <c r="AU1040" s="3">
        <v>9.311097930098736</v>
      </c>
      <c r="AV1040" s="3">
        <v>9.3077526154425101</v>
      </c>
      <c r="AW1040" s="3">
        <v>9.3043551561894304</v>
      </c>
      <c r="AX1040" s="3">
        <v>9.3013166834308247</v>
      </c>
      <c r="AY1040" s="3">
        <v>9.298394524729229</v>
      </c>
      <c r="AZ1040" s="3">
        <v>9.2957799901500504</v>
      </c>
      <c r="BA1040" s="3">
        <v>9.2931949867952781</v>
      </c>
      <c r="BC1040" s="17" t="s">
        <v>5360</v>
      </c>
      <c r="BD1040" s="3">
        <v>11.94580978814782</v>
      </c>
      <c r="BE1040" s="3">
        <v>9.993098159604898</v>
      </c>
      <c r="BF1040" s="3">
        <v>9.3988826573022077</v>
      </c>
      <c r="BG1040" s="3">
        <v>9.366314006028178</v>
      </c>
      <c r="BH1040" s="3">
        <v>9.3660304319684808</v>
      </c>
      <c r="BI1040" s="3">
        <v>9.3142890970670784</v>
      </c>
      <c r="BJ1040" s="3">
        <v>9.2840636968931793</v>
      </c>
      <c r="BK1040" s="3">
        <v>9.2647186652225457</v>
      </c>
      <c r="BL1040" s="3">
        <v>9.2408110040378997</v>
      </c>
      <c r="BM1040" s="3">
        <v>9.2177264340125138</v>
      </c>
      <c r="BN1040" s="3">
        <v>9.2140826361980697</v>
      </c>
      <c r="BO1040" s="3">
        <v>9.2004174703243287</v>
      </c>
      <c r="BP1040" s="3">
        <v>9.1989032328484708</v>
      </c>
      <c r="BQ1040" s="3">
        <v>9.191996551409602</v>
      </c>
      <c r="BR1040" s="3">
        <v>9.1924245968833045</v>
      </c>
      <c r="BS1040" s="3">
        <v>9.1882920981508036</v>
      </c>
      <c r="BT1040" s="3">
        <v>9.1914045925427743</v>
      </c>
      <c r="BU1040" s="3">
        <v>9.1882266146768483</v>
      </c>
      <c r="BV1040" s="3">
        <v>9.1945977344186272</v>
      </c>
      <c r="BW1040" s="3">
        <v>9.1901102291253558</v>
      </c>
      <c r="BY1040" s="17" t="s">
        <v>5361</v>
      </c>
      <c r="BZ1040" s="3">
        <v>11.94580978814782</v>
      </c>
      <c r="CA1040" s="3">
        <v>9.9937518857648566</v>
      </c>
      <c r="CB1040" s="3">
        <v>9.399438728067782</v>
      </c>
      <c r="CC1040" s="3">
        <v>9.3667647630502415</v>
      </c>
      <c r="CD1040" s="3">
        <v>9.3664483824276239</v>
      </c>
      <c r="CE1040" s="3">
        <v>9.2580103796653059</v>
      </c>
      <c r="CF1040" s="3">
        <v>9.2601174684031857</v>
      </c>
      <c r="CG1040" s="3">
        <v>9.265856255151947</v>
      </c>
      <c r="CH1040" s="3">
        <v>9.2784488501637945</v>
      </c>
      <c r="CI1040" s="3">
        <v>9.2884798269267694</v>
      </c>
      <c r="CJ1040" s="3">
        <v>9.3057050418896186</v>
      </c>
      <c r="CK1040" s="3">
        <v>9.3054204222455681</v>
      </c>
      <c r="CL1040" s="3">
        <v>9.3250771359230633</v>
      </c>
      <c r="CM1040" s="3">
        <v>9.3396201328761776</v>
      </c>
      <c r="CN1040" s="3">
        <v>9.3533194129681512</v>
      </c>
      <c r="CO1040" s="3">
        <v>9.370784777597196</v>
      </c>
      <c r="CP1040" s="3">
        <v>9.3859447288395881</v>
      </c>
      <c r="CQ1040" s="3">
        <v>9.4003412719470401</v>
      </c>
      <c r="CR1040" s="3">
        <v>9.4160491140274587</v>
      </c>
      <c r="CS1040" s="3">
        <v>9.4297430952758639</v>
      </c>
      <c r="CU1040" s="17" t="s">
        <v>5362</v>
      </c>
      <c r="CV1040" s="3">
        <v>11.94580978814782</v>
      </c>
      <c r="CW1040" s="3">
        <v>9.9928014607124762</v>
      </c>
      <c r="CX1040" s="3">
        <v>9.3986304990380365</v>
      </c>
      <c r="CY1040" s="3">
        <v>9.3661098375710363</v>
      </c>
      <c r="CZ1040" s="3">
        <v>9.365841966190553</v>
      </c>
      <c r="DA1040" s="3">
        <v>9.1965302668059259</v>
      </c>
      <c r="DB1040" s="3">
        <v>9.2786611824802758</v>
      </c>
      <c r="DC1040" s="3">
        <v>9.2552067154737259</v>
      </c>
      <c r="DD1040" s="3">
        <v>9.2621271809259245</v>
      </c>
      <c r="DE1040" s="3">
        <v>9.2452625058087587</v>
      </c>
      <c r="DF1040" s="3">
        <v>9.2655897731194692</v>
      </c>
      <c r="DG1040" s="3">
        <v>9.2659815319702581</v>
      </c>
      <c r="DH1040" s="3">
        <v>9.281203186244273</v>
      </c>
      <c r="DI1040" s="3">
        <v>9.2879878925079389</v>
      </c>
      <c r="DJ1040" s="3">
        <v>9.2988546701865271</v>
      </c>
      <c r="DK1040" s="3">
        <v>9.3053986904742167</v>
      </c>
      <c r="DL1040" s="3">
        <v>9.3155918118488223</v>
      </c>
      <c r="DM1040" s="3">
        <v>9.3214517370976289</v>
      </c>
      <c r="DN1040" s="3">
        <v>9.3304830945003783</v>
      </c>
      <c r="DO1040" s="3">
        <v>9.3354912819899365</v>
      </c>
    </row>
    <row r="1041" spans="1:119" x14ac:dyDescent="0.45">
      <c r="A1041" s="16" t="s">
        <v>5363</v>
      </c>
      <c r="B1041" s="3" t="s">
        <v>89</v>
      </c>
      <c r="C1041" s="16" t="s">
        <v>5364</v>
      </c>
      <c r="H1041" s="3" t="s">
        <v>5365</v>
      </c>
      <c r="I1041" s="3" t="s">
        <v>5072</v>
      </c>
      <c r="K1041" s="17" t="s">
        <v>5366</v>
      </c>
      <c r="L1041" s="3">
        <v>3.377972598932184</v>
      </c>
      <c r="M1041" s="3">
        <v>3.5010405581006721</v>
      </c>
      <c r="N1041" s="3">
        <v>3.6083891261360921</v>
      </c>
      <c r="O1041" s="3">
        <v>3.655553642226653</v>
      </c>
      <c r="P1041" s="3">
        <v>3.822342275430719</v>
      </c>
      <c r="Q1041" s="3">
        <v>3.972969202904657</v>
      </c>
      <c r="R1041" s="3">
        <v>4.1429808581965544</v>
      </c>
      <c r="S1041" s="3">
        <v>4.3174457997651761</v>
      </c>
      <c r="T1041" s="3">
        <v>4.495606178584052</v>
      </c>
      <c r="U1041" s="3">
        <v>4.6674911856449386</v>
      </c>
      <c r="V1041" s="3">
        <v>4.8524074438278104</v>
      </c>
      <c r="W1041" s="3">
        <v>5.0464866555212726</v>
      </c>
      <c r="X1041" s="3">
        <v>5.2476961016259001</v>
      </c>
      <c r="Y1041" s="3">
        <v>5.4570891131794657</v>
      </c>
      <c r="Z1041" s="3">
        <v>5.6746385996063262</v>
      </c>
      <c r="AA1041" s="3">
        <v>5.9007179858659962</v>
      </c>
      <c r="AB1041" s="3">
        <v>6.1356102510436399</v>
      </c>
      <c r="AC1041" s="3">
        <v>6.3796466915635968</v>
      </c>
      <c r="AD1041" s="3">
        <v>6.6331772262437978</v>
      </c>
      <c r="AE1041" s="3">
        <v>6.8800015246492796</v>
      </c>
      <c r="AG1041" s="17" t="s">
        <v>5367</v>
      </c>
      <c r="AH1041" s="3">
        <v>3.377972598932184</v>
      </c>
      <c r="AI1041" s="3">
        <v>3.501005579555772</v>
      </c>
      <c r="AJ1041" s="3">
        <v>3.608360791388979</v>
      </c>
      <c r="AK1041" s="3">
        <v>3.655536744006274</v>
      </c>
      <c r="AL1041" s="3">
        <v>3.8223229864878938</v>
      </c>
      <c r="AM1041" s="3">
        <v>3.9808056993295211</v>
      </c>
      <c r="AN1041" s="3">
        <v>4.1466941373911164</v>
      </c>
      <c r="AO1041" s="3">
        <v>4.325001189939095</v>
      </c>
      <c r="AP1041" s="3">
        <v>4.5033617822137222</v>
      </c>
      <c r="AQ1041" s="3">
        <v>4.6761921388780072</v>
      </c>
      <c r="AR1041" s="3">
        <v>4.8614974338148524</v>
      </c>
      <c r="AS1041" s="3">
        <v>5.05620052435963</v>
      </c>
      <c r="AT1041" s="3">
        <v>5.2575246312676223</v>
      </c>
      <c r="AU1041" s="3">
        <v>5.4672702268016096</v>
      </c>
      <c r="AV1041" s="3">
        <v>5.6851745806194467</v>
      </c>
      <c r="AW1041" s="3">
        <v>5.911622325078504</v>
      </c>
      <c r="AX1041" s="3">
        <v>6.1468510567665291</v>
      </c>
      <c r="AY1041" s="3">
        <v>6.3912251389249644</v>
      </c>
      <c r="AZ1041" s="3">
        <v>6.6450516857798769</v>
      </c>
      <c r="BA1041" s="3">
        <v>6.8917259597481646</v>
      </c>
      <c r="BC1041" s="17" t="s">
        <v>5368</v>
      </c>
      <c r="BD1041" s="3">
        <v>3.377972598932184</v>
      </c>
      <c r="BE1041" s="3">
        <v>3.5009178650808721</v>
      </c>
      <c r="BF1041" s="3">
        <v>3.6082897589375298</v>
      </c>
      <c r="BG1041" s="3">
        <v>3.6554943860445719</v>
      </c>
      <c r="BH1041" s="3">
        <v>3.8222747637619778</v>
      </c>
      <c r="BI1041" s="3">
        <v>3.9775953388872489</v>
      </c>
      <c r="BJ1041" s="3">
        <v>4.1507428782379314</v>
      </c>
      <c r="BK1041" s="3">
        <v>4.3280943554856224</v>
      </c>
      <c r="BL1041" s="3">
        <v>4.5112825262357337</v>
      </c>
      <c r="BM1041" s="3">
        <v>4.6868650809560632</v>
      </c>
      <c r="BN1041" s="3">
        <v>4.8737988381332116</v>
      </c>
      <c r="BO1041" s="3">
        <v>5.0697565148563122</v>
      </c>
      <c r="BP1041" s="3">
        <v>5.2715677374014591</v>
      </c>
      <c r="BQ1041" s="3">
        <v>5.4822735864009413</v>
      </c>
      <c r="BR1041" s="3">
        <v>5.6999611885278822</v>
      </c>
      <c r="BS1041" s="3">
        <v>5.9270513309254724</v>
      </c>
      <c r="BT1041" s="3">
        <v>6.1615725627310196</v>
      </c>
      <c r="BU1041" s="3">
        <v>6.4065156532209269</v>
      </c>
      <c r="BV1041" s="3">
        <v>6.6588936143782469</v>
      </c>
      <c r="BW1041" s="3">
        <v>6.9059651128849531</v>
      </c>
      <c r="BY1041" s="17" t="s">
        <v>5369</v>
      </c>
      <c r="BZ1041" s="3">
        <v>3.377972598932184</v>
      </c>
      <c r="CA1041" s="3">
        <v>3.5008327681744649</v>
      </c>
      <c r="CB1041" s="3">
        <v>3.608220794920094</v>
      </c>
      <c r="CC1041" s="3">
        <v>3.6554532161689872</v>
      </c>
      <c r="CD1041" s="3">
        <v>3.82222773109801</v>
      </c>
      <c r="CE1041" s="3">
        <v>3.9814995903424291</v>
      </c>
      <c r="CF1041" s="3">
        <v>4.1525337367343083</v>
      </c>
      <c r="CG1041" s="3">
        <v>4.3280115445383451</v>
      </c>
      <c r="CH1041" s="3">
        <v>4.5071854064822663</v>
      </c>
      <c r="CI1041" s="3">
        <v>4.678907329709455</v>
      </c>
      <c r="CJ1041" s="3">
        <v>4.8631363154781084</v>
      </c>
      <c r="CK1041" s="3">
        <v>5.0570412945313228</v>
      </c>
      <c r="CL1041" s="3">
        <v>5.2554125925327577</v>
      </c>
      <c r="CM1041" s="3">
        <v>5.4622164398462996</v>
      </c>
      <c r="CN1041" s="3">
        <v>5.6770394310769454</v>
      </c>
      <c r="CO1041" s="3">
        <v>5.8994560161097382</v>
      </c>
      <c r="CP1041" s="3">
        <v>6.1308094512054527</v>
      </c>
      <c r="CQ1041" s="3">
        <v>6.3711654460152252</v>
      </c>
      <c r="CR1041" s="3">
        <v>6.6204622114796221</v>
      </c>
      <c r="CS1041" s="3">
        <v>6.8637594849927517</v>
      </c>
      <c r="CU1041" s="17" t="s">
        <v>5370</v>
      </c>
      <c r="CV1041" s="3">
        <v>3.377972598932184</v>
      </c>
      <c r="CW1041" s="3">
        <v>3.500956486998466</v>
      </c>
      <c r="CX1041" s="3">
        <v>3.608321031660362</v>
      </c>
      <c r="CY1041" s="3">
        <v>3.6555130337628952</v>
      </c>
      <c r="CZ1041" s="3">
        <v>3.822295972131077</v>
      </c>
      <c r="DA1041" s="3">
        <v>3.9878558374801258</v>
      </c>
      <c r="DB1041" s="3">
        <v>4.1489222307030618</v>
      </c>
      <c r="DC1041" s="3">
        <v>4.32781347540437</v>
      </c>
      <c r="DD1041" s="3">
        <v>4.5076028869463007</v>
      </c>
      <c r="DE1041" s="3">
        <v>4.6829576311685743</v>
      </c>
      <c r="DF1041" s="3">
        <v>4.8667438148969184</v>
      </c>
      <c r="DG1041" s="3">
        <v>5.0606004503093782</v>
      </c>
      <c r="DH1041" s="3">
        <v>5.2596142316832379</v>
      </c>
      <c r="DI1041" s="3">
        <v>5.4677137610833872</v>
      </c>
      <c r="DJ1041" s="3">
        <v>5.6831347791120832</v>
      </c>
      <c r="DK1041" s="3">
        <v>5.9076530384192401</v>
      </c>
      <c r="DL1041" s="3">
        <v>6.1401529529117198</v>
      </c>
      <c r="DM1041" s="3">
        <v>6.3824761689899958</v>
      </c>
      <c r="DN1041" s="3">
        <v>6.6334975292877711</v>
      </c>
      <c r="DO1041" s="3">
        <v>6.878550014976919</v>
      </c>
    </row>
    <row r="1042" spans="1:119" x14ac:dyDescent="0.45">
      <c r="A1042" s="16" t="s">
        <v>5371</v>
      </c>
      <c r="B1042" s="3" t="s">
        <v>89</v>
      </c>
      <c r="C1042" s="16" t="s">
        <v>5372</v>
      </c>
      <c r="H1042" s="3" t="s">
        <v>5373</v>
      </c>
      <c r="I1042" s="3" t="s">
        <v>5072</v>
      </c>
      <c r="K1042" s="17" t="s">
        <v>5374</v>
      </c>
      <c r="L1042" s="3">
        <v>0.12714076118250761</v>
      </c>
      <c r="M1042" s="3">
        <v>0.14989242800009911</v>
      </c>
      <c r="N1042" s="3">
        <v>0.18031460453565651</v>
      </c>
      <c r="O1042" s="3">
        <v>0.1682132392122252</v>
      </c>
      <c r="P1042" s="3">
        <v>0.16725466025479729</v>
      </c>
      <c r="Q1042" s="3">
        <v>0.17099359762858171</v>
      </c>
      <c r="R1042" s="3">
        <v>0.17519676698659559</v>
      </c>
      <c r="S1042" s="3">
        <v>0.17814494118327651</v>
      </c>
      <c r="T1042" s="3">
        <v>0.1827052647314385</v>
      </c>
      <c r="U1042" s="3">
        <v>0.18451452441561081</v>
      </c>
      <c r="V1042" s="3">
        <v>0.1868837034609431</v>
      </c>
      <c r="W1042" s="3">
        <v>0.1847451106609338</v>
      </c>
      <c r="X1042" s="3">
        <v>0.18375739831925511</v>
      </c>
      <c r="Y1042" s="3">
        <v>0.18219831200811071</v>
      </c>
      <c r="Z1042" s="3">
        <v>0.1807832736079496</v>
      </c>
      <c r="AA1042" s="3">
        <v>0.17942426541870801</v>
      </c>
      <c r="AB1042" s="3">
        <v>0.17814140344480439</v>
      </c>
      <c r="AC1042" s="3">
        <v>0.17693002812424141</v>
      </c>
      <c r="AD1042" s="3">
        <v>0.1757745749294411</v>
      </c>
      <c r="AE1042" s="3">
        <v>0.17465916062509351</v>
      </c>
      <c r="AG1042" s="17" t="s">
        <v>5375</v>
      </c>
      <c r="AH1042" s="3">
        <v>0.12714076118250761</v>
      </c>
      <c r="AI1042" s="3">
        <v>0.14997617268007321</v>
      </c>
      <c r="AJ1042" s="3">
        <v>0.18039604402536841</v>
      </c>
      <c r="AK1042" s="3">
        <v>0.16828076661354341</v>
      </c>
      <c r="AL1042" s="3">
        <v>0.1673212068587254</v>
      </c>
      <c r="AM1042" s="3">
        <v>0.1287769484171962</v>
      </c>
      <c r="AN1042" s="3">
        <v>0.14541358892171799</v>
      </c>
      <c r="AO1042" s="3">
        <v>0.13905242306616719</v>
      </c>
      <c r="AP1042" s="3">
        <v>0.14388521551998901</v>
      </c>
      <c r="AQ1042" s="3">
        <v>0.14368829226056029</v>
      </c>
      <c r="AR1042" s="3">
        <v>0.14575473929989391</v>
      </c>
      <c r="AS1042" s="3">
        <v>0.143305068494468</v>
      </c>
      <c r="AT1042" s="3">
        <v>0.14288006838104811</v>
      </c>
      <c r="AU1042" s="3">
        <v>0.14150508601873721</v>
      </c>
      <c r="AV1042" s="3">
        <v>0.14024841720990819</v>
      </c>
      <c r="AW1042" s="3">
        <v>0.13899202980981809</v>
      </c>
      <c r="AX1042" s="3">
        <v>0.13789875037346999</v>
      </c>
      <c r="AY1042" s="3">
        <v>0.13688778615493791</v>
      </c>
      <c r="AZ1042" s="3">
        <v>0.1360298947921865</v>
      </c>
      <c r="BA1042" s="3">
        <v>0.13521675142440359</v>
      </c>
      <c r="BC1042" s="17" t="s">
        <v>5376</v>
      </c>
      <c r="BD1042" s="3">
        <v>0.12714076118250761</v>
      </c>
      <c r="BE1042" s="3">
        <v>0.15018617628802181</v>
      </c>
      <c r="BF1042" s="3">
        <v>0.1806002048945588</v>
      </c>
      <c r="BG1042" s="3">
        <v>0.16845003432426051</v>
      </c>
      <c r="BH1042" s="3">
        <v>0.16748757464108399</v>
      </c>
      <c r="BI1042" s="3">
        <v>0.1464702912543869</v>
      </c>
      <c r="BJ1042" s="3">
        <v>0.13488511120483301</v>
      </c>
      <c r="BK1042" s="3">
        <v>0.12683363080672319</v>
      </c>
      <c r="BL1042" s="3">
        <v>0.1178508385978302</v>
      </c>
      <c r="BM1042" s="3">
        <v>0.10925770342505969</v>
      </c>
      <c r="BN1042" s="3">
        <v>0.1065470598221815</v>
      </c>
      <c r="BO1042" s="3">
        <v>0.1013058754129894</v>
      </c>
      <c r="BP1042" s="3">
        <v>9.9652834211767696E-2</v>
      </c>
      <c r="BQ1042" s="3">
        <v>9.6673617823172672E-2</v>
      </c>
      <c r="BR1042" s="3">
        <v>9.5806635305205154E-2</v>
      </c>
      <c r="BS1042" s="3">
        <v>9.3801621616949368E-2</v>
      </c>
      <c r="BT1042" s="3">
        <v>9.3801105122062911E-2</v>
      </c>
      <c r="BU1042" s="3">
        <v>9.2211120620062689E-2</v>
      </c>
      <c r="BV1042" s="3">
        <v>9.3190098699818938E-2</v>
      </c>
      <c r="BW1042" s="3">
        <v>9.141282203077028E-2</v>
      </c>
      <c r="BY1042" s="17" t="s">
        <v>5377</v>
      </c>
      <c r="BZ1042" s="3">
        <v>0.12714076118250761</v>
      </c>
      <c r="CA1042" s="3">
        <v>0.150389912984741</v>
      </c>
      <c r="CB1042" s="3">
        <v>0.18079842068826221</v>
      </c>
      <c r="CC1042" s="3">
        <v>0.1686145542943259</v>
      </c>
      <c r="CD1042" s="3">
        <v>0.16764983672507189</v>
      </c>
      <c r="CE1042" s="3">
        <v>0.121477627392961</v>
      </c>
      <c r="CF1042" s="3">
        <v>0.1248702899801727</v>
      </c>
      <c r="CG1042" s="3">
        <v>0.12732217400959769</v>
      </c>
      <c r="CH1042" s="3">
        <v>0.13125620260787851</v>
      </c>
      <c r="CI1042" s="3">
        <v>0.13422395103245219</v>
      </c>
      <c r="CJ1042" s="3">
        <v>0.13926626028140149</v>
      </c>
      <c r="CK1042" s="3">
        <v>0.13909195243722311</v>
      </c>
      <c r="CL1042" s="3">
        <v>0.14483868479944181</v>
      </c>
      <c r="CM1042" s="3">
        <v>0.14910044713436171</v>
      </c>
      <c r="CN1042" s="3">
        <v>0.15299366341108811</v>
      </c>
      <c r="CO1042" s="3">
        <v>0.15801383693406659</v>
      </c>
      <c r="CP1042" s="3">
        <v>0.1624077240896793</v>
      </c>
      <c r="CQ1042" s="3">
        <v>0.16662145464552999</v>
      </c>
      <c r="CR1042" s="3">
        <v>0.17129309407260071</v>
      </c>
      <c r="CS1042" s="3">
        <v>0.17540898292946691</v>
      </c>
      <c r="CU1042" s="17" t="s">
        <v>5378</v>
      </c>
      <c r="CV1042" s="3">
        <v>0.12714076118250761</v>
      </c>
      <c r="CW1042" s="3">
        <v>0.15009370874432401</v>
      </c>
      <c r="CX1042" s="3">
        <v>0.18051032109996629</v>
      </c>
      <c r="CY1042" s="3">
        <v>0.16837551571043269</v>
      </c>
      <c r="CZ1042" s="3">
        <v>0.1674144060412702</v>
      </c>
      <c r="DA1042" s="3">
        <v>9.8588816093411899E-2</v>
      </c>
      <c r="DB1042" s="3">
        <v>0.12719355003447169</v>
      </c>
      <c r="DC1042" s="3">
        <v>0.1203588590767458</v>
      </c>
      <c r="DD1042" s="3">
        <v>0.1222172562468382</v>
      </c>
      <c r="DE1042" s="3">
        <v>0.1170436339789729</v>
      </c>
      <c r="DF1042" s="3">
        <v>0.12248010191649319</v>
      </c>
      <c r="DG1042" s="3">
        <v>0.1221501170423788</v>
      </c>
      <c r="DH1042" s="3">
        <v>0.12600644335220079</v>
      </c>
      <c r="DI1042" s="3">
        <v>0.12750053532410649</v>
      </c>
      <c r="DJ1042" s="3">
        <v>0.13014171757255719</v>
      </c>
      <c r="DK1042" s="3">
        <v>0.13153911353695591</v>
      </c>
      <c r="DL1042" s="3">
        <v>0.1340220425311178</v>
      </c>
      <c r="DM1042" s="3">
        <v>0.1353391101270657</v>
      </c>
      <c r="DN1042" s="3">
        <v>0.13762402957858669</v>
      </c>
      <c r="DO1042" s="3">
        <v>0.13882772651846531</v>
      </c>
    </row>
    <row r="1043" spans="1:119" x14ac:dyDescent="0.45">
      <c r="A1043" s="16" t="s">
        <v>5379</v>
      </c>
      <c r="B1043" s="3" t="s">
        <v>89</v>
      </c>
      <c r="C1043" s="16" t="s">
        <v>5380</v>
      </c>
      <c r="H1043" s="3" t="s">
        <v>5381</v>
      </c>
      <c r="I1043" s="3" t="s">
        <v>5072</v>
      </c>
      <c r="K1043" s="17" t="s">
        <v>5382</v>
      </c>
      <c r="L1043" s="3">
        <v>15.450923148262509</v>
      </c>
      <c r="M1043" s="3">
        <v>13.6430886010225</v>
      </c>
      <c r="N1043" s="3">
        <v>13.18678517023416</v>
      </c>
      <c r="O1043" s="3">
        <v>13.189432108723061</v>
      </c>
      <c r="P1043" s="3">
        <v>13.355027432830671</v>
      </c>
      <c r="Q1043" s="3">
        <v>13.516316011305349</v>
      </c>
      <c r="R1043" s="3">
        <v>13.70087888661533</v>
      </c>
      <c r="S1043" s="3">
        <v>13.887666246086919</v>
      </c>
      <c r="T1043" s="3">
        <v>14.085203421289689</v>
      </c>
      <c r="U1043" s="3">
        <v>14.26530383099691</v>
      </c>
      <c r="V1043" s="3">
        <v>14.460624188906751</v>
      </c>
      <c r="W1043" s="3">
        <v>14.646366143630431</v>
      </c>
      <c r="X1043" s="3">
        <v>14.843873870436131</v>
      </c>
      <c r="Y1043" s="3">
        <v>15.04707483283523</v>
      </c>
      <c r="Z1043" s="3">
        <v>15.25889901239359</v>
      </c>
      <c r="AA1043" s="3">
        <v>15.4793532132311</v>
      </c>
      <c r="AB1043" s="3">
        <v>15.70880146771686</v>
      </c>
      <c r="AC1043" s="3">
        <v>15.94755348892833</v>
      </c>
      <c r="AD1043" s="3">
        <v>16.195892523084829</v>
      </c>
      <c r="AE1043" s="3">
        <v>16.437587347542099</v>
      </c>
      <c r="AG1043" s="17" t="s">
        <v>5383</v>
      </c>
      <c r="AH1043" s="3">
        <v>15.450923148262509</v>
      </c>
      <c r="AI1043" s="3">
        <v>13.643406077158961</v>
      </c>
      <c r="AJ1043" s="3">
        <v>13.18706674375084</v>
      </c>
      <c r="AK1043" s="3">
        <v>13.189667751615801</v>
      </c>
      <c r="AL1043" s="3">
        <v>13.355246099504789</v>
      </c>
      <c r="AM1043" s="3">
        <v>13.38243421752861</v>
      </c>
      <c r="AN1043" s="3">
        <v>13.61014847411789</v>
      </c>
      <c r="AO1043" s="3">
        <v>13.76135023259757</v>
      </c>
      <c r="AP1043" s="3">
        <v>13.961014090365611</v>
      </c>
      <c r="AQ1043" s="3">
        <v>14.134024989053691</v>
      </c>
      <c r="AR1043" s="3">
        <v>14.32936748611252</v>
      </c>
      <c r="AS1043" s="3">
        <v>14.514575609270549</v>
      </c>
      <c r="AT1043" s="3">
        <v>14.715153996871051</v>
      </c>
      <c r="AU1043" s="3">
        <v>14.919873242919079</v>
      </c>
      <c r="AV1043" s="3">
        <v>15.13317561327186</v>
      </c>
      <c r="AW1043" s="3">
        <v>15.35496951107775</v>
      </c>
      <c r="AX1043" s="3">
        <v>15.58606649057082</v>
      </c>
      <c r="AY1043" s="3">
        <v>15.82650744980913</v>
      </c>
      <c r="AZ1043" s="3">
        <v>16.076861570722119</v>
      </c>
      <c r="BA1043" s="3">
        <v>16.320137697967851</v>
      </c>
      <c r="BC1043" s="17" t="s">
        <v>5384</v>
      </c>
      <c r="BD1043" s="3">
        <v>15.450923148262509</v>
      </c>
      <c r="BE1043" s="3">
        <v>13.64420220097379</v>
      </c>
      <c r="BF1043" s="3">
        <v>13.18777262113429</v>
      </c>
      <c r="BG1043" s="3">
        <v>13.19025842639701</v>
      </c>
      <c r="BH1043" s="3">
        <v>13.35579277037154</v>
      </c>
      <c r="BI1043" s="3">
        <v>13.43835472720871</v>
      </c>
      <c r="BJ1043" s="3">
        <v>13.56969168633594</v>
      </c>
      <c r="BK1043" s="3">
        <v>13.719646651514889</v>
      </c>
      <c r="BL1043" s="3">
        <v>13.86994436887146</v>
      </c>
      <c r="BM1043" s="3">
        <v>14.01384921839364</v>
      </c>
      <c r="BN1043" s="3">
        <v>14.19442853415346</v>
      </c>
      <c r="BO1043" s="3">
        <v>14.371479860593629</v>
      </c>
      <c r="BP1043" s="3">
        <v>14.5701238044617</v>
      </c>
      <c r="BQ1043" s="3">
        <v>14.77094375563372</v>
      </c>
      <c r="BR1043" s="3">
        <v>14.988192420716389</v>
      </c>
      <c r="BS1043" s="3">
        <v>15.20914505069323</v>
      </c>
      <c r="BT1043" s="3">
        <v>15.44677826039586</v>
      </c>
      <c r="BU1043" s="3">
        <v>15.686953388517839</v>
      </c>
      <c r="BV1043" s="3">
        <v>15.94668144749669</v>
      </c>
      <c r="BW1043" s="3">
        <v>16.187488164041081</v>
      </c>
      <c r="BY1043" s="17" t="s">
        <v>5385</v>
      </c>
      <c r="BZ1043" s="3">
        <v>15.450923148262509</v>
      </c>
      <c r="CA1043" s="3">
        <v>13.644974566924059</v>
      </c>
      <c r="CB1043" s="3">
        <v>13.18845794367614</v>
      </c>
      <c r="CC1043" s="3">
        <v>13.19083253351355</v>
      </c>
      <c r="CD1043" s="3">
        <v>13.35632595025071</v>
      </c>
      <c r="CE1043" s="3">
        <v>13.360987597400699</v>
      </c>
      <c r="CF1043" s="3">
        <v>13.537521495117669</v>
      </c>
      <c r="CG1043" s="3">
        <v>13.721189973699889</v>
      </c>
      <c r="CH1043" s="3">
        <v>13.91689045925394</v>
      </c>
      <c r="CI1043" s="3">
        <v>14.101611107668679</v>
      </c>
      <c r="CJ1043" s="3">
        <v>14.30810761764913</v>
      </c>
      <c r="CK1043" s="3">
        <v>14.501553669214109</v>
      </c>
      <c r="CL1043" s="3">
        <v>14.72532841325526</v>
      </c>
      <c r="CM1043" s="3">
        <v>14.950937019856839</v>
      </c>
      <c r="CN1043" s="3">
        <v>15.183352507456179</v>
      </c>
      <c r="CO1043" s="3">
        <v>15.428254630641</v>
      </c>
      <c r="CP1043" s="3">
        <v>15.67916190413472</v>
      </c>
      <c r="CQ1043" s="3">
        <v>15.93812817260779</v>
      </c>
      <c r="CR1043" s="3">
        <v>16.207804419579681</v>
      </c>
      <c r="CS1043" s="3">
        <v>16.46891156319808</v>
      </c>
      <c r="CU1043" s="17" t="s">
        <v>5386</v>
      </c>
      <c r="CV1043" s="3">
        <v>15.450923148262509</v>
      </c>
      <c r="CW1043" s="3">
        <v>13.64385165645527</v>
      </c>
      <c r="CX1043" s="3">
        <v>13.187461851798361</v>
      </c>
      <c r="CY1043" s="3">
        <v>13.18999838704436</v>
      </c>
      <c r="CZ1043" s="3">
        <v>13.3555523443629</v>
      </c>
      <c r="DA1043" s="3">
        <v>13.282974920379459</v>
      </c>
      <c r="DB1043" s="3">
        <v>13.55477696321781</v>
      </c>
      <c r="DC1043" s="3">
        <v>13.70337904995484</v>
      </c>
      <c r="DD1043" s="3">
        <v>13.891947324119061</v>
      </c>
      <c r="DE1043" s="3">
        <v>14.045263770956311</v>
      </c>
      <c r="DF1043" s="3">
        <v>14.254813689932879</v>
      </c>
      <c r="DG1043" s="3">
        <v>14.448732099322021</v>
      </c>
      <c r="DH1043" s="3">
        <v>14.66682386127971</v>
      </c>
      <c r="DI1043" s="3">
        <v>14.88320218891543</v>
      </c>
      <c r="DJ1043" s="3">
        <v>15.112131166871171</v>
      </c>
      <c r="DK1043" s="3">
        <v>15.34459084243041</v>
      </c>
      <c r="DL1043" s="3">
        <v>15.58976680729166</v>
      </c>
      <c r="DM1043" s="3">
        <v>15.83926701621469</v>
      </c>
      <c r="DN1043" s="3">
        <v>16.101604653366731</v>
      </c>
      <c r="DO1043" s="3">
        <v>16.352869023485319</v>
      </c>
    </row>
    <row r="1044" spans="1:119" x14ac:dyDescent="0.45">
      <c r="A1044" s="16" t="s">
        <v>5387</v>
      </c>
      <c r="B1044" s="3" t="s">
        <v>89</v>
      </c>
      <c r="C1044" s="16" t="s">
        <v>5388</v>
      </c>
      <c r="H1044" s="3" t="s">
        <v>5389</v>
      </c>
      <c r="I1044" s="3" t="s">
        <v>5072</v>
      </c>
      <c r="K1044" s="17" t="s">
        <v>5390</v>
      </c>
      <c r="L1044" s="3">
        <v>3.6949837774904011</v>
      </c>
      <c r="M1044" s="3">
        <v>3.1977272038198929</v>
      </c>
      <c r="N1044" s="3">
        <v>3.1704485039463579</v>
      </c>
      <c r="O1044" s="3">
        <v>3.1567384538339822</v>
      </c>
      <c r="P1044" s="3">
        <v>3.1684399042978999</v>
      </c>
      <c r="Q1044" s="3">
        <v>3.1857863392110972</v>
      </c>
      <c r="R1044" s="3">
        <v>3.2061290967080458</v>
      </c>
      <c r="S1044" s="3">
        <v>3.2260452928494008</v>
      </c>
      <c r="T1044" s="3">
        <v>3.250562160896314</v>
      </c>
      <c r="U1044" s="3">
        <v>3.2685692286515828</v>
      </c>
      <c r="V1044" s="3">
        <v>3.2885871579142898</v>
      </c>
      <c r="W1044" s="3">
        <v>3.2962339996996541</v>
      </c>
      <c r="X1044" s="3">
        <v>3.30675982197597</v>
      </c>
      <c r="Y1044" s="3">
        <v>3.3153262387237681</v>
      </c>
      <c r="Z1044" s="3">
        <v>3.3239508733434149</v>
      </c>
      <c r="AA1044" s="3">
        <v>3.3323765790880469</v>
      </c>
      <c r="AB1044" s="3">
        <v>3.3406628142923309</v>
      </c>
      <c r="AC1044" s="3">
        <v>3.348794877579679</v>
      </c>
      <c r="AD1044" s="3">
        <v>3.356721079921225</v>
      </c>
      <c r="AE1044" s="3">
        <v>3.3644242286978492</v>
      </c>
      <c r="AG1044" s="17" t="s">
        <v>5391</v>
      </c>
      <c r="AH1044" s="3">
        <v>3.6949837774904011</v>
      </c>
      <c r="AI1044" s="3">
        <v>3.1980479035702079</v>
      </c>
      <c r="AJ1044" s="3">
        <v>3.1706253124461661</v>
      </c>
      <c r="AK1044" s="3">
        <v>3.15689010170132</v>
      </c>
      <c r="AL1044" s="3">
        <v>3.1685948617998769</v>
      </c>
      <c r="AM1044" s="3">
        <v>3.4403093020140898</v>
      </c>
      <c r="AN1044" s="3">
        <v>3.5392699249172139</v>
      </c>
      <c r="AO1044" s="3">
        <v>3.5232200523381398</v>
      </c>
      <c r="AP1044" s="3">
        <v>3.566211583182862</v>
      </c>
      <c r="AQ1044" s="3">
        <v>3.5832923526236362</v>
      </c>
      <c r="AR1044" s="3">
        <v>3.6132209726632309</v>
      </c>
      <c r="AS1044" s="3">
        <v>3.617779204562916</v>
      </c>
      <c r="AT1044" s="3">
        <v>3.6339688946297408</v>
      </c>
      <c r="AU1044" s="3">
        <v>3.6438837857117918</v>
      </c>
      <c r="AV1044" s="3">
        <v>3.6540974473761541</v>
      </c>
      <c r="AW1044" s="3">
        <v>3.6640676710674711</v>
      </c>
      <c r="AX1044" s="3">
        <v>3.6741956418319019</v>
      </c>
      <c r="AY1044" s="3">
        <v>3.6841279728525138</v>
      </c>
      <c r="AZ1044" s="3">
        <v>3.694132712650791</v>
      </c>
      <c r="BA1044" s="3">
        <v>3.7038372806657289</v>
      </c>
      <c r="BC1044" s="17" t="s">
        <v>5392</v>
      </c>
      <c r="BD1044" s="3">
        <v>3.6949837774904011</v>
      </c>
      <c r="BE1044" s="3">
        <v>3.1988521111288879</v>
      </c>
      <c r="BF1044" s="3">
        <v>3.171068554135533</v>
      </c>
      <c r="BG1044" s="3">
        <v>3.1572702301652948</v>
      </c>
      <c r="BH1044" s="3">
        <v>3.168982258517997</v>
      </c>
      <c r="BI1044" s="3">
        <v>3.3182674861646819</v>
      </c>
      <c r="BJ1044" s="3">
        <v>3.5308552534126139</v>
      </c>
      <c r="BK1044" s="3">
        <v>3.7423056755535229</v>
      </c>
      <c r="BL1044" s="3">
        <v>3.9233556571838708</v>
      </c>
      <c r="BM1044" s="3">
        <v>4.0919666419422978</v>
      </c>
      <c r="BN1044" s="3">
        <v>4.316221560342079</v>
      </c>
      <c r="BO1044" s="3">
        <v>4.4946406167624229</v>
      </c>
      <c r="BP1044" s="3">
        <v>4.7262940344996114</v>
      </c>
      <c r="BQ1044" s="3">
        <v>4.9289522017514784</v>
      </c>
      <c r="BR1044" s="3">
        <v>5.1768964829347652</v>
      </c>
      <c r="BS1044" s="3">
        <v>5.3970436732274791</v>
      </c>
      <c r="BT1044" s="3">
        <v>5.6754412537808792</v>
      </c>
      <c r="BU1044" s="3">
        <v>5.9074071435652442</v>
      </c>
      <c r="BV1044" s="3">
        <v>6.230860269250714</v>
      </c>
      <c r="BW1044" s="3">
        <v>6.4553114922425259</v>
      </c>
      <c r="BY1044" s="17" t="s">
        <v>5393</v>
      </c>
      <c r="BZ1044" s="3">
        <v>3.6949837774904011</v>
      </c>
      <c r="CA1044" s="3">
        <v>3.199632319588555</v>
      </c>
      <c r="CB1044" s="3">
        <v>3.1714988888201812</v>
      </c>
      <c r="CC1044" s="3">
        <v>3.1576396965168492</v>
      </c>
      <c r="CD1044" s="3">
        <v>3.1693600948870411</v>
      </c>
      <c r="CE1044" s="3">
        <v>3.4237539790922469</v>
      </c>
      <c r="CF1044" s="3">
        <v>3.44975015049185</v>
      </c>
      <c r="CG1044" s="3">
        <v>3.4752732966668818</v>
      </c>
      <c r="CH1044" s="3">
        <v>3.5091822487236999</v>
      </c>
      <c r="CI1044" s="3">
        <v>3.5396270546679891</v>
      </c>
      <c r="CJ1044" s="3">
        <v>3.582556042952957</v>
      </c>
      <c r="CK1044" s="3">
        <v>3.5964988424997268</v>
      </c>
      <c r="CL1044" s="3">
        <v>3.645780440621202</v>
      </c>
      <c r="CM1044" s="3">
        <v>3.6869720179077738</v>
      </c>
      <c r="CN1044" s="3">
        <v>3.728123252476133</v>
      </c>
      <c r="CO1044" s="3">
        <v>3.7772244916278659</v>
      </c>
      <c r="CP1044" s="3">
        <v>3.822764619535223</v>
      </c>
      <c r="CQ1044" s="3">
        <v>3.8676213440159448</v>
      </c>
      <c r="CR1044" s="3">
        <v>3.9156007739445049</v>
      </c>
      <c r="CS1044" s="3">
        <v>3.9604174716826921</v>
      </c>
      <c r="CU1044" s="17" t="s">
        <v>5394</v>
      </c>
      <c r="CV1044" s="3">
        <v>3.6949837774904011</v>
      </c>
      <c r="CW1044" s="3">
        <v>3.198498007224194</v>
      </c>
      <c r="CX1044" s="3">
        <v>3.170873412700645</v>
      </c>
      <c r="CY1044" s="3">
        <v>3.1571028819682181</v>
      </c>
      <c r="CZ1044" s="3">
        <v>3.168811881326961</v>
      </c>
      <c r="DA1044" s="3">
        <v>3.7188857137239779</v>
      </c>
      <c r="DB1044" s="3">
        <v>4.010520984686349</v>
      </c>
      <c r="DC1044" s="3">
        <v>3.969762130095464</v>
      </c>
      <c r="DD1044" s="3">
        <v>4.0114230398944617</v>
      </c>
      <c r="DE1044" s="3">
        <v>3.984518832813678</v>
      </c>
      <c r="DF1044" s="3">
        <v>4.0660156694245853</v>
      </c>
      <c r="DG1044" s="3">
        <v>4.0900478348345501</v>
      </c>
      <c r="DH1044" s="3">
        <v>4.160443279666568</v>
      </c>
      <c r="DI1044" s="3">
        <v>4.2054088017601874</v>
      </c>
      <c r="DJ1044" s="3">
        <v>4.264232610737567</v>
      </c>
      <c r="DK1044" s="3">
        <v>4.3105118420281174</v>
      </c>
      <c r="DL1044" s="3">
        <v>4.3687422383528673</v>
      </c>
      <c r="DM1044" s="3">
        <v>4.4129232587068801</v>
      </c>
      <c r="DN1044" s="3">
        <v>4.4675415789348252</v>
      </c>
      <c r="DO1044" s="3">
        <v>4.5086766503578692</v>
      </c>
    </row>
    <row r="1045" spans="1:119" x14ac:dyDescent="0.45">
      <c r="A1045" s="16" t="s">
        <v>5395</v>
      </c>
      <c r="B1045" s="3" t="s">
        <v>89</v>
      </c>
      <c r="C1045" s="16" t="s">
        <v>5396</v>
      </c>
      <c r="H1045" s="3" t="s">
        <v>5397</v>
      </c>
      <c r="I1045" s="3" t="s">
        <v>5081</v>
      </c>
      <c r="K1045" s="17" t="s">
        <v>5398</v>
      </c>
      <c r="L1045" s="3">
        <v>20.21578781275376</v>
      </c>
      <c r="M1045" s="3">
        <v>24.6141104008687</v>
      </c>
      <c r="N1045" s="3">
        <v>36.332014800721517</v>
      </c>
      <c r="O1045" s="3">
        <v>36.950899619500589</v>
      </c>
      <c r="P1045" s="3">
        <v>37.544822940608029</v>
      </c>
      <c r="Q1045" s="3">
        <v>38.250592705824737</v>
      </c>
      <c r="R1045" s="3">
        <v>39.091422151129137</v>
      </c>
      <c r="S1045" s="3">
        <v>39.88132327210144</v>
      </c>
      <c r="T1045" s="3">
        <v>40.604147337086523</v>
      </c>
      <c r="U1045" s="3">
        <v>41.324090411808243</v>
      </c>
      <c r="V1045" s="3">
        <v>42.044005765838719</v>
      </c>
      <c r="W1045" s="3">
        <v>42.763663616468968</v>
      </c>
      <c r="X1045" s="3">
        <v>43.482837661727729</v>
      </c>
      <c r="Y1045" s="3">
        <v>44.201304894180893</v>
      </c>
      <c r="Z1045" s="3">
        <v>44.918845395203242</v>
      </c>
      <c r="AA1045" s="3">
        <v>45.635242111020993</v>
      </c>
      <c r="AB1045" s="3">
        <v>46.350280611746093</v>
      </c>
      <c r="AC1045" s="3">
        <v>47.063748834545819</v>
      </c>
      <c r="AD1045" s="3">
        <v>47.775436812012003</v>
      </c>
      <c r="AE1045" s="3">
        <v>48.485136386718523</v>
      </c>
      <c r="AG1045" s="17" t="s">
        <v>5399</v>
      </c>
      <c r="AH1045" s="3">
        <v>20.21578781275376</v>
      </c>
      <c r="AI1045" s="3">
        <v>24.6141104008687</v>
      </c>
      <c r="AJ1045" s="3">
        <v>36.332014800721517</v>
      </c>
      <c r="AK1045" s="3">
        <v>36.950899619500589</v>
      </c>
      <c r="AL1045" s="3">
        <v>37.544822940608029</v>
      </c>
      <c r="AM1045" s="3">
        <v>27.309496043992691</v>
      </c>
      <c r="AN1045" s="3">
        <v>27.909814249339181</v>
      </c>
      <c r="AO1045" s="3">
        <v>28.482042385150439</v>
      </c>
      <c r="AP1045" s="3">
        <v>28.979354540964309</v>
      </c>
      <c r="AQ1045" s="3">
        <v>29.49648709298388</v>
      </c>
      <c r="AR1045" s="3">
        <v>30.002587104493561</v>
      </c>
      <c r="AS1045" s="3">
        <v>30.526478143160372</v>
      </c>
      <c r="AT1045" s="3">
        <v>31.058741167972009</v>
      </c>
      <c r="AU1045" s="3">
        <v>31.58653027879441</v>
      </c>
      <c r="AV1045" s="3">
        <v>32.117491101319168</v>
      </c>
      <c r="AW1045" s="3">
        <v>32.656475428720391</v>
      </c>
      <c r="AX1045" s="3">
        <v>33.186537950428033</v>
      </c>
      <c r="AY1045" s="3">
        <v>33.711213160730232</v>
      </c>
      <c r="AZ1045" s="3">
        <v>34.224458591499932</v>
      </c>
      <c r="BA1045" s="3">
        <v>34.733383620459598</v>
      </c>
      <c r="BC1045" s="17" t="s">
        <v>5400</v>
      </c>
      <c r="BD1045" s="3">
        <v>20.21578781275376</v>
      </c>
      <c r="BE1045" s="3">
        <v>24.6141104008687</v>
      </c>
      <c r="BF1045" s="3">
        <v>36.332014800721517</v>
      </c>
      <c r="BG1045" s="3">
        <v>36.950899619500589</v>
      </c>
      <c r="BH1045" s="3">
        <v>37.544822940608029</v>
      </c>
      <c r="BI1045" s="3">
        <v>30.36294795722219</v>
      </c>
      <c r="BJ1045" s="3">
        <v>24.92260175454496</v>
      </c>
      <c r="BK1045" s="3">
        <v>21.551753426153741</v>
      </c>
      <c r="BL1045" s="3">
        <v>19.199909356312251</v>
      </c>
      <c r="BM1045" s="3">
        <v>17.780058672423259</v>
      </c>
      <c r="BN1045" s="3">
        <v>16.648200477454161</v>
      </c>
      <c r="BO1045" s="3">
        <v>15.72761540095833</v>
      </c>
      <c r="BP1045" s="3">
        <v>14.9667151855793</v>
      </c>
      <c r="BQ1045" s="3">
        <v>14.32641433604079</v>
      </c>
      <c r="BR1045" s="3">
        <v>13.780612161128451</v>
      </c>
      <c r="BS1045" s="3">
        <v>13.311889148478571</v>
      </c>
      <c r="BT1045" s="3">
        <v>12.90406883189738</v>
      </c>
      <c r="BU1045" s="3">
        <v>12.545334880886911</v>
      </c>
      <c r="BV1045" s="3">
        <v>12.22492223366541</v>
      </c>
      <c r="BW1045" s="3">
        <v>11.93612803021203</v>
      </c>
      <c r="BY1045" s="17" t="s">
        <v>5401</v>
      </c>
      <c r="BZ1045" s="3">
        <v>20.21578781275376</v>
      </c>
      <c r="CA1045" s="3">
        <v>24.6141104008687</v>
      </c>
      <c r="CB1045" s="3">
        <v>36.332014800721517</v>
      </c>
      <c r="CC1045" s="3">
        <v>36.950899619500589</v>
      </c>
      <c r="CD1045" s="3">
        <v>37.544822940608029</v>
      </c>
      <c r="CE1045" s="3">
        <v>25.620214234413851</v>
      </c>
      <c r="CF1045" s="3">
        <v>26.183387100612499</v>
      </c>
      <c r="CG1045" s="3">
        <v>26.719068231853409</v>
      </c>
      <c r="CH1045" s="3">
        <v>27.186689915045921</v>
      </c>
      <c r="CI1045" s="3">
        <v>27.675368477260768</v>
      </c>
      <c r="CJ1045" s="3">
        <v>28.149314912793219</v>
      </c>
      <c r="CK1045" s="3">
        <v>28.642042913741388</v>
      </c>
      <c r="CL1045" s="3">
        <v>29.135456509219878</v>
      </c>
      <c r="CM1045" s="3">
        <v>29.625922602391942</v>
      </c>
      <c r="CN1045" s="3">
        <v>30.119191325497042</v>
      </c>
      <c r="CO1045" s="3">
        <v>30.61790379814877</v>
      </c>
      <c r="CP1045" s="3">
        <v>31.10880156627244</v>
      </c>
      <c r="CQ1045" s="3">
        <v>31.597207209978549</v>
      </c>
      <c r="CR1045" s="3">
        <v>32.076902578499443</v>
      </c>
      <c r="CS1045" s="3">
        <v>32.556191013390929</v>
      </c>
      <c r="CU1045" s="17" t="s">
        <v>5402</v>
      </c>
      <c r="CV1045" s="3">
        <v>20.21578781275376</v>
      </c>
      <c r="CW1045" s="3">
        <v>24.6141104008687</v>
      </c>
      <c r="CX1045" s="3">
        <v>36.332014800721517</v>
      </c>
      <c r="CY1045" s="3">
        <v>36.950899619500589</v>
      </c>
      <c r="CZ1045" s="3">
        <v>37.544822940608029</v>
      </c>
      <c r="DA1045" s="3">
        <v>19.88812840329091</v>
      </c>
      <c r="DB1045" s="3">
        <v>20.325307407778791</v>
      </c>
      <c r="DC1045" s="3">
        <v>20.74890106031248</v>
      </c>
      <c r="DD1045" s="3">
        <v>21.0950124032519</v>
      </c>
      <c r="DE1045" s="3">
        <v>21.47557577020865</v>
      </c>
      <c r="DF1045" s="3">
        <v>21.83658541447311</v>
      </c>
      <c r="DG1045" s="3">
        <v>22.22745157567072</v>
      </c>
      <c r="DH1045" s="3">
        <v>22.629499558798528</v>
      </c>
      <c r="DI1045" s="3">
        <v>23.025768384706279</v>
      </c>
      <c r="DJ1045" s="3">
        <v>23.42725999004718</v>
      </c>
      <c r="DK1045" s="3">
        <v>23.841921221754681</v>
      </c>
      <c r="DL1045" s="3">
        <v>24.243145274125659</v>
      </c>
      <c r="DM1045" s="3">
        <v>24.637739187247039</v>
      </c>
      <c r="DN1045" s="3">
        <v>25.015744203492378</v>
      </c>
      <c r="DO1045" s="3">
        <v>25.388787899005219</v>
      </c>
    </row>
    <row r="1046" spans="1:119" x14ac:dyDescent="0.45">
      <c r="A1046" s="16" t="s">
        <v>5403</v>
      </c>
      <c r="B1046" s="3" t="s">
        <v>89</v>
      </c>
      <c r="C1046" s="16" t="s">
        <v>5404</v>
      </c>
      <c r="H1046" s="3" t="s">
        <v>5405</v>
      </c>
      <c r="I1046" s="3" t="s">
        <v>4288</v>
      </c>
      <c r="K1046" s="17" t="s">
        <v>5406</v>
      </c>
      <c r="L1046" s="3">
        <v>0.1667969479113999</v>
      </c>
      <c r="M1046" s="3">
        <v>0.16723881102165961</v>
      </c>
      <c r="N1046" s="3">
        <v>0.22626245199026321</v>
      </c>
      <c r="O1046" s="3">
        <v>0.22942542995058821</v>
      </c>
      <c r="P1046" s="3">
        <v>0.23266491457306379</v>
      </c>
      <c r="Q1046" s="3">
        <v>0.23663984965142881</v>
      </c>
      <c r="R1046" s="3">
        <v>0.24145098993814479</v>
      </c>
      <c r="S1046" s="3">
        <v>0.2459094442018446</v>
      </c>
      <c r="T1046" s="3">
        <v>0.24997252294832961</v>
      </c>
      <c r="U1046" s="3">
        <v>0.25392533230082642</v>
      </c>
      <c r="V1046" s="3">
        <v>0.25784520329486238</v>
      </c>
      <c r="W1046" s="3">
        <v>0.2616665974567246</v>
      </c>
      <c r="X1046" s="3">
        <v>0.2654914464486936</v>
      </c>
      <c r="Y1046" s="3">
        <v>0.2692947336835621</v>
      </c>
      <c r="Z1046" s="3">
        <v>0.27308530041115991</v>
      </c>
      <c r="AA1046" s="3">
        <v>0.2768614559092073</v>
      </c>
      <c r="AB1046" s="3">
        <v>0.28062253633279483</v>
      </c>
      <c r="AC1046" s="3">
        <v>0.28436773096176549</v>
      </c>
      <c r="AD1046" s="3">
        <v>0.28809637746846439</v>
      </c>
      <c r="AE1046" s="3">
        <v>0.2918079113354326</v>
      </c>
      <c r="AG1046" s="17" t="s">
        <v>5407</v>
      </c>
      <c r="AH1046" s="3">
        <v>0.1667969479113999</v>
      </c>
      <c r="AI1046" s="3">
        <v>0.16723753134023961</v>
      </c>
      <c r="AJ1046" s="3">
        <v>0.22626432891211301</v>
      </c>
      <c r="AK1046" s="3">
        <v>0.22942666284855751</v>
      </c>
      <c r="AL1046" s="3">
        <v>0.23266553224213279</v>
      </c>
      <c r="AM1046" s="3">
        <v>0.159283789988025</v>
      </c>
      <c r="AN1046" s="3">
        <v>0.16128442025630049</v>
      </c>
      <c r="AO1046" s="3">
        <v>0.16445749352363709</v>
      </c>
      <c r="AP1046" s="3">
        <v>0.16656044885219651</v>
      </c>
      <c r="AQ1046" s="3">
        <v>0.16904000810517861</v>
      </c>
      <c r="AR1046" s="3">
        <v>0.17128159971623749</v>
      </c>
      <c r="AS1046" s="3">
        <v>0.17391822344327529</v>
      </c>
      <c r="AT1046" s="3">
        <v>0.1764378881562125</v>
      </c>
      <c r="AU1046" s="3">
        <v>0.17900763116809021</v>
      </c>
      <c r="AV1046" s="3">
        <v>0.1815812195502983</v>
      </c>
      <c r="AW1046" s="3">
        <v>0.18419190966880439</v>
      </c>
      <c r="AX1046" s="3">
        <v>0.1867446659986747</v>
      </c>
      <c r="AY1046" s="3">
        <v>0.18926373647147379</v>
      </c>
      <c r="AZ1046" s="3">
        <v>0.19171334529296169</v>
      </c>
      <c r="BA1046" s="3">
        <v>0.1941373053989697</v>
      </c>
      <c r="BC1046" s="17" t="s">
        <v>5408</v>
      </c>
      <c r="BD1046" s="3">
        <v>0.1667969479113999</v>
      </c>
      <c r="BE1046" s="3">
        <v>0.1672343223278544</v>
      </c>
      <c r="BF1046" s="3">
        <v>0.22626903417239391</v>
      </c>
      <c r="BG1046" s="3">
        <v>0.22942975329499429</v>
      </c>
      <c r="BH1046" s="3">
        <v>0.2326670764266168</v>
      </c>
      <c r="BI1046" s="3">
        <v>0.18205689212220899</v>
      </c>
      <c r="BJ1046" s="3">
        <v>0.14338492284775159</v>
      </c>
      <c r="BK1046" s="3">
        <v>0.11901768307073531</v>
      </c>
      <c r="BL1046" s="3">
        <v>0.10209466066583529</v>
      </c>
      <c r="BM1046" s="3">
        <v>9.113630984375648E-2</v>
      </c>
      <c r="BN1046" s="3">
        <v>8.1540573101569841E-2</v>
      </c>
      <c r="BO1046" s="3">
        <v>7.4010648515553445E-2</v>
      </c>
      <c r="BP1046" s="3">
        <v>6.6940268008089526E-2</v>
      </c>
      <c r="BQ1046" s="3">
        <v>6.1074139686119827E-2</v>
      </c>
      <c r="BR1046" s="3">
        <v>5.5336435560432433E-2</v>
      </c>
      <c r="BS1046" s="3">
        <v>5.0468678766923271E-2</v>
      </c>
      <c r="BT1046" s="3">
        <v>4.5370232933811233E-2</v>
      </c>
      <c r="BU1046" s="3">
        <v>4.115897894882934E-2</v>
      </c>
      <c r="BV1046" s="3">
        <v>3.6231460032678388E-2</v>
      </c>
      <c r="BW1046" s="3">
        <v>3.2642907860295611E-2</v>
      </c>
      <c r="BY1046" s="17" t="s">
        <v>5409</v>
      </c>
      <c r="BZ1046" s="3">
        <v>0.1667969479113999</v>
      </c>
      <c r="CA1046" s="3">
        <v>0.16723120907856559</v>
      </c>
      <c r="CB1046" s="3">
        <v>0.2262736024175471</v>
      </c>
      <c r="CC1046" s="3">
        <v>0.2294327570584003</v>
      </c>
      <c r="CD1046" s="3">
        <v>0.23266858250302699</v>
      </c>
      <c r="CE1046" s="3">
        <v>0.14947489888118201</v>
      </c>
      <c r="CF1046" s="3">
        <v>0.15213509668162009</v>
      </c>
      <c r="CG1046" s="3">
        <v>0.15471898116996999</v>
      </c>
      <c r="CH1046" s="3">
        <v>0.1568472621305827</v>
      </c>
      <c r="CI1046" s="3">
        <v>0.15910161879378379</v>
      </c>
      <c r="CJ1046" s="3">
        <v>0.16110272346390531</v>
      </c>
      <c r="CK1046" s="3">
        <v>0.1635151768782647</v>
      </c>
      <c r="CL1046" s="3">
        <v>0.16546890186892349</v>
      </c>
      <c r="CM1046" s="3">
        <v>0.16746491555261059</v>
      </c>
      <c r="CN1046" s="3">
        <v>0.16942635940131051</v>
      </c>
      <c r="CO1046" s="3">
        <v>0.17126309072495449</v>
      </c>
      <c r="CP1046" s="3">
        <v>0.17306386609778329</v>
      </c>
      <c r="CQ1046" s="3">
        <v>0.1748184979976164</v>
      </c>
      <c r="CR1046" s="3">
        <v>0.17643734554290991</v>
      </c>
      <c r="CS1046" s="3">
        <v>0.17806040971613279</v>
      </c>
      <c r="CU1046" s="17" t="s">
        <v>5410</v>
      </c>
      <c r="CV1046" s="3">
        <v>0.1667969479113999</v>
      </c>
      <c r="CW1046" s="3">
        <v>0.16723573530116401</v>
      </c>
      <c r="CX1046" s="3">
        <v>0.2262669626361084</v>
      </c>
      <c r="CY1046" s="3">
        <v>0.22942839275326071</v>
      </c>
      <c r="CZ1046" s="3">
        <v>0.23266639729382471</v>
      </c>
      <c r="DA1046" s="3">
        <v>0.1089400982192809</v>
      </c>
      <c r="DB1046" s="3">
        <v>0.1070765689874381</v>
      </c>
      <c r="DC1046" s="3">
        <v>0.1096671667617779</v>
      </c>
      <c r="DD1046" s="3">
        <v>0.1107636689808648</v>
      </c>
      <c r="DE1046" s="3">
        <v>0.1129774993570517</v>
      </c>
      <c r="DF1046" s="3">
        <v>0.1135409440342158</v>
      </c>
      <c r="DG1046" s="3">
        <v>0.11504781561196629</v>
      </c>
      <c r="DH1046" s="3">
        <v>0.11588023404661341</v>
      </c>
      <c r="DI1046" s="3">
        <v>0.11703028894050881</v>
      </c>
      <c r="DJ1046" s="3">
        <v>0.1179473999383376</v>
      </c>
      <c r="DK1046" s="3">
        <v>0.11908769875223039</v>
      </c>
      <c r="DL1046" s="3">
        <v>0.11992719285950899</v>
      </c>
      <c r="DM1046" s="3">
        <v>0.12093504444376579</v>
      </c>
      <c r="DN1046" s="3">
        <v>0.1216501010299314</v>
      </c>
      <c r="DO1046" s="3">
        <v>0.1225469729103216</v>
      </c>
    </row>
    <row r="1047" spans="1:119" x14ac:dyDescent="0.45">
      <c r="A1047" s="16" t="s">
        <v>5411</v>
      </c>
      <c r="B1047" s="3" t="s">
        <v>89</v>
      </c>
      <c r="C1047" s="16" t="s">
        <v>5412</v>
      </c>
      <c r="H1047" s="3" t="s">
        <v>5413</v>
      </c>
      <c r="I1047" s="3" t="s">
        <v>4288</v>
      </c>
      <c r="K1047" s="17" t="s">
        <v>5414</v>
      </c>
      <c r="L1047" s="3">
        <v>7.085862794772696E-2</v>
      </c>
      <c r="M1047" s="3">
        <v>8.9864467586057567E-2</v>
      </c>
      <c r="N1047" s="3">
        <v>0.1376512400183148</v>
      </c>
      <c r="O1047" s="3">
        <v>0.14129162620441871</v>
      </c>
      <c r="P1047" s="3">
        <v>0.14978871055470511</v>
      </c>
      <c r="Q1047" s="3">
        <v>0.15850903327128579</v>
      </c>
      <c r="R1047" s="3">
        <v>0.16880370446959481</v>
      </c>
      <c r="S1047" s="3">
        <v>0.1792901076388313</v>
      </c>
      <c r="T1047" s="3">
        <v>0.18995884713316</v>
      </c>
      <c r="U1047" s="3">
        <v>0.20050472264115199</v>
      </c>
      <c r="V1047" s="3">
        <v>0.2118719860523483</v>
      </c>
      <c r="W1047" s="3">
        <v>0.22370663554880271</v>
      </c>
      <c r="X1047" s="3">
        <v>0.23617501080533809</v>
      </c>
      <c r="Y1047" s="3">
        <v>0.2492638628666364</v>
      </c>
      <c r="Z1047" s="3">
        <v>0.26301878984660348</v>
      </c>
      <c r="AA1047" s="3">
        <v>0.27746876370682572</v>
      </c>
      <c r="AB1047" s="3">
        <v>0.29264416089841572</v>
      </c>
      <c r="AC1047" s="3">
        <v>0.3085770799498187</v>
      </c>
      <c r="AD1047" s="3">
        <v>0.32530064653298751</v>
      </c>
      <c r="AE1047" s="3">
        <v>0.34204618548754923</v>
      </c>
      <c r="AG1047" s="17" t="s">
        <v>5415</v>
      </c>
      <c r="AH1047" s="3">
        <v>7.085862794772696E-2</v>
      </c>
      <c r="AI1047" s="3">
        <v>8.9865667921090131E-2</v>
      </c>
      <c r="AJ1047" s="3">
        <v>0.1376531694206089</v>
      </c>
      <c r="AK1047" s="3">
        <v>0.14129349699820151</v>
      </c>
      <c r="AL1047" s="3">
        <v>0.14979048483522381</v>
      </c>
      <c r="AM1047" s="3">
        <v>0.1122306310610999</v>
      </c>
      <c r="AN1047" s="3">
        <v>0.1197919293795448</v>
      </c>
      <c r="AO1047" s="3">
        <v>0.12714536421519981</v>
      </c>
      <c r="AP1047" s="3">
        <v>0.13467421838675719</v>
      </c>
      <c r="AQ1047" s="3">
        <v>0.14216954092680431</v>
      </c>
      <c r="AR1047" s="3">
        <v>0.15023051947803989</v>
      </c>
      <c r="AS1047" s="3">
        <v>0.15872259383550069</v>
      </c>
      <c r="AT1047" s="3">
        <v>0.1677297717686877</v>
      </c>
      <c r="AU1047" s="3">
        <v>0.17716175124535449</v>
      </c>
      <c r="AV1047" s="3">
        <v>0.1870979712942043</v>
      </c>
      <c r="AW1047" s="3">
        <v>0.1975917390090734</v>
      </c>
      <c r="AX1047" s="3">
        <v>0.2085690879835968</v>
      </c>
      <c r="AY1047" s="3">
        <v>0.2200706063546867</v>
      </c>
      <c r="AZ1047" s="3">
        <v>0.23207884575987159</v>
      </c>
      <c r="BA1047" s="3">
        <v>0.24406949686614929</v>
      </c>
      <c r="BC1047" s="17" t="s">
        <v>5416</v>
      </c>
      <c r="BD1047" s="3">
        <v>7.085862794772696E-2</v>
      </c>
      <c r="BE1047" s="3">
        <v>8.9868677959311818E-2</v>
      </c>
      <c r="BF1047" s="3">
        <v>0.13765800624425259</v>
      </c>
      <c r="BG1047" s="3">
        <v>0.14129818642759809</v>
      </c>
      <c r="BH1047" s="3">
        <v>0.14979492057044921</v>
      </c>
      <c r="BI1047" s="3">
        <v>0.12521879010015921</v>
      </c>
      <c r="BJ1047" s="3">
        <v>0.10680899964901321</v>
      </c>
      <c r="BK1047" s="3">
        <v>9.6011509491844227E-2</v>
      </c>
      <c r="BL1047" s="3">
        <v>8.8878941003085132E-2</v>
      </c>
      <c r="BM1047" s="3">
        <v>8.5275344506442363E-2</v>
      </c>
      <c r="BN1047" s="3">
        <v>8.2913796956227859E-2</v>
      </c>
      <c r="BO1047" s="3">
        <v>8.1328480488515847E-2</v>
      </c>
      <c r="BP1047" s="3">
        <v>8.0389528494259607E-2</v>
      </c>
      <c r="BQ1047" s="3">
        <v>7.9926309206611049E-2</v>
      </c>
      <c r="BR1047" s="3">
        <v>7.9869228556191219E-2</v>
      </c>
      <c r="BS1047" s="3">
        <v>8.0148927083534618E-2</v>
      </c>
      <c r="BT1047" s="3">
        <v>8.0719772379214572E-2</v>
      </c>
      <c r="BU1047" s="3">
        <v>8.1528703677221009E-2</v>
      </c>
      <c r="BV1047" s="3">
        <v>8.2543698307578156E-2</v>
      </c>
      <c r="BW1047" s="3">
        <v>8.3521598906934738E-2</v>
      </c>
      <c r="BY1047" s="17" t="s">
        <v>5417</v>
      </c>
      <c r="BZ1047" s="3">
        <v>7.085862794772696E-2</v>
      </c>
      <c r="CA1047" s="3">
        <v>8.9871598172208508E-2</v>
      </c>
      <c r="CB1047" s="3">
        <v>0.13766270222170099</v>
      </c>
      <c r="CC1047" s="3">
        <v>0.14130274432455731</v>
      </c>
      <c r="CD1047" s="3">
        <v>0.14979924683862139</v>
      </c>
      <c r="CE1047" s="3">
        <v>0.1051191553173</v>
      </c>
      <c r="CF1047" s="3">
        <v>0.1119969254171839</v>
      </c>
      <c r="CG1047" s="3">
        <v>0.11904236562155961</v>
      </c>
      <c r="CH1047" s="3">
        <v>0.1261038737153804</v>
      </c>
      <c r="CI1047" s="3">
        <v>0.13320518172396231</v>
      </c>
      <c r="CJ1047" s="3">
        <v>0.1408142054256224</v>
      </c>
      <c r="CK1047" s="3">
        <v>0.1488278714451915</v>
      </c>
      <c r="CL1047" s="3">
        <v>0.1573387862295714</v>
      </c>
      <c r="CM1047" s="3">
        <v>0.166240439791184</v>
      </c>
      <c r="CN1047" s="3">
        <v>0.17559588220686459</v>
      </c>
      <c r="CO1047" s="3">
        <v>0.18546702922068159</v>
      </c>
      <c r="CP1047" s="3">
        <v>0.1957744443197138</v>
      </c>
      <c r="CQ1047" s="3">
        <v>0.20657580739486131</v>
      </c>
      <c r="CR1047" s="3">
        <v>0.21785847327320529</v>
      </c>
      <c r="CS1047" s="3">
        <v>0.22916851321711421</v>
      </c>
      <c r="CU1047" s="17" t="s">
        <v>5418</v>
      </c>
      <c r="CV1047" s="3">
        <v>7.085862794772696E-2</v>
      </c>
      <c r="CW1047" s="3">
        <v>8.9867352597126318E-2</v>
      </c>
      <c r="CX1047" s="3">
        <v>0.137655876785926</v>
      </c>
      <c r="CY1047" s="3">
        <v>0.1412961219477466</v>
      </c>
      <c r="CZ1047" s="3">
        <v>0.14979296973278719</v>
      </c>
      <c r="DA1047" s="3">
        <v>8.127173598321219E-2</v>
      </c>
      <c r="DB1047" s="3">
        <v>8.6913367754744383E-2</v>
      </c>
      <c r="DC1047" s="3">
        <v>9.2294687667367856E-2</v>
      </c>
      <c r="DD1047" s="3">
        <v>9.7666113345484751E-2</v>
      </c>
      <c r="DE1047" s="3">
        <v>0.1030827908667736</v>
      </c>
      <c r="DF1047" s="3">
        <v>0.1089476142114281</v>
      </c>
      <c r="DG1047" s="3">
        <v>0.1151993372645912</v>
      </c>
      <c r="DH1047" s="3">
        <v>0.1218739006895707</v>
      </c>
      <c r="DI1047" s="3">
        <v>0.12883410845187629</v>
      </c>
      <c r="DJ1047" s="3">
        <v>0.13618913988186171</v>
      </c>
      <c r="DK1047" s="3">
        <v>0.14398594352997879</v>
      </c>
      <c r="DL1047" s="3">
        <v>0.15210573588980739</v>
      </c>
      <c r="DM1047" s="3">
        <v>0.1605842329175399</v>
      </c>
      <c r="DN1047" s="3">
        <v>0.16938464488735341</v>
      </c>
      <c r="DO1047" s="3">
        <v>0.1781627150860266</v>
      </c>
    </row>
    <row r="1048" spans="1:119" x14ac:dyDescent="0.45">
      <c r="A1048" s="16" t="s">
        <v>5419</v>
      </c>
      <c r="B1048" s="3" t="s">
        <v>89</v>
      </c>
      <c r="C1048" s="16" t="s">
        <v>5420</v>
      </c>
      <c r="H1048" s="3" t="s">
        <v>5421</v>
      </c>
      <c r="I1048" s="3" t="s">
        <v>5072</v>
      </c>
      <c r="K1048" s="17" t="s">
        <v>5422</v>
      </c>
      <c r="L1048" s="3">
        <v>17.819050193817969</v>
      </c>
      <c r="M1048" s="3">
        <v>15.682382800014761</v>
      </c>
      <c r="N1048" s="3">
        <v>14.65767831767196</v>
      </c>
      <c r="O1048" s="3">
        <v>13.67643938463841</v>
      </c>
      <c r="P1048" s="3">
        <v>14.4775775701259</v>
      </c>
      <c r="Q1048" s="3">
        <v>14.858775904928279</v>
      </c>
      <c r="R1048" s="3">
        <v>15.18236272132892</v>
      </c>
      <c r="S1048" s="3">
        <v>15.50568837076008</v>
      </c>
      <c r="T1048" s="3">
        <v>15.82777842202773</v>
      </c>
      <c r="U1048" s="3">
        <v>16.092720470248391</v>
      </c>
      <c r="V1048" s="3">
        <v>16.452666711585781</v>
      </c>
      <c r="W1048" s="3">
        <v>16.82610371591641</v>
      </c>
      <c r="X1048" s="3">
        <v>17.213462269286669</v>
      </c>
      <c r="Y1048" s="3">
        <v>17.615256400651539</v>
      </c>
      <c r="Z1048" s="3">
        <v>18.031924067364301</v>
      </c>
      <c r="AA1048" s="3">
        <v>18.464077350256058</v>
      </c>
      <c r="AB1048" s="3">
        <v>18.912086429183841</v>
      </c>
      <c r="AC1048" s="3">
        <v>19.37646162544554</v>
      </c>
      <c r="AD1048" s="3">
        <v>19.857727168093788</v>
      </c>
      <c r="AE1048" s="3">
        <v>20.273199910582179</v>
      </c>
      <c r="AG1048" s="17" t="s">
        <v>5423</v>
      </c>
      <c r="AH1048" s="3">
        <v>17.819050193817969</v>
      </c>
      <c r="AI1048" s="3">
        <v>15.682382800014761</v>
      </c>
      <c r="AJ1048" s="3">
        <v>14.65767831767196</v>
      </c>
      <c r="AK1048" s="3">
        <v>13.67643938463841</v>
      </c>
      <c r="AL1048" s="3">
        <v>14.4775775701259</v>
      </c>
      <c r="AM1048" s="3">
        <v>14.858775904928279</v>
      </c>
      <c r="AN1048" s="3">
        <v>15.18236272132892</v>
      </c>
      <c r="AO1048" s="3">
        <v>15.50568837076008</v>
      </c>
      <c r="AP1048" s="3">
        <v>15.82777842202773</v>
      </c>
      <c r="AQ1048" s="3">
        <v>16.092720470248391</v>
      </c>
      <c r="AR1048" s="3">
        <v>16.452666711585781</v>
      </c>
      <c r="AS1048" s="3">
        <v>16.82610371591641</v>
      </c>
      <c r="AT1048" s="3">
        <v>17.213462269286669</v>
      </c>
      <c r="AU1048" s="3">
        <v>17.615256400651539</v>
      </c>
      <c r="AV1048" s="3">
        <v>18.031924067364301</v>
      </c>
      <c r="AW1048" s="3">
        <v>18.464077350256058</v>
      </c>
      <c r="AX1048" s="3">
        <v>18.912086429183841</v>
      </c>
      <c r="AY1048" s="3">
        <v>19.37646162544554</v>
      </c>
      <c r="AZ1048" s="3">
        <v>19.857727168093788</v>
      </c>
      <c r="BA1048" s="3">
        <v>20.273199910582179</v>
      </c>
      <c r="BC1048" s="17" t="s">
        <v>5424</v>
      </c>
      <c r="BD1048" s="3">
        <v>17.819050193817969</v>
      </c>
      <c r="BE1048" s="3">
        <v>15.682382800014761</v>
      </c>
      <c r="BF1048" s="3">
        <v>14.65767831767196</v>
      </c>
      <c r="BG1048" s="3">
        <v>13.67643938463841</v>
      </c>
      <c r="BH1048" s="3">
        <v>14.4775775701259</v>
      </c>
      <c r="BI1048" s="3">
        <v>14.858775904928279</v>
      </c>
      <c r="BJ1048" s="3">
        <v>15.18236272132892</v>
      </c>
      <c r="BK1048" s="3">
        <v>15.50568837076008</v>
      </c>
      <c r="BL1048" s="3">
        <v>15.82777842202773</v>
      </c>
      <c r="BM1048" s="3">
        <v>16.092720470248391</v>
      </c>
      <c r="BN1048" s="3">
        <v>16.452666711585781</v>
      </c>
      <c r="BO1048" s="3">
        <v>16.82610371591641</v>
      </c>
      <c r="BP1048" s="3">
        <v>17.213462269286669</v>
      </c>
      <c r="BQ1048" s="3">
        <v>17.615256400651539</v>
      </c>
      <c r="BR1048" s="3">
        <v>18.031924067364301</v>
      </c>
      <c r="BS1048" s="3">
        <v>18.464077350256058</v>
      </c>
      <c r="BT1048" s="3">
        <v>18.912086429183841</v>
      </c>
      <c r="BU1048" s="3">
        <v>19.37646162544554</v>
      </c>
      <c r="BV1048" s="3">
        <v>19.857727168093788</v>
      </c>
      <c r="BW1048" s="3">
        <v>20.273199910582179</v>
      </c>
      <c r="BY1048" s="17" t="s">
        <v>5425</v>
      </c>
      <c r="BZ1048" s="3">
        <v>17.819050193817969</v>
      </c>
      <c r="CA1048" s="3">
        <v>15.682382800014761</v>
      </c>
      <c r="CB1048" s="3">
        <v>14.65767831767196</v>
      </c>
      <c r="CC1048" s="3">
        <v>13.67643938463841</v>
      </c>
      <c r="CD1048" s="3">
        <v>14.4775775701259</v>
      </c>
      <c r="CE1048" s="3">
        <v>14.858775904928279</v>
      </c>
      <c r="CF1048" s="3">
        <v>15.18236272132892</v>
      </c>
      <c r="CG1048" s="3">
        <v>15.50568837076008</v>
      </c>
      <c r="CH1048" s="3">
        <v>15.82777842202773</v>
      </c>
      <c r="CI1048" s="3">
        <v>16.092720470248391</v>
      </c>
      <c r="CJ1048" s="3">
        <v>16.452666711585781</v>
      </c>
      <c r="CK1048" s="3">
        <v>16.82610371591641</v>
      </c>
      <c r="CL1048" s="3">
        <v>17.213462269286669</v>
      </c>
      <c r="CM1048" s="3">
        <v>17.615256400651539</v>
      </c>
      <c r="CN1048" s="3">
        <v>18.031924067364301</v>
      </c>
      <c r="CO1048" s="3">
        <v>18.464077350256058</v>
      </c>
      <c r="CP1048" s="3">
        <v>18.912086429183841</v>
      </c>
      <c r="CQ1048" s="3">
        <v>19.37646162544554</v>
      </c>
      <c r="CR1048" s="3">
        <v>19.857727168093788</v>
      </c>
      <c r="CS1048" s="3">
        <v>20.273199910582179</v>
      </c>
      <c r="CU1048" s="17" t="s">
        <v>5426</v>
      </c>
      <c r="CV1048" s="3">
        <v>17.819050193817969</v>
      </c>
      <c r="CW1048" s="3">
        <v>15.682382800014761</v>
      </c>
      <c r="CX1048" s="3">
        <v>14.65767831767196</v>
      </c>
      <c r="CY1048" s="3">
        <v>13.67643938463841</v>
      </c>
      <c r="CZ1048" s="3">
        <v>14.4775775701259</v>
      </c>
      <c r="DA1048" s="3">
        <v>14.858775904928279</v>
      </c>
      <c r="DB1048" s="3">
        <v>15.18236272132892</v>
      </c>
      <c r="DC1048" s="3">
        <v>15.50568837076008</v>
      </c>
      <c r="DD1048" s="3">
        <v>15.82777842202773</v>
      </c>
      <c r="DE1048" s="3">
        <v>16.092720470248391</v>
      </c>
      <c r="DF1048" s="3">
        <v>16.452666711585781</v>
      </c>
      <c r="DG1048" s="3">
        <v>16.82610371591641</v>
      </c>
      <c r="DH1048" s="3">
        <v>17.213462269286669</v>
      </c>
      <c r="DI1048" s="3">
        <v>17.615256400651539</v>
      </c>
      <c r="DJ1048" s="3">
        <v>18.031924067364301</v>
      </c>
      <c r="DK1048" s="3">
        <v>18.464077350256058</v>
      </c>
      <c r="DL1048" s="3">
        <v>18.912086429183841</v>
      </c>
      <c r="DM1048" s="3">
        <v>19.37646162544554</v>
      </c>
      <c r="DN1048" s="3">
        <v>19.857727168093788</v>
      </c>
      <c r="DO1048" s="3">
        <v>20.273199910582179</v>
      </c>
    </row>
    <row r="1049" spans="1:119" x14ac:dyDescent="0.45">
      <c r="A1049" s="16" t="s">
        <v>5427</v>
      </c>
      <c r="B1049" s="3" t="s">
        <v>89</v>
      </c>
      <c r="C1049" s="16" t="s">
        <v>5428</v>
      </c>
      <c r="H1049" s="3" t="s">
        <v>5429</v>
      </c>
      <c r="I1049" s="3" t="s">
        <v>5081</v>
      </c>
      <c r="K1049" s="17" t="s">
        <v>5430</v>
      </c>
      <c r="L1049" s="3">
        <v>69.019466930806843</v>
      </c>
      <c r="M1049" s="3">
        <v>64.104484752995106</v>
      </c>
      <c r="N1049" s="3">
        <v>76.952072127857704</v>
      </c>
      <c r="O1049" s="3">
        <v>83.305208419190208</v>
      </c>
      <c r="P1049" s="3">
        <v>81.905494149476809</v>
      </c>
      <c r="Q1049" s="3">
        <v>82.946288129753</v>
      </c>
      <c r="R1049" s="3">
        <v>85.19612806916949</v>
      </c>
      <c r="S1049" s="3">
        <v>87.379413604354369</v>
      </c>
      <c r="T1049" s="3">
        <v>89.462225451812344</v>
      </c>
      <c r="U1049" s="3">
        <v>91.54866394201963</v>
      </c>
      <c r="V1049" s="3">
        <v>93.281868815134231</v>
      </c>
      <c r="W1049" s="3">
        <v>95.019447218534921</v>
      </c>
      <c r="X1049" s="3">
        <v>96.760903887594012</v>
      </c>
      <c r="Y1049" s="3">
        <v>98.505747922337065</v>
      </c>
      <c r="Z1049" s="3">
        <v>100.2534923717122</v>
      </c>
      <c r="AA1049" s="3">
        <v>102.0036537732327</v>
      </c>
      <c r="AB1049" s="3">
        <v>103.75575165028251</v>
      </c>
      <c r="AC1049" s="3">
        <v>105.50930796922729</v>
      </c>
      <c r="AD1049" s="3">
        <v>107.2638465583307</v>
      </c>
      <c r="AE1049" s="3">
        <v>109.01889249032359</v>
      </c>
      <c r="AG1049" s="17" t="s">
        <v>5431</v>
      </c>
      <c r="AH1049" s="3">
        <v>69.019466930806843</v>
      </c>
      <c r="AI1049" s="3">
        <v>64.104484752995106</v>
      </c>
      <c r="AJ1049" s="3">
        <v>76.952072127857704</v>
      </c>
      <c r="AK1049" s="3">
        <v>83.305208419190208</v>
      </c>
      <c r="AL1049" s="3">
        <v>81.905494149476809</v>
      </c>
      <c r="AM1049" s="3">
        <v>72.150507128619125</v>
      </c>
      <c r="AN1049" s="3">
        <v>74.051422303113625</v>
      </c>
      <c r="AO1049" s="3">
        <v>75.908796866372711</v>
      </c>
      <c r="AP1049" s="3">
        <v>77.598446460055939</v>
      </c>
      <c r="AQ1049" s="3">
        <v>79.348086078559675</v>
      </c>
      <c r="AR1049" s="3">
        <v>80.829391304773253</v>
      </c>
      <c r="AS1049" s="3">
        <v>82.362922633368427</v>
      </c>
      <c r="AT1049" s="3">
        <v>83.923452112112926</v>
      </c>
      <c r="AU1049" s="3">
        <v>85.476327838519282</v>
      </c>
      <c r="AV1049" s="3">
        <v>87.042226217575717</v>
      </c>
      <c r="AW1049" s="3">
        <v>88.634363729779011</v>
      </c>
      <c r="AX1049" s="3">
        <v>90.206786886337383</v>
      </c>
      <c r="AY1049" s="3">
        <v>91.769019250205716</v>
      </c>
      <c r="AZ1049" s="3">
        <v>93.304532012850956</v>
      </c>
      <c r="BA1049" s="3">
        <v>94.832606843904031</v>
      </c>
      <c r="BC1049" s="17" t="s">
        <v>5432</v>
      </c>
      <c r="BD1049" s="3">
        <v>69.019466930806843</v>
      </c>
      <c r="BE1049" s="3">
        <v>64.104484752995106</v>
      </c>
      <c r="BF1049" s="3">
        <v>76.952072127857704</v>
      </c>
      <c r="BG1049" s="3">
        <v>83.305208419190208</v>
      </c>
      <c r="BH1049" s="3">
        <v>81.905494149476809</v>
      </c>
      <c r="BI1049" s="3">
        <v>75.794603773545191</v>
      </c>
      <c r="BJ1049" s="3">
        <v>70.274025648166131</v>
      </c>
      <c r="BK1049" s="3">
        <v>66.027413218538513</v>
      </c>
      <c r="BL1049" s="3">
        <v>62.569398708713777</v>
      </c>
      <c r="BM1049" s="3">
        <v>60.446514652903957</v>
      </c>
      <c r="BN1049" s="3">
        <v>58.529892190147407</v>
      </c>
      <c r="BO1049" s="3">
        <v>56.903512181630532</v>
      </c>
      <c r="BP1049" s="3">
        <v>55.52189746491122</v>
      </c>
      <c r="BQ1049" s="3">
        <v>54.335191401768988</v>
      </c>
      <c r="BR1049" s="3">
        <v>53.310490104526991</v>
      </c>
      <c r="BS1049" s="3">
        <v>52.428089173621572</v>
      </c>
      <c r="BT1049" s="3">
        <v>51.659614396029838</v>
      </c>
      <c r="BU1049" s="3">
        <v>50.98417611490688</v>
      </c>
      <c r="BV1049" s="3">
        <v>50.37811185523784</v>
      </c>
      <c r="BW1049" s="3">
        <v>49.829236065227533</v>
      </c>
      <c r="BY1049" s="17" t="s">
        <v>5433</v>
      </c>
      <c r="BZ1049" s="3">
        <v>69.019466930806843</v>
      </c>
      <c r="CA1049" s="3">
        <v>64.104484752995106</v>
      </c>
      <c r="CB1049" s="3">
        <v>76.952072127857704</v>
      </c>
      <c r="CC1049" s="3">
        <v>83.305208419190208</v>
      </c>
      <c r="CD1049" s="3">
        <v>81.905494149476809</v>
      </c>
      <c r="CE1049" s="3">
        <v>74.85285112918416</v>
      </c>
      <c r="CF1049" s="3">
        <v>74.454619848801343</v>
      </c>
      <c r="CG1049" s="3">
        <v>74.145014083135038</v>
      </c>
      <c r="CH1049" s="3">
        <v>73.797305414963148</v>
      </c>
      <c r="CI1049" s="3">
        <v>73.638067486463683</v>
      </c>
      <c r="CJ1049" s="3">
        <v>73.322027805582124</v>
      </c>
      <c r="CK1049" s="3">
        <v>73.10624750125956</v>
      </c>
      <c r="CL1049" s="3">
        <v>72.966743324052615</v>
      </c>
      <c r="CM1049" s="3">
        <v>72.870389410824401</v>
      </c>
      <c r="CN1049" s="3">
        <v>73.531823430669036</v>
      </c>
      <c r="CO1049" s="3">
        <v>74.194716772189153</v>
      </c>
      <c r="CP1049" s="3">
        <v>74.834489304439998</v>
      </c>
      <c r="CQ1049" s="3">
        <v>75.46387951825362</v>
      </c>
      <c r="CR1049" s="3">
        <v>76.064433346157628</v>
      </c>
      <c r="CS1049" s="3">
        <v>76.655771280063732</v>
      </c>
      <c r="CU1049" s="17" t="s">
        <v>5434</v>
      </c>
      <c r="CV1049" s="3">
        <v>69.019466930806843</v>
      </c>
      <c r="CW1049" s="3">
        <v>64.104484752995106</v>
      </c>
      <c r="CX1049" s="3">
        <v>76.952072127857704</v>
      </c>
      <c r="CY1049" s="3">
        <v>83.305208419190208</v>
      </c>
      <c r="CZ1049" s="3">
        <v>81.905494149476809</v>
      </c>
      <c r="DA1049" s="3">
        <v>61.404850818549193</v>
      </c>
      <c r="DB1049" s="3">
        <v>62.980092899025948</v>
      </c>
      <c r="DC1049" s="3">
        <v>64.533980623043291</v>
      </c>
      <c r="DD1049" s="3">
        <v>65.867871875944331</v>
      </c>
      <c r="DE1049" s="3">
        <v>67.314163343776499</v>
      </c>
      <c r="DF1049" s="3">
        <v>68.547371857694515</v>
      </c>
      <c r="DG1049" s="3">
        <v>69.877956500471484</v>
      </c>
      <c r="DH1049" s="3">
        <v>71.24754704605958</v>
      </c>
      <c r="DI1049" s="3">
        <v>72.602828817713984</v>
      </c>
      <c r="DJ1049" s="3">
        <v>73.978471092853368</v>
      </c>
      <c r="DK1049" s="3">
        <v>75.399687618154957</v>
      </c>
      <c r="DL1049" s="3">
        <v>76.78240402036549</v>
      </c>
      <c r="DM1049" s="3">
        <v>78.148030758962889</v>
      </c>
      <c r="DN1049" s="3">
        <v>79.464847875848761</v>
      </c>
      <c r="DO1049" s="3">
        <v>80.769620074218963</v>
      </c>
    </row>
    <row r="1050" spans="1:119" x14ac:dyDescent="0.45">
      <c r="A1050" s="16" t="s">
        <v>5435</v>
      </c>
      <c r="B1050" s="3" t="s">
        <v>89</v>
      </c>
      <c r="C1050" s="16" t="s">
        <v>5436</v>
      </c>
      <c r="H1050" s="3" t="s">
        <v>5437</v>
      </c>
      <c r="I1050" s="3" t="s">
        <v>4288</v>
      </c>
      <c r="K1050" s="17" t="s">
        <v>5438</v>
      </c>
      <c r="L1050" s="3">
        <v>0</v>
      </c>
      <c r="M1050" s="3">
        <v>0</v>
      </c>
      <c r="N1050" s="3">
        <v>0</v>
      </c>
      <c r="O1050" s="3">
        <v>0</v>
      </c>
      <c r="P1050" s="3">
        <v>0</v>
      </c>
      <c r="Q1050" s="3">
        <v>0</v>
      </c>
      <c r="R1050" s="3">
        <v>0</v>
      </c>
      <c r="S1050" s="3">
        <v>0</v>
      </c>
      <c r="T1050" s="3">
        <v>0</v>
      </c>
      <c r="U1050" s="3">
        <v>0</v>
      </c>
      <c r="V1050" s="3">
        <v>0</v>
      </c>
      <c r="W1050" s="3">
        <v>0</v>
      </c>
      <c r="X1050" s="3">
        <v>0</v>
      </c>
      <c r="Y1050" s="3">
        <v>0</v>
      </c>
      <c r="Z1050" s="3">
        <v>0</v>
      </c>
      <c r="AA1050" s="3">
        <v>0</v>
      </c>
      <c r="AB1050" s="3">
        <v>0</v>
      </c>
      <c r="AC1050" s="3">
        <v>0</v>
      </c>
      <c r="AD1050" s="3">
        <v>0</v>
      </c>
      <c r="AE1050" s="3">
        <v>0</v>
      </c>
      <c r="AG1050" s="17" t="s">
        <v>5439</v>
      </c>
      <c r="AH1050" s="3">
        <v>0</v>
      </c>
      <c r="AI1050" s="3">
        <v>0</v>
      </c>
      <c r="AJ1050" s="3">
        <v>0</v>
      </c>
      <c r="AK1050" s="3">
        <v>0</v>
      </c>
      <c r="AL1050" s="3">
        <v>0</v>
      </c>
      <c r="AM1050" s="3">
        <v>0</v>
      </c>
      <c r="AN1050" s="3">
        <v>0</v>
      </c>
      <c r="AO1050" s="3">
        <v>0</v>
      </c>
      <c r="AP1050" s="3">
        <v>0</v>
      </c>
      <c r="AQ1050" s="3">
        <v>0</v>
      </c>
      <c r="AR1050" s="3">
        <v>0</v>
      </c>
      <c r="AS1050" s="3">
        <v>0</v>
      </c>
      <c r="AT1050" s="3">
        <v>0</v>
      </c>
      <c r="AU1050" s="3">
        <v>0</v>
      </c>
      <c r="AV1050" s="3">
        <v>0</v>
      </c>
      <c r="AW1050" s="3">
        <v>0</v>
      </c>
      <c r="AX1050" s="3">
        <v>0</v>
      </c>
      <c r="AY1050" s="3">
        <v>0</v>
      </c>
      <c r="AZ1050" s="3">
        <v>0</v>
      </c>
      <c r="BA1050" s="3">
        <v>0</v>
      </c>
      <c r="BC1050" s="17" t="s">
        <v>5440</v>
      </c>
      <c r="BD1050" s="3">
        <v>0</v>
      </c>
      <c r="BE1050" s="3">
        <v>0</v>
      </c>
      <c r="BF1050" s="3">
        <v>0</v>
      </c>
      <c r="BG1050" s="3">
        <v>0</v>
      </c>
      <c r="BH1050" s="3">
        <v>0</v>
      </c>
      <c r="BI1050" s="3">
        <v>0</v>
      </c>
      <c r="BJ1050" s="3">
        <v>0</v>
      </c>
      <c r="BK1050" s="3">
        <v>0</v>
      </c>
      <c r="BL1050" s="3">
        <v>0</v>
      </c>
      <c r="BM1050" s="3">
        <v>0</v>
      </c>
      <c r="BN1050" s="3">
        <v>0</v>
      </c>
      <c r="BO1050" s="3">
        <v>0</v>
      </c>
      <c r="BP1050" s="3">
        <v>0</v>
      </c>
      <c r="BQ1050" s="3">
        <v>0</v>
      </c>
      <c r="BR1050" s="3">
        <v>0</v>
      </c>
      <c r="BS1050" s="3">
        <v>0</v>
      </c>
      <c r="BT1050" s="3">
        <v>0</v>
      </c>
      <c r="BU1050" s="3">
        <v>0</v>
      </c>
      <c r="BV1050" s="3">
        <v>0</v>
      </c>
      <c r="BW1050" s="3">
        <v>0</v>
      </c>
      <c r="BY1050" s="17" t="s">
        <v>5441</v>
      </c>
      <c r="BZ1050" s="3">
        <v>0</v>
      </c>
      <c r="CA1050" s="3">
        <v>0</v>
      </c>
      <c r="CB1050" s="3">
        <v>0</v>
      </c>
      <c r="CC1050" s="3">
        <v>0</v>
      </c>
      <c r="CD1050" s="3">
        <v>0</v>
      </c>
      <c r="CE1050" s="3">
        <v>0</v>
      </c>
      <c r="CF1050" s="3">
        <v>0</v>
      </c>
      <c r="CG1050" s="3">
        <v>0</v>
      </c>
      <c r="CH1050" s="3">
        <v>0</v>
      </c>
      <c r="CI1050" s="3">
        <v>0</v>
      </c>
      <c r="CJ1050" s="3">
        <v>0</v>
      </c>
      <c r="CK1050" s="3">
        <v>0</v>
      </c>
      <c r="CL1050" s="3">
        <v>0</v>
      </c>
      <c r="CM1050" s="3">
        <v>0</v>
      </c>
      <c r="CN1050" s="3">
        <v>0</v>
      </c>
      <c r="CO1050" s="3">
        <v>0</v>
      </c>
      <c r="CP1050" s="3">
        <v>0</v>
      </c>
      <c r="CQ1050" s="3">
        <v>0</v>
      </c>
      <c r="CR1050" s="3">
        <v>0</v>
      </c>
      <c r="CS1050" s="3">
        <v>0</v>
      </c>
      <c r="CU1050" s="17" t="s">
        <v>5442</v>
      </c>
      <c r="CV1050" s="3">
        <v>0</v>
      </c>
      <c r="CW1050" s="3">
        <v>0</v>
      </c>
      <c r="CX1050" s="3">
        <v>0</v>
      </c>
      <c r="CY1050" s="3">
        <v>0</v>
      </c>
      <c r="CZ1050" s="3">
        <v>0</v>
      </c>
      <c r="DA1050" s="3">
        <v>0</v>
      </c>
      <c r="DB1050" s="3">
        <v>0</v>
      </c>
      <c r="DC1050" s="3">
        <v>0</v>
      </c>
      <c r="DD1050" s="3">
        <v>0</v>
      </c>
      <c r="DE1050" s="3">
        <v>0</v>
      </c>
      <c r="DF1050" s="3">
        <v>0</v>
      </c>
      <c r="DG1050" s="3">
        <v>0</v>
      </c>
      <c r="DH1050" s="3">
        <v>0</v>
      </c>
      <c r="DI1050" s="3">
        <v>0</v>
      </c>
      <c r="DJ1050" s="3">
        <v>0</v>
      </c>
      <c r="DK1050" s="3">
        <v>0</v>
      </c>
      <c r="DL1050" s="3">
        <v>0</v>
      </c>
      <c r="DM1050" s="3">
        <v>0</v>
      </c>
      <c r="DN1050" s="3">
        <v>0</v>
      </c>
      <c r="DO1050" s="3">
        <v>0</v>
      </c>
    </row>
    <row r="1051" spans="1:119" x14ac:dyDescent="0.45">
      <c r="A1051" s="16" t="s">
        <v>5443</v>
      </c>
      <c r="B1051" s="3" t="s">
        <v>89</v>
      </c>
      <c r="C1051" s="16" t="s">
        <v>5444</v>
      </c>
      <c r="H1051" s="3" t="s">
        <v>5445</v>
      </c>
      <c r="I1051" s="3" t="s">
        <v>4288</v>
      </c>
      <c r="K1051" s="17" t="s">
        <v>5446</v>
      </c>
      <c r="L1051" s="3">
        <v>0.45329939932386232</v>
      </c>
      <c r="M1051" s="3">
        <v>0.44264316776973328</v>
      </c>
      <c r="N1051" s="3">
        <v>0.54529391700041874</v>
      </c>
      <c r="O1051" s="3">
        <v>0.57149354544656839</v>
      </c>
      <c r="P1051" s="3">
        <v>0.5934212623282239</v>
      </c>
      <c r="Q1051" s="3">
        <v>0.62479400763836657</v>
      </c>
      <c r="R1051" s="3">
        <v>0.67310175187834143</v>
      </c>
      <c r="S1051" s="3">
        <v>0.72277422661567392</v>
      </c>
      <c r="T1051" s="3">
        <v>0.77338811447754996</v>
      </c>
      <c r="U1051" s="3">
        <v>0.82019389976866575</v>
      </c>
      <c r="V1051" s="3">
        <v>0.86929831862261131</v>
      </c>
      <c r="W1051" s="3">
        <v>0.92097467485722462</v>
      </c>
      <c r="X1051" s="3">
        <v>0.97533488323197648</v>
      </c>
      <c r="Y1051" s="3">
        <v>1.0325016715310189</v>
      </c>
      <c r="Z1051" s="3">
        <v>1.0925932863473979</v>
      </c>
      <c r="AA1051" s="3">
        <v>1.1557482955494871</v>
      </c>
      <c r="AB1051" s="3">
        <v>1.2220838887901591</v>
      </c>
      <c r="AC1051" s="3">
        <v>1.2917340028646931</v>
      </c>
      <c r="AD1051" s="3">
        <v>1.3648369385041419</v>
      </c>
      <c r="AE1051" s="3">
        <v>1.432462713521867</v>
      </c>
      <c r="AG1051" s="17" t="s">
        <v>5447</v>
      </c>
      <c r="AH1051" s="3">
        <v>0.45329939932386232</v>
      </c>
      <c r="AI1051" s="3">
        <v>0.44264316776973328</v>
      </c>
      <c r="AJ1051" s="3">
        <v>0.54529391700041874</v>
      </c>
      <c r="AK1051" s="3">
        <v>0.57149354544656839</v>
      </c>
      <c r="AL1051" s="3">
        <v>0.5934212623282239</v>
      </c>
      <c r="AM1051" s="3">
        <v>0.39981715086762343</v>
      </c>
      <c r="AN1051" s="3">
        <v>0.4376093595465958</v>
      </c>
      <c r="AO1051" s="3">
        <v>0.47675244473758682</v>
      </c>
      <c r="AP1051" s="3">
        <v>0.51632266381136394</v>
      </c>
      <c r="AQ1051" s="3">
        <v>0.55289921142223852</v>
      </c>
      <c r="AR1051" s="3">
        <v>0.5923152144537096</v>
      </c>
      <c r="AS1051" s="3">
        <v>0.63431024646092382</v>
      </c>
      <c r="AT1051" s="3">
        <v>0.67883698341725562</v>
      </c>
      <c r="AU1051" s="3">
        <v>0.72574171531208609</v>
      </c>
      <c r="AV1051" s="3">
        <v>0.775304747555007</v>
      </c>
      <c r="AW1051" s="3">
        <v>0.82778990686018683</v>
      </c>
      <c r="AX1051" s="3">
        <v>0.88288882202398389</v>
      </c>
      <c r="AY1051" s="3">
        <v>0.94079425261499128</v>
      </c>
      <c r="AZ1051" s="3">
        <v>1.0014402220482199</v>
      </c>
      <c r="BA1051" s="3">
        <v>1.057241456343045</v>
      </c>
      <c r="BC1051" s="17" t="s">
        <v>5448</v>
      </c>
      <c r="BD1051" s="3">
        <v>0.45329939932386232</v>
      </c>
      <c r="BE1051" s="3">
        <v>0.44264316776973328</v>
      </c>
      <c r="BF1051" s="3">
        <v>0.54529391700041874</v>
      </c>
      <c r="BG1051" s="3">
        <v>0.57149354544656839</v>
      </c>
      <c r="BH1051" s="3">
        <v>0.5934212623282239</v>
      </c>
      <c r="BI1051" s="3">
        <v>0.49546725838836841</v>
      </c>
      <c r="BJ1051" s="3">
        <v>0.39196649622959218</v>
      </c>
      <c r="BK1051" s="3">
        <v>0.30513653891803788</v>
      </c>
      <c r="BL1051" s="3">
        <v>0.22945165100573961</v>
      </c>
      <c r="BM1051" s="3">
        <v>0.1604258648238229</v>
      </c>
      <c r="BN1051" s="3">
        <v>9.871490538364E-2</v>
      </c>
      <c r="BO1051" s="3">
        <v>4.1688778538553767E-2</v>
      </c>
      <c r="BP1051" s="3">
        <v>0</v>
      </c>
      <c r="BQ1051" s="3">
        <v>0</v>
      </c>
      <c r="BR1051" s="3">
        <v>0</v>
      </c>
      <c r="BS1051" s="3">
        <v>0</v>
      </c>
      <c r="BT1051" s="3">
        <v>0</v>
      </c>
      <c r="BU1051" s="3">
        <v>0</v>
      </c>
      <c r="BV1051" s="3">
        <v>0</v>
      </c>
      <c r="BW1051" s="3">
        <v>0</v>
      </c>
      <c r="BY1051" s="17" t="s">
        <v>5449</v>
      </c>
      <c r="BZ1051" s="3">
        <v>0.45329939932386232</v>
      </c>
      <c r="CA1051" s="3">
        <v>0.44264316776973328</v>
      </c>
      <c r="CB1051" s="3">
        <v>0.54529391700041874</v>
      </c>
      <c r="CC1051" s="3">
        <v>0.57149354544656839</v>
      </c>
      <c r="CD1051" s="3">
        <v>0.5934212623282239</v>
      </c>
      <c r="CE1051" s="3">
        <v>0.56383008685093128</v>
      </c>
      <c r="CF1051" s="3">
        <v>0.58823723790564808</v>
      </c>
      <c r="CG1051" s="3">
        <v>0.61330355744886389</v>
      </c>
      <c r="CH1051" s="3">
        <v>0.63796712635037656</v>
      </c>
      <c r="CI1051" s="3">
        <v>0.65973102328836042</v>
      </c>
      <c r="CJ1051" s="3">
        <v>0.68329157958563325</v>
      </c>
      <c r="CK1051" s="3">
        <v>0.70858129039263451</v>
      </c>
      <c r="CL1051" s="3">
        <v>0.73549344022722585</v>
      </c>
      <c r="CM1051" s="3">
        <v>0.76380110256217226</v>
      </c>
      <c r="CN1051" s="3">
        <v>0.80137234836020899</v>
      </c>
      <c r="CO1051" s="3">
        <v>0.84066025359119745</v>
      </c>
      <c r="CP1051" s="3">
        <v>0.88143570115562464</v>
      </c>
      <c r="CQ1051" s="3">
        <v>0.92389250804529321</v>
      </c>
      <c r="CR1051" s="3">
        <v>0.96785218569209763</v>
      </c>
      <c r="CS1051" s="3">
        <v>1.007224817888313</v>
      </c>
      <c r="CU1051" s="17" t="s">
        <v>5450</v>
      </c>
      <c r="CV1051" s="3">
        <v>0.45329939932386232</v>
      </c>
      <c r="CW1051" s="3">
        <v>0.44264316776973328</v>
      </c>
      <c r="CX1051" s="3">
        <v>0.54529391700041874</v>
      </c>
      <c r="CY1051" s="3">
        <v>0.57149354544656839</v>
      </c>
      <c r="CZ1051" s="3">
        <v>0.5934212623282239</v>
      </c>
      <c r="DA1051" s="3">
        <v>0.15687778856383269</v>
      </c>
      <c r="DB1051" s="3">
        <v>0.1840852808737739</v>
      </c>
      <c r="DC1051" s="3">
        <v>0.21257326448333361</v>
      </c>
      <c r="DD1051" s="3">
        <v>0.24154766166971589</v>
      </c>
      <c r="DE1051" s="3">
        <v>0.26800465879936758</v>
      </c>
      <c r="DF1051" s="3">
        <v>0.29758792492558439</v>
      </c>
      <c r="DG1051" s="3">
        <v>0.32945946927342079</v>
      </c>
      <c r="DH1051" s="3">
        <v>0.36351513958029358</v>
      </c>
      <c r="DI1051" s="3">
        <v>0.39960137088015268</v>
      </c>
      <c r="DJ1051" s="3">
        <v>0.43799725576147092</v>
      </c>
      <c r="DK1051" s="3">
        <v>0.47899593899829368</v>
      </c>
      <c r="DL1051" s="3">
        <v>0.52217921524225652</v>
      </c>
      <c r="DM1051" s="3">
        <v>0.56775653119117053</v>
      </c>
      <c r="DN1051" s="3">
        <v>0.61556708751121691</v>
      </c>
      <c r="DO1051" s="3">
        <v>0.65923196011693208</v>
      </c>
    </row>
    <row r="1052" spans="1:119" x14ac:dyDescent="0.45">
      <c r="A1052" s="11"/>
      <c r="B1052" s="3" t="s">
        <v>89</v>
      </c>
      <c r="C1052" s="16" t="s">
        <v>5451</v>
      </c>
      <c r="H1052" s="11" t="s">
        <v>5452</v>
      </c>
      <c r="I1052" s="11"/>
    </row>
    <row r="1053" spans="1:119" x14ac:dyDescent="0.45">
      <c r="A1053" s="16" t="s">
        <v>5453</v>
      </c>
      <c r="B1053" s="3" t="s">
        <v>89</v>
      </c>
      <c r="C1053" s="16" t="s">
        <v>5454</v>
      </c>
      <c r="H1053" s="3" t="s">
        <v>5455</v>
      </c>
      <c r="I1053" s="3" t="s">
        <v>5072</v>
      </c>
      <c r="K1053" s="17" t="s">
        <v>5456</v>
      </c>
      <c r="L1053" s="3">
        <v>29.383161949909361</v>
      </c>
      <c r="M1053" s="3">
        <v>21.48585068235284</v>
      </c>
      <c r="N1053" s="3">
        <v>20.9803812113669</v>
      </c>
      <c r="O1053" s="3">
        <v>20.050417024614969</v>
      </c>
      <c r="P1053" s="3">
        <v>20.976519085848551</v>
      </c>
      <c r="Q1053" s="3">
        <v>21.4056651356433</v>
      </c>
      <c r="R1053" s="3">
        <v>21.628025961465411</v>
      </c>
      <c r="S1053" s="3">
        <v>21.857010372039401</v>
      </c>
      <c r="T1053" s="3">
        <v>22.092878411122161</v>
      </c>
      <c r="U1053" s="3">
        <v>22.34421470041006</v>
      </c>
      <c r="V1053" s="3">
        <v>22.686388345210059</v>
      </c>
      <c r="W1053" s="3">
        <v>23.042248935802061</v>
      </c>
      <c r="X1053" s="3">
        <v>23.412343950017739</v>
      </c>
      <c r="Y1053" s="3">
        <v>23.79724276480205</v>
      </c>
      <c r="Z1053" s="3">
        <v>24.19753753217773</v>
      </c>
      <c r="AA1053" s="3">
        <v>24.613844090248431</v>
      </c>
      <c r="AB1053" s="3">
        <v>25.046802910641969</v>
      </c>
      <c r="AC1053" s="3">
        <v>25.497080083851252</v>
      </c>
      <c r="AD1053" s="3">
        <v>25.965368343988899</v>
      </c>
      <c r="AE1053" s="3">
        <v>26.45238813453205</v>
      </c>
      <c r="AG1053" s="17" t="s">
        <v>5457</v>
      </c>
      <c r="AH1053" s="3">
        <v>29.383161949909361</v>
      </c>
      <c r="AI1053" s="3">
        <v>21.48585068235284</v>
      </c>
      <c r="AJ1053" s="3">
        <v>20.9803812113669</v>
      </c>
      <c r="AK1053" s="3">
        <v>20.050417024614969</v>
      </c>
      <c r="AL1053" s="3">
        <v>20.976519085848551</v>
      </c>
      <c r="AM1053" s="3">
        <v>21.4056651356433</v>
      </c>
      <c r="AN1053" s="3">
        <v>21.628025961465411</v>
      </c>
      <c r="AO1053" s="3">
        <v>21.857010372039401</v>
      </c>
      <c r="AP1053" s="3">
        <v>22.092878411122161</v>
      </c>
      <c r="AQ1053" s="3">
        <v>22.34421470041006</v>
      </c>
      <c r="AR1053" s="3">
        <v>22.686388345210059</v>
      </c>
      <c r="AS1053" s="3">
        <v>23.042248935802061</v>
      </c>
      <c r="AT1053" s="3">
        <v>23.412343950017739</v>
      </c>
      <c r="AU1053" s="3">
        <v>23.79724276480205</v>
      </c>
      <c r="AV1053" s="3">
        <v>24.19753753217773</v>
      </c>
      <c r="AW1053" s="3">
        <v>24.613844090248431</v>
      </c>
      <c r="AX1053" s="3">
        <v>25.046802910641969</v>
      </c>
      <c r="AY1053" s="3">
        <v>25.497080083851252</v>
      </c>
      <c r="AZ1053" s="3">
        <v>25.965368343988899</v>
      </c>
      <c r="BA1053" s="3">
        <v>26.45238813453205</v>
      </c>
      <c r="BC1053" s="17" t="s">
        <v>5458</v>
      </c>
      <c r="BD1053" s="3">
        <v>29.383161949909361</v>
      </c>
      <c r="BE1053" s="3">
        <v>21.48585068235284</v>
      </c>
      <c r="BF1053" s="3">
        <v>20.9803812113669</v>
      </c>
      <c r="BG1053" s="3">
        <v>20.050417024614969</v>
      </c>
      <c r="BH1053" s="3">
        <v>20.976519085848551</v>
      </c>
      <c r="BI1053" s="3">
        <v>21.4056651356433</v>
      </c>
      <c r="BJ1053" s="3">
        <v>21.628025961465411</v>
      </c>
      <c r="BK1053" s="3">
        <v>21.857010372039401</v>
      </c>
      <c r="BL1053" s="3">
        <v>22.092878411122161</v>
      </c>
      <c r="BM1053" s="3">
        <v>22.34421470041006</v>
      </c>
      <c r="BN1053" s="3">
        <v>22.686388345210059</v>
      </c>
      <c r="BO1053" s="3">
        <v>23.042248935802061</v>
      </c>
      <c r="BP1053" s="3">
        <v>23.412343950017739</v>
      </c>
      <c r="BQ1053" s="3">
        <v>23.79724276480205</v>
      </c>
      <c r="BR1053" s="3">
        <v>24.19753753217773</v>
      </c>
      <c r="BS1053" s="3">
        <v>24.613844090248431</v>
      </c>
      <c r="BT1053" s="3">
        <v>25.046802910641969</v>
      </c>
      <c r="BU1053" s="3">
        <v>25.497080083851252</v>
      </c>
      <c r="BV1053" s="3">
        <v>25.965368343988899</v>
      </c>
      <c r="BW1053" s="3">
        <v>26.45238813453205</v>
      </c>
      <c r="BY1053" s="17" t="s">
        <v>5459</v>
      </c>
      <c r="BZ1053" s="3">
        <v>29.383161949909361</v>
      </c>
      <c r="CA1053" s="3">
        <v>21.48585068235284</v>
      </c>
      <c r="CB1053" s="3">
        <v>20.9803812113669</v>
      </c>
      <c r="CC1053" s="3">
        <v>20.050417024614969</v>
      </c>
      <c r="CD1053" s="3">
        <v>20.976519085848551</v>
      </c>
      <c r="CE1053" s="3">
        <v>21.4056651356433</v>
      </c>
      <c r="CF1053" s="3">
        <v>21.628025961465411</v>
      </c>
      <c r="CG1053" s="3">
        <v>21.857010372039401</v>
      </c>
      <c r="CH1053" s="3">
        <v>22.092878411122161</v>
      </c>
      <c r="CI1053" s="3">
        <v>22.34421470041006</v>
      </c>
      <c r="CJ1053" s="3">
        <v>22.686388345210059</v>
      </c>
      <c r="CK1053" s="3">
        <v>23.042248935802061</v>
      </c>
      <c r="CL1053" s="3">
        <v>23.412343950017739</v>
      </c>
      <c r="CM1053" s="3">
        <v>23.79724276480205</v>
      </c>
      <c r="CN1053" s="3">
        <v>24.19753753217773</v>
      </c>
      <c r="CO1053" s="3">
        <v>24.613844090248431</v>
      </c>
      <c r="CP1053" s="3">
        <v>25.046802910641969</v>
      </c>
      <c r="CQ1053" s="3">
        <v>25.497080083851252</v>
      </c>
      <c r="CR1053" s="3">
        <v>25.965368343988899</v>
      </c>
      <c r="CS1053" s="3">
        <v>26.45238813453205</v>
      </c>
      <c r="CU1053" s="17" t="s">
        <v>5460</v>
      </c>
      <c r="CV1053" s="3">
        <v>29.383161949909361</v>
      </c>
      <c r="CW1053" s="3">
        <v>21.48585068235284</v>
      </c>
      <c r="CX1053" s="3">
        <v>20.9803812113669</v>
      </c>
      <c r="CY1053" s="3">
        <v>20.050417024614969</v>
      </c>
      <c r="CZ1053" s="3">
        <v>20.976519085848551</v>
      </c>
      <c r="DA1053" s="3">
        <v>21.4056651356433</v>
      </c>
      <c r="DB1053" s="3">
        <v>21.628025961465411</v>
      </c>
      <c r="DC1053" s="3">
        <v>21.857010372039401</v>
      </c>
      <c r="DD1053" s="3">
        <v>22.092878411122161</v>
      </c>
      <c r="DE1053" s="3">
        <v>22.34421470041006</v>
      </c>
      <c r="DF1053" s="3">
        <v>22.686388345210059</v>
      </c>
      <c r="DG1053" s="3">
        <v>23.042248935802061</v>
      </c>
      <c r="DH1053" s="3">
        <v>23.412343950017739</v>
      </c>
      <c r="DI1053" s="3">
        <v>23.79724276480205</v>
      </c>
      <c r="DJ1053" s="3">
        <v>24.19753753217773</v>
      </c>
      <c r="DK1053" s="3">
        <v>24.613844090248431</v>
      </c>
      <c r="DL1053" s="3">
        <v>25.046802910641969</v>
      </c>
      <c r="DM1053" s="3">
        <v>25.497080083851252</v>
      </c>
      <c r="DN1053" s="3">
        <v>25.965368343988899</v>
      </c>
      <c r="DO1053" s="3">
        <v>26.45238813453205</v>
      </c>
    </row>
    <row r="1054" spans="1:119" x14ac:dyDescent="0.45">
      <c r="A1054" s="16" t="s">
        <v>5461</v>
      </c>
      <c r="B1054" s="3" t="s">
        <v>89</v>
      </c>
      <c r="C1054" s="16" t="s">
        <v>5462</v>
      </c>
      <c r="H1054" s="3" t="s">
        <v>5463</v>
      </c>
      <c r="I1054" s="3" t="s">
        <v>5081</v>
      </c>
      <c r="K1054" s="17" t="s">
        <v>5464</v>
      </c>
      <c r="L1054" s="3">
        <v>6.8868125342790784E-2</v>
      </c>
      <c r="M1054" s="3">
        <v>7.0227307450825852E-2</v>
      </c>
      <c r="N1054" s="3">
        <v>7.9953447550887194E-2</v>
      </c>
      <c r="O1054" s="3">
        <v>8.484274471107553E-2</v>
      </c>
      <c r="P1054" s="3">
        <v>8.3257296683929796E-2</v>
      </c>
      <c r="Q1054" s="3">
        <v>8.3637016370138595E-2</v>
      </c>
      <c r="R1054" s="3">
        <v>8.4937788058463443E-2</v>
      </c>
      <c r="S1054" s="3">
        <v>8.6188269842806225E-2</v>
      </c>
      <c r="T1054" s="3">
        <v>8.7370794013101175E-2</v>
      </c>
      <c r="U1054" s="3">
        <v>8.8540248382638728E-2</v>
      </c>
      <c r="V1054" s="3">
        <v>8.9417263606630437E-2</v>
      </c>
      <c r="W1054" s="3">
        <v>9.0286753015214091E-2</v>
      </c>
      <c r="X1054" s="3">
        <v>9.1148596903155091E-2</v>
      </c>
      <c r="Y1054" s="3">
        <v>9.2002681225160476E-2</v>
      </c>
      <c r="Z1054" s="3">
        <v>9.2848897103367953E-2</v>
      </c>
      <c r="AA1054" s="3">
        <v>9.3687140336839406E-2</v>
      </c>
      <c r="AB1054" s="3">
        <v>9.4517310913847644E-2</v>
      </c>
      <c r="AC1054" s="3">
        <v>9.5339312527606163E-2</v>
      </c>
      <c r="AD1054" s="3">
        <v>9.6153052095960867E-2</v>
      </c>
      <c r="AE1054" s="3">
        <v>9.6958439285445175E-2</v>
      </c>
      <c r="AG1054" s="17" t="s">
        <v>5465</v>
      </c>
      <c r="AH1054" s="3">
        <v>6.8868125342790784E-2</v>
      </c>
      <c r="AI1054" s="3">
        <v>7.0227307450825852E-2</v>
      </c>
      <c r="AJ1054" s="3">
        <v>7.9953447550887194E-2</v>
      </c>
      <c r="AK1054" s="3">
        <v>8.484274471107553E-2</v>
      </c>
      <c r="AL1054" s="3">
        <v>8.3257296683929796E-2</v>
      </c>
      <c r="AM1054" s="3">
        <v>7.7053298498547099E-2</v>
      </c>
      <c r="AN1054" s="3">
        <v>7.8221774020420062E-2</v>
      </c>
      <c r="AO1054" s="3">
        <v>7.9354365844289565E-2</v>
      </c>
      <c r="AP1054" s="3">
        <v>8.0375676982647387E-2</v>
      </c>
      <c r="AQ1054" s="3">
        <v>8.1421433723289846E-2</v>
      </c>
      <c r="AR1054" s="3">
        <v>8.2215170102439214E-2</v>
      </c>
      <c r="AS1054" s="3">
        <v>8.3031508248076868E-2</v>
      </c>
      <c r="AT1054" s="3">
        <v>8.3854695072788574E-2</v>
      </c>
      <c r="AU1054" s="3">
        <v>8.4663924626877524E-2</v>
      </c>
      <c r="AV1054" s="3">
        <v>8.5471707402717742E-2</v>
      </c>
      <c r="AW1054" s="3">
        <v>8.6285767628255433E-2</v>
      </c>
      <c r="AX1054" s="3">
        <v>8.7079297988996759E-2</v>
      </c>
      <c r="AY1054" s="3">
        <v>8.785824986339924E-2</v>
      </c>
      <c r="AZ1054" s="3">
        <v>8.8613530470184609E-2</v>
      </c>
      <c r="BA1054" s="3">
        <v>8.9356574664485933E-2</v>
      </c>
      <c r="BC1054" s="17" t="s">
        <v>5466</v>
      </c>
      <c r="BD1054" s="3">
        <v>6.8868125342790784E-2</v>
      </c>
      <c r="BE1054" s="3">
        <v>7.0227307450825852E-2</v>
      </c>
      <c r="BF1054" s="3">
        <v>7.9953447550887194E-2</v>
      </c>
      <c r="BG1054" s="3">
        <v>8.484274471107553E-2</v>
      </c>
      <c r="BH1054" s="3">
        <v>8.3257296683929796E-2</v>
      </c>
      <c r="BI1054" s="3">
        <v>8.0161575739931712E-2</v>
      </c>
      <c r="BJ1054" s="3">
        <v>7.7237795763778691E-2</v>
      </c>
      <c r="BK1054" s="3">
        <v>7.4655032198731583E-2</v>
      </c>
      <c r="BL1054" s="3">
        <v>7.2306046773400329E-2</v>
      </c>
      <c r="BM1054" s="3">
        <v>7.0210250216306849E-2</v>
      </c>
      <c r="BN1054" s="3">
        <v>6.8188063921294811E-2</v>
      </c>
      <c r="BO1054" s="3">
        <v>6.6384075510032281E-2</v>
      </c>
      <c r="BP1054" s="3">
        <v>6.4772006420952863E-2</v>
      </c>
      <c r="BQ1054" s="3">
        <v>6.331948861575519E-2</v>
      </c>
      <c r="BR1054" s="3">
        <v>6.2004263037701332E-2</v>
      </c>
      <c r="BS1054" s="3">
        <v>6.081227592810777E-2</v>
      </c>
      <c r="BT1054" s="3">
        <v>5.9722868113949688E-2</v>
      </c>
      <c r="BU1054" s="3">
        <v>5.8720354913039348E-2</v>
      </c>
      <c r="BV1054" s="3">
        <v>5.7787090499573222E-2</v>
      </c>
      <c r="BW1054" s="3">
        <v>5.6913412932347071E-2</v>
      </c>
      <c r="BY1054" s="17" t="s">
        <v>5467</v>
      </c>
      <c r="BZ1054" s="3">
        <v>6.8868125342790784E-2</v>
      </c>
      <c r="CA1054" s="3">
        <v>7.0227307450825852E-2</v>
      </c>
      <c r="CB1054" s="3">
        <v>7.9953447550887194E-2</v>
      </c>
      <c r="CC1054" s="3">
        <v>8.484274471107553E-2</v>
      </c>
      <c r="CD1054" s="3">
        <v>8.3257296683929796E-2</v>
      </c>
      <c r="CE1054" s="3">
        <v>7.5617767214475357E-2</v>
      </c>
      <c r="CF1054" s="3">
        <v>7.675829218248878E-2</v>
      </c>
      <c r="CG1054" s="3">
        <v>7.7860920541741888E-2</v>
      </c>
      <c r="CH1054" s="3">
        <v>7.8857511870588953E-2</v>
      </c>
      <c r="CI1054" s="3">
        <v>7.9882336007009308E-2</v>
      </c>
      <c r="CJ1054" s="3">
        <v>8.0659509380247171E-2</v>
      </c>
      <c r="CK1054" s="3">
        <v>8.146244519549635E-2</v>
      </c>
      <c r="CL1054" s="3">
        <v>8.2259925606777307E-2</v>
      </c>
      <c r="CM1054" s="3">
        <v>8.3045961047580719E-2</v>
      </c>
      <c r="CN1054" s="3">
        <v>8.3830399965058117E-2</v>
      </c>
      <c r="CO1054" s="3">
        <v>8.4617656886155579E-2</v>
      </c>
      <c r="CP1054" s="3">
        <v>8.5385840958954212E-2</v>
      </c>
      <c r="CQ1054" s="3">
        <v>8.614404872825239E-2</v>
      </c>
      <c r="CR1054" s="3">
        <v>8.6882375077964952E-2</v>
      </c>
      <c r="CS1054" s="3">
        <v>8.7614613840251321E-2</v>
      </c>
      <c r="CU1054" s="17" t="s">
        <v>5468</v>
      </c>
      <c r="CV1054" s="3">
        <v>6.8868125342790784E-2</v>
      </c>
      <c r="CW1054" s="3">
        <v>7.0227307450825852E-2</v>
      </c>
      <c r="CX1054" s="3">
        <v>7.9953447550887194E-2</v>
      </c>
      <c r="CY1054" s="3">
        <v>8.484274471107553E-2</v>
      </c>
      <c r="CZ1054" s="3">
        <v>8.3257296683929796E-2</v>
      </c>
      <c r="DA1054" s="3">
        <v>6.9397209284265501E-2</v>
      </c>
      <c r="DB1054" s="3">
        <v>7.0420333397765628E-2</v>
      </c>
      <c r="DC1054" s="3">
        <v>7.1422087650747812E-2</v>
      </c>
      <c r="DD1054" s="3">
        <v>7.2273000608731638E-2</v>
      </c>
      <c r="DE1054" s="3">
        <v>7.3187216428514376E-2</v>
      </c>
      <c r="DF1054" s="3">
        <v>7.3885522020319741E-2</v>
      </c>
      <c r="DG1054" s="3">
        <v>7.4638427565302992E-2</v>
      </c>
      <c r="DH1054" s="3">
        <v>7.5407373902098104E-2</v>
      </c>
      <c r="DI1054" s="3">
        <v>7.61583444411216E-2</v>
      </c>
      <c r="DJ1054" s="3">
        <v>7.6913412892848088E-2</v>
      </c>
      <c r="DK1054" s="3">
        <v>7.7688028877209589E-2</v>
      </c>
      <c r="DL1054" s="3">
        <v>7.8430123817274142E-2</v>
      </c>
      <c r="DM1054" s="3">
        <v>7.9153514592664218E-2</v>
      </c>
      <c r="DN1054" s="3">
        <v>7.9839519859383215E-2</v>
      </c>
      <c r="DO1054" s="3">
        <v>8.0510997877406801E-2</v>
      </c>
    </row>
    <row r="1055" spans="1:119" x14ac:dyDescent="0.45">
      <c r="A1055" s="16" t="s">
        <v>5469</v>
      </c>
      <c r="B1055" s="3" t="s">
        <v>89</v>
      </c>
      <c r="C1055" s="16" t="s">
        <v>5470</v>
      </c>
      <c r="H1055" s="3" t="s">
        <v>5471</v>
      </c>
      <c r="I1055" s="3" t="s">
        <v>4288</v>
      </c>
      <c r="K1055" s="17" t="s">
        <v>5472</v>
      </c>
      <c r="L1055" s="3">
        <v>0</v>
      </c>
      <c r="M1055" s="3">
        <v>0</v>
      </c>
      <c r="N1055" s="3">
        <v>0</v>
      </c>
      <c r="O1055" s="3">
        <v>0</v>
      </c>
      <c r="P1055" s="3">
        <v>0</v>
      </c>
      <c r="Q1055" s="3">
        <v>0</v>
      </c>
      <c r="R1055" s="3">
        <v>0</v>
      </c>
      <c r="S1055" s="3">
        <v>0</v>
      </c>
      <c r="T1055" s="3">
        <v>0</v>
      </c>
      <c r="U1055" s="3">
        <v>0</v>
      </c>
      <c r="V1055" s="3">
        <v>0</v>
      </c>
      <c r="W1055" s="3">
        <v>0</v>
      </c>
      <c r="X1055" s="3">
        <v>0</v>
      </c>
      <c r="Y1055" s="3">
        <v>0</v>
      </c>
      <c r="Z1055" s="3">
        <v>0</v>
      </c>
      <c r="AA1055" s="3">
        <v>0</v>
      </c>
      <c r="AB1055" s="3">
        <v>0</v>
      </c>
      <c r="AC1055" s="3">
        <v>0</v>
      </c>
      <c r="AD1055" s="3">
        <v>0</v>
      </c>
      <c r="AE1055" s="3">
        <v>0</v>
      </c>
      <c r="AG1055" s="17" t="s">
        <v>5473</v>
      </c>
      <c r="AH1055" s="3">
        <v>0</v>
      </c>
      <c r="AI1055" s="3">
        <v>0</v>
      </c>
      <c r="AJ1055" s="3">
        <v>0</v>
      </c>
      <c r="AK1055" s="3">
        <v>0</v>
      </c>
      <c r="AL1055" s="3">
        <v>0</v>
      </c>
      <c r="AM1055" s="3">
        <v>0</v>
      </c>
      <c r="AN1055" s="3">
        <v>0</v>
      </c>
      <c r="AO1055" s="3">
        <v>0</v>
      </c>
      <c r="AP1055" s="3">
        <v>0</v>
      </c>
      <c r="AQ1055" s="3">
        <v>0</v>
      </c>
      <c r="AR1055" s="3">
        <v>0</v>
      </c>
      <c r="AS1055" s="3">
        <v>0</v>
      </c>
      <c r="AT1055" s="3">
        <v>0</v>
      </c>
      <c r="AU1055" s="3">
        <v>0</v>
      </c>
      <c r="AV1055" s="3">
        <v>0</v>
      </c>
      <c r="AW1055" s="3">
        <v>0</v>
      </c>
      <c r="AX1055" s="3">
        <v>0</v>
      </c>
      <c r="AY1055" s="3">
        <v>0</v>
      </c>
      <c r="AZ1055" s="3">
        <v>0</v>
      </c>
      <c r="BA1055" s="3">
        <v>0</v>
      </c>
      <c r="BC1055" s="17" t="s">
        <v>5474</v>
      </c>
      <c r="BD1055" s="3">
        <v>0</v>
      </c>
      <c r="BE1055" s="3">
        <v>0</v>
      </c>
      <c r="BF1055" s="3">
        <v>0</v>
      </c>
      <c r="BG1055" s="3">
        <v>0</v>
      </c>
      <c r="BH1055" s="3">
        <v>0</v>
      </c>
      <c r="BI1055" s="3">
        <v>0</v>
      </c>
      <c r="BJ1055" s="3">
        <v>0</v>
      </c>
      <c r="BK1055" s="3">
        <v>0</v>
      </c>
      <c r="BL1055" s="3">
        <v>0</v>
      </c>
      <c r="BM1055" s="3">
        <v>0</v>
      </c>
      <c r="BN1055" s="3">
        <v>0</v>
      </c>
      <c r="BO1055" s="3">
        <v>0</v>
      </c>
      <c r="BP1055" s="3">
        <v>0</v>
      </c>
      <c r="BQ1055" s="3">
        <v>0</v>
      </c>
      <c r="BR1055" s="3">
        <v>0</v>
      </c>
      <c r="BS1055" s="3">
        <v>0</v>
      </c>
      <c r="BT1055" s="3">
        <v>0</v>
      </c>
      <c r="BU1055" s="3">
        <v>0</v>
      </c>
      <c r="BV1055" s="3">
        <v>0</v>
      </c>
      <c r="BW1055" s="3">
        <v>0</v>
      </c>
      <c r="BY1055" s="17" t="s">
        <v>5475</v>
      </c>
      <c r="BZ1055" s="3">
        <v>0</v>
      </c>
      <c r="CA1055" s="3">
        <v>0</v>
      </c>
      <c r="CB1055" s="3">
        <v>0</v>
      </c>
      <c r="CC1055" s="3">
        <v>0</v>
      </c>
      <c r="CD1055" s="3">
        <v>0</v>
      </c>
      <c r="CE1055" s="3">
        <v>0</v>
      </c>
      <c r="CF1055" s="3">
        <v>0</v>
      </c>
      <c r="CG1055" s="3">
        <v>0</v>
      </c>
      <c r="CH1055" s="3">
        <v>0</v>
      </c>
      <c r="CI1055" s="3">
        <v>0</v>
      </c>
      <c r="CJ1055" s="3">
        <v>0</v>
      </c>
      <c r="CK1055" s="3">
        <v>0</v>
      </c>
      <c r="CL1055" s="3">
        <v>0</v>
      </c>
      <c r="CM1055" s="3">
        <v>0</v>
      </c>
      <c r="CN1055" s="3">
        <v>0</v>
      </c>
      <c r="CO1055" s="3">
        <v>0</v>
      </c>
      <c r="CP1055" s="3">
        <v>0</v>
      </c>
      <c r="CQ1055" s="3">
        <v>0</v>
      </c>
      <c r="CR1055" s="3">
        <v>0</v>
      </c>
      <c r="CS1055" s="3">
        <v>0</v>
      </c>
      <c r="CU1055" s="17" t="s">
        <v>5476</v>
      </c>
      <c r="CV1055" s="3">
        <v>0</v>
      </c>
      <c r="CW1055" s="3">
        <v>0</v>
      </c>
      <c r="CX1055" s="3">
        <v>0</v>
      </c>
      <c r="CY1055" s="3">
        <v>0</v>
      </c>
      <c r="CZ1055" s="3">
        <v>0</v>
      </c>
      <c r="DA1055" s="3">
        <v>0</v>
      </c>
      <c r="DB1055" s="3">
        <v>0</v>
      </c>
      <c r="DC1055" s="3">
        <v>0</v>
      </c>
      <c r="DD1055" s="3">
        <v>0</v>
      </c>
      <c r="DE1055" s="3">
        <v>0</v>
      </c>
      <c r="DF1055" s="3">
        <v>0</v>
      </c>
      <c r="DG1055" s="3">
        <v>0</v>
      </c>
      <c r="DH1055" s="3">
        <v>0</v>
      </c>
      <c r="DI1055" s="3">
        <v>0</v>
      </c>
      <c r="DJ1055" s="3">
        <v>0</v>
      </c>
      <c r="DK1055" s="3">
        <v>0</v>
      </c>
      <c r="DL1055" s="3">
        <v>0</v>
      </c>
      <c r="DM1055" s="3">
        <v>0</v>
      </c>
      <c r="DN1055" s="3">
        <v>0</v>
      </c>
      <c r="DO1055" s="3">
        <v>0</v>
      </c>
    </row>
    <row r="1056" spans="1:119" x14ac:dyDescent="0.45">
      <c r="A1056" s="16" t="s">
        <v>5477</v>
      </c>
      <c r="B1056" s="3" t="s">
        <v>89</v>
      </c>
      <c r="C1056" s="16" t="s">
        <v>5478</v>
      </c>
      <c r="H1056" s="3" t="s">
        <v>5479</v>
      </c>
      <c r="I1056" s="3" t="s">
        <v>4288</v>
      </c>
      <c r="K1056" s="17" t="s">
        <v>5480</v>
      </c>
      <c r="L1056" s="3">
        <v>3.9988844102450288E-4</v>
      </c>
      <c r="M1056" s="3">
        <v>4.2367275420032301E-4</v>
      </c>
      <c r="N1056" s="3">
        <v>5.1946990790030327E-4</v>
      </c>
      <c r="O1056" s="3">
        <v>5.7329756428052482E-4</v>
      </c>
      <c r="P1056" s="3">
        <v>5.8509924702855696E-4</v>
      </c>
      <c r="Q1056" s="3">
        <v>6.112899908402292E-4</v>
      </c>
      <c r="R1056" s="3">
        <v>6.4564070763758682E-4</v>
      </c>
      <c r="S1056" s="3">
        <v>6.8136374715489442E-4</v>
      </c>
      <c r="T1056" s="3">
        <v>7.1835274149684505E-4</v>
      </c>
      <c r="U1056" s="3">
        <v>7.5709876581827728E-4</v>
      </c>
      <c r="V1056" s="3">
        <v>7.9519426585683843E-4</v>
      </c>
      <c r="W1056" s="3">
        <v>8.3505619601852783E-4</v>
      </c>
      <c r="X1056" s="3">
        <v>8.7676097429684066E-4</v>
      </c>
      <c r="Y1056" s="3">
        <v>9.2038815890720658E-4</v>
      </c>
      <c r="Z1056" s="3">
        <v>9.6602056892556112E-4</v>
      </c>
      <c r="AA1056" s="3">
        <v>1.013744408825645E-3</v>
      </c>
      <c r="AB1056" s="3">
        <v>1.0636493969794979E-3</v>
      </c>
      <c r="AC1056" s="3">
        <v>1.115828898180161E-3</v>
      </c>
      <c r="AD1056" s="3">
        <v>1.170380060239256E-3</v>
      </c>
      <c r="AE1056" s="3">
        <v>1.227403954704764E-3</v>
      </c>
      <c r="AG1056" s="17" t="s">
        <v>5481</v>
      </c>
      <c r="AH1056" s="3">
        <v>3.9988844102450288E-4</v>
      </c>
      <c r="AI1056" s="3">
        <v>4.2367275420032301E-4</v>
      </c>
      <c r="AJ1056" s="3">
        <v>5.1946990790030327E-4</v>
      </c>
      <c r="AK1056" s="3">
        <v>5.7329756428052482E-4</v>
      </c>
      <c r="AL1056" s="3">
        <v>5.8509924702855696E-4</v>
      </c>
      <c r="AM1056" s="3">
        <v>3.9824174943294422E-4</v>
      </c>
      <c r="AN1056" s="3">
        <v>4.2716009178478409E-4</v>
      </c>
      <c r="AO1056" s="3">
        <v>4.574839389492138E-4</v>
      </c>
      <c r="AP1056" s="3">
        <v>4.8879942538527664E-4</v>
      </c>
      <c r="AQ1056" s="3">
        <v>5.2194784658620135E-4</v>
      </c>
      <c r="AR1056" s="3">
        <v>5.5516791658355284E-4</v>
      </c>
      <c r="AS1056" s="3">
        <v>5.9022798057381087E-4</v>
      </c>
      <c r="AT1056" s="3">
        <v>6.2711379385262773E-4</v>
      </c>
      <c r="AU1056" s="3">
        <v>6.6575272362684413E-4</v>
      </c>
      <c r="AV1056" s="3">
        <v>7.0631858117965111E-4</v>
      </c>
      <c r="AW1056" s="3">
        <v>7.4896711905477419E-4</v>
      </c>
      <c r="AX1056" s="3">
        <v>7.9355677393656257E-4</v>
      </c>
      <c r="AY1056" s="3">
        <v>8.402159547706298E-4</v>
      </c>
      <c r="AZ1056" s="3">
        <v>8.8893561572522014E-4</v>
      </c>
      <c r="BA1056" s="3">
        <v>9.3990795917676885E-4</v>
      </c>
      <c r="BC1056" s="17" t="s">
        <v>5482</v>
      </c>
      <c r="BD1056" s="3">
        <v>3.9988844102450288E-4</v>
      </c>
      <c r="BE1056" s="3">
        <v>4.2367275420032301E-4</v>
      </c>
      <c r="BF1056" s="3">
        <v>5.1946990790030327E-4</v>
      </c>
      <c r="BG1056" s="3">
        <v>5.7329756428052482E-4</v>
      </c>
      <c r="BH1056" s="3">
        <v>5.8509924702855696E-4</v>
      </c>
      <c r="BI1056" s="3">
        <v>5.0009754124875319E-4</v>
      </c>
      <c r="BJ1056" s="3">
        <v>3.9423273739186318E-4</v>
      </c>
      <c r="BK1056" s="3">
        <v>2.9722901190252268E-4</v>
      </c>
      <c r="BL1056" s="3">
        <v>2.075730899817914E-4</v>
      </c>
      <c r="BM1056" s="3">
        <v>1.2446889207602831E-4</v>
      </c>
      <c r="BN1056" s="3">
        <v>4.6913940006247852E-5</v>
      </c>
      <c r="BO1056" s="3">
        <v>0</v>
      </c>
      <c r="BP1056" s="3">
        <v>0</v>
      </c>
      <c r="BQ1056" s="3">
        <v>0</v>
      </c>
      <c r="BR1056" s="3">
        <v>0</v>
      </c>
      <c r="BS1056" s="3">
        <v>0</v>
      </c>
      <c r="BT1056" s="3">
        <v>0</v>
      </c>
      <c r="BU1056" s="3">
        <v>0</v>
      </c>
      <c r="BV1056" s="3">
        <v>0</v>
      </c>
      <c r="BW1056" s="3">
        <v>0</v>
      </c>
      <c r="BY1056" s="17" t="s">
        <v>5483</v>
      </c>
      <c r="BZ1056" s="3">
        <v>3.9988844102450288E-4</v>
      </c>
      <c r="CA1056" s="3">
        <v>4.2367275420032301E-4</v>
      </c>
      <c r="CB1056" s="3">
        <v>5.1946990790030327E-4</v>
      </c>
      <c r="CC1056" s="3">
        <v>5.7329756428052482E-4</v>
      </c>
      <c r="CD1056" s="3">
        <v>5.8509924702855696E-4</v>
      </c>
      <c r="CE1056" s="3">
        <v>3.5035831361581821E-4</v>
      </c>
      <c r="CF1056" s="3">
        <v>3.7809383089883278E-4</v>
      </c>
      <c r="CG1056" s="3">
        <v>4.0720972753010849E-4</v>
      </c>
      <c r="CH1056" s="3">
        <v>4.3736912862865342E-4</v>
      </c>
      <c r="CI1056" s="3">
        <v>4.6933546956904888E-4</v>
      </c>
      <c r="CJ1056" s="3">
        <v>5.0150118165585378E-4</v>
      </c>
      <c r="CK1056" s="3">
        <v>5.3548271573540074E-4</v>
      </c>
      <c r="CL1056" s="3">
        <v>5.7116883712326984E-4</v>
      </c>
      <c r="CM1056" s="3">
        <v>6.0859093793711328E-4</v>
      </c>
      <c r="CN1056" s="3">
        <v>6.4789646143141339E-4</v>
      </c>
      <c r="CO1056" s="3">
        <v>6.8920778614218309E-4</v>
      </c>
      <c r="CP1056" s="3">
        <v>7.3243317089509527E-4</v>
      </c>
      <c r="CQ1056" s="3">
        <v>7.7772571752480384E-4</v>
      </c>
      <c r="CR1056" s="3">
        <v>8.2507747188112458E-4</v>
      </c>
      <c r="CS1056" s="3">
        <v>8.7470121971456552E-4</v>
      </c>
      <c r="CU1056" s="17" t="s">
        <v>5484</v>
      </c>
      <c r="CV1056" s="3">
        <v>3.9988844102450288E-4</v>
      </c>
      <c r="CW1056" s="3">
        <v>4.2367275420032301E-4</v>
      </c>
      <c r="CX1056" s="3">
        <v>5.1946990790030327E-4</v>
      </c>
      <c r="CY1056" s="3">
        <v>5.7329756428052482E-4</v>
      </c>
      <c r="CZ1056" s="3">
        <v>5.8509924702855696E-4</v>
      </c>
      <c r="DA1056" s="3">
        <v>1.3586000211092831E-4</v>
      </c>
      <c r="DB1056" s="3">
        <v>1.584603347174131E-4</v>
      </c>
      <c r="DC1056" s="3">
        <v>1.8244045439684851E-4</v>
      </c>
      <c r="DD1056" s="3">
        <v>2.0747822247321599E-4</v>
      </c>
      <c r="DE1056" s="3">
        <v>2.3418226835944709E-4</v>
      </c>
      <c r="DF1056" s="3">
        <v>2.6169836409500359E-4</v>
      </c>
      <c r="DG1056" s="3">
        <v>2.9092598811046122E-4</v>
      </c>
      <c r="DH1056" s="3">
        <v>3.218310836080362E-4</v>
      </c>
      <c r="DI1056" s="3">
        <v>3.5434940681012319E-4</v>
      </c>
      <c r="DJ1056" s="3">
        <v>3.8865062465409601E-4</v>
      </c>
      <c r="DK1056" s="3">
        <v>4.2490686713086197E-4</v>
      </c>
      <c r="DL1056" s="3">
        <v>4.62922694724215E-4</v>
      </c>
      <c r="DM1056" s="3">
        <v>5.028334270943634E-4</v>
      </c>
      <c r="DN1056" s="3">
        <v>5.4457927835306001E-4</v>
      </c>
      <c r="DO1056" s="3">
        <v>5.8836982804619394E-4</v>
      </c>
    </row>
    <row r="1057" spans="1:119" x14ac:dyDescent="0.45">
      <c r="A1057" s="16" t="s">
        <v>5485</v>
      </c>
      <c r="B1057" s="3" t="s">
        <v>89</v>
      </c>
      <c r="C1057" s="16" t="s">
        <v>5486</v>
      </c>
      <c r="H1057" s="3" t="s">
        <v>5487</v>
      </c>
      <c r="I1057" s="3" t="s">
        <v>5072</v>
      </c>
      <c r="K1057" s="17" t="s">
        <v>5488</v>
      </c>
      <c r="L1057" s="3">
        <v>19.25490285565434</v>
      </c>
      <c r="M1057" s="3">
        <v>12.58830693540154</v>
      </c>
      <c r="N1057" s="3">
        <v>11.99848631665396</v>
      </c>
      <c r="O1057" s="3">
        <v>11.030390763012971</v>
      </c>
      <c r="P1057" s="3">
        <v>11.89531691499937</v>
      </c>
      <c r="Q1057" s="3">
        <v>12.28643446885043</v>
      </c>
      <c r="R1057" s="3">
        <v>12.517008817836141</v>
      </c>
      <c r="S1057" s="3">
        <v>12.75114659743234</v>
      </c>
      <c r="T1057" s="3">
        <v>12.98866554465703</v>
      </c>
      <c r="U1057" s="3">
        <v>13.2175182242039</v>
      </c>
      <c r="V1057" s="3">
        <v>13.53762946084832</v>
      </c>
      <c r="W1057" s="3">
        <v>13.87029318752189</v>
      </c>
      <c r="X1057" s="3">
        <v>14.215977213349531</v>
      </c>
      <c r="Y1057" s="3">
        <v>14.575189103500319</v>
      </c>
      <c r="Z1057" s="3">
        <v>14.948425581838221</v>
      </c>
      <c r="AA1057" s="3">
        <v>15.33625349745728</v>
      </c>
      <c r="AB1057" s="3">
        <v>15.73917641725666</v>
      </c>
      <c r="AC1057" s="3">
        <v>16.15775810895105</v>
      </c>
      <c r="AD1057" s="3">
        <v>16.592582551107959</v>
      </c>
      <c r="AE1057" s="3">
        <v>17.01723197413396</v>
      </c>
      <c r="AG1057" s="17" t="s">
        <v>5489</v>
      </c>
      <c r="AH1057" s="3">
        <v>19.25490285565434</v>
      </c>
      <c r="AI1057" s="3">
        <v>12.58830693540154</v>
      </c>
      <c r="AJ1057" s="3">
        <v>11.99848631665396</v>
      </c>
      <c r="AK1057" s="3">
        <v>11.030390763012971</v>
      </c>
      <c r="AL1057" s="3">
        <v>11.89531691499937</v>
      </c>
      <c r="AM1057" s="3">
        <v>12.28643446885043</v>
      </c>
      <c r="AN1057" s="3">
        <v>12.517008817836141</v>
      </c>
      <c r="AO1057" s="3">
        <v>12.75114659743234</v>
      </c>
      <c r="AP1057" s="3">
        <v>12.98866554465703</v>
      </c>
      <c r="AQ1057" s="3">
        <v>13.2175182242039</v>
      </c>
      <c r="AR1057" s="3">
        <v>13.53762946084832</v>
      </c>
      <c r="AS1057" s="3">
        <v>13.87029318752189</v>
      </c>
      <c r="AT1057" s="3">
        <v>14.215977213349531</v>
      </c>
      <c r="AU1057" s="3">
        <v>14.575189103500319</v>
      </c>
      <c r="AV1057" s="3">
        <v>14.948425581838221</v>
      </c>
      <c r="AW1057" s="3">
        <v>15.33625349745728</v>
      </c>
      <c r="AX1057" s="3">
        <v>15.73917641725666</v>
      </c>
      <c r="AY1057" s="3">
        <v>16.15775810895105</v>
      </c>
      <c r="AZ1057" s="3">
        <v>16.592582551107959</v>
      </c>
      <c r="BA1057" s="3">
        <v>17.01723197413396</v>
      </c>
      <c r="BC1057" s="17" t="s">
        <v>5490</v>
      </c>
      <c r="BD1057" s="3">
        <v>19.25490285565434</v>
      </c>
      <c r="BE1057" s="3">
        <v>12.58830693540154</v>
      </c>
      <c r="BF1057" s="3">
        <v>11.99848631665396</v>
      </c>
      <c r="BG1057" s="3">
        <v>11.030390763012971</v>
      </c>
      <c r="BH1057" s="3">
        <v>11.89531691499937</v>
      </c>
      <c r="BI1057" s="3">
        <v>12.28643446885043</v>
      </c>
      <c r="BJ1057" s="3">
        <v>12.517008817836141</v>
      </c>
      <c r="BK1057" s="3">
        <v>12.75114659743234</v>
      </c>
      <c r="BL1057" s="3">
        <v>12.98866554465703</v>
      </c>
      <c r="BM1057" s="3">
        <v>13.2175182242039</v>
      </c>
      <c r="BN1057" s="3">
        <v>13.53762946084832</v>
      </c>
      <c r="BO1057" s="3">
        <v>13.87029318752189</v>
      </c>
      <c r="BP1057" s="3">
        <v>14.215977213349531</v>
      </c>
      <c r="BQ1057" s="3">
        <v>14.575189103500319</v>
      </c>
      <c r="BR1057" s="3">
        <v>14.948425581838221</v>
      </c>
      <c r="BS1057" s="3">
        <v>15.33625349745728</v>
      </c>
      <c r="BT1057" s="3">
        <v>15.73917641725666</v>
      </c>
      <c r="BU1057" s="3">
        <v>16.15775810895105</v>
      </c>
      <c r="BV1057" s="3">
        <v>16.592582551107959</v>
      </c>
      <c r="BW1057" s="3">
        <v>17.01723197413396</v>
      </c>
      <c r="BY1057" s="17" t="s">
        <v>5491</v>
      </c>
      <c r="BZ1057" s="3">
        <v>19.25490285565434</v>
      </c>
      <c r="CA1057" s="3">
        <v>12.58830693540154</v>
      </c>
      <c r="CB1057" s="3">
        <v>11.99848631665396</v>
      </c>
      <c r="CC1057" s="3">
        <v>11.030390763012971</v>
      </c>
      <c r="CD1057" s="3">
        <v>11.89531691499937</v>
      </c>
      <c r="CE1057" s="3">
        <v>12.28643446885043</v>
      </c>
      <c r="CF1057" s="3">
        <v>12.517008817836141</v>
      </c>
      <c r="CG1057" s="3">
        <v>12.75114659743234</v>
      </c>
      <c r="CH1057" s="3">
        <v>12.98866554465703</v>
      </c>
      <c r="CI1057" s="3">
        <v>13.2175182242039</v>
      </c>
      <c r="CJ1057" s="3">
        <v>13.53762946084832</v>
      </c>
      <c r="CK1057" s="3">
        <v>13.87029318752189</v>
      </c>
      <c r="CL1057" s="3">
        <v>14.215977213349531</v>
      </c>
      <c r="CM1057" s="3">
        <v>14.575189103500319</v>
      </c>
      <c r="CN1057" s="3">
        <v>14.948425581838221</v>
      </c>
      <c r="CO1057" s="3">
        <v>15.33625349745728</v>
      </c>
      <c r="CP1057" s="3">
        <v>15.73917641725666</v>
      </c>
      <c r="CQ1057" s="3">
        <v>16.15775810895105</v>
      </c>
      <c r="CR1057" s="3">
        <v>16.592582551107959</v>
      </c>
      <c r="CS1057" s="3">
        <v>17.01723197413396</v>
      </c>
      <c r="CU1057" s="17" t="s">
        <v>5492</v>
      </c>
      <c r="CV1057" s="3">
        <v>19.25490285565434</v>
      </c>
      <c r="CW1057" s="3">
        <v>12.58830693540154</v>
      </c>
      <c r="CX1057" s="3">
        <v>11.99848631665396</v>
      </c>
      <c r="CY1057" s="3">
        <v>11.030390763012971</v>
      </c>
      <c r="CZ1057" s="3">
        <v>11.89531691499937</v>
      </c>
      <c r="DA1057" s="3">
        <v>12.28643446885043</v>
      </c>
      <c r="DB1057" s="3">
        <v>12.517008817836141</v>
      </c>
      <c r="DC1057" s="3">
        <v>12.75114659743234</v>
      </c>
      <c r="DD1057" s="3">
        <v>12.98866554465703</v>
      </c>
      <c r="DE1057" s="3">
        <v>13.2175182242039</v>
      </c>
      <c r="DF1057" s="3">
        <v>13.53762946084832</v>
      </c>
      <c r="DG1057" s="3">
        <v>13.87029318752189</v>
      </c>
      <c r="DH1057" s="3">
        <v>14.215977213349531</v>
      </c>
      <c r="DI1057" s="3">
        <v>14.575189103500319</v>
      </c>
      <c r="DJ1057" s="3">
        <v>14.948425581838221</v>
      </c>
      <c r="DK1057" s="3">
        <v>15.33625349745728</v>
      </c>
      <c r="DL1057" s="3">
        <v>15.73917641725666</v>
      </c>
      <c r="DM1057" s="3">
        <v>16.15775810895105</v>
      </c>
      <c r="DN1057" s="3">
        <v>16.592582551107959</v>
      </c>
      <c r="DO1057" s="3">
        <v>17.01723197413396</v>
      </c>
    </row>
    <row r="1058" spans="1:119" x14ac:dyDescent="0.45">
      <c r="A1058" s="16" t="s">
        <v>5493</v>
      </c>
      <c r="B1058" s="3" t="s">
        <v>89</v>
      </c>
      <c r="C1058" s="16" t="s">
        <v>5494</v>
      </c>
      <c r="H1058" s="3" t="s">
        <v>5495</v>
      </c>
      <c r="I1058" s="3" t="s">
        <v>5081</v>
      </c>
      <c r="K1058" s="17" t="s">
        <v>5496</v>
      </c>
      <c r="L1058" s="3">
        <v>0</v>
      </c>
      <c r="M1058" s="3">
        <v>0</v>
      </c>
      <c r="N1058" s="3">
        <v>0</v>
      </c>
      <c r="O1058" s="3">
        <v>0</v>
      </c>
      <c r="P1058" s="3">
        <v>0</v>
      </c>
      <c r="Q1058" s="3">
        <v>0</v>
      </c>
      <c r="R1058" s="3">
        <v>0</v>
      </c>
      <c r="S1058" s="3">
        <v>0</v>
      </c>
      <c r="T1058" s="3">
        <v>0</v>
      </c>
      <c r="U1058" s="3">
        <v>0</v>
      </c>
      <c r="V1058" s="3">
        <v>0</v>
      </c>
      <c r="W1058" s="3">
        <v>0</v>
      </c>
      <c r="X1058" s="3">
        <v>0</v>
      </c>
      <c r="Y1058" s="3">
        <v>0</v>
      </c>
      <c r="Z1058" s="3">
        <v>0</v>
      </c>
      <c r="AA1058" s="3">
        <v>0</v>
      </c>
      <c r="AB1058" s="3">
        <v>0</v>
      </c>
      <c r="AC1058" s="3">
        <v>0</v>
      </c>
      <c r="AD1058" s="3">
        <v>0</v>
      </c>
      <c r="AE1058" s="3">
        <v>0</v>
      </c>
      <c r="AG1058" s="17" t="s">
        <v>5497</v>
      </c>
      <c r="AH1058" s="3">
        <v>0</v>
      </c>
      <c r="AI1058" s="3">
        <v>0</v>
      </c>
      <c r="AJ1058" s="3">
        <v>0</v>
      </c>
      <c r="AK1058" s="3">
        <v>0</v>
      </c>
      <c r="AL1058" s="3">
        <v>0</v>
      </c>
      <c r="AM1058" s="3">
        <v>0</v>
      </c>
      <c r="AN1058" s="3">
        <v>0</v>
      </c>
      <c r="AO1058" s="3">
        <v>0</v>
      </c>
      <c r="AP1058" s="3">
        <v>0</v>
      </c>
      <c r="AQ1058" s="3">
        <v>0</v>
      </c>
      <c r="AR1058" s="3">
        <v>0</v>
      </c>
      <c r="AS1058" s="3">
        <v>0</v>
      </c>
      <c r="AT1058" s="3">
        <v>0</v>
      </c>
      <c r="AU1058" s="3">
        <v>0</v>
      </c>
      <c r="AV1058" s="3">
        <v>0</v>
      </c>
      <c r="AW1058" s="3">
        <v>0</v>
      </c>
      <c r="AX1058" s="3">
        <v>0</v>
      </c>
      <c r="AY1058" s="3">
        <v>0</v>
      </c>
      <c r="AZ1058" s="3">
        <v>0</v>
      </c>
      <c r="BA1058" s="3">
        <v>0</v>
      </c>
      <c r="BC1058" s="17" t="s">
        <v>5498</v>
      </c>
      <c r="BD1058" s="3">
        <v>0</v>
      </c>
      <c r="BE1058" s="3">
        <v>0</v>
      </c>
      <c r="BF1058" s="3">
        <v>0</v>
      </c>
      <c r="BG1058" s="3">
        <v>0</v>
      </c>
      <c r="BH1058" s="3">
        <v>0</v>
      </c>
      <c r="BI1058" s="3">
        <v>0</v>
      </c>
      <c r="BJ1058" s="3">
        <v>0</v>
      </c>
      <c r="BK1058" s="3">
        <v>0</v>
      </c>
      <c r="BL1058" s="3">
        <v>0</v>
      </c>
      <c r="BM1058" s="3">
        <v>0</v>
      </c>
      <c r="BN1058" s="3">
        <v>0</v>
      </c>
      <c r="BO1058" s="3">
        <v>0</v>
      </c>
      <c r="BP1058" s="3">
        <v>0</v>
      </c>
      <c r="BQ1058" s="3">
        <v>0</v>
      </c>
      <c r="BR1058" s="3">
        <v>0</v>
      </c>
      <c r="BS1058" s="3">
        <v>0</v>
      </c>
      <c r="BT1058" s="3">
        <v>0</v>
      </c>
      <c r="BU1058" s="3">
        <v>0</v>
      </c>
      <c r="BV1058" s="3">
        <v>0</v>
      </c>
      <c r="BW1058" s="3">
        <v>0</v>
      </c>
      <c r="BY1058" s="17" t="s">
        <v>5499</v>
      </c>
      <c r="BZ1058" s="3">
        <v>0</v>
      </c>
      <c r="CA1058" s="3">
        <v>0</v>
      </c>
      <c r="CB1058" s="3">
        <v>0</v>
      </c>
      <c r="CC1058" s="3">
        <v>0</v>
      </c>
      <c r="CD1058" s="3">
        <v>0</v>
      </c>
      <c r="CE1058" s="3">
        <v>0</v>
      </c>
      <c r="CF1058" s="3">
        <v>0</v>
      </c>
      <c r="CG1058" s="3">
        <v>0</v>
      </c>
      <c r="CH1058" s="3">
        <v>0</v>
      </c>
      <c r="CI1058" s="3">
        <v>0</v>
      </c>
      <c r="CJ1058" s="3">
        <v>0</v>
      </c>
      <c r="CK1058" s="3">
        <v>0</v>
      </c>
      <c r="CL1058" s="3">
        <v>0</v>
      </c>
      <c r="CM1058" s="3">
        <v>0</v>
      </c>
      <c r="CN1058" s="3">
        <v>0</v>
      </c>
      <c r="CO1058" s="3">
        <v>0</v>
      </c>
      <c r="CP1058" s="3">
        <v>0</v>
      </c>
      <c r="CQ1058" s="3">
        <v>0</v>
      </c>
      <c r="CR1058" s="3">
        <v>0</v>
      </c>
      <c r="CS1058" s="3">
        <v>0</v>
      </c>
      <c r="CU1058" s="17" t="s">
        <v>5500</v>
      </c>
      <c r="CV1058" s="3">
        <v>0</v>
      </c>
      <c r="CW1058" s="3">
        <v>0</v>
      </c>
      <c r="CX1058" s="3">
        <v>0</v>
      </c>
      <c r="CY1058" s="3">
        <v>0</v>
      </c>
      <c r="CZ1058" s="3">
        <v>0</v>
      </c>
      <c r="DA1058" s="3">
        <v>0</v>
      </c>
      <c r="DB1058" s="3">
        <v>0</v>
      </c>
      <c r="DC1058" s="3">
        <v>0</v>
      </c>
      <c r="DD1058" s="3">
        <v>0</v>
      </c>
      <c r="DE1058" s="3">
        <v>0</v>
      </c>
      <c r="DF1058" s="3">
        <v>0</v>
      </c>
      <c r="DG1058" s="3">
        <v>0</v>
      </c>
      <c r="DH1058" s="3">
        <v>0</v>
      </c>
      <c r="DI1058" s="3">
        <v>0</v>
      </c>
      <c r="DJ1058" s="3">
        <v>0</v>
      </c>
      <c r="DK1058" s="3">
        <v>0</v>
      </c>
      <c r="DL1058" s="3">
        <v>0</v>
      </c>
      <c r="DM1058" s="3">
        <v>0</v>
      </c>
      <c r="DN1058" s="3">
        <v>0</v>
      </c>
      <c r="DO1058" s="3">
        <v>0</v>
      </c>
    </row>
    <row r="1059" spans="1:119" x14ac:dyDescent="0.45">
      <c r="A1059" s="16" t="s">
        <v>5501</v>
      </c>
      <c r="B1059" s="3" t="s">
        <v>89</v>
      </c>
      <c r="C1059" s="16" t="s">
        <v>5502</v>
      </c>
      <c r="H1059" s="3" t="s">
        <v>5503</v>
      </c>
      <c r="I1059" s="3" t="s">
        <v>4288</v>
      </c>
      <c r="K1059" s="17" t="s">
        <v>5504</v>
      </c>
      <c r="L1059" s="3">
        <v>0</v>
      </c>
      <c r="M1059" s="3">
        <v>0</v>
      </c>
      <c r="N1059" s="3">
        <v>0</v>
      </c>
      <c r="O1059" s="3">
        <v>0</v>
      </c>
      <c r="P1059" s="3">
        <v>0</v>
      </c>
      <c r="Q1059" s="3">
        <v>0</v>
      </c>
      <c r="R1059" s="3">
        <v>0</v>
      </c>
      <c r="S1059" s="3">
        <v>0</v>
      </c>
      <c r="T1059" s="3">
        <v>0</v>
      </c>
      <c r="U1059" s="3">
        <v>0</v>
      </c>
      <c r="V1059" s="3">
        <v>0</v>
      </c>
      <c r="W1059" s="3">
        <v>0</v>
      </c>
      <c r="X1059" s="3">
        <v>0</v>
      </c>
      <c r="Y1059" s="3">
        <v>0</v>
      </c>
      <c r="Z1059" s="3">
        <v>0</v>
      </c>
      <c r="AA1059" s="3">
        <v>0</v>
      </c>
      <c r="AB1059" s="3">
        <v>0</v>
      </c>
      <c r="AC1059" s="3">
        <v>0</v>
      </c>
      <c r="AD1059" s="3">
        <v>0</v>
      </c>
      <c r="AE1059" s="3">
        <v>0</v>
      </c>
      <c r="AG1059" s="17" t="s">
        <v>5505</v>
      </c>
      <c r="AH1059" s="3">
        <v>0</v>
      </c>
      <c r="AI1059" s="3">
        <v>0</v>
      </c>
      <c r="AJ1059" s="3">
        <v>0</v>
      </c>
      <c r="AK1059" s="3">
        <v>0</v>
      </c>
      <c r="AL1059" s="3">
        <v>0</v>
      </c>
      <c r="AM1059" s="3">
        <v>0</v>
      </c>
      <c r="AN1059" s="3">
        <v>0</v>
      </c>
      <c r="AO1059" s="3">
        <v>0</v>
      </c>
      <c r="AP1059" s="3">
        <v>0</v>
      </c>
      <c r="AQ1059" s="3">
        <v>0</v>
      </c>
      <c r="AR1059" s="3">
        <v>0</v>
      </c>
      <c r="AS1059" s="3">
        <v>0</v>
      </c>
      <c r="AT1059" s="3">
        <v>0</v>
      </c>
      <c r="AU1059" s="3">
        <v>0</v>
      </c>
      <c r="AV1059" s="3">
        <v>0</v>
      </c>
      <c r="AW1059" s="3">
        <v>0</v>
      </c>
      <c r="AX1059" s="3">
        <v>0</v>
      </c>
      <c r="AY1059" s="3">
        <v>0</v>
      </c>
      <c r="AZ1059" s="3">
        <v>0</v>
      </c>
      <c r="BA1059" s="3">
        <v>0</v>
      </c>
      <c r="BC1059" s="17" t="s">
        <v>5506</v>
      </c>
      <c r="BD1059" s="3">
        <v>0</v>
      </c>
      <c r="BE1059" s="3">
        <v>0</v>
      </c>
      <c r="BF1059" s="3">
        <v>0</v>
      </c>
      <c r="BG1059" s="3">
        <v>0</v>
      </c>
      <c r="BH1059" s="3">
        <v>0</v>
      </c>
      <c r="BI1059" s="3">
        <v>0</v>
      </c>
      <c r="BJ1059" s="3">
        <v>0</v>
      </c>
      <c r="BK1059" s="3">
        <v>0</v>
      </c>
      <c r="BL1059" s="3">
        <v>0</v>
      </c>
      <c r="BM1059" s="3">
        <v>0</v>
      </c>
      <c r="BN1059" s="3">
        <v>0</v>
      </c>
      <c r="BO1059" s="3">
        <v>0</v>
      </c>
      <c r="BP1059" s="3">
        <v>0</v>
      </c>
      <c r="BQ1059" s="3">
        <v>0</v>
      </c>
      <c r="BR1059" s="3">
        <v>0</v>
      </c>
      <c r="BS1059" s="3">
        <v>0</v>
      </c>
      <c r="BT1059" s="3">
        <v>0</v>
      </c>
      <c r="BU1059" s="3">
        <v>0</v>
      </c>
      <c r="BV1059" s="3">
        <v>0</v>
      </c>
      <c r="BW1059" s="3">
        <v>0</v>
      </c>
      <c r="BY1059" s="17" t="s">
        <v>5507</v>
      </c>
      <c r="BZ1059" s="3">
        <v>0</v>
      </c>
      <c r="CA1059" s="3">
        <v>0</v>
      </c>
      <c r="CB1059" s="3">
        <v>0</v>
      </c>
      <c r="CC1059" s="3">
        <v>0</v>
      </c>
      <c r="CD1059" s="3">
        <v>0</v>
      </c>
      <c r="CE1059" s="3">
        <v>0</v>
      </c>
      <c r="CF1059" s="3">
        <v>0</v>
      </c>
      <c r="CG1059" s="3">
        <v>0</v>
      </c>
      <c r="CH1059" s="3">
        <v>0</v>
      </c>
      <c r="CI1059" s="3">
        <v>0</v>
      </c>
      <c r="CJ1059" s="3">
        <v>0</v>
      </c>
      <c r="CK1059" s="3">
        <v>0</v>
      </c>
      <c r="CL1059" s="3">
        <v>0</v>
      </c>
      <c r="CM1059" s="3">
        <v>0</v>
      </c>
      <c r="CN1059" s="3">
        <v>0</v>
      </c>
      <c r="CO1059" s="3">
        <v>0</v>
      </c>
      <c r="CP1059" s="3">
        <v>0</v>
      </c>
      <c r="CQ1059" s="3">
        <v>0</v>
      </c>
      <c r="CR1059" s="3">
        <v>0</v>
      </c>
      <c r="CS1059" s="3">
        <v>0</v>
      </c>
      <c r="CU1059" s="17" t="s">
        <v>5508</v>
      </c>
      <c r="CV1059" s="3">
        <v>0</v>
      </c>
      <c r="CW1059" s="3">
        <v>0</v>
      </c>
      <c r="CX1059" s="3">
        <v>0</v>
      </c>
      <c r="CY1059" s="3">
        <v>0</v>
      </c>
      <c r="CZ1059" s="3">
        <v>0</v>
      </c>
      <c r="DA1059" s="3">
        <v>0</v>
      </c>
      <c r="DB1059" s="3">
        <v>0</v>
      </c>
      <c r="DC1059" s="3">
        <v>0</v>
      </c>
      <c r="DD1059" s="3">
        <v>0</v>
      </c>
      <c r="DE1059" s="3">
        <v>0</v>
      </c>
      <c r="DF1059" s="3">
        <v>0</v>
      </c>
      <c r="DG1059" s="3">
        <v>0</v>
      </c>
      <c r="DH1059" s="3">
        <v>0</v>
      </c>
      <c r="DI1059" s="3">
        <v>0</v>
      </c>
      <c r="DJ1059" s="3">
        <v>0</v>
      </c>
      <c r="DK1059" s="3">
        <v>0</v>
      </c>
      <c r="DL1059" s="3">
        <v>0</v>
      </c>
      <c r="DM1059" s="3">
        <v>0</v>
      </c>
      <c r="DN1059" s="3">
        <v>0</v>
      </c>
      <c r="DO1059" s="3">
        <v>0</v>
      </c>
    </row>
    <row r="1060" spans="1:119" x14ac:dyDescent="0.45">
      <c r="A1060" s="16" t="s">
        <v>5509</v>
      </c>
      <c r="B1060" s="3" t="s">
        <v>89</v>
      </c>
      <c r="C1060" s="16" t="s">
        <v>5510</v>
      </c>
      <c r="H1060" s="3" t="s">
        <v>5511</v>
      </c>
      <c r="I1060" s="3" t="s">
        <v>4288</v>
      </c>
      <c r="K1060" s="17" t="s">
        <v>5512</v>
      </c>
      <c r="L1060" s="3">
        <v>0</v>
      </c>
      <c r="M1060" s="3">
        <v>0</v>
      </c>
      <c r="N1060" s="3">
        <v>0</v>
      </c>
      <c r="O1060" s="3">
        <v>0</v>
      </c>
      <c r="P1060" s="3">
        <v>0</v>
      </c>
      <c r="Q1060" s="3">
        <v>0</v>
      </c>
      <c r="R1060" s="3">
        <v>0</v>
      </c>
      <c r="S1060" s="3">
        <v>0</v>
      </c>
      <c r="T1060" s="3">
        <v>0</v>
      </c>
      <c r="U1060" s="3">
        <v>0</v>
      </c>
      <c r="V1060" s="3">
        <v>0</v>
      </c>
      <c r="W1060" s="3">
        <v>0</v>
      </c>
      <c r="X1060" s="3">
        <v>0</v>
      </c>
      <c r="Y1060" s="3">
        <v>0</v>
      </c>
      <c r="Z1060" s="3">
        <v>0</v>
      </c>
      <c r="AA1060" s="3">
        <v>0</v>
      </c>
      <c r="AB1060" s="3">
        <v>0</v>
      </c>
      <c r="AC1060" s="3">
        <v>0</v>
      </c>
      <c r="AD1060" s="3">
        <v>0</v>
      </c>
      <c r="AE1060" s="3">
        <v>0</v>
      </c>
      <c r="AG1060" s="17" t="s">
        <v>5513</v>
      </c>
      <c r="AH1060" s="3">
        <v>0</v>
      </c>
      <c r="AI1060" s="3">
        <v>0</v>
      </c>
      <c r="AJ1060" s="3">
        <v>0</v>
      </c>
      <c r="AK1060" s="3">
        <v>0</v>
      </c>
      <c r="AL1060" s="3">
        <v>0</v>
      </c>
      <c r="AM1060" s="3">
        <v>0</v>
      </c>
      <c r="AN1060" s="3">
        <v>0</v>
      </c>
      <c r="AO1060" s="3">
        <v>0</v>
      </c>
      <c r="AP1060" s="3">
        <v>0</v>
      </c>
      <c r="AQ1060" s="3">
        <v>0</v>
      </c>
      <c r="AR1060" s="3">
        <v>0</v>
      </c>
      <c r="AS1060" s="3">
        <v>0</v>
      </c>
      <c r="AT1060" s="3">
        <v>0</v>
      </c>
      <c r="AU1060" s="3">
        <v>0</v>
      </c>
      <c r="AV1060" s="3">
        <v>0</v>
      </c>
      <c r="AW1060" s="3">
        <v>0</v>
      </c>
      <c r="AX1060" s="3">
        <v>0</v>
      </c>
      <c r="AY1060" s="3">
        <v>0</v>
      </c>
      <c r="AZ1060" s="3">
        <v>0</v>
      </c>
      <c r="BA1060" s="3">
        <v>0</v>
      </c>
      <c r="BC1060" s="17" t="s">
        <v>5514</v>
      </c>
      <c r="BD1060" s="3">
        <v>0</v>
      </c>
      <c r="BE1060" s="3">
        <v>0</v>
      </c>
      <c r="BF1060" s="3">
        <v>0</v>
      </c>
      <c r="BG1060" s="3">
        <v>0</v>
      </c>
      <c r="BH1060" s="3">
        <v>0</v>
      </c>
      <c r="BI1060" s="3">
        <v>0</v>
      </c>
      <c r="BJ1060" s="3">
        <v>0</v>
      </c>
      <c r="BK1060" s="3">
        <v>0</v>
      </c>
      <c r="BL1060" s="3">
        <v>0</v>
      </c>
      <c r="BM1060" s="3">
        <v>0</v>
      </c>
      <c r="BN1060" s="3">
        <v>0</v>
      </c>
      <c r="BO1060" s="3">
        <v>0</v>
      </c>
      <c r="BP1060" s="3">
        <v>0</v>
      </c>
      <c r="BQ1060" s="3">
        <v>0</v>
      </c>
      <c r="BR1060" s="3">
        <v>0</v>
      </c>
      <c r="BS1060" s="3">
        <v>0</v>
      </c>
      <c r="BT1060" s="3">
        <v>0</v>
      </c>
      <c r="BU1060" s="3">
        <v>0</v>
      </c>
      <c r="BV1060" s="3">
        <v>0</v>
      </c>
      <c r="BW1060" s="3">
        <v>0</v>
      </c>
      <c r="BY1060" s="17" t="s">
        <v>5515</v>
      </c>
      <c r="BZ1060" s="3">
        <v>0</v>
      </c>
      <c r="CA1060" s="3">
        <v>0</v>
      </c>
      <c r="CB1060" s="3">
        <v>0</v>
      </c>
      <c r="CC1060" s="3">
        <v>0</v>
      </c>
      <c r="CD1060" s="3">
        <v>0</v>
      </c>
      <c r="CE1060" s="3">
        <v>0</v>
      </c>
      <c r="CF1060" s="3">
        <v>0</v>
      </c>
      <c r="CG1060" s="3">
        <v>0</v>
      </c>
      <c r="CH1060" s="3">
        <v>0</v>
      </c>
      <c r="CI1060" s="3">
        <v>0</v>
      </c>
      <c r="CJ1060" s="3">
        <v>0</v>
      </c>
      <c r="CK1060" s="3">
        <v>0</v>
      </c>
      <c r="CL1060" s="3">
        <v>0</v>
      </c>
      <c r="CM1060" s="3">
        <v>0</v>
      </c>
      <c r="CN1060" s="3">
        <v>0</v>
      </c>
      <c r="CO1060" s="3">
        <v>0</v>
      </c>
      <c r="CP1060" s="3">
        <v>0</v>
      </c>
      <c r="CQ1060" s="3">
        <v>0</v>
      </c>
      <c r="CR1060" s="3">
        <v>0</v>
      </c>
      <c r="CS1060" s="3">
        <v>0</v>
      </c>
      <c r="CU1060" s="17" t="s">
        <v>5516</v>
      </c>
      <c r="CV1060" s="3">
        <v>0</v>
      </c>
      <c r="CW1060" s="3">
        <v>0</v>
      </c>
      <c r="CX1060" s="3">
        <v>0</v>
      </c>
      <c r="CY1060" s="3">
        <v>0</v>
      </c>
      <c r="CZ1060" s="3">
        <v>0</v>
      </c>
      <c r="DA1060" s="3">
        <v>0</v>
      </c>
      <c r="DB1060" s="3">
        <v>0</v>
      </c>
      <c r="DC1060" s="3">
        <v>0</v>
      </c>
      <c r="DD1060" s="3">
        <v>0</v>
      </c>
      <c r="DE1060" s="3">
        <v>0</v>
      </c>
      <c r="DF1060" s="3">
        <v>0</v>
      </c>
      <c r="DG1060" s="3">
        <v>0</v>
      </c>
      <c r="DH1060" s="3">
        <v>0</v>
      </c>
      <c r="DI1060" s="3">
        <v>0</v>
      </c>
      <c r="DJ1060" s="3">
        <v>0</v>
      </c>
      <c r="DK1060" s="3">
        <v>0</v>
      </c>
      <c r="DL1060" s="3">
        <v>0</v>
      </c>
      <c r="DM1060" s="3">
        <v>0</v>
      </c>
      <c r="DN1060" s="3">
        <v>0</v>
      </c>
      <c r="DO1060" s="3">
        <v>0</v>
      </c>
    </row>
    <row r="1061" spans="1:119" x14ac:dyDescent="0.45">
      <c r="A1061" s="16" t="s">
        <v>5517</v>
      </c>
      <c r="B1061" s="3" t="s">
        <v>89</v>
      </c>
      <c r="C1061" s="16" t="s">
        <v>5518</v>
      </c>
      <c r="H1061" s="3" t="s">
        <v>5519</v>
      </c>
      <c r="I1061" s="3" t="s">
        <v>5072</v>
      </c>
      <c r="K1061" s="17" t="s">
        <v>5520</v>
      </c>
      <c r="L1061" s="3">
        <v>10.909610564033819</v>
      </c>
      <c r="M1061" s="3">
        <v>8.5657280559974165</v>
      </c>
      <c r="N1061" s="3">
        <v>7.4106332917402824</v>
      </c>
      <c r="O1061" s="3">
        <v>6.6549042263265301</v>
      </c>
      <c r="P1061" s="3">
        <v>7.0712371327982453</v>
      </c>
      <c r="Q1061" s="3">
        <v>7.1651110821500579</v>
      </c>
      <c r="R1061" s="3">
        <v>7.1205207999874149</v>
      </c>
      <c r="S1061" s="3">
        <v>7.0727116494052504</v>
      </c>
      <c r="T1061" s="3">
        <v>7.0215520707615831</v>
      </c>
      <c r="U1061" s="3">
        <v>6.9721809531996941</v>
      </c>
      <c r="V1061" s="3">
        <v>6.9721370913737362</v>
      </c>
      <c r="W1061" s="3">
        <v>6.972094199635964</v>
      </c>
      <c r="X1061" s="3">
        <v>6.9720522498997664</v>
      </c>
      <c r="Y1061" s="3">
        <v>6.972011215069192</v>
      </c>
      <c r="Z1061" s="3">
        <v>6.971971069011845</v>
      </c>
      <c r="AA1061" s="3">
        <v>6.971931786532136</v>
      </c>
      <c r="AB1061" s="3">
        <v>6.9718933433449486</v>
      </c>
      <c r="AC1061" s="3">
        <v>6.9718557160497818</v>
      </c>
      <c r="AD1061" s="3">
        <v>6.9718188821054117</v>
      </c>
      <c r="AE1061" s="3">
        <v>6.9717828198051164</v>
      </c>
      <c r="AG1061" s="17" t="s">
        <v>5521</v>
      </c>
      <c r="AH1061" s="3">
        <v>10.909610564033819</v>
      </c>
      <c r="AI1061" s="3">
        <v>8.5657280559974165</v>
      </c>
      <c r="AJ1061" s="3">
        <v>7.4106332917402824</v>
      </c>
      <c r="AK1061" s="3">
        <v>6.6549042263265301</v>
      </c>
      <c r="AL1061" s="3">
        <v>7.0712371327982453</v>
      </c>
      <c r="AM1061" s="3">
        <v>7.1654206518660937</v>
      </c>
      <c r="AN1061" s="3">
        <v>7.120827938811801</v>
      </c>
      <c r="AO1061" s="3">
        <v>7.073016031036369</v>
      </c>
      <c r="AP1061" s="3">
        <v>7.0218560527711036</v>
      </c>
      <c r="AQ1061" s="3">
        <v>6.972482925784111</v>
      </c>
      <c r="AR1061" s="3">
        <v>6.9724369328932028</v>
      </c>
      <c r="AS1061" s="3">
        <v>6.9723907259681734</v>
      </c>
      <c r="AT1061" s="3">
        <v>6.9723449794095851</v>
      </c>
      <c r="AU1061" s="3">
        <v>6.9723005204783037</v>
      </c>
      <c r="AV1061" s="3">
        <v>6.9722568101144589</v>
      </c>
      <c r="AW1061" s="3">
        <v>6.972213530874706</v>
      </c>
      <c r="AX1061" s="3">
        <v>6.9721716933029168</v>
      </c>
      <c r="AY1061" s="3">
        <v>6.9721310196966266</v>
      </c>
      <c r="AZ1061" s="3">
        <v>6.9720918006348258</v>
      </c>
      <c r="BA1061" s="3">
        <v>6.9720535687498142</v>
      </c>
      <c r="BC1061" s="17" t="s">
        <v>5522</v>
      </c>
      <c r="BD1061" s="3">
        <v>10.909610564033819</v>
      </c>
      <c r="BE1061" s="3">
        <v>8.5657280559974165</v>
      </c>
      <c r="BF1061" s="3">
        <v>7.4106332917402824</v>
      </c>
      <c r="BG1061" s="3">
        <v>6.6549042263265301</v>
      </c>
      <c r="BH1061" s="3">
        <v>7.0712371327982453</v>
      </c>
      <c r="BI1061" s="3">
        <v>7.1653669883152844</v>
      </c>
      <c r="BJ1061" s="3">
        <v>7.1210492945847754</v>
      </c>
      <c r="BK1061" s="3">
        <v>7.0734557394372581</v>
      </c>
      <c r="BL1061" s="3">
        <v>7.0224715548215917</v>
      </c>
      <c r="BM1061" s="3">
        <v>6.9731758816571423</v>
      </c>
      <c r="BN1061" s="3">
        <v>6.9731937192260833</v>
      </c>
      <c r="BO1061" s="3">
        <v>6.9732018815237877</v>
      </c>
      <c r="BP1061" s="3">
        <v>6.9732018569412793</v>
      </c>
      <c r="BQ1061" s="3">
        <v>6.9731954430854897</v>
      </c>
      <c r="BR1061" s="3">
        <v>6.9731838197083018</v>
      </c>
      <c r="BS1061" s="3">
        <v>6.9731676478795306</v>
      </c>
      <c r="BT1061" s="3">
        <v>6.9731480304178293</v>
      </c>
      <c r="BU1061" s="3">
        <v>6.9731257831986868</v>
      </c>
      <c r="BV1061" s="3">
        <v>6.9731018878484958</v>
      </c>
      <c r="BW1061" s="3">
        <v>6.9730768209714062</v>
      </c>
      <c r="BY1061" s="17" t="s">
        <v>5523</v>
      </c>
      <c r="BZ1061" s="3">
        <v>10.909610564033819</v>
      </c>
      <c r="CA1061" s="3">
        <v>8.5657280559974165</v>
      </c>
      <c r="CB1061" s="3">
        <v>7.4106332917402824</v>
      </c>
      <c r="CC1061" s="3">
        <v>6.6549042263265301</v>
      </c>
      <c r="CD1061" s="3">
        <v>7.0712371327982453</v>
      </c>
      <c r="CE1061" s="3">
        <v>7.1651209033787069</v>
      </c>
      <c r="CF1061" s="3">
        <v>7.1206966179527056</v>
      </c>
      <c r="CG1061" s="3">
        <v>7.0730404007201573</v>
      </c>
      <c r="CH1061" s="3">
        <v>7.0220244452614038</v>
      </c>
      <c r="CI1061" s="3">
        <v>6.9727832035849078</v>
      </c>
      <c r="CJ1061" s="3">
        <v>6.9728613818023</v>
      </c>
      <c r="CK1061" s="3">
        <v>6.9729342088710942</v>
      </c>
      <c r="CL1061" s="3">
        <v>6.9730010446439277</v>
      </c>
      <c r="CM1061" s="3">
        <v>6.9730638749751943</v>
      </c>
      <c r="CN1061" s="3">
        <v>6.9730660075685353</v>
      </c>
      <c r="CO1061" s="3">
        <v>6.973068181710623</v>
      </c>
      <c r="CP1061" s="3">
        <v>6.973070816933121</v>
      </c>
      <c r="CQ1061" s="3">
        <v>6.9730735346363124</v>
      </c>
      <c r="CR1061" s="3">
        <v>6.9730770854334816</v>
      </c>
      <c r="CS1061" s="3">
        <v>6.9730808773582096</v>
      </c>
      <c r="CU1061" s="17" t="s">
        <v>5524</v>
      </c>
      <c r="CV1061" s="3">
        <v>10.909610564033819</v>
      </c>
      <c r="CW1061" s="3">
        <v>8.5657280559974165</v>
      </c>
      <c r="CX1061" s="3">
        <v>7.4106332917402824</v>
      </c>
      <c r="CY1061" s="3">
        <v>6.6549042263265301</v>
      </c>
      <c r="CZ1061" s="3">
        <v>7.0712371327982453</v>
      </c>
      <c r="DA1061" s="3">
        <v>7.1657435841738684</v>
      </c>
      <c r="DB1061" s="3">
        <v>7.1211478221941826</v>
      </c>
      <c r="DC1061" s="3">
        <v>7.0733323515912812</v>
      </c>
      <c r="DD1061" s="3">
        <v>7.0221717348332611</v>
      </c>
      <c r="DE1061" s="3">
        <v>6.9727957512315024</v>
      </c>
      <c r="DF1061" s="3">
        <v>6.9727477792912653</v>
      </c>
      <c r="DG1061" s="3">
        <v>6.9726978779989457</v>
      </c>
      <c r="DH1061" s="3">
        <v>6.9726480262992503</v>
      </c>
      <c r="DI1061" s="3">
        <v>6.9725998450539732</v>
      </c>
      <c r="DJ1061" s="3">
        <v>6.9725522473858543</v>
      </c>
      <c r="DK1061" s="3">
        <v>6.9725045248609003</v>
      </c>
      <c r="DL1061" s="3">
        <v>6.9724590207120114</v>
      </c>
      <c r="DM1061" s="3">
        <v>6.9724150343763887</v>
      </c>
      <c r="DN1061" s="3">
        <v>6.9723733084997122</v>
      </c>
      <c r="DO1061" s="3">
        <v>6.9723327825750161</v>
      </c>
    </row>
    <row r="1062" spans="1:119" x14ac:dyDescent="0.45">
      <c r="A1062" s="16" t="s">
        <v>5525</v>
      </c>
      <c r="B1062" s="3" t="s">
        <v>89</v>
      </c>
      <c r="C1062" s="16" t="s">
        <v>5526</v>
      </c>
      <c r="H1062" s="3" t="s">
        <v>5527</v>
      </c>
      <c r="I1062" s="3" t="s">
        <v>5072</v>
      </c>
      <c r="K1062" s="17" t="s">
        <v>5528</v>
      </c>
      <c r="L1062" s="3">
        <v>6.9173699254875602</v>
      </c>
      <c r="M1062" s="3">
        <v>7.120118089823654</v>
      </c>
      <c r="N1062" s="3">
        <v>7.2509332632281689</v>
      </c>
      <c r="O1062" s="3">
        <v>7.0255149467277187</v>
      </c>
      <c r="P1062" s="3">
        <v>7.4103240105916992</v>
      </c>
      <c r="Q1062" s="3">
        <v>7.6976115943197909</v>
      </c>
      <c r="R1062" s="3">
        <v>8.0656162571629295</v>
      </c>
      <c r="S1062" s="3">
        <v>8.4365902950211229</v>
      </c>
      <c r="T1062" s="3">
        <v>8.8096918696590834</v>
      </c>
      <c r="U1062" s="3">
        <v>9.123928447107911</v>
      </c>
      <c r="V1062" s="3">
        <v>9.4838312944489367</v>
      </c>
      <c r="W1062" s="3">
        <v>9.8572241887210232</v>
      </c>
      <c r="X1062" s="3">
        <v>10.24453797487929</v>
      </c>
      <c r="Y1062" s="3">
        <v>10.646286678815949</v>
      </c>
      <c r="Z1062" s="3">
        <v>11.062908343591991</v>
      </c>
      <c r="AA1062" s="3">
        <v>11.49501499198524</v>
      </c>
      <c r="AB1062" s="3">
        <v>11.942976987333379</v>
      </c>
      <c r="AC1062" s="3">
        <v>12.407304722059759</v>
      </c>
      <c r="AD1062" s="3">
        <v>12.888522502388071</v>
      </c>
      <c r="AE1062" s="3">
        <v>13.304021214584299</v>
      </c>
      <c r="AG1062" s="17" t="s">
        <v>5529</v>
      </c>
      <c r="AH1062" s="3">
        <v>6.9173699254875602</v>
      </c>
      <c r="AI1062" s="3">
        <v>7.120118089823654</v>
      </c>
      <c r="AJ1062" s="3">
        <v>7.2509332632281689</v>
      </c>
      <c r="AK1062" s="3">
        <v>7.0255149467277187</v>
      </c>
      <c r="AL1062" s="3">
        <v>7.4103240105916992</v>
      </c>
      <c r="AM1062" s="3">
        <v>7.6975351578692148</v>
      </c>
      <c r="AN1062" s="3">
        <v>8.0655335666288739</v>
      </c>
      <c r="AO1062" s="3">
        <v>8.4365019183087959</v>
      </c>
      <c r="AP1062" s="3">
        <v>8.8095976250425778</v>
      </c>
      <c r="AQ1062" s="3">
        <v>9.1238329722986489</v>
      </c>
      <c r="AR1062" s="3">
        <v>9.4837329979704759</v>
      </c>
      <c r="AS1062" s="3">
        <v>9.8571234364208333</v>
      </c>
      <c r="AT1062" s="3">
        <v>10.24443493346304</v>
      </c>
      <c r="AU1062" s="3">
        <v>10.646181223600509</v>
      </c>
      <c r="AV1062" s="3">
        <v>11.062800536878409</v>
      </c>
      <c r="AW1062" s="3">
        <v>11.4949050144266</v>
      </c>
      <c r="AX1062" s="3">
        <v>11.942864632546041</v>
      </c>
      <c r="AY1062" s="3">
        <v>12.407189872165491</v>
      </c>
      <c r="AZ1062" s="3">
        <v>12.888404896978869</v>
      </c>
      <c r="BA1062" s="3">
        <v>13.3039051636715</v>
      </c>
      <c r="BC1062" s="17" t="s">
        <v>5530</v>
      </c>
      <c r="BD1062" s="3">
        <v>6.9173699254875602</v>
      </c>
      <c r="BE1062" s="3">
        <v>7.120118089823654</v>
      </c>
      <c r="BF1062" s="3">
        <v>7.2509332632281689</v>
      </c>
      <c r="BG1062" s="3">
        <v>7.0255149467277187</v>
      </c>
      <c r="BH1062" s="3">
        <v>7.4103240105916992</v>
      </c>
      <c r="BI1062" s="3">
        <v>7.6975484080391654</v>
      </c>
      <c r="BJ1062" s="3">
        <v>8.0654739713396069</v>
      </c>
      <c r="BK1062" s="3">
        <v>8.4363742496886172</v>
      </c>
      <c r="BL1062" s="3">
        <v>8.8094067987670392</v>
      </c>
      <c r="BM1062" s="3">
        <v>9.123613880125319</v>
      </c>
      <c r="BN1062" s="3">
        <v>9.4834849021377163</v>
      </c>
      <c r="BO1062" s="3">
        <v>9.8568478258623067</v>
      </c>
      <c r="BP1062" s="3">
        <v>10.24413331073127</v>
      </c>
      <c r="BQ1062" s="3">
        <v>10.6458550138119</v>
      </c>
      <c r="BR1062" s="3">
        <v>11.06245078720341</v>
      </c>
      <c r="BS1062" s="3">
        <v>11.49453257941018</v>
      </c>
      <c r="BT1062" s="3">
        <v>11.94247053818469</v>
      </c>
      <c r="BU1062" s="3">
        <v>12.406774881356821</v>
      </c>
      <c r="BV1062" s="3">
        <v>12.88796963257837</v>
      </c>
      <c r="BW1062" s="3">
        <v>13.30346656785547</v>
      </c>
      <c r="BY1062" s="17" t="s">
        <v>5531</v>
      </c>
      <c r="BZ1062" s="3">
        <v>6.9173699254875602</v>
      </c>
      <c r="CA1062" s="3">
        <v>7.120118089823654</v>
      </c>
      <c r="CB1062" s="3">
        <v>7.2509332632281689</v>
      </c>
      <c r="CC1062" s="3">
        <v>7.0255149467277187</v>
      </c>
      <c r="CD1062" s="3">
        <v>7.4103240105916992</v>
      </c>
      <c r="CE1062" s="3">
        <v>7.6976091693414421</v>
      </c>
      <c r="CF1062" s="3">
        <v>8.0655689219506659</v>
      </c>
      <c r="CG1062" s="3">
        <v>8.4364948426106814</v>
      </c>
      <c r="CH1062" s="3">
        <v>8.8095454177238057</v>
      </c>
      <c r="CI1062" s="3">
        <v>9.1237380333298912</v>
      </c>
      <c r="CJ1062" s="3">
        <v>9.4835938516870524</v>
      </c>
      <c r="CK1062" s="3">
        <v>9.8569387743971451</v>
      </c>
      <c r="CL1062" s="3">
        <v>10.244203997091301</v>
      </c>
      <c r="CM1062" s="3">
        <v>10.64590297193152</v>
      </c>
      <c r="CN1062" s="3">
        <v>11.06249523632008</v>
      </c>
      <c r="CO1062" s="3">
        <v>11.494571405554209</v>
      </c>
      <c r="CP1062" s="3">
        <v>11.942501705082361</v>
      </c>
      <c r="CQ1062" s="3">
        <v>12.40679667816894</v>
      </c>
      <c r="CR1062" s="3">
        <v>12.88798032037657</v>
      </c>
      <c r="CS1062" s="3">
        <v>13.303464829169499</v>
      </c>
      <c r="CU1062" s="17" t="s">
        <v>5532</v>
      </c>
      <c r="CV1062" s="3">
        <v>6.9173699254875602</v>
      </c>
      <c r="CW1062" s="3">
        <v>7.120118089823654</v>
      </c>
      <c r="CX1062" s="3">
        <v>7.2509332632281689</v>
      </c>
      <c r="CY1062" s="3">
        <v>7.0255149467277187</v>
      </c>
      <c r="CZ1062" s="3">
        <v>7.4103240105916992</v>
      </c>
      <c r="DA1062" s="3">
        <v>7.69745542203556</v>
      </c>
      <c r="DB1062" s="3">
        <v>8.0654474448962077</v>
      </c>
      <c r="DC1062" s="3">
        <v>8.4364100751493343</v>
      </c>
      <c r="DD1062" s="3">
        <v>8.8094997530174108</v>
      </c>
      <c r="DE1062" s="3">
        <v>9.1237340661347659</v>
      </c>
      <c r="DF1062" s="3">
        <v>9.4836310937834742</v>
      </c>
      <c r="DG1062" s="3">
        <v>9.8570190737715642</v>
      </c>
      <c r="DH1062" s="3">
        <v>10.24432826030692</v>
      </c>
      <c r="DI1062" s="3">
        <v>10.646072116281321</v>
      </c>
      <c r="DJ1062" s="3">
        <v>11.062689071915869</v>
      </c>
      <c r="DK1062" s="3">
        <v>11.494791426313739</v>
      </c>
      <c r="DL1062" s="3">
        <v>11.94274865404839</v>
      </c>
      <c r="DM1062" s="3">
        <v>12.40707138824305</v>
      </c>
      <c r="DN1062" s="3">
        <v>12.888283590273479</v>
      </c>
      <c r="DO1062" s="3">
        <v>13.30378548446345</v>
      </c>
    </row>
    <row r="1063" spans="1:119" x14ac:dyDescent="0.45">
      <c r="A1063" s="16" t="s">
        <v>5533</v>
      </c>
      <c r="B1063" s="3" t="s">
        <v>89</v>
      </c>
      <c r="C1063" s="16" t="s">
        <v>5534</v>
      </c>
      <c r="H1063" s="3" t="s">
        <v>5535</v>
      </c>
      <c r="I1063" s="3" t="s">
        <v>5072</v>
      </c>
      <c r="K1063" s="17" t="s">
        <v>5536</v>
      </c>
      <c r="L1063" s="3">
        <v>3.5969570122444498E-3</v>
      </c>
      <c r="M1063" s="3">
        <v>2.8874722989582001E-3</v>
      </c>
      <c r="N1063" s="3">
        <v>2.6742526603078468E-3</v>
      </c>
      <c r="O1063" s="3">
        <v>2.5052268846007348E-3</v>
      </c>
      <c r="P1063" s="3">
        <v>2.615921085633079E-3</v>
      </c>
      <c r="Q1063" s="3">
        <v>2.6479866832390879E-3</v>
      </c>
      <c r="R1063" s="3">
        <v>2.6453819985131342E-3</v>
      </c>
      <c r="S1063" s="3">
        <v>2.6449947626033402E-3</v>
      </c>
      <c r="T1063" s="3">
        <v>2.6471474767840448E-3</v>
      </c>
      <c r="U1063" s="3">
        <v>2.651289705137921E-3</v>
      </c>
      <c r="V1063" s="3">
        <v>2.6680660759340539E-3</v>
      </c>
      <c r="W1063" s="3">
        <v>2.6862542547071138E-3</v>
      </c>
      <c r="X1063" s="3">
        <v>2.7058844012748228E-3</v>
      </c>
      <c r="Y1063" s="3">
        <v>2.7269884743158601E-3</v>
      </c>
      <c r="Z1063" s="3">
        <v>2.7496002814907791E-3</v>
      </c>
      <c r="AA1063" s="3">
        <v>2.7737555322370679E-3</v>
      </c>
      <c r="AB1063" s="3">
        <v>2.79949189338601E-3</v>
      </c>
      <c r="AC1063" s="3">
        <v>2.8268490477541329E-3</v>
      </c>
      <c r="AD1063" s="3">
        <v>2.855868755867969E-3</v>
      </c>
      <c r="AE1063" s="3">
        <v>2.886594920987339E-3</v>
      </c>
      <c r="AG1063" s="17" t="s">
        <v>5537</v>
      </c>
      <c r="AH1063" s="3">
        <v>3.5969570122444498E-3</v>
      </c>
      <c r="AI1063" s="3">
        <v>2.8874722989582001E-3</v>
      </c>
      <c r="AJ1063" s="3">
        <v>2.6742526603078468E-3</v>
      </c>
      <c r="AK1063" s="3">
        <v>2.5052268846007348E-3</v>
      </c>
      <c r="AL1063" s="3">
        <v>2.615921085633079E-3</v>
      </c>
      <c r="AM1063" s="3">
        <v>2.804401559513935E-3</v>
      </c>
      <c r="AN1063" s="3">
        <v>2.8026948331214708E-3</v>
      </c>
      <c r="AO1063" s="3">
        <v>2.803101925113652E-3</v>
      </c>
      <c r="AP1063" s="3">
        <v>2.8073560654431049E-3</v>
      </c>
      <c r="AQ1063" s="3">
        <v>2.8128408188614301E-3</v>
      </c>
      <c r="AR1063" s="3">
        <v>2.8309335934728419E-3</v>
      </c>
      <c r="AS1063" s="3">
        <v>2.8498475402436519E-3</v>
      </c>
      <c r="AT1063" s="3">
        <v>2.8699769066638432E-3</v>
      </c>
      <c r="AU1063" s="3">
        <v>2.8918276899977139E-3</v>
      </c>
      <c r="AV1063" s="3">
        <v>2.9151472502900819E-3</v>
      </c>
      <c r="AW1063" s="3">
        <v>2.93979525296804E-3</v>
      </c>
      <c r="AX1063" s="3">
        <v>2.9664166697979211E-3</v>
      </c>
      <c r="AY1063" s="3">
        <v>2.994915006437534E-3</v>
      </c>
      <c r="AZ1063" s="3">
        <v>3.0255386758693179E-3</v>
      </c>
      <c r="BA1063" s="3">
        <v>3.0580731555948722E-3</v>
      </c>
      <c r="BC1063" s="17" t="s">
        <v>5538</v>
      </c>
      <c r="BD1063" s="3">
        <v>3.5969570122444498E-3</v>
      </c>
      <c r="BE1063" s="3">
        <v>2.8874722989582001E-3</v>
      </c>
      <c r="BF1063" s="3">
        <v>2.6742526603078468E-3</v>
      </c>
      <c r="BG1063" s="3">
        <v>2.5052268846007348E-3</v>
      </c>
      <c r="BH1063" s="3">
        <v>2.615921085633079E-3</v>
      </c>
      <c r="BI1063" s="3">
        <v>2.7772872223382249E-3</v>
      </c>
      <c r="BJ1063" s="3">
        <v>2.9160706141646989E-3</v>
      </c>
      <c r="BK1063" s="3">
        <v>3.031502855028647E-3</v>
      </c>
      <c r="BL1063" s="3">
        <v>3.131746035038698E-3</v>
      </c>
      <c r="BM1063" s="3">
        <v>3.1835625294621998E-3</v>
      </c>
      <c r="BN1063" s="3">
        <v>3.2420037866982511E-3</v>
      </c>
      <c r="BO1063" s="3">
        <v>3.2973612616535048E-3</v>
      </c>
      <c r="BP1063" s="3">
        <v>3.3503083261859391E-3</v>
      </c>
      <c r="BQ1063" s="3">
        <v>3.4017329182333442E-3</v>
      </c>
      <c r="BR1063" s="3">
        <v>3.4522195402223771E-3</v>
      </c>
      <c r="BS1063" s="3">
        <v>3.5020827494307788E-3</v>
      </c>
      <c r="BT1063" s="3">
        <v>3.551920097926944E-3</v>
      </c>
      <c r="BU1063" s="3">
        <v>3.6021931284371568E-3</v>
      </c>
      <c r="BV1063" s="3">
        <v>3.6534968328537582E-3</v>
      </c>
      <c r="BW1063" s="3">
        <v>3.706147646566787E-3</v>
      </c>
      <c r="BY1063" s="17" t="s">
        <v>5539</v>
      </c>
      <c r="BZ1063" s="3">
        <v>3.5969570122444498E-3</v>
      </c>
      <c r="CA1063" s="3">
        <v>2.8874722989582001E-3</v>
      </c>
      <c r="CB1063" s="3">
        <v>2.6742526603078468E-3</v>
      </c>
      <c r="CC1063" s="3">
        <v>2.5052268846007348E-3</v>
      </c>
      <c r="CD1063" s="3">
        <v>2.615921085633079E-3</v>
      </c>
      <c r="CE1063" s="3">
        <v>2.6529490105746201E-3</v>
      </c>
      <c r="CF1063" s="3">
        <v>2.7354338587768198E-3</v>
      </c>
      <c r="CG1063" s="3">
        <v>2.8157604470512841E-3</v>
      </c>
      <c r="CH1063" s="3">
        <v>2.8961044859653791E-3</v>
      </c>
      <c r="CI1063" s="3">
        <v>2.9734852470268522E-3</v>
      </c>
      <c r="CJ1063" s="3">
        <v>3.0614851870951381E-3</v>
      </c>
      <c r="CK1063" s="3">
        <v>3.149686522698951E-3</v>
      </c>
      <c r="CL1063" s="3">
        <v>3.237740949545894E-3</v>
      </c>
      <c r="CM1063" s="3">
        <v>3.3267685953189199E-3</v>
      </c>
      <c r="CN1063" s="3">
        <v>3.3839638974479331E-3</v>
      </c>
      <c r="CO1063" s="3">
        <v>3.4434645895876962E-3</v>
      </c>
      <c r="CP1063" s="3">
        <v>3.5056156408862409E-3</v>
      </c>
      <c r="CQ1063" s="3">
        <v>3.570296693988262E-3</v>
      </c>
      <c r="CR1063" s="3">
        <v>3.6380774922160491E-3</v>
      </c>
      <c r="CS1063" s="3">
        <v>3.7087167500181699E-3</v>
      </c>
      <c r="CU1063" s="17" t="s">
        <v>5540</v>
      </c>
      <c r="CV1063" s="3">
        <v>3.5969570122444498E-3</v>
      </c>
      <c r="CW1063" s="3">
        <v>2.8874722989582001E-3</v>
      </c>
      <c r="CX1063" s="3">
        <v>2.6742526603078468E-3</v>
      </c>
      <c r="CY1063" s="3">
        <v>2.5052268846007348E-3</v>
      </c>
      <c r="CZ1063" s="3">
        <v>2.615921085633079E-3</v>
      </c>
      <c r="DA1063" s="3">
        <v>2.9675680914765259E-3</v>
      </c>
      <c r="DB1063" s="3">
        <v>2.9665352779983311E-3</v>
      </c>
      <c r="DC1063" s="3">
        <v>2.9674106095667761E-3</v>
      </c>
      <c r="DD1063" s="3">
        <v>2.9737309694160522E-3</v>
      </c>
      <c r="DE1063" s="3">
        <v>2.98019806264747E-3</v>
      </c>
      <c r="DF1063" s="3">
        <v>2.9997787263235601E-3</v>
      </c>
      <c r="DG1063" s="3">
        <v>3.0193030132138199E-3</v>
      </c>
      <c r="DH1063" s="3">
        <v>3.0398529243098708E-3</v>
      </c>
      <c r="DI1063" s="3">
        <v>3.062375584136912E-3</v>
      </c>
      <c r="DJ1063" s="3">
        <v>3.0863117915571922E-3</v>
      </c>
      <c r="DK1063" s="3">
        <v>3.1112860440930118E-3</v>
      </c>
      <c r="DL1063" s="3">
        <v>3.1387251690353272E-3</v>
      </c>
      <c r="DM1063" s="3">
        <v>3.1682988318278769E-3</v>
      </c>
      <c r="DN1063" s="3">
        <v>3.200548474644389E-3</v>
      </c>
      <c r="DO1063" s="3">
        <v>3.2349126032126408E-3</v>
      </c>
    </row>
    <row r="1064" spans="1:119" x14ac:dyDescent="0.45">
      <c r="A1064" s="16" t="s">
        <v>5541</v>
      </c>
      <c r="B1064" s="3" t="s">
        <v>89</v>
      </c>
      <c r="C1064" s="16" t="s">
        <v>5542</v>
      </c>
      <c r="H1064" s="3" t="s">
        <v>5543</v>
      </c>
      <c r="I1064" s="3" t="s">
        <v>5072</v>
      </c>
      <c r="K1064" s="17" t="s">
        <v>5544</v>
      </c>
      <c r="L1064" s="3">
        <v>17.830577446533631</v>
      </c>
      <c r="M1064" s="3">
        <v>15.688733618120031</v>
      </c>
      <c r="N1064" s="3">
        <v>14.66424080762876</v>
      </c>
      <c r="O1064" s="3">
        <v>13.68292439993885</v>
      </c>
      <c r="P1064" s="3">
        <v>14.484177064475579</v>
      </c>
      <c r="Q1064" s="3">
        <v>14.86537066315309</v>
      </c>
      <c r="R1064" s="3">
        <v>15.188782439148859</v>
      </c>
      <c r="S1064" s="3">
        <v>15.511946939188981</v>
      </c>
      <c r="T1064" s="3">
        <v>15.833891087897451</v>
      </c>
      <c r="U1064" s="3">
        <v>16.098760690012739</v>
      </c>
      <c r="V1064" s="3">
        <v>16.458636451898609</v>
      </c>
      <c r="W1064" s="3">
        <v>16.8320046426117</v>
      </c>
      <c r="X1064" s="3">
        <v>17.21929610918033</v>
      </c>
      <c r="Y1064" s="3">
        <v>17.62102488235946</v>
      </c>
      <c r="Z1064" s="3">
        <v>18.037629012885329</v>
      </c>
      <c r="AA1064" s="3">
        <v>18.46972053404961</v>
      </c>
      <c r="AB1064" s="3">
        <v>18.91766982257171</v>
      </c>
      <c r="AC1064" s="3">
        <v>19.381987287157301</v>
      </c>
      <c r="AD1064" s="3">
        <v>19.86319725324935</v>
      </c>
      <c r="AE1064" s="3">
        <v>20.2786906293104</v>
      </c>
      <c r="AG1064" s="17" t="s">
        <v>5545</v>
      </c>
      <c r="AH1064" s="3">
        <v>17.830577446533631</v>
      </c>
      <c r="AI1064" s="3">
        <v>15.688733618120031</v>
      </c>
      <c r="AJ1064" s="3">
        <v>14.66424080762876</v>
      </c>
      <c r="AK1064" s="3">
        <v>13.68292439993885</v>
      </c>
      <c r="AL1064" s="3">
        <v>14.484177064475579</v>
      </c>
      <c r="AM1064" s="3">
        <v>14.86576021129482</v>
      </c>
      <c r="AN1064" s="3">
        <v>15.189164200273799</v>
      </c>
      <c r="AO1064" s="3">
        <v>15.51232105127028</v>
      </c>
      <c r="AP1064" s="3">
        <v>15.83426103387912</v>
      </c>
      <c r="AQ1064" s="3">
        <v>16.099128738901619</v>
      </c>
      <c r="AR1064" s="3">
        <v>16.459000864457149</v>
      </c>
      <c r="AS1064" s="3">
        <v>16.83236400992925</v>
      </c>
      <c r="AT1064" s="3">
        <v>17.219649889779291</v>
      </c>
      <c r="AU1064" s="3">
        <v>17.62137357176881</v>
      </c>
      <c r="AV1064" s="3">
        <v>18.03797249424316</v>
      </c>
      <c r="AW1064" s="3">
        <v>18.470058340554271</v>
      </c>
      <c r="AX1064" s="3">
        <v>18.918002742518748</v>
      </c>
      <c r="AY1064" s="3">
        <v>19.382315806868551</v>
      </c>
      <c r="AZ1064" s="3">
        <v>19.863522236289558</v>
      </c>
      <c r="BA1064" s="3">
        <v>20.279016805576909</v>
      </c>
      <c r="BC1064" s="17" t="s">
        <v>5546</v>
      </c>
      <c r="BD1064" s="3">
        <v>17.830577446533631</v>
      </c>
      <c r="BE1064" s="3">
        <v>15.688733618120031</v>
      </c>
      <c r="BF1064" s="3">
        <v>14.66424080762876</v>
      </c>
      <c r="BG1064" s="3">
        <v>13.68292439993885</v>
      </c>
      <c r="BH1064" s="3">
        <v>14.484177064475579</v>
      </c>
      <c r="BI1064" s="3">
        <v>14.865692683576791</v>
      </c>
      <c r="BJ1064" s="3">
        <v>15.18943933653855</v>
      </c>
      <c r="BK1064" s="3">
        <v>15.5128614919809</v>
      </c>
      <c r="BL1064" s="3">
        <v>15.83501009962367</v>
      </c>
      <c r="BM1064" s="3">
        <v>16.099973324311922</v>
      </c>
      <c r="BN1064" s="3">
        <v>16.459920625150499</v>
      </c>
      <c r="BO1064" s="3">
        <v>16.83334706864775</v>
      </c>
      <c r="BP1064" s="3">
        <v>17.220685475998739</v>
      </c>
      <c r="BQ1064" s="3">
        <v>17.622452189815629</v>
      </c>
      <c r="BR1064" s="3">
        <v>18.039086826451928</v>
      </c>
      <c r="BS1064" s="3">
        <v>18.471202310039139</v>
      </c>
      <c r="BT1064" s="3">
        <v>18.919170488700448</v>
      </c>
      <c r="BU1064" s="3">
        <v>19.383502857683951</v>
      </c>
      <c r="BV1064" s="3">
        <v>19.864725017259719</v>
      </c>
      <c r="BW1064" s="3">
        <v>20.280249536473441</v>
      </c>
      <c r="BY1064" s="17" t="s">
        <v>5547</v>
      </c>
      <c r="BZ1064" s="3">
        <v>17.830577446533631</v>
      </c>
      <c r="CA1064" s="3">
        <v>15.688733618120031</v>
      </c>
      <c r="CB1064" s="3">
        <v>14.66424080762876</v>
      </c>
      <c r="CC1064" s="3">
        <v>13.68292439993885</v>
      </c>
      <c r="CD1064" s="3">
        <v>14.484177064475579</v>
      </c>
      <c r="CE1064" s="3">
        <v>14.86538302173072</v>
      </c>
      <c r="CF1064" s="3">
        <v>15.18900097376215</v>
      </c>
      <c r="CG1064" s="3">
        <v>15.512351003777891</v>
      </c>
      <c r="CH1064" s="3">
        <v>15.83446596747117</v>
      </c>
      <c r="CI1064" s="3">
        <v>16.099494722161829</v>
      </c>
      <c r="CJ1064" s="3">
        <v>16.459516718676451</v>
      </c>
      <c r="CK1064" s="3">
        <v>16.833022669790939</v>
      </c>
      <c r="CL1064" s="3">
        <v>17.220442782684771</v>
      </c>
      <c r="CM1064" s="3">
        <v>17.622293615502031</v>
      </c>
      <c r="CN1064" s="3">
        <v>18.038945207786071</v>
      </c>
      <c r="CO1064" s="3">
        <v>18.471083051854421</v>
      </c>
      <c r="CP1064" s="3">
        <v>18.91907813765636</v>
      </c>
      <c r="CQ1064" s="3">
        <v>19.383440509499231</v>
      </c>
      <c r="CR1064" s="3">
        <v>19.86469548330227</v>
      </c>
      <c r="CS1064" s="3">
        <v>20.280254423277729</v>
      </c>
      <c r="CU1064" s="17" t="s">
        <v>5548</v>
      </c>
      <c r="CV1064" s="3">
        <v>17.830577446533631</v>
      </c>
      <c r="CW1064" s="3">
        <v>15.688733618120031</v>
      </c>
      <c r="CX1064" s="3">
        <v>14.66424080762876</v>
      </c>
      <c r="CY1064" s="3">
        <v>13.68292439993885</v>
      </c>
      <c r="CZ1064" s="3">
        <v>14.484177064475579</v>
      </c>
      <c r="DA1064" s="3">
        <v>14.8661665743009</v>
      </c>
      <c r="DB1064" s="3">
        <v>15.18956180236839</v>
      </c>
      <c r="DC1064" s="3">
        <v>15.512709837350179</v>
      </c>
      <c r="DD1064" s="3">
        <v>15.834645218820089</v>
      </c>
      <c r="DE1064" s="3">
        <v>16.099510015428919</v>
      </c>
      <c r="DF1064" s="3">
        <v>16.45937865180106</v>
      </c>
      <c r="DG1064" s="3">
        <v>16.832736254783729</v>
      </c>
      <c r="DH1064" s="3">
        <v>17.220016139530479</v>
      </c>
      <c r="DI1064" s="3">
        <v>17.62173433691942</v>
      </c>
      <c r="DJ1064" s="3">
        <v>18.038327631093281</v>
      </c>
      <c r="DK1064" s="3">
        <v>18.47040723721873</v>
      </c>
      <c r="DL1064" s="3">
        <v>18.91834639992944</v>
      </c>
      <c r="DM1064" s="3">
        <v>19.38265472145126</v>
      </c>
      <c r="DN1064" s="3">
        <v>19.863857447247842</v>
      </c>
      <c r="DO1064" s="3">
        <v>20.279353179641681</v>
      </c>
    </row>
    <row r="1065" spans="1:119" x14ac:dyDescent="0.45">
      <c r="A1065" s="16" t="s">
        <v>5549</v>
      </c>
      <c r="B1065" s="3" t="s">
        <v>89</v>
      </c>
      <c r="C1065" s="16" t="s">
        <v>5550</v>
      </c>
      <c r="H1065" s="3" t="s">
        <v>5551</v>
      </c>
      <c r="I1065" s="3" t="s">
        <v>5072</v>
      </c>
      <c r="K1065" s="17" t="s">
        <v>5552</v>
      </c>
      <c r="L1065" s="3">
        <v>11.263632572320709</v>
      </c>
      <c r="M1065" s="3">
        <v>8.7846614953404103</v>
      </c>
      <c r="N1065" s="3">
        <v>7.5787022562114839</v>
      </c>
      <c r="O1065" s="3">
        <v>6.8227913861520584</v>
      </c>
      <c r="P1065" s="3">
        <v>7.2392031979651623</v>
      </c>
      <c r="Q1065" s="3">
        <v>7.3330827979217839</v>
      </c>
      <c r="R1065" s="3">
        <v>7.2884661636238404</v>
      </c>
      <c r="S1065" s="3">
        <v>7.2406314178782853</v>
      </c>
      <c r="T1065" s="3">
        <v>7.1894471186134066</v>
      </c>
      <c r="U1065" s="3">
        <v>7.1400522070615882</v>
      </c>
      <c r="V1065" s="3">
        <v>7.139995256845233</v>
      </c>
      <c r="W1065" s="3">
        <v>7.1399395661918508</v>
      </c>
      <c r="X1065" s="3">
        <v>7.1398850986337798</v>
      </c>
      <c r="Y1065" s="3">
        <v>7.1398318189896148</v>
      </c>
      <c r="Z1065" s="3">
        <v>7.13977969332905</v>
      </c>
      <c r="AA1065" s="3">
        <v>7.1397286889381109</v>
      </c>
      <c r="AB1065" s="3">
        <v>7.1396787742849961</v>
      </c>
      <c r="AC1065" s="3">
        <v>7.1396299189864783</v>
      </c>
      <c r="AD1065" s="3">
        <v>7.1395820937750267</v>
      </c>
      <c r="AE1065" s="3">
        <v>7.1395352704666202</v>
      </c>
      <c r="AG1065" s="17" t="s">
        <v>5553</v>
      </c>
      <c r="AH1065" s="3">
        <v>11.263632572320709</v>
      </c>
      <c r="AI1065" s="3">
        <v>8.7846614953404103</v>
      </c>
      <c r="AJ1065" s="3">
        <v>7.5787022562114839</v>
      </c>
      <c r="AK1065" s="3">
        <v>6.8227913861520584</v>
      </c>
      <c r="AL1065" s="3">
        <v>7.2392031979651623</v>
      </c>
      <c r="AM1065" s="3">
        <v>9.3247258713505872</v>
      </c>
      <c r="AN1065" s="3">
        <v>9.2801041327171401</v>
      </c>
      <c r="AO1065" s="3">
        <v>9.2322639510758044</v>
      </c>
      <c r="AP1065" s="3">
        <v>9.1810774631369423</v>
      </c>
      <c r="AQ1065" s="3">
        <v>9.1316782711614835</v>
      </c>
      <c r="AR1065" s="3">
        <v>9.1316172145677044</v>
      </c>
      <c r="AS1065" s="3">
        <v>9.1315558738388365</v>
      </c>
      <c r="AT1065" s="3">
        <v>9.1314951442567356</v>
      </c>
      <c r="AU1065" s="3">
        <v>9.131436124028756</v>
      </c>
      <c r="AV1065" s="3">
        <v>9.1313780975408232</v>
      </c>
      <c r="AW1065" s="3">
        <v>9.1313206433797891</v>
      </c>
      <c r="AX1065" s="3">
        <v>9.1312651030653011</v>
      </c>
      <c r="AY1065" s="3">
        <v>9.1312111079411054</v>
      </c>
      <c r="AZ1065" s="3">
        <v>9.1311590437573322</v>
      </c>
      <c r="BA1065" s="3">
        <v>9.1311082900728753</v>
      </c>
      <c r="BC1065" s="17" t="s">
        <v>5554</v>
      </c>
      <c r="BD1065" s="3">
        <v>11.263632572320709</v>
      </c>
      <c r="BE1065" s="3">
        <v>8.7846614953404103</v>
      </c>
      <c r="BF1065" s="3">
        <v>7.5787022562114839</v>
      </c>
      <c r="BG1065" s="3">
        <v>6.8227913861520584</v>
      </c>
      <c r="BH1065" s="3">
        <v>7.2392031979651623</v>
      </c>
      <c r="BI1065" s="3">
        <v>8.3290351578966781</v>
      </c>
      <c r="BJ1065" s="3">
        <v>9.6122725628430583</v>
      </c>
      <c r="BK1065" s="3">
        <v>10.89222289454135</v>
      </c>
      <c r="BL1065" s="3">
        <v>12.168774881534331</v>
      </c>
      <c r="BM1065" s="3">
        <v>13.44698220536225</v>
      </c>
      <c r="BN1065" s="3">
        <v>14.7745101322566</v>
      </c>
      <c r="BO1065" s="3">
        <v>16.102024921461741</v>
      </c>
      <c r="BP1065" s="3">
        <v>17.429528165928449</v>
      </c>
      <c r="BQ1065" s="3">
        <v>18.757022028208659</v>
      </c>
      <c r="BR1065" s="3">
        <v>20.084507891275109</v>
      </c>
      <c r="BS1065" s="3">
        <v>21.41198644800858</v>
      </c>
      <c r="BT1065" s="3">
        <v>22.739459116966909</v>
      </c>
      <c r="BU1065" s="3">
        <v>24.066926958755179</v>
      </c>
      <c r="BV1065" s="3">
        <v>25.394391356796501</v>
      </c>
      <c r="BW1065" s="3">
        <v>26.721852970403479</v>
      </c>
      <c r="BY1065" s="17" t="s">
        <v>5555</v>
      </c>
      <c r="BZ1065" s="3">
        <v>11.263632572320709</v>
      </c>
      <c r="CA1065" s="3">
        <v>8.7846614953404103</v>
      </c>
      <c r="CB1065" s="3">
        <v>7.5787022562114839</v>
      </c>
      <c r="CC1065" s="3">
        <v>6.8227913861520584</v>
      </c>
      <c r="CD1065" s="3">
        <v>7.2392031979651623</v>
      </c>
      <c r="CE1065" s="3">
        <v>7.3357957570473546</v>
      </c>
      <c r="CF1065" s="3">
        <v>7.2914503525577494</v>
      </c>
      <c r="CG1065" s="3">
        <v>7.2438654843744397</v>
      </c>
      <c r="CH1065" s="3">
        <v>7.1929167831791494</v>
      </c>
      <c r="CI1065" s="3">
        <v>7.1437334679782856</v>
      </c>
      <c r="CJ1065" s="3">
        <v>7.1438757553802006</v>
      </c>
      <c r="CK1065" s="3">
        <v>7.144008303483159</v>
      </c>
      <c r="CL1065" s="3">
        <v>7.1441299471940107</v>
      </c>
      <c r="CM1065" s="3">
        <v>7.1442443008451386</v>
      </c>
      <c r="CN1065" s="3">
        <v>7.1442481822481199</v>
      </c>
      <c r="CO1065" s="3">
        <v>7.1442521392714351</v>
      </c>
      <c r="CP1065" s="3">
        <v>7.1442569354790626</v>
      </c>
      <c r="CQ1065" s="3">
        <v>7.1442618818047698</v>
      </c>
      <c r="CR1065" s="3">
        <v>7.1442683443939758</v>
      </c>
      <c r="CS1065" s="3">
        <v>7.1442752458447369</v>
      </c>
      <c r="CU1065" s="17" t="s">
        <v>5556</v>
      </c>
      <c r="CV1065" s="3">
        <v>11.263632572320709</v>
      </c>
      <c r="CW1065" s="3">
        <v>8.7846614953404103</v>
      </c>
      <c r="CX1065" s="3">
        <v>7.5787022562114839</v>
      </c>
      <c r="CY1065" s="3">
        <v>6.8227913861520584</v>
      </c>
      <c r="CZ1065" s="3">
        <v>7.2392031979651623</v>
      </c>
      <c r="DA1065" s="3">
        <v>12.312029620972851</v>
      </c>
      <c r="DB1065" s="3">
        <v>12.26740095445726</v>
      </c>
      <c r="DC1065" s="3">
        <v>12.21955328989454</v>
      </c>
      <c r="DD1065" s="3">
        <v>12.168363618365911</v>
      </c>
      <c r="DE1065" s="3">
        <v>12.118958193198161</v>
      </c>
      <c r="DF1065" s="3">
        <v>12.118892413818971</v>
      </c>
      <c r="DG1065" s="3">
        <v>12.11882398890196</v>
      </c>
      <c r="DH1065" s="3">
        <v>12.11875563198662</v>
      </c>
      <c r="DI1065" s="3">
        <v>12.118689565607241</v>
      </c>
      <c r="DJ1065" s="3">
        <v>12.11862429943197</v>
      </c>
      <c r="DK1065" s="3">
        <v>12.118558862052341</v>
      </c>
      <c r="DL1065" s="3">
        <v>12.11849646652175</v>
      </c>
      <c r="DM1065" s="3">
        <v>12.118436152224771</v>
      </c>
      <c r="DN1065" s="3">
        <v>12.118378937481101</v>
      </c>
      <c r="DO1065" s="3">
        <v>12.118323368117959</v>
      </c>
    </row>
    <row r="1066" spans="1:119" x14ac:dyDescent="0.45">
      <c r="A1066" s="16" t="s">
        <v>5557</v>
      </c>
      <c r="B1066" s="3" t="s">
        <v>89</v>
      </c>
      <c r="C1066" s="16" t="s">
        <v>5558</v>
      </c>
      <c r="H1066" s="3" t="s">
        <v>5559</v>
      </c>
      <c r="I1066" s="3" t="s">
        <v>5081</v>
      </c>
      <c r="K1066" s="17" t="s">
        <v>5560</v>
      </c>
      <c r="L1066" s="3">
        <v>0</v>
      </c>
      <c r="M1066" s="3">
        <v>0</v>
      </c>
      <c r="N1066" s="3">
        <v>0</v>
      </c>
      <c r="O1066" s="3">
        <v>0</v>
      </c>
      <c r="P1066" s="3">
        <v>0</v>
      </c>
      <c r="Q1066" s="3">
        <v>0</v>
      </c>
      <c r="R1066" s="3">
        <v>0</v>
      </c>
      <c r="S1066" s="3">
        <v>0</v>
      </c>
      <c r="T1066" s="3">
        <v>0</v>
      </c>
      <c r="U1066" s="3">
        <v>0</v>
      </c>
      <c r="V1066" s="3">
        <v>0</v>
      </c>
      <c r="W1066" s="3">
        <v>0</v>
      </c>
      <c r="X1066" s="3">
        <v>0</v>
      </c>
      <c r="Y1066" s="3">
        <v>0</v>
      </c>
      <c r="Z1066" s="3">
        <v>0</v>
      </c>
      <c r="AA1066" s="3">
        <v>0</v>
      </c>
      <c r="AB1066" s="3">
        <v>0</v>
      </c>
      <c r="AC1066" s="3">
        <v>0</v>
      </c>
      <c r="AD1066" s="3">
        <v>0</v>
      </c>
      <c r="AE1066" s="3">
        <v>0</v>
      </c>
      <c r="AG1066" s="17" t="s">
        <v>5561</v>
      </c>
      <c r="AH1066" s="3">
        <v>0</v>
      </c>
      <c r="AI1066" s="3">
        <v>0</v>
      </c>
      <c r="AJ1066" s="3">
        <v>0</v>
      </c>
      <c r="AK1066" s="3">
        <v>0</v>
      </c>
      <c r="AL1066" s="3">
        <v>0</v>
      </c>
      <c r="AM1066" s="3">
        <v>0</v>
      </c>
      <c r="AN1066" s="3">
        <v>0</v>
      </c>
      <c r="AO1066" s="3">
        <v>0</v>
      </c>
      <c r="AP1066" s="3">
        <v>0</v>
      </c>
      <c r="AQ1066" s="3">
        <v>0</v>
      </c>
      <c r="AR1066" s="3">
        <v>0</v>
      </c>
      <c r="AS1066" s="3">
        <v>0</v>
      </c>
      <c r="AT1066" s="3">
        <v>0</v>
      </c>
      <c r="AU1066" s="3">
        <v>0</v>
      </c>
      <c r="AV1066" s="3">
        <v>0</v>
      </c>
      <c r="AW1066" s="3">
        <v>0</v>
      </c>
      <c r="AX1066" s="3">
        <v>0</v>
      </c>
      <c r="AY1066" s="3">
        <v>0</v>
      </c>
      <c r="AZ1066" s="3">
        <v>0</v>
      </c>
      <c r="BA1066" s="3">
        <v>0</v>
      </c>
      <c r="BC1066" s="17" t="s">
        <v>5562</v>
      </c>
      <c r="BD1066" s="3">
        <v>0</v>
      </c>
      <c r="BE1066" s="3">
        <v>0</v>
      </c>
      <c r="BF1066" s="3">
        <v>0</v>
      </c>
      <c r="BG1066" s="3">
        <v>0</v>
      </c>
      <c r="BH1066" s="3">
        <v>0</v>
      </c>
      <c r="BI1066" s="3">
        <v>0</v>
      </c>
      <c r="BJ1066" s="3">
        <v>0</v>
      </c>
      <c r="BK1066" s="3">
        <v>0</v>
      </c>
      <c r="BL1066" s="3">
        <v>0</v>
      </c>
      <c r="BM1066" s="3">
        <v>0</v>
      </c>
      <c r="BN1066" s="3">
        <v>0</v>
      </c>
      <c r="BO1066" s="3">
        <v>0</v>
      </c>
      <c r="BP1066" s="3">
        <v>0</v>
      </c>
      <c r="BQ1066" s="3">
        <v>0</v>
      </c>
      <c r="BR1066" s="3">
        <v>0</v>
      </c>
      <c r="BS1066" s="3">
        <v>0</v>
      </c>
      <c r="BT1066" s="3">
        <v>0</v>
      </c>
      <c r="BU1066" s="3">
        <v>0</v>
      </c>
      <c r="BV1066" s="3">
        <v>0</v>
      </c>
      <c r="BW1066" s="3">
        <v>0</v>
      </c>
      <c r="BY1066" s="17" t="s">
        <v>5563</v>
      </c>
      <c r="BZ1066" s="3">
        <v>0</v>
      </c>
      <c r="CA1066" s="3">
        <v>0</v>
      </c>
      <c r="CB1066" s="3">
        <v>0</v>
      </c>
      <c r="CC1066" s="3">
        <v>0</v>
      </c>
      <c r="CD1066" s="3">
        <v>0</v>
      </c>
      <c r="CE1066" s="3">
        <v>0</v>
      </c>
      <c r="CF1066" s="3">
        <v>0</v>
      </c>
      <c r="CG1066" s="3">
        <v>0</v>
      </c>
      <c r="CH1066" s="3">
        <v>0</v>
      </c>
      <c r="CI1066" s="3">
        <v>0</v>
      </c>
      <c r="CJ1066" s="3">
        <v>0</v>
      </c>
      <c r="CK1066" s="3">
        <v>0</v>
      </c>
      <c r="CL1066" s="3">
        <v>0</v>
      </c>
      <c r="CM1066" s="3">
        <v>0</v>
      </c>
      <c r="CN1066" s="3">
        <v>0</v>
      </c>
      <c r="CO1066" s="3">
        <v>0</v>
      </c>
      <c r="CP1066" s="3">
        <v>0</v>
      </c>
      <c r="CQ1066" s="3">
        <v>0</v>
      </c>
      <c r="CR1066" s="3">
        <v>0</v>
      </c>
      <c r="CS1066" s="3">
        <v>0</v>
      </c>
      <c r="CU1066" s="17" t="s">
        <v>5564</v>
      </c>
      <c r="CV1066" s="3">
        <v>0</v>
      </c>
      <c r="CW1066" s="3">
        <v>0</v>
      </c>
      <c r="CX1066" s="3">
        <v>0</v>
      </c>
      <c r="CY1066" s="3">
        <v>0</v>
      </c>
      <c r="CZ1066" s="3">
        <v>0</v>
      </c>
      <c r="DA1066" s="3">
        <v>0</v>
      </c>
      <c r="DB1066" s="3">
        <v>0</v>
      </c>
      <c r="DC1066" s="3">
        <v>0</v>
      </c>
      <c r="DD1066" s="3">
        <v>0</v>
      </c>
      <c r="DE1066" s="3">
        <v>0</v>
      </c>
      <c r="DF1066" s="3">
        <v>0</v>
      </c>
      <c r="DG1066" s="3">
        <v>0</v>
      </c>
      <c r="DH1066" s="3">
        <v>0</v>
      </c>
      <c r="DI1066" s="3">
        <v>0</v>
      </c>
      <c r="DJ1066" s="3">
        <v>0</v>
      </c>
      <c r="DK1066" s="3">
        <v>0</v>
      </c>
      <c r="DL1066" s="3">
        <v>0</v>
      </c>
      <c r="DM1066" s="3">
        <v>0</v>
      </c>
      <c r="DN1066" s="3">
        <v>0</v>
      </c>
      <c r="DO1066" s="3">
        <v>0</v>
      </c>
    </row>
    <row r="1067" spans="1:119" x14ac:dyDescent="0.45">
      <c r="A1067" s="16" t="s">
        <v>5565</v>
      </c>
      <c r="B1067" s="3" t="s">
        <v>89</v>
      </c>
      <c r="C1067" s="16" t="s">
        <v>5566</v>
      </c>
      <c r="H1067" s="3" t="s">
        <v>5567</v>
      </c>
      <c r="I1067" s="3" t="s">
        <v>4288</v>
      </c>
      <c r="K1067" s="17" t="s">
        <v>5568</v>
      </c>
      <c r="L1067" s="3">
        <v>0</v>
      </c>
      <c r="M1067" s="3">
        <v>0</v>
      </c>
      <c r="N1067" s="3">
        <v>0</v>
      </c>
      <c r="O1067" s="3">
        <v>0</v>
      </c>
      <c r="P1067" s="3">
        <v>0</v>
      </c>
      <c r="Q1067" s="3">
        <v>0</v>
      </c>
      <c r="R1067" s="3">
        <v>0</v>
      </c>
      <c r="S1067" s="3">
        <v>0</v>
      </c>
      <c r="T1067" s="3">
        <v>0</v>
      </c>
      <c r="U1067" s="3">
        <v>0</v>
      </c>
      <c r="V1067" s="3">
        <v>0</v>
      </c>
      <c r="W1067" s="3">
        <v>0</v>
      </c>
      <c r="X1067" s="3">
        <v>0</v>
      </c>
      <c r="Y1067" s="3">
        <v>0</v>
      </c>
      <c r="Z1067" s="3">
        <v>0</v>
      </c>
      <c r="AA1067" s="3">
        <v>0</v>
      </c>
      <c r="AB1067" s="3">
        <v>0</v>
      </c>
      <c r="AC1067" s="3">
        <v>0</v>
      </c>
      <c r="AD1067" s="3">
        <v>0</v>
      </c>
      <c r="AE1067" s="3">
        <v>0</v>
      </c>
      <c r="AG1067" s="17" t="s">
        <v>5569</v>
      </c>
      <c r="AH1067" s="3">
        <v>0</v>
      </c>
      <c r="AI1067" s="3">
        <v>0</v>
      </c>
      <c r="AJ1067" s="3">
        <v>0</v>
      </c>
      <c r="AK1067" s="3">
        <v>0</v>
      </c>
      <c r="AL1067" s="3">
        <v>0</v>
      </c>
      <c r="AM1067" s="3">
        <v>0</v>
      </c>
      <c r="AN1067" s="3">
        <v>0</v>
      </c>
      <c r="AO1067" s="3">
        <v>0</v>
      </c>
      <c r="AP1067" s="3">
        <v>0</v>
      </c>
      <c r="AQ1067" s="3">
        <v>0</v>
      </c>
      <c r="AR1067" s="3">
        <v>0</v>
      </c>
      <c r="AS1067" s="3">
        <v>0</v>
      </c>
      <c r="AT1067" s="3">
        <v>0</v>
      </c>
      <c r="AU1067" s="3">
        <v>0</v>
      </c>
      <c r="AV1067" s="3">
        <v>0</v>
      </c>
      <c r="AW1067" s="3">
        <v>0</v>
      </c>
      <c r="AX1067" s="3">
        <v>0</v>
      </c>
      <c r="AY1067" s="3">
        <v>0</v>
      </c>
      <c r="AZ1067" s="3">
        <v>0</v>
      </c>
      <c r="BA1067" s="3">
        <v>0</v>
      </c>
      <c r="BC1067" s="17" t="s">
        <v>5570</v>
      </c>
      <c r="BD1067" s="3">
        <v>0</v>
      </c>
      <c r="BE1067" s="3">
        <v>0</v>
      </c>
      <c r="BF1067" s="3">
        <v>0</v>
      </c>
      <c r="BG1067" s="3">
        <v>0</v>
      </c>
      <c r="BH1067" s="3">
        <v>0</v>
      </c>
      <c r="BI1067" s="3">
        <v>0</v>
      </c>
      <c r="BJ1067" s="3">
        <v>0</v>
      </c>
      <c r="BK1067" s="3">
        <v>0</v>
      </c>
      <c r="BL1067" s="3">
        <v>0</v>
      </c>
      <c r="BM1067" s="3">
        <v>0</v>
      </c>
      <c r="BN1067" s="3">
        <v>0</v>
      </c>
      <c r="BO1067" s="3">
        <v>0</v>
      </c>
      <c r="BP1067" s="3">
        <v>0</v>
      </c>
      <c r="BQ1067" s="3">
        <v>0</v>
      </c>
      <c r="BR1067" s="3">
        <v>0</v>
      </c>
      <c r="BS1067" s="3">
        <v>0</v>
      </c>
      <c r="BT1067" s="3">
        <v>0</v>
      </c>
      <c r="BU1067" s="3">
        <v>0</v>
      </c>
      <c r="BV1067" s="3">
        <v>0</v>
      </c>
      <c r="BW1067" s="3">
        <v>0</v>
      </c>
      <c r="BY1067" s="17" t="s">
        <v>5571</v>
      </c>
      <c r="BZ1067" s="3">
        <v>0</v>
      </c>
      <c r="CA1067" s="3">
        <v>0</v>
      </c>
      <c r="CB1067" s="3">
        <v>0</v>
      </c>
      <c r="CC1067" s="3">
        <v>0</v>
      </c>
      <c r="CD1067" s="3">
        <v>0</v>
      </c>
      <c r="CE1067" s="3">
        <v>0</v>
      </c>
      <c r="CF1067" s="3">
        <v>0</v>
      </c>
      <c r="CG1067" s="3">
        <v>0</v>
      </c>
      <c r="CH1067" s="3">
        <v>0</v>
      </c>
      <c r="CI1067" s="3">
        <v>0</v>
      </c>
      <c r="CJ1067" s="3">
        <v>0</v>
      </c>
      <c r="CK1067" s="3">
        <v>0</v>
      </c>
      <c r="CL1067" s="3">
        <v>0</v>
      </c>
      <c r="CM1067" s="3">
        <v>0</v>
      </c>
      <c r="CN1067" s="3">
        <v>0</v>
      </c>
      <c r="CO1067" s="3">
        <v>0</v>
      </c>
      <c r="CP1067" s="3">
        <v>0</v>
      </c>
      <c r="CQ1067" s="3">
        <v>0</v>
      </c>
      <c r="CR1067" s="3">
        <v>0</v>
      </c>
      <c r="CS1067" s="3">
        <v>0</v>
      </c>
      <c r="CU1067" s="17" t="s">
        <v>5572</v>
      </c>
      <c r="CV1067" s="3">
        <v>0</v>
      </c>
      <c r="CW1067" s="3">
        <v>0</v>
      </c>
      <c r="CX1067" s="3">
        <v>0</v>
      </c>
      <c r="CY1067" s="3">
        <v>0</v>
      </c>
      <c r="CZ1067" s="3">
        <v>0</v>
      </c>
      <c r="DA1067" s="3">
        <v>0</v>
      </c>
      <c r="DB1067" s="3">
        <v>0</v>
      </c>
      <c r="DC1067" s="3">
        <v>0</v>
      </c>
      <c r="DD1067" s="3">
        <v>0</v>
      </c>
      <c r="DE1067" s="3">
        <v>0</v>
      </c>
      <c r="DF1067" s="3">
        <v>0</v>
      </c>
      <c r="DG1067" s="3">
        <v>0</v>
      </c>
      <c r="DH1067" s="3">
        <v>0</v>
      </c>
      <c r="DI1067" s="3">
        <v>0</v>
      </c>
      <c r="DJ1067" s="3">
        <v>0</v>
      </c>
      <c r="DK1067" s="3">
        <v>0</v>
      </c>
      <c r="DL1067" s="3">
        <v>0</v>
      </c>
      <c r="DM1067" s="3">
        <v>0</v>
      </c>
      <c r="DN1067" s="3">
        <v>0</v>
      </c>
      <c r="DO1067" s="3">
        <v>0</v>
      </c>
    </row>
    <row r="1068" spans="1:119" x14ac:dyDescent="0.45">
      <c r="A1068" s="16" t="s">
        <v>5573</v>
      </c>
      <c r="B1068" s="3" t="s">
        <v>89</v>
      </c>
      <c r="C1068" s="16" t="s">
        <v>5574</v>
      </c>
      <c r="H1068" s="3" t="s">
        <v>5575</v>
      </c>
      <c r="I1068" s="3" t="s">
        <v>4288</v>
      </c>
      <c r="K1068" s="17" t="s">
        <v>5576</v>
      </c>
      <c r="L1068" s="3">
        <v>0</v>
      </c>
      <c r="M1068" s="3">
        <v>0</v>
      </c>
      <c r="N1068" s="3">
        <v>0</v>
      </c>
      <c r="O1068" s="3">
        <v>0</v>
      </c>
      <c r="P1068" s="3">
        <v>0</v>
      </c>
      <c r="Q1068" s="3">
        <v>0</v>
      </c>
      <c r="R1068" s="3">
        <v>0</v>
      </c>
      <c r="S1068" s="3">
        <v>0</v>
      </c>
      <c r="T1068" s="3">
        <v>0</v>
      </c>
      <c r="U1068" s="3">
        <v>0</v>
      </c>
      <c r="V1068" s="3">
        <v>0</v>
      </c>
      <c r="W1068" s="3">
        <v>0</v>
      </c>
      <c r="X1068" s="3">
        <v>0</v>
      </c>
      <c r="Y1068" s="3">
        <v>0</v>
      </c>
      <c r="Z1068" s="3">
        <v>0</v>
      </c>
      <c r="AA1068" s="3">
        <v>0</v>
      </c>
      <c r="AB1068" s="3">
        <v>0</v>
      </c>
      <c r="AC1068" s="3">
        <v>0</v>
      </c>
      <c r="AD1068" s="3">
        <v>0</v>
      </c>
      <c r="AE1068" s="3">
        <v>0</v>
      </c>
      <c r="AG1068" s="17" t="s">
        <v>5577</v>
      </c>
      <c r="AH1068" s="3">
        <v>0</v>
      </c>
      <c r="AI1068" s="3">
        <v>0</v>
      </c>
      <c r="AJ1068" s="3">
        <v>0</v>
      </c>
      <c r="AK1068" s="3">
        <v>0</v>
      </c>
      <c r="AL1068" s="3">
        <v>0</v>
      </c>
      <c r="AM1068" s="3">
        <v>0</v>
      </c>
      <c r="AN1068" s="3">
        <v>0</v>
      </c>
      <c r="AO1068" s="3">
        <v>0</v>
      </c>
      <c r="AP1068" s="3">
        <v>0</v>
      </c>
      <c r="AQ1068" s="3">
        <v>0</v>
      </c>
      <c r="AR1068" s="3">
        <v>0</v>
      </c>
      <c r="AS1068" s="3">
        <v>0</v>
      </c>
      <c r="AT1068" s="3">
        <v>0</v>
      </c>
      <c r="AU1068" s="3">
        <v>0</v>
      </c>
      <c r="AV1068" s="3">
        <v>0</v>
      </c>
      <c r="AW1068" s="3">
        <v>0</v>
      </c>
      <c r="AX1068" s="3">
        <v>0</v>
      </c>
      <c r="AY1068" s="3">
        <v>0</v>
      </c>
      <c r="AZ1068" s="3">
        <v>0</v>
      </c>
      <c r="BA1068" s="3">
        <v>0</v>
      </c>
      <c r="BC1068" s="17" t="s">
        <v>5578</v>
      </c>
      <c r="BD1068" s="3">
        <v>0</v>
      </c>
      <c r="BE1068" s="3">
        <v>0</v>
      </c>
      <c r="BF1068" s="3">
        <v>0</v>
      </c>
      <c r="BG1068" s="3">
        <v>0</v>
      </c>
      <c r="BH1068" s="3">
        <v>0</v>
      </c>
      <c r="BI1068" s="3">
        <v>0</v>
      </c>
      <c r="BJ1068" s="3">
        <v>0</v>
      </c>
      <c r="BK1068" s="3">
        <v>0</v>
      </c>
      <c r="BL1068" s="3">
        <v>0</v>
      </c>
      <c r="BM1068" s="3">
        <v>0</v>
      </c>
      <c r="BN1068" s="3">
        <v>0</v>
      </c>
      <c r="BO1068" s="3">
        <v>0</v>
      </c>
      <c r="BP1068" s="3">
        <v>0</v>
      </c>
      <c r="BQ1068" s="3">
        <v>0</v>
      </c>
      <c r="BR1068" s="3">
        <v>0</v>
      </c>
      <c r="BS1068" s="3">
        <v>0</v>
      </c>
      <c r="BT1068" s="3">
        <v>0</v>
      </c>
      <c r="BU1068" s="3">
        <v>0</v>
      </c>
      <c r="BV1068" s="3">
        <v>0</v>
      </c>
      <c r="BW1068" s="3">
        <v>0</v>
      </c>
      <c r="BY1068" s="17" t="s">
        <v>5579</v>
      </c>
      <c r="BZ1068" s="3">
        <v>0</v>
      </c>
      <c r="CA1068" s="3">
        <v>0</v>
      </c>
      <c r="CB1068" s="3">
        <v>0</v>
      </c>
      <c r="CC1068" s="3">
        <v>0</v>
      </c>
      <c r="CD1068" s="3">
        <v>0</v>
      </c>
      <c r="CE1068" s="3">
        <v>0</v>
      </c>
      <c r="CF1068" s="3">
        <v>0</v>
      </c>
      <c r="CG1068" s="3">
        <v>0</v>
      </c>
      <c r="CH1068" s="3">
        <v>0</v>
      </c>
      <c r="CI1068" s="3">
        <v>0</v>
      </c>
      <c r="CJ1068" s="3">
        <v>0</v>
      </c>
      <c r="CK1068" s="3">
        <v>0</v>
      </c>
      <c r="CL1068" s="3">
        <v>0</v>
      </c>
      <c r="CM1068" s="3">
        <v>0</v>
      </c>
      <c r="CN1068" s="3">
        <v>0</v>
      </c>
      <c r="CO1068" s="3">
        <v>0</v>
      </c>
      <c r="CP1068" s="3">
        <v>0</v>
      </c>
      <c r="CQ1068" s="3">
        <v>0</v>
      </c>
      <c r="CR1068" s="3">
        <v>0</v>
      </c>
      <c r="CS1068" s="3">
        <v>0</v>
      </c>
      <c r="CU1068" s="17" t="s">
        <v>5580</v>
      </c>
      <c r="CV1068" s="3">
        <v>0</v>
      </c>
      <c r="CW1068" s="3">
        <v>0</v>
      </c>
      <c r="CX1068" s="3">
        <v>0</v>
      </c>
      <c r="CY1068" s="3">
        <v>0</v>
      </c>
      <c r="CZ1068" s="3">
        <v>0</v>
      </c>
      <c r="DA1068" s="3">
        <v>0</v>
      </c>
      <c r="DB1068" s="3">
        <v>0</v>
      </c>
      <c r="DC1068" s="3">
        <v>0</v>
      </c>
      <c r="DD1068" s="3">
        <v>0</v>
      </c>
      <c r="DE1068" s="3">
        <v>0</v>
      </c>
      <c r="DF1068" s="3">
        <v>0</v>
      </c>
      <c r="DG1068" s="3">
        <v>0</v>
      </c>
      <c r="DH1068" s="3">
        <v>0</v>
      </c>
      <c r="DI1068" s="3">
        <v>0</v>
      </c>
      <c r="DJ1068" s="3">
        <v>0</v>
      </c>
      <c r="DK1068" s="3">
        <v>0</v>
      </c>
      <c r="DL1068" s="3">
        <v>0</v>
      </c>
      <c r="DM1068" s="3">
        <v>0</v>
      </c>
      <c r="DN1068" s="3">
        <v>0</v>
      </c>
      <c r="DO1068" s="3">
        <v>0</v>
      </c>
    </row>
    <row r="1069" spans="1:119" x14ac:dyDescent="0.45">
      <c r="A1069" s="16" t="s">
        <v>5581</v>
      </c>
      <c r="B1069" s="3" t="s">
        <v>89</v>
      </c>
      <c r="C1069" s="16" t="s">
        <v>5582</v>
      </c>
      <c r="H1069" s="3" t="s">
        <v>5583</v>
      </c>
      <c r="I1069" s="3" t="s">
        <v>5072</v>
      </c>
      <c r="K1069" s="17" t="s">
        <v>5584</v>
      </c>
      <c r="L1069" s="3">
        <v>6.2322146649461729E-2</v>
      </c>
      <c r="M1069" s="3">
        <v>6.3511140934565197E-2</v>
      </c>
      <c r="N1069" s="3">
        <v>0.10710597699475879</v>
      </c>
      <c r="O1069" s="3">
        <v>0.10572459202936831</v>
      </c>
      <c r="P1069" s="3">
        <v>0.10573359214718819</v>
      </c>
      <c r="Q1069" s="3">
        <v>0.10626533175641351</v>
      </c>
      <c r="R1069" s="3">
        <v>0.1064352876620497</v>
      </c>
      <c r="S1069" s="3">
        <v>0.10723163730223161</v>
      </c>
      <c r="T1069" s="3">
        <v>0.10790373445680961</v>
      </c>
      <c r="U1069" s="3">
        <v>0.10865902186363841</v>
      </c>
      <c r="V1069" s="3">
        <v>0.1074167971917689</v>
      </c>
      <c r="W1069" s="3">
        <v>0.1062540049701071</v>
      </c>
      <c r="X1069" s="3">
        <v>0.1050394592858352</v>
      </c>
      <c r="Y1069" s="3">
        <v>0.1039071524520008</v>
      </c>
      <c r="Z1069" s="3">
        <v>0.1028482615038122</v>
      </c>
      <c r="AA1069" s="3">
        <v>0.1018583249236122</v>
      </c>
      <c r="AB1069" s="3">
        <v>0.10093009328632049</v>
      </c>
      <c r="AC1069" s="3">
        <v>0.1000540346692088</v>
      </c>
      <c r="AD1069" s="3">
        <v>9.9224149551849133E-2</v>
      </c>
      <c r="AE1069" s="3">
        <v>9.8433671234808257E-2</v>
      </c>
      <c r="AG1069" s="17" t="s">
        <v>5585</v>
      </c>
      <c r="AH1069" s="3">
        <v>6.2322146649461729E-2</v>
      </c>
      <c r="AI1069" s="3">
        <v>6.3511140934565197E-2</v>
      </c>
      <c r="AJ1069" s="3">
        <v>0.10710597699475879</v>
      </c>
      <c r="AK1069" s="3">
        <v>0.1057263087280535</v>
      </c>
      <c r="AL1069" s="3">
        <v>0.1057378478893307</v>
      </c>
      <c r="AM1069" s="3">
        <v>0.1154748123235128</v>
      </c>
      <c r="AN1069" s="3">
        <v>0.1154475311290161</v>
      </c>
      <c r="AO1069" s="3">
        <v>0.1171113992618763</v>
      </c>
      <c r="AP1069" s="3">
        <v>0.1163734478971474</v>
      </c>
      <c r="AQ1069" s="3">
        <v>0.1167721402649954</v>
      </c>
      <c r="AR1069" s="3">
        <v>0.11497054508130899</v>
      </c>
      <c r="AS1069" s="3">
        <v>0.11346904827948549</v>
      </c>
      <c r="AT1069" s="3">
        <v>0.1118982726168716</v>
      </c>
      <c r="AU1069" s="3">
        <v>0.1104430082304643</v>
      </c>
      <c r="AV1069" s="3">
        <v>0.1091075760539964</v>
      </c>
      <c r="AW1069" s="3">
        <v>0.1078673611404348</v>
      </c>
      <c r="AX1069" s="3">
        <v>0.106708926713475</v>
      </c>
      <c r="AY1069" s="3">
        <v>0.1056236332071837</v>
      </c>
      <c r="AZ1069" s="3">
        <v>0.1046011586723589</v>
      </c>
      <c r="BA1069" s="3">
        <v>0.1036346870790035</v>
      </c>
      <c r="BC1069" s="17" t="s">
        <v>5586</v>
      </c>
      <c r="BD1069" s="3">
        <v>6.2322146649461729E-2</v>
      </c>
      <c r="BE1069" s="3">
        <v>6.3511140934565197E-2</v>
      </c>
      <c r="BF1069" s="3">
        <v>0.10710597699475879</v>
      </c>
      <c r="BG1069" s="3">
        <v>0.10573031307083509</v>
      </c>
      <c r="BH1069" s="3">
        <v>0.1057479438733684</v>
      </c>
      <c r="BI1069" s="3">
        <v>0.1108822418436002</v>
      </c>
      <c r="BJ1069" s="3">
        <v>0.1170042707988711</v>
      </c>
      <c r="BK1069" s="3">
        <v>0.1235372106609775</v>
      </c>
      <c r="BL1069" s="3">
        <v>0.1283609351126942</v>
      </c>
      <c r="BM1069" s="3">
        <v>0.13351618792809961</v>
      </c>
      <c r="BN1069" s="3">
        <v>0.13718503141070709</v>
      </c>
      <c r="BO1069" s="3">
        <v>0.14070732083337439</v>
      </c>
      <c r="BP1069" s="3">
        <v>0.1430809911640934</v>
      </c>
      <c r="BQ1069" s="3">
        <v>0.14525228117386149</v>
      </c>
      <c r="BR1069" s="3">
        <v>0.1463850035864481</v>
      </c>
      <c r="BS1069" s="3">
        <v>0.14752248358358269</v>
      </c>
      <c r="BT1069" s="3">
        <v>0.14757891912597579</v>
      </c>
      <c r="BU1069" s="3">
        <v>0.14795787267112459</v>
      </c>
      <c r="BV1069" s="3">
        <v>0.14703457524575039</v>
      </c>
      <c r="BW1069" s="3">
        <v>0.14707161542450489</v>
      </c>
      <c r="BY1069" s="17" t="s">
        <v>5587</v>
      </c>
      <c r="BZ1069" s="3">
        <v>6.2322146649461729E-2</v>
      </c>
      <c r="CA1069" s="3">
        <v>6.3511140934565197E-2</v>
      </c>
      <c r="CB1069" s="3">
        <v>0.10710597699475879</v>
      </c>
      <c r="CC1069" s="3">
        <v>0.1057344177836843</v>
      </c>
      <c r="CD1069" s="3">
        <v>0.1057581617403629</v>
      </c>
      <c r="CE1069" s="3">
        <v>0.1062998129138444</v>
      </c>
      <c r="CF1069" s="3">
        <v>0.10647979905282309</v>
      </c>
      <c r="CG1069" s="3">
        <v>0.1072830924790853</v>
      </c>
      <c r="CH1069" s="3">
        <v>0.107957701520472</v>
      </c>
      <c r="CI1069" s="3">
        <v>0.1087295061499339</v>
      </c>
      <c r="CJ1069" s="3">
        <v>0.10740112092230911</v>
      </c>
      <c r="CK1069" s="3">
        <v>0.1061127873781498</v>
      </c>
      <c r="CL1069" s="3">
        <v>0.1048172939692066</v>
      </c>
      <c r="CM1069" s="3">
        <v>0.1034002384300666</v>
      </c>
      <c r="CN1069" s="3">
        <v>0.10213494436699801</v>
      </c>
      <c r="CO1069" s="3">
        <v>0.10094731965893319</v>
      </c>
      <c r="CP1069" s="3">
        <v>9.9815121266598111E-2</v>
      </c>
      <c r="CQ1069" s="3">
        <v>9.8778904555919367E-2</v>
      </c>
      <c r="CR1069" s="3">
        <v>9.7811743151778402E-2</v>
      </c>
      <c r="CS1069" s="3">
        <v>9.6895371858602919E-2</v>
      </c>
      <c r="CU1069" s="17" t="s">
        <v>5588</v>
      </c>
      <c r="CV1069" s="3">
        <v>6.2322146649461729E-2</v>
      </c>
      <c r="CW1069" s="3">
        <v>6.3511140934565197E-2</v>
      </c>
      <c r="CX1069" s="3">
        <v>0.10710597699475879</v>
      </c>
      <c r="CY1069" s="3">
        <v>0.1057285997770066</v>
      </c>
      <c r="CZ1069" s="3">
        <v>0.10574359406907601</v>
      </c>
      <c r="DA1069" s="3">
        <v>0.1292740560263842</v>
      </c>
      <c r="DB1069" s="3">
        <v>0.12865745250818439</v>
      </c>
      <c r="DC1069" s="3">
        <v>0.1315525240768253</v>
      </c>
      <c r="DD1069" s="3">
        <v>0.1301526067976094</v>
      </c>
      <c r="DE1069" s="3">
        <v>0.12910899434539139</v>
      </c>
      <c r="DF1069" s="3">
        <v>0.12640878689690879</v>
      </c>
      <c r="DG1069" s="3">
        <v>0.1237822414056497</v>
      </c>
      <c r="DH1069" s="3">
        <v>0.1208042344308701</v>
      </c>
      <c r="DI1069" s="3">
        <v>0.1181617131459303</v>
      </c>
      <c r="DJ1069" s="3">
        <v>0.1156650401261403</v>
      </c>
      <c r="DK1069" s="3">
        <v>0.11347076540079359</v>
      </c>
      <c r="DL1069" s="3">
        <v>0.1113937393993209</v>
      </c>
      <c r="DM1069" s="3">
        <v>0.1095815806551092</v>
      </c>
      <c r="DN1069" s="3">
        <v>0.1078716638852568</v>
      </c>
      <c r="DO1069" s="3">
        <v>0.10636747767847279</v>
      </c>
    </row>
    <row r="1070" spans="1:119" x14ac:dyDescent="0.45">
      <c r="A1070" s="16" t="s">
        <v>5589</v>
      </c>
      <c r="B1070" s="3" t="s">
        <v>89</v>
      </c>
      <c r="C1070" s="16" t="s">
        <v>5590</v>
      </c>
      <c r="H1070" s="3" t="s">
        <v>5591</v>
      </c>
      <c r="I1070" s="3" t="s">
        <v>5081</v>
      </c>
      <c r="K1070" s="17" t="s">
        <v>5592</v>
      </c>
      <c r="L1070" s="3">
        <v>41936.668588729728</v>
      </c>
      <c r="M1070" s="3">
        <v>39241.399332974528</v>
      </c>
      <c r="N1070" s="3">
        <v>43191.471158759647</v>
      </c>
      <c r="O1070" s="3">
        <v>48209.418331781737</v>
      </c>
      <c r="P1070" s="3">
        <v>50255.709257258553</v>
      </c>
      <c r="Q1070" s="3">
        <v>52003.672492558573</v>
      </c>
      <c r="R1070" s="3">
        <v>53843.286841663452</v>
      </c>
      <c r="S1070" s="3">
        <v>55763.940525008482</v>
      </c>
      <c r="T1070" s="3">
        <v>57266.084072126083</v>
      </c>
      <c r="U1070" s="3">
        <v>58837.632638706949</v>
      </c>
      <c r="V1070" s="3">
        <v>60386.563458852877</v>
      </c>
      <c r="W1070" s="3">
        <v>62959.929359723043</v>
      </c>
      <c r="X1070" s="3">
        <v>65583.763669921856</v>
      </c>
      <c r="Y1070" s="3">
        <v>68330.60118191842</v>
      </c>
      <c r="Z1070" s="3">
        <v>71126.161669463385</v>
      </c>
      <c r="AA1070" s="3">
        <v>73970.713455936289</v>
      </c>
      <c r="AB1070" s="3">
        <v>76862.232205481472</v>
      </c>
      <c r="AC1070" s="3">
        <v>79800.94652472758</v>
      </c>
      <c r="AD1070" s="3">
        <v>82789.58771257296</v>
      </c>
      <c r="AE1070" s="3">
        <v>85829.127386836801</v>
      </c>
      <c r="AG1070" s="17" t="s">
        <v>5593</v>
      </c>
      <c r="AH1070" s="3">
        <v>41936.668588729728</v>
      </c>
      <c r="AI1070" s="3">
        <v>39241.399332974528</v>
      </c>
      <c r="AJ1070" s="3">
        <v>43191.471158759647</v>
      </c>
      <c r="AK1070" s="3">
        <v>48209.418331781737</v>
      </c>
      <c r="AL1070" s="3">
        <v>50254.975938333038</v>
      </c>
      <c r="AM1070" s="3">
        <v>52001.794203843201</v>
      </c>
      <c r="AN1070" s="3">
        <v>50134.930483034739</v>
      </c>
      <c r="AO1070" s="3">
        <v>52031.78562719647</v>
      </c>
      <c r="AP1070" s="3">
        <v>53105.006926030328</v>
      </c>
      <c r="AQ1070" s="3">
        <v>55158.569777453078</v>
      </c>
      <c r="AR1070" s="3">
        <v>56775.179269053122</v>
      </c>
      <c r="AS1070" s="3">
        <v>59386.704955149748</v>
      </c>
      <c r="AT1070" s="3">
        <v>62001.642320827763</v>
      </c>
      <c r="AU1070" s="3">
        <v>64738.806552610018</v>
      </c>
      <c r="AV1070" s="3">
        <v>67538.294198448901</v>
      </c>
      <c r="AW1070" s="3">
        <v>70408.89190355991</v>
      </c>
      <c r="AX1070" s="3">
        <v>73299.852479881214</v>
      </c>
      <c r="AY1070" s="3">
        <v>76224.580209050881</v>
      </c>
      <c r="AZ1070" s="3">
        <v>79160.418374937508</v>
      </c>
      <c r="BA1070" s="3">
        <v>82134.488764606838</v>
      </c>
      <c r="BC1070" s="17" t="s">
        <v>5594</v>
      </c>
      <c r="BD1070" s="3">
        <v>41936.668588729728</v>
      </c>
      <c r="BE1070" s="3">
        <v>39241.399332974528</v>
      </c>
      <c r="BF1070" s="3">
        <v>43191.471158759647</v>
      </c>
      <c r="BG1070" s="3">
        <v>48209.418331781737</v>
      </c>
      <c r="BH1070" s="3">
        <v>50253.265546915449</v>
      </c>
      <c r="BI1070" s="3">
        <v>51997.33871054912</v>
      </c>
      <c r="BJ1070" s="3">
        <v>51876.112741800593</v>
      </c>
      <c r="BK1070" s="3">
        <v>51452.161129069587</v>
      </c>
      <c r="BL1070" s="3">
        <v>50914.931566469539</v>
      </c>
      <c r="BM1070" s="3">
        <v>51058.495148985807</v>
      </c>
      <c r="BN1070" s="3">
        <v>51167.750284795598</v>
      </c>
      <c r="BO1070" s="3">
        <v>51769.39477544</v>
      </c>
      <c r="BP1070" s="3">
        <v>52472.04838057905</v>
      </c>
      <c r="BQ1070" s="3">
        <v>53521.896264227027</v>
      </c>
      <c r="BR1070" s="3">
        <v>54659.778390896783</v>
      </c>
      <c r="BS1070" s="3">
        <v>56116.63945746926</v>
      </c>
      <c r="BT1070" s="3">
        <v>57605.881968438538</v>
      </c>
      <c r="BU1070" s="3">
        <v>59419.323823936051</v>
      </c>
      <c r="BV1070" s="3">
        <v>61156.807256906148</v>
      </c>
      <c r="BW1070" s="3">
        <v>63285.616030299192</v>
      </c>
      <c r="BY1070" s="17" t="s">
        <v>5595</v>
      </c>
      <c r="BZ1070" s="3">
        <v>41936.668588729728</v>
      </c>
      <c r="CA1070" s="3">
        <v>39241.399332974528</v>
      </c>
      <c r="CB1070" s="3">
        <v>43191.471158759647</v>
      </c>
      <c r="CC1070" s="3">
        <v>48209.418331781737</v>
      </c>
      <c r="CD1070" s="3">
        <v>50251.512481736529</v>
      </c>
      <c r="CE1070" s="3">
        <v>51992.83047988297</v>
      </c>
      <c r="CF1070" s="3">
        <v>53827.643830598827</v>
      </c>
      <c r="CG1070" s="3">
        <v>55765.166163229813</v>
      </c>
      <c r="CH1070" s="3">
        <v>57208.330042743728</v>
      </c>
      <c r="CI1070" s="3">
        <v>58799.963233099261</v>
      </c>
      <c r="CJ1070" s="3">
        <v>60312.175358468703</v>
      </c>
      <c r="CK1070" s="3">
        <v>62964.474717387042</v>
      </c>
      <c r="CL1070" s="3">
        <v>65700.421266426478</v>
      </c>
      <c r="CM1070" s="3">
        <v>68535.537914988337</v>
      </c>
      <c r="CN1070" s="3">
        <v>71569.996078141528</v>
      </c>
      <c r="CO1070" s="3">
        <v>74651.310946796031</v>
      </c>
      <c r="CP1070" s="3">
        <v>77767.959793413436</v>
      </c>
      <c r="CQ1070" s="3">
        <v>80951.913599172141</v>
      </c>
      <c r="CR1070" s="3">
        <v>84140.61671926672</v>
      </c>
      <c r="CS1070" s="3">
        <v>87381.838149606585</v>
      </c>
      <c r="CU1070" s="17" t="s">
        <v>5596</v>
      </c>
      <c r="CV1070" s="3">
        <v>41936.668588729728</v>
      </c>
      <c r="CW1070" s="3">
        <v>39241.399332974528</v>
      </c>
      <c r="CX1070" s="3">
        <v>43191.471158759647</v>
      </c>
      <c r="CY1070" s="3">
        <v>48209.418331781737</v>
      </c>
      <c r="CZ1070" s="3">
        <v>50253.997329843303</v>
      </c>
      <c r="DA1070" s="3">
        <v>51999.258264952929</v>
      </c>
      <c r="DB1070" s="3">
        <v>45863.343009782773</v>
      </c>
      <c r="DC1070" s="3">
        <v>47787.052566273473</v>
      </c>
      <c r="DD1070" s="3">
        <v>48470.818501729191</v>
      </c>
      <c r="DE1070" s="3">
        <v>50503.837745639466</v>
      </c>
      <c r="DF1070" s="3">
        <v>52418.496857428763</v>
      </c>
      <c r="DG1070" s="3">
        <v>55048.54920151666</v>
      </c>
      <c r="DH1070" s="3">
        <v>57836.186413686701</v>
      </c>
      <c r="DI1070" s="3">
        <v>60888.09391740703</v>
      </c>
      <c r="DJ1070" s="3">
        <v>64001.875738777737</v>
      </c>
      <c r="DK1070" s="3">
        <v>67282.891407755669</v>
      </c>
      <c r="DL1070" s="3">
        <v>70527.898784240984</v>
      </c>
      <c r="DM1070" s="3">
        <v>73843.010335342668</v>
      </c>
      <c r="DN1070" s="3">
        <v>77082.692286481994</v>
      </c>
      <c r="DO1070" s="3">
        <v>80380.38933466145</v>
      </c>
    </row>
    <row r="1071" spans="1:119" x14ac:dyDescent="0.45">
      <c r="A1071" s="16" t="s">
        <v>5597</v>
      </c>
      <c r="B1071" s="3" t="s">
        <v>89</v>
      </c>
      <c r="C1071" s="16" t="s">
        <v>5598</v>
      </c>
      <c r="H1071" s="3" t="s">
        <v>5599</v>
      </c>
      <c r="I1071" s="3" t="s">
        <v>4288</v>
      </c>
      <c r="K1071" s="17" t="s">
        <v>5600</v>
      </c>
      <c r="L1071" s="3">
        <v>0</v>
      </c>
      <c r="M1071" s="3">
        <v>0</v>
      </c>
      <c r="N1071" s="3">
        <v>2.33063186815561</v>
      </c>
      <c r="O1071" s="3">
        <v>2.6014026310031908</v>
      </c>
      <c r="P1071" s="3">
        <v>2.7118214408859069</v>
      </c>
      <c r="Q1071" s="3">
        <v>2.8061423498815801</v>
      </c>
      <c r="R1071" s="3">
        <v>2.9054087955967689</v>
      </c>
      <c r="S1071" s="3">
        <v>3.009048161471588</v>
      </c>
      <c r="T1071" s="3">
        <v>3.0901045257845352</v>
      </c>
      <c r="U1071" s="3">
        <v>3.174906017221689</v>
      </c>
      <c r="V1071" s="3">
        <v>3.2584870445437559</v>
      </c>
      <c r="W1071" s="3">
        <v>3.397347065193379</v>
      </c>
      <c r="X1071" s="3">
        <v>3.5389303846786482</v>
      </c>
      <c r="Y1071" s="3">
        <v>3.6871510141305368</v>
      </c>
      <c r="Z1071" s="3">
        <v>3.8380007579996458</v>
      </c>
      <c r="AA1071" s="3">
        <v>3.9914940951403102</v>
      </c>
      <c r="AB1071" s="3">
        <v>4.1475217914484199</v>
      </c>
      <c r="AC1071" s="3">
        <v>4.3060961826439641</v>
      </c>
      <c r="AD1071" s="3">
        <v>4.4673646508855747</v>
      </c>
      <c r="AE1071" s="3">
        <v>4.6313796251225856</v>
      </c>
      <c r="AG1071" s="17" t="s">
        <v>5601</v>
      </c>
      <c r="AH1071" s="3">
        <v>0</v>
      </c>
      <c r="AI1071" s="3">
        <v>0</v>
      </c>
      <c r="AJ1071" s="3">
        <v>2.33063186815561</v>
      </c>
      <c r="AK1071" s="3">
        <v>2.6014026310031908</v>
      </c>
      <c r="AL1071" s="3">
        <v>2.711781870655686</v>
      </c>
      <c r="AM1071" s="3">
        <v>2.8060409965490769</v>
      </c>
      <c r="AN1071" s="3">
        <v>2.705304162065556</v>
      </c>
      <c r="AO1071" s="3">
        <v>2.8076593476995062</v>
      </c>
      <c r="AP1071" s="3">
        <v>2.8655708680422962</v>
      </c>
      <c r="AQ1071" s="3">
        <v>2.9763820744305671</v>
      </c>
      <c r="AR1071" s="3">
        <v>3.0636150743354982</v>
      </c>
      <c r="AS1071" s="3">
        <v>3.20453421474059</v>
      </c>
      <c r="AT1071" s="3">
        <v>3.345637450962355</v>
      </c>
      <c r="AU1071" s="3">
        <v>3.4933361057157182</v>
      </c>
      <c r="AV1071" s="3">
        <v>3.6443977608725309</v>
      </c>
      <c r="AW1071" s="3">
        <v>3.799296547894496</v>
      </c>
      <c r="AX1071" s="3">
        <v>3.9552941249158922</v>
      </c>
      <c r="AY1071" s="3">
        <v>4.1131137932070176</v>
      </c>
      <c r="AZ1071" s="3">
        <v>4.2715329858298468</v>
      </c>
      <c r="BA1071" s="3">
        <v>4.432015207026323</v>
      </c>
      <c r="BC1071" s="17" t="s">
        <v>5602</v>
      </c>
      <c r="BD1071" s="3">
        <v>0</v>
      </c>
      <c r="BE1071" s="3">
        <v>0</v>
      </c>
      <c r="BF1071" s="3">
        <v>2.33063186815561</v>
      </c>
      <c r="BG1071" s="3">
        <v>2.6014026310031908</v>
      </c>
      <c r="BH1071" s="3">
        <v>2.7116895771394458</v>
      </c>
      <c r="BI1071" s="3">
        <v>2.8058005760590841</v>
      </c>
      <c r="BJ1071" s="3">
        <v>2.7992591664142301</v>
      </c>
      <c r="BK1071" s="3">
        <v>2.7763825402498892</v>
      </c>
      <c r="BL1071" s="3">
        <v>2.7473933832353321</v>
      </c>
      <c r="BM1071" s="3">
        <v>2.7551401409062879</v>
      </c>
      <c r="BN1071" s="3">
        <v>2.761035598839221</v>
      </c>
      <c r="BO1071" s="3">
        <v>2.7935006153245818</v>
      </c>
      <c r="BP1071" s="3">
        <v>2.8314161305982348</v>
      </c>
      <c r="BQ1071" s="3">
        <v>2.8880664105887441</v>
      </c>
      <c r="BR1071" s="3">
        <v>2.9494670592694341</v>
      </c>
      <c r="BS1071" s="3">
        <v>3.0280799598754</v>
      </c>
      <c r="BT1071" s="3">
        <v>3.1084401782786841</v>
      </c>
      <c r="BU1071" s="3">
        <v>3.2062943440683722</v>
      </c>
      <c r="BV1071" s="3">
        <v>3.300049758057118</v>
      </c>
      <c r="BW1071" s="3">
        <v>3.4149212693849469</v>
      </c>
      <c r="BY1071" s="17" t="s">
        <v>5603</v>
      </c>
      <c r="BZ1071" s="3">
        <v>0</v>
      </c>
      <c r="CA1071" s="3">
        <v>0</v>
      </c>
      <c r="CB1071" s="3">
        <v>2.33063186815561</v>
      </c>
      <c r="CC1071" s="3">
        <v>2.6014026310031908</v>
      </c>
      <c r="CD1071" s="3">
        <v>2.7115949809272002</v>
      </c>
      <c r="CE1071" s="3">
        <v>2.8055573098359701</v>
      </c>
      <c r="CF1071" s="3">
        <v>2.9045646914455792</v>
      </c>
      <c r="CG1071" s="3">
        <v>3.009114297479945</v>
      </c>
      <c r="CH1071" s="3">
        <v>3.0869880915029131</v>
      </c>
      <c r="CI1071" s="3">
        <v>3.1728733585784812</v>
      </c>
      <c r="CJ1071" s="3">
        <v>3.2544730280558789</v>
      </c>
      <c r="CK1071" s="3">
        <v>3.3975923348065611</v>
      </c>
      <c r="CL1071" s="3">
        <v>3.5452252828328858</v>
      </c>
      <c r="CM1071" s="3">
        <v>3.698209495544444</v>
      </c>
      <c r="CN1071" s="3">
        <v>3.8619502690789771</v>
      </c>
      <c r="CO1071" s="3">
        <v>4.0282194522311574</v>
      </c>
      <c r="CP1071" s="3">
        <v>4.1963952732648373</v>
      </c>
      <c r="CQ1071" s="3">
        <v>4.3682029011912036</v>
      </c>
      <c r="CR1071" s="3">
        <v>4.5402668043276089</v>
      </c>
      <c r="CS1071" s="3">
        <v>4.7151646199063446</v>
      </c>
      <c r="CU1071" s="17" t="s">
        <v>5604</v>
      </c>
      <c r="CV1071" s="3">
        <v>0</v>
      </c>
      <c r="CW1071" s="3">
        <v>0</v>
      </c>
      <c r="CX1071" s="3">
        <v>2.33063186815561</v>
      </c>
      <c r="CY1071" s="3">
        <v>2.6014026310031908</v>
      </c>
      <c r="CZ1071" s="3">
        <v>2.711729064486518</v>
      </c>
      <c r="DA1071" s="3">
        <v>2.805904156107323</v>
      </c>
      <c r="DB1071" s="3">
        <v>2.4748073156816539</v>
      </c>
      <c r="DC1071" s="3">
        <v>2.5786115778924241</v>
      </c>
      <c r="DD1071" s="3">
        <v>2.6155079057270241</v>
      </c>
      <c r="DE1071" s="3">
        <v>2.7252105695009581</v>
      </c>
      <c r="DF1071" s="3">
        <v>2.828526465507097</v>
      </c>
      <c r="DG1071" s="3">
        <v>2.9704453129924642</v>
      </c>
      <c r="DH1071" s="3">
        <v>3.1208675132379482</v>
      </c>
      <c r="DI1071" s="3">
        <v>3.2855498613035858</v>
      </c>
      <c r="DJ1071" s="3">
        <v>3.453570976321763</v>
      </c>
      <c r="DK1071" s="3">
        <v>3.6306161075220911</v>
      </c>
      <c r="DL1071" s="3">
        <v>3.805718214515335</v>
      </c>
      <c r="DM1071" s="3">
        <v>3.984603175369958</v>
      </c>
      <c r="DN1071" s="3">
        <v>4.1594179199351613</v>
      </c>
      <c r="DO1071" s="3">
        <v>4.3373631861141986</v>
      </c>
    </row>
    <row r="1072" spans="1:119" x14ac:dyDescent="0.45">
      <c r="A1072" s="16" t="s">
        <v>5605</v>
      </c>
      <c r="B1072" s="3" t="s">
        <v>89</v>
      </c>
      <c r="C1072" s="16" t="s">
        <v>5606</v>
      </c>
      <c r="H1072" s="3" t="s">
        <v>5607</v>
      </c>
      <c r="I1072" s="3" t="s">
        <v>4288</v>
      </c>
      <c r="K1072" s="17" t="s">
        <v>5608</v>
      </c>
      <c r="L1072" s="3">
        <v>0</v>
      </c>
      <c r="M1072" s="3">
        <v>0</v>
      </c>
      <c r="N1072" s="3">
        <v>0</v>
      </c>
      <c r="O1072" s="3">
        <v>0</v>
      </c>
      <c r="P1072" s="3">
        <v>0</v>
      </c>
      <c r="Q1072" s="3">
        <v>0</v>
      </c>
      <c r="R1072" s="3">
        <v>0</v>
      </c>
      <c r="S1072" s="3">
        <v>0</v>
      </c>
      <c r="T1072" s="3">
        <v>0</v>
      </c>
      <c r="U1072" s="3">
        <v>0</v>
      </c>
      <c r="V1072" s="3">
        <v>0</v>
      </c>
      <c r="W1072" s="3">
        <v>0</v>
      </c>
      <c r="X1072" s="3">
        <v>0</v>
      </c>
      <c r="Y1072" s="3">
        <v>0</v>
      </c>
      <c r="Z1072" s="3">
        <v>0</v>
      </c>
      <c r="AA1072" s="3">
        <v>0</v>
      </c>
      <c r="AB1072" s="3">
        <v>0</v>
      </c>
      <c r="AC1072" s="3">
        <v>0</v>
      </c>
      <c r="AD1072" s="3">
        <v>0</v>
      </c>
      <c r="AE1072" s="3">
        <v>0</v>
      </c>
      <c r="AG1072" s="17" t="s">
        <v>5609</v>
      </c>
      <c r="AH1072" s="3">
        <v>0</v>
      </c>
      <c r="AI1072" s="3">
        <v>0</v>
      </c>
      <c r="AJ1072" s="3">
        <v>0</v>
      </c>
      <c r="AK1072" s="3">
        <v>0</v>
      </c>
      <c r="AL1072" s="3">
        <v>0</v>
      </c>
      <c r="AM1072" s="3">
        <v>0</v>
      </c>
      <c r="AN1072" s="3">
        <v>0</v>
      </c>
      <c r="AO1072" s="3">
        <v>0</v>
      </c>
      <c r="AP1072" s="3">
        <v>0</v>
      </c>
      <c r="AQ1072" s="3">
        <v>0</v>
      </c>
      <c r="AR1072" s="3">
        <v>0</v>
      </c>
      <c r="AS1072" s="3">
        <v>0</v>
      </c>
      <c r="AT1072" s="3">
        <v>0</v>
      </c>
      <c r="AU1072" s="3">
        <v>0</v>
      </c>
      <c r="AV1072" s="3">
        <v>0</v>
      </c>
      <c r="AW1072" s="3">
        <v>0</v>
      </c>
      <c r="AX1072" s="3">
        <v>0</v>
      </c>
      <c r="AY1072" s="3">
        <v>0</v>
      </c>
      <c r="AZ1072" s="3">
        <v>0</v>
      </c>
      <c r="BA1072" s="3">
        <v>0</v>
      </c>
      <c r="BC1072" s="17" t="s">
        <v>5610</v>
      </c>
      <c r="BD1072" s="3">
        <v>0</v>
      </c>
      <c r="BE1072" s="3">
        <v>0</v>
      </c>
      <c r="BF1072" s="3">
        <v>0</v>
      </c>
      <c r="BG1072" s="3">
        <v>0</v>
      </c>
      <c r="BH1072" s="3">
        <v>0</v>
      </c>
      <c r="BI1072" s="3">
        <v>0</v>
      </c>
      <c r="BJ1072" s="3">
        <v>0</v>
      </c>
      <c r="BK1072" s="3">
        <v>0</v>
      </c>
      <c r="BL1072" s="3">
        <v>0</v>
      </c>
      <c r="BM1072" s="3">
        <v>0</v>
      </c>
      <c r="BN1072" s="3">
        <v>0</v>
      </c>
      <c r="BO1072" s="3">
        <v>0</v>
      </c>
      <c r="BP1072" s="3">
        <v>0</v>
      </c>
      <c r="BQ1072" s="3">
        <v>0</v>
      </c>
      <c r="BR1072" s="3">
        <v>0</v>
      </c>
      <c r="BS1072" s="3">
        <v>0</v>
      </c>
      <c r="BT1072" s="3">
        <v>0</v>
      </c>
      <c r="BU1072" s="3">
        <v>0</v>
      </c>
      <c r="BV1072" s="3">
        <v>0</v>
      </c>
      <c r="BW1072" s="3">
        <v>0</v>
      </c>
      <c r="BY1072" s="17" t="s">
        <v>5611</v>
      </c>
      <c r="BZ1072" s="3">
        <v>0</v>
      </c>
      <c r="CA1072" s="3">
        <v>0</v>
      </c>
      <c r="CB1072" s="3">
        <v>0</v>
      </c>
      <c r="CC1072" s="3">
        <v>0</v>
      </c>
      <c r="CD1072" s="3">
        <v>0</v>
      </c>
      <c r="CE1072" s="3">
        <v>0</v>
      </c>
      <c r="CF1072" s="3">
        <v>0</v>
      </c>
      <c r="CG1072" s="3">
        <v>0</v>
      </c>
      <c r="CH1072" s="3">
        <v>0</v>
      </c>
      <c r="CI1072" s="3">
        <v>0</v>
      </c>
      <c r="CJ1072" s="3">
        <v>0</v>
      </c>
      <c r="CK1072" s="3">
        <v>0</v>
      </c>
      <c r="CL1072" s="3">
        <v>0</v>
      </c>
      <c r="CM1072" s="3">
        <v>0</v>
      </c>
      <c r="CN1072" s="3">
        <v>0</v>
      </c>
      <c r="CO1072" s="3">
        <v>0</v>
      </c>
      <c r="CP1072" s="3">
        <v>0</v>
      </c>
      <c r="CQ1072" s="3">
        <v>0</v>
      </c>
      <c r="CR1072" s="3">
        <v>0</v>
      </c>
      <c r="CS1072" s="3">
        <v>0</v>
      </c>
      <c r="CU1072" s="17" t="s">
        <v>5612</v>
      </c>
      <c r="CV1072" s="3">
        <v>0</v>
      </c>
      <c r="CW1072" s="3">
        <v>0</v>
      </c>
      <c r="CX1072" s="3">
        <v>0</v>
      </c>
      <c r="CY1072" s="3">
        <v>0</v>
      </c>
      <c r="CZ1072" s="3">
        <v>0</v>
      </c>
      <c r="DA1072" s="3">
        <v>0</v>
      </c>
      <c r="DB1072" s="3">
        <v>0</v>
      </c>
      <c r="DC1072" s="3">
        <v>0</v>
      </c>
      <c r="DD1072" s="3">
        <v>0</v>
      </c>
      <c r="DE1072" s="3">
        <v>0</v>
      </c>
      <c r="DF1072" s="3">
        <v>0</v>
      </c>
      <c r="DG1072" s="3">
        <v>0</v>
      </c>
      <c r="DH1072" s="3">
        <v>0</v>
      </c>
      <c r="DI1072" s="3">
        <v>0</v>
      </c>
      <c r="DJ1072" s="3">
        <v>0</v>
      </c>
      <c r="DK1072" s="3">
        <v>0</v>
      </c>
      <c r="DL1072" s="3">
        <v>0</v>
      </c>
      <c r="DM1072" s="3">
        <v>0</v>
      </c>
      <c r="DN1072" s="3">
        <v>0</v>
      </c>
      <c r="DO1072" s="3">
        <v>0</v>
      </c>
    </row>
    <row r="1073" spans="1:119" x14ac:dyDescent="0.45">
      <c r="A1073" s="11"/>
      <c r="B1073" s="3" t="s">
        <v>89</v>
      </c>
      <c r="C1073" s="16" t="s">
        <v>5613</v>
      </c>
      <c r="H1073" s="11" t="s">
        <v>5614</v>
      </c>
      <c r="I1073" s="11"/>
    </row>
    <row r="1074" spans="1:119" x14ac:dyDescent="0.45">
      <c r="A1074" s="16" t="s">
        <v>5615</v>
      </c>
      <c r="B1074" s="3" t="s">
        <v>89</v>
      </c>
      <c r="C1074" s="16" t="s">
        <v>5616</v>
      </c>
      <c r="H1074" s="3" t="s">
        <v>5617</v>
      </c>
      <c r="I1074" s="3" t="s">
        <v>5072</v>
      </c>
      <c r="K1074" s="17" t="s">
        <v>5618</v>
      </c>
      <c r="L1074" s="3">
        <v>6.7319494722932749E-2</v>
      </c>
      <c r="M1074" s="3">
        <v>5.925952518166943E-2</v>
      </c>
      <c r="N1074" s="3">
        <v>0.1148473000844791</v>
      </c>
      <c r="O1074" s="3">
        <v>0.1135310714557884</v>
      </c>
      <c r="P1074" s="3">
        <v>0.1135396470614544</v>
      </c>
      <c r="Q1074" s="3">
        <v>0.1140463058960345</v>
      </c>
      <c r="R1074" s="3">
        <v>0.11420824542355069</v>
      </c>
      <c r="S1074" s="3">
        <v>0.11499055283499809</v>
      </c>
      <c r="T1074" s="3">
        <v>0.1157567435912171</v>
      </c>
      <c r="U1074" s="3">
        <v>0.1166177712350018</v>
      </c>
      <c r="V1074" s="3">
        <v>0.1152016351090706</v>
      </c>
      <c r="W1074" s="3">
        <v>0.11403551336478419</v>
      </c>
      <c r="X1074" s="3">
        <v>0.1128782546421664</v>
      </c>
      <c r="Y1074" s="3">
        <v>0.1117993557772626</v>
      </c>
      <c r="Z1074" s="3">
        <v>0.11079040996158759</v>
      </c>
      <c r="AA1074" s="3">
        <v>0.10984716611567021</v>
      </c>
      <c r="AB1074" s="3">
        <v>0.10896271675096</v>
      </c>
      <c r="AC1074" s="3">
        <v>0.1081279795407374</v>
      </c>
      <c r="AD1074" s="3">
        <v>0.1073372379463519</v>
      </c>
      <c r="AE1074" s="3">
        <v>0.1065840444359865</v>
      </c>
      <c r="AG1074" s="17" t="s">
        <v>5619</v>
      </c>
      <c r="AH1074" s="3">
        <v>6.7319494722932749E-2</v>
      </c>
      <c r="AI1074" s="3">
        <v>5.925952518166943E-2</v>
      </c>
      <c r="AJ1074" s="3">
        <v>0.1148473000844791</v>
      </c>
      <c r="AK1074" s="3">
        <v>0.11353259283277529</v>
      </c>
      <c r="AL1074" s="3">
        <v>0.1135435886782085</v>
      </c>
      <c r="AM1074" s="3">
        <v>0.12454392956344031</v>
      </c>
      <c r="AN1074" s="3">
        <v>0.1244807114765747</v>
      </c>
      <c r="AO1074" s="3">
        <v>0.1262534814689931</v>
      </c>
      <c r="AP1074" s="3">
        <v>0.12541221691320209</v>
      </c>
      <c r="AQ1074" s="3">
        <v>0.1258667262125488</v>
      </c>
      <c r="AR1074" s="3">
        <v>0.1238684286667827</v>
      </c>
      <c r="AS1074" s="3">
        <v>0.1223849452942207</v>
      </c>
      <c r="AT1074" s="3">
        <v>0.12082135948968201</v>
      </c>
      <c r="AU1074" s="3">
        <v>0.1193809846277446</v>
      </c>
      <c r="AV1074" s="3">
        <v>0.1180579787294859</v>
      </c>
      <c r="AW1074" s="3">
        <v>0.11682955520327951</v>
      </c>
      <c r="AX1074" s="3">
        <v>0.11568189609140769</v>
      </c>
      <c r="AY1074" s="3">
        <v>0.1146069507044</v>
      </c>
      <c r="AZ1074" s="3">
        <v>0.1135942353900485</v>
      </c>
      <c r="BA1074" s="3">
        <v>0.11263749196896319</v>
      </c>
      <c r="BC1074" s="17" t="s">
        <v>5620</v>
      </c>
      <c r="BD1074" s="3">
        <v>6.7319494722932749E-2</v>
      </c>
      <c r="BE1074" s="3">
        <v>5.925952518166943E-2</v>
      </c>
      <c r="BF1074" s="3">
        <v>0.1148473000844791</v>
      </c>
      <c r="BG1074" s="3">
        <v>0.1135361438228543</v>
      </c>
      <c r="BH1074" s="3">
        <v>0.11355294788141609</v>
      </c>
      <c r="BI1074" s="3">
        <v>0.11930558347558159</v>
      </c>
      <c r="BJ1074" s="3">
        <v>0.12625183399913761</v>
      </c>
      <c r="BK1074" s="3">
        <v>0.13357890646396839</v>
      </c>
      <c r="BL1074" s="3">
        <v>0.13911046658017781</v>
      </c>
      <c r="BM1074" s="3">
        <v>0.14503846439167251</v>
      </c>
      <c r="BN1074" s="3">
        <v>0.14930352814143349</v>
      </c>
      <c r="BO1074" s="3">
        <v>0.15349229656989041</v>
      </c>
      <c r="BP1074" s="3">
        <v>0.15633282265180781</v>
      </c>
      <c r="BQ1074" s="3">
        <v>0.15899264966702961</v>
      </c>
      <c r="BR1074" s="3">
        <v>0.16045460503910419</v>
      </c>
      <c r="BS1074" s="3">
        <v>0.16193353854418041</v>
      </c>
      <c r="BT1074" s="3">
        <v>0.16216811104002041</v>
      </c>
      <c r="BU1074" s="3">
        <v>0.16277773836900089</v>
      </c>
      <c r="BV1074" s="3">
        <v>0.16188751506765339</v>
      </c>
      <c r="BW1074" s="3">
        <v>0.16210142439096251</v>
      </c>
      <c r="BY1074" s="17" t="s">
        <v>5621</v>
      </c>
      <c r="BZ1074" s="3">
        <v>6.7319494722932749E-2</v>
      </c>
      <c r="CA1074" s="3">
        <v>5.925952518166943E-2</v>
      </c>
      <c r="CB1074" s="3">
        <v>0.1148473000844791</v>
      </c>
      <c r="CC1074" s="3">
        <v>0.11353978257946699</v>
      </c>
      <c r="CD1074" s="3">
        <v>0.1135624178683738</v>
      </c>
      <c r="CE1074" s="3">
        <v>0.1140787779243007</v>
      </c>
      <c r="CF1074" s="3">
        <v>0.1142503600371792</v>
      </c>
      <c r="CG1074" s="3">
        <v>0.1150492117366113</v>
      </c>
      <c r="CH1074" s="3">
        <v>0.1158182660437922</v>
      </c>
      <c r="CI1074" s="3">
        <v>0.1166981233213787</v>
      </c>
      <c r="CJ1074" s="3">
        <v>0.1151837641618865</v>
      </c>
      <c r="CK1074" s="3">
        <v>0.1139004851026488</v>
      </c>
      <c r="CL1074" s="3">
        <v>0.1126654816874525</v>
      </c>
      <c r="CM1074" s="3">
        <v>0.1113145921975642</v>
      </c>
      <c r="CN1074" s="3">
        <v>0.1101083780413747</v>
      </c>
      <c r="CO1074" s="3">
        <v>0.10897620665377331</v>
      </c>
      <c r="CP1074" s="3">
        <v>0.1078968735814774</v>
      </c>
      <c r="CQ1074" s="3">
        <v>0.1069090405537388</v>
      </c>
      <c r="CR1074" s="3">
        <v>0.1059870384586956</v>
      </c>
      <c r="CS1074" s="3">
        <v>0.105113454950785</v>
      </c>
      <c r="CU1074" s="17" t="s">
        <v>5622</v>
      </c>
      <c r="CV1074" s="3">
        <v>6.7319494722932749E-2</v>
      </c>
      <c r="CW1074" s="3">
        <v>5.925952518166943E-2</v>
      </c>
      <c r="CX1074" s="3">
        <v>0.1148473000844791</v>
      </c>
      <c r="CY1074" s="3">
        <v>0.1135346241054552</v>
      </c>
      <c r="CZ1074" s="3">
        <v>0.1135489140521513</v>
      </c>
      <c r="DA1074" s="3">
        <v>0.14027346594785101</v>
      </c>
      <c r="DB1074" s="3">
        <v>0.13953799920728599</v>
      </c>
      <c r="DC1074" s="3">
        <v>0.1427163637580349</v>
      </c>
      <c r="DD1074" s="3">
        <v>0.14112045805972881</v>
      </c>
      <c r="DE1074" s="3">
        <v>0.13993073986420029</v>
      </c>
      <c r="DF1074" s="3">
        <v>0.13694468408834859</v>
      </c>
      <c r="DG1074" s="3">
        <v>0.13424619975311591</v>
      </c>
      <c r="DH1074" s="3">
        <v>0.13110628493458051</v>
      </c>
      <c r="DI1074" s="3">
        <v>0.12836352826013731</v>
      </c>
      <c r="DJ1074" s="3">
        <v>0.12575344687461701</v>
      </c>
      <c r="DK1074" s="3">
        <v>0.12347591085879051</v>
      </c>
      <c r="DL1074" s="3">
        <v>0.1213082610926577</v>
      </c>
      <c r="DM1074" s="3">
        <v>0.1194319918554181</v>
      </c>
      <c r="DN1074" s="3">
        <v>0.11765231719234889</v>
      </c>
      <c r="DO1074" s="3">
        <v>0.1160995571930474</v>
      </c>
    </row>
    <row r="1075" spans="1:119" x14ac:dyDescent="0.45">
      <c r="A1075" s="16" t="s">
        <v>5623</v>
      </c>
      <c r="B1075" s="3" t="s">
        <v>89</v>
      </c>
      <c r="C1075" s="16" t="s">
        <v>5624</v>
      </c>
      <c r="H1075" s="3" t="s">
        <v>5625</v>
      </c>
      <c r="I1075" s="3" t="s">
        <v>5081</v>
      </c>
      <c r="K1075" s="17" t="s">
        <v>5626</v>
      </c>
      <c r="L1075" s="3">
        <v>124941.3568569676</v>
      </c>
      <c r="M1075" s="3">
        <v>123388.901681331</v>
      </c>
      <c r="N1075" s="3">
        <v>141126.70739069299</v>
      </c>
      <c r="O1075" s="3">
        <v>160495.25914223399</v>
      </c>
      <c r="P1075" s="3">
        <v>168563.38713847849</v>
      </c>
      <c r="Q1075" s="3">
        <v>175419.0945137933</v>
      </c>
      <c r="R1075" s="3">
        <v>182623.43320717741</v>
      </c>
      <c r="S1075" s="3">
        <v>190238.66970960589</v>
      </c>
      <c r="T1075" s="3">
        <v>196171.98652388909</v>
      </c>
      <c r="U1075" s="3">
        <v>202338.12883473371</v>
      </c>
      <c r="V1075" s="3">
        <v>208424.845360151</v>
      </c>
      <c r="W1075" s="3">
        <v>219237.74528109329</v>
      </c>
      <c r="X1075" s="3">
        <v>230218.32616502509</v>
      </c>
      <c r="Y1075" s="3">
        <v>241779.03633157839</v>
      </c>
      <c r="Z1075" s="3">
        <v>253661.69430483691</v>
      </c>
      <c r="AA1075" s="3">
        <v>265871.55656460562</v>
      </c>
      <c r="AB1075" s="3">
        <v>278403.67346037639</v>
      </c>
      <c r="AC1075" s="3">
        <v>291263.00238264352</v>
      </c>
      <c r="AD1075" s="3">
        <v>304466.04578332207</v>
      </c>
      <c r="AE1075" s="3">
        <v>318021.69624053978</v>
      </c>
      <c r="AG1075" s="17" t="s">
        <v>5627</v>
      </c>
      <c r="AH1075" s="3">
        <v>124941.3568569676</v>
      </c>
      <c r="AI1075" s="3">
        <v>123388.901681331</v>
      </c>
      <c r="AJ1075" s="3">
        <v>141126.70739069299</v>
      </c>
      <c r="AK1075" s="3">
        <v>160495.25914223399</v>
      </c>
      <c r="AL1075" s="3">
        <v>168560.49439605841</v>
      </c>
      <c r="AM1075" s="3">
        <v>175411.49048380341</v>
      </c>
      <c r="AN1075" s="3">
        <v>166356.0828731787</v>
      </c>
      <c r="AO1075" s="3">
        <v>173730.71713041081</v>
      </c>
      <c r="AP1075" s="3">
        <v>177734.1266309389</v>
      </c>
      <c r="AQ1075" s="3">
        <v>185925.25858803559</v>
      </c>
      <c r="AR1075" s="3">
        <v>192257.4974434154</v>
      </c>
      <c r="AS1075" s="3">
        <v>202977.6347260414</v>
      </c>
      <c r="AT1075" s="3">
        <v>213654.49307945551</v>
      </c>
      <c r="AU1075" s="3">
        <v>224970.10404987249</v>
      </c>
      <c r="AV1075" s="3">
        <v>236654.09073589381</v>
      </c>
      <c r="AW1075" s="3">
        <v>248753.36360860401</v>
      </c>
      <c r="AX1075" s="3">
        <v>261066.12434382719</v>
      </c>
      <c r="AY1075" s="3">
        <v>273649.94026879501</v>
      </c>
      <c r="AZ1075" s="3">
        <v>286411.66902825382</v>
      </c>
      <c r="BA1075" s="3">
        <v>299466.93344842538</v>
      </c>
      <c r="BC1075" s="17" t="s">
        <v>5628</v>
      </c>
      <c r="BD1075" s="3">
        <v>124941.3568569676</v>
      </c>
      <c r="BE1075" s="3">
        <v>123388.901681331</v>
      </c>
      <c r="BF1075" s="3">
        <v>141126.70739069299</v>
      </c>
      <c r="BG1075" s="3">
        <v>160495.25914223399</v>
      </c>
      <c r="BH1075" s="3">
        <v>168553.74564317751</v>
      </c>
      <c r="BI1075" s="3">
        <v>175393.4464976952</v>
      </c>
      <c r="BJ1075" s="3">
        <v>173921.8198438352</v>
      </c>
      <c r="BK1075" s="3">
        <v>171229.26913574949</v>
      </c>
      <c r="BL1075" s="3">
        <v>168289.80358282191</v>
      </c>
      <c r="BM1075" s="3">
        <v>168230.42266280911</v>
      </c>
      <c r="BN1075" s="3">
        <v>168058.89987634539</v>
      </c>
      <c r="BO1075" s="3">
        <v>169959.0726089259</v>
      </c>
      <c r="BP1075" s="3">
        <v>172243.21201280801</v>
      </c>
      <c r="BQ1075" s="3">
        <v>176002.00527240141</v>
      </c>
      <c r="BR1075" s="3">
        <v>180113.30320587839</v>
      </c>
      <c r="BS1075" s="3">
        <v>185572.44706802</v>
      </c>
      <c r="BT1075" s="3">
        <v>191177.9025911623</v>
      </c>
      <c r="BU1075" s="3">
        <v>198181.56150162531</v>
      </c>
      <c r="BV1075" s="3">
        <v>204898.61476520161</v>
      </c>
      <c r="BW1075" s="3">
        <v>213340.26864721291</v>
      </c>
      <c r="BY1075" s="17" t="s">
        <v>5629</v>
      </c>
      <c r="BZ1075" s="3">
        <v>124941.3568569676</v>
      </c>
      <c r="CA1075" s="3">
        <v>123388.901681331</v>
      </c>
      <c r="CB1075" s="3">
        <v>141126.70739069299</v>
      </c>
      <c r="CC1075" s="3">
        <v>160495.25914223399</v>
      </c>
      <c r="CD1075" s="3">
        <v>168546.8295228997</v>
      </c>
      <c r="CE1075" s="3">
        <v>175375.1911306206</v>
      </c>
      <c r="CF1075" s="3">
        <v>182559.2087522253</v>
      </c>
      <c r="CG1075" s="3">
        <v>190238.4038500507</v>
      </c>
      <c r="CH1075" s="3">
        <v>195930.89621797469</v>
      </c>
      <c r="CI1075" s="3">
        <v>202174.1989136365</v>
      </c>
      <c r="CJ1075" s="3">
        <v>208109.98797701049</v>
      </c>
      <c r="CK1075" s="3">
        <v>219260.89136050819</v>
      </c>
      <c r="CL1075" s="3">
        <v>230711.65917118051</v>
      </c>
      <c r="CM1075" s="3">
        <v>242653.17333076941</v>
      </c>
      <c r="CN1075" s="3">
        <v>255584.19757727769</v>
      </c>
      <c r="CO1075" s="3">
        <v>268846.41544541193</v>
      </c>
      <c r="CP1075" s="3">
        <v>282406.3665812026</v>
      </c>
      <c r="CQ1075" s="3">
        <v>296405.98240077851</v>
      </c>
      <c r="CR1075" s="3">
        <v>310572.3620097856</v>
      </c>
      <c r="CS1075" s="3">
        <v>325115.20042863348</v>
      </c>
      <c r="CU1075" s="17" t="s">
        <v>5630</v>
      </c>
      <c r="CV1075" s="3">
        <v>124941.3568569676</v>
      </c>
      <c r="CW1075" s="3">
        <v>123388.901681331</v>
      </c>
      <c r="CX1075" s="3">
        <v>141126.70739069299</v>
      </c>
      <c r="CY1075" s="3">
        <v>160495.25914223399</v>
      </c>
      <c r="CZ1075" s="3">
        <v>168556.6333681398</v>
      </c>
      <c r="DA1075" s="3">
        <v>175401.22148534039</v>
      </c>
      <c r="DB1075" s="3">
        <v>148340.18612260919</v>
      </c>
      <c r="DC1075" s="3">
        <v>155660.60081726071</v>
      </c>
      <c r="DD1075" s="3">
        <v>158015.6653763525</v>
      </c>
      <c r="DE1075" s="3">
        <v>165915.90746015901</v>
      </c>
      <c r="DF1075" s="3">
        <v>173409.24926388601</v>
      </c>
      <c r="DG1075" s="3">
        <v>183921.1693400825</v>
      </c>
      <c r="DH1075" s="3">
        <v>195074.5817802696</v>
      </c>
      <c r="DI1075" s="3">
        <v>207525.9466297733</v>
      </c>
      <c r="DJ1075" s="3">
        <v>220349.71084147069</v>
      </c>
      <c r="DK1075" s="3">
        <v>234042.21301117601</v>
      </c>
      <c r="DL1075" s="3">
        <v>247740.86997934841</v>
      </c>
      <c r="DM1075" s="3">
        <v>261926.10113903909</v>
      </c>
      <c r="DN1075" s="3">
        <v>275939.45060565643</v>
      </c>
      <c r="DO1075" s="3">
        <v>290382.62066814478</v>
      </c>
    </row>
    <row r="1076" spans="1:119" x14ac:dyDescent="0.45">
      <c r="A1076" s="16" t="s">
        <v>5631</v>
      </c>
      <c r="B1076" s="3" t="s">
        <v>89</v>
      </c>
      <c r="C1076" s="16" t="s">
        <v>5632</v>
      </c>
      <c r="H1076" s="3" t="s">
        <v>5633</v>
      </c>
      <c r="I1076" s="3" t="s">
        <v>4288</v>
      </c>
      <c r="K1076" s="17" t="s">
        <v>5634</v>
      </c>
      <c r="L1076" s="3">
        <v>0</v>
      </c>
      <c r="M1076" s="3">
        <v>0</v>
      </c>
      <c r="N1076" s="3">
        <v>7.8487873991320232</v>
      </c>
      <c r="O1076" s="3">
        <v>8.9259729137496269</v>
      </c>
      <c r="P1076" s="3">
        <v>9.3746833139448214</v>
      </c>
      <c r="Q1076" s="3">
        <v>9.7559647216555767</v>
      </c>
      <c r="R1076" s="3">
        <v>10.156635323281479</v>
      </c>
      <c r="S1076" s="3">
        <v>10.5801580809988</v>
      </c>
      <c r="T1076" s="3">
        <v>10.91014057055042</v>
      </c>
      <c r="U1076" s="3">
        <v>11.25307169227376</v>
      </c>
      <c r="V1076" s="3">
        <v>11.59158553455118</v>
      </c>
      <c r="W1076" s="3">
        <v>12.19294692260241</v>
      </c>
      <c r="X1076" s="3">
        <v>12.80363391778868</v>
      </c>
      <c r="Y1076" s="3">
        <v>13.446584908128621</v>
      </c>
      <c r="Z1076" s="3">
        <v>14.107441084065011</v>
      </c>
      <c r="AA1076" s="3">
        <v>14.786494785674501</v>
      </c>
      <c r="AB1076" s="3">
        <v>15.48347073724738</v>
      </c>
      <c r="AC1076" s="3">
        <v>16.19864464495409</v>
      </c>
      <c r="AD1076" s="3">
        <v>16.93293429564762</v>
      </c>
      <c r="AE1076" s="3">
        <v>17.68683425167157</v>
      </c>
      <c r="AG1076" s="17" t="s">
        <v>5635</v>
      </c>
      <c r="AH1076" s="3">
        <v>0</v>
      </c>
      <c r="AI1076" s="3">
        <v>0</v>
      </c>
      <c r="AJ1076" s="3">
        <v>7.8487873991320232</v>
      </c>
      <c r="AK1076" s="3">
        <v>8.9259729137496269</v>
      </c>
      <c r="AL1076" s="3">
        <v>9.3745224335510571</v>
      </c>
      <c r="AM1076" s="3">
        <v>9.755541822150084</v>
      </c>
      <c r="AN1076" s="3">
        <v>9.2519236873379711</v>
      </c>
      <c r="AO1076" s="3">
        <v>9.6620653075993381</v>
      </c>
      <c r="AP1076" s="3">
        <v>9.8847156522596329</v>
      </c>
      <c r="AQ1076" s="3">
        <v>10.340266940021969</v>
      </c>
      <c r="AR1076" s="3">
        <v>10.69243555116096</v>
      </c>
      <c r="AS1076" s="3">
        <v>11.288637928276639</v>
      </c>
      <c r="AT1076" s="3">
        <v>11.882433339903461</v>
      </c>
      <c r="AU1076" s="3">
        <v>12.51175309404622</v>
      </c>
      <c r="AV1076" s="3">
        <v>13.1615601303501</v>
      </c>
      <c r="AW1076" s="3">
        <v>13.83446338316311</v>
      </c>
      <c r="AX1076" s="3">
        <v>14.51923980212689</v>
      </c>
      <c r="AY1076" s="3">
        <v>15.21909100457475</v>
      </c>
      <c r="AZ1076" s="3">
        <v>15.928836861544889</v>
      </c>
      <c r="BA1076" s="3">
        <v>16.654907757464741</v>
      </c>
      <c r="BC1076" s="17" t="s">
        <v>5636</v>
      </c>
      <c r="BD1076" s="3">
        <v>0</v>
      </c>
      <c r="BE1076" s="3">
        <v>0</v>
      </c>
      <c r="BF1076" s="3">
        <v>7.8487873991320232</v>
      </c>
      <c r="BG1076" s="3">
        <v>8.9259729137496269</v>
      </c>
      <c r="BH1076" s="3">
        <v>9.374147100436927</v>
      </c>
      <c r="BI1076" s="3">
        <v>9.7545383025936889</v>
      </c>
      <c r="BJ1076" s="3">
        <v>9.6726935196280746</v>
      </c>
      <c r="BK1076" s="3">
        <v>9.5229468241947099</v>
      </c>
      <c r="BL1076" s="3">
        <v>9.3594679149324786</v>
      </c>
      <c r="BM1076" s="3">
        <v>9.3561654343080587</v>
      </c>
      <c r="BN1076" s="3">
        <v>9.3466261634645011</v>
      </c>
      <c r="BO1076" s="3">
        <v>9.4523046142368585</v>
      </c>
      <c r="BP1076" s="3">
        <v>9.5793374409960084</v>
      </c>
      <c r="BQ1076" s="3">
        <v>9.788383409100156</v>
      </c>
      <c r="BR1076" s="3">
        <v>10.017033988504799</v>
      </c>
      <c r="BS1076" s="3">
        <v>10.32064526341825</v>
      </c>
      <c r="BT1076" s="3">
        <v>10.6323936878652</v>
      </c>
      <c r="BU1076" s="3">
        <v>11.02190344700726</v>
      </c>
      <c r="BV1076" s="3">
        <v>11.39547358117404</v>
      </c>
      <c r="BW1076" s="3">
        <v>11.86495769117697</v>
      </c>
      <c r="BY1076" s="17" t="s">
        <v>5637</v>
      </c>
      <c r="BZ1076" s="3">
        <v>0</v>
      </c>
      <c r="CA1076" s="3">
        <v>0</v>
      </c>
      <c r="CB1076" s="3">
        <v>7.8487873991320232</v>
      </c>
      <c r="CC1076" s="3">
        <v>8.9259729137496269</v>
      </c>
      <c r="CD1076" s="3">
        <v>9.3737624591547011</v>
      </c>
      <c r="CE1076" s="3">
        <v>9.7535230270465547</v>
      </c>
      <c r="CF1076" s="3">
        <v>10.15306346858393</v>
      </c>
      <c r="CG1076" s="3">
        <v>10.580143295171469</v>
      </c>
      <c r="CH1076" s="3">
        <v>10.89673228950922</v>
      </c>
      <c r="CI1076" s="3">
        <v>11.243954700013139</v>
      </c>
      <c r="CJ1076" s="3">
        <v>11.574074684145829</v>
      </c>
      <c r="CK1076" s="3">
        <v>12.194234196002389</v>
      </c>
      <c r="CL1076" s="3">
        <v>12.831070722302011</v>
      </c>
      <c r="CM1076" s="3">
        <v>13.495200195703999</v>
      </c>
      <c r="CN1076" s="3">
        <v>14.21436145185727</v>
      </c>
      <c r="CO1076" s="3">
        <v>14.95194210127884</v>
      </c>
      <c r="CP1076" s="3">
        <v>15.706081240320771</v>
      </c>
      <c r="CQ1076" s="3">
        <v>16.48467241040445</v>
      </c>
      <c r="CR1076" s="3">
        <v>17.272538178849551</v>
      </c>
      <c r="CS1076" s="3">
        <v>18.081340772206119</v>
      </c>
      <c r="CU1076" s="17" t="s">
        <v>5638</v>
      </c>
      <c r="CV1076" s="3">
        <v>0</v>
      </c>
      <c r="CW1076" s="3">
        <v>0</v>
      </c>
      <c r="CX1076" s="3">
        <v>7.8487873991320232</v>
      </c>
      <c r="CY1076" s="3">
        <v>8.9259729137496269</v>
      </c>
      <c r="CZ1076" s="3">
        <v>9.3743077017838701</v>
      </c>
      <c r="DA1076" s="3">
        <v>9.754970709940153</v>
      </c>
      <c r="DB1076" s="3">
        <v>8.2499663256567732</v>
      </c>
      <c r="DC1076" s="3">
        <v>8.6570925151223861</v>
      </c>
      <c r="DD1076" s="3">
        <v>8.7880698572378666</v>
      </c>
      <c r="DE1076" s="3">
        <v>9.22744325199732</v>
      </c>
      <c r="DF1076" s="3">
        <v>9.6441868139629729</v>
      </c>
      <c r="DG1076" s="3">
        <v>10.228809153420849</v>
      </c>
      <c r="DH1076" s="3">
        <v>10.84910820691975</v>
      </c>
      <c r="DI1076" s="3">
        <v>11.54159311880982</v>
      </c>
      <c r="DJ1076" s="3">
        <v>12.254789088695031</v>
      </c>
      <c r="DK1076" s="3">
        <v>13.016300077502081</v>
      </c>
      <c r="DL1076" s="3">
        <v>13.778153366540939</v>
      </c>
      <c r="DM1076" s="3">
        <v>14.5670675673926</v>
      </c>
      <c r="DN1076" s="3">
        <v>15.34642253674458</v>
      </c>
      <c r="DO1076" s="3">
        <v>16.149682056405538</v>
      </c>
    </row>
    <row r="1077" spans="1:119" x14ac:dyDescent="0.45">
      <c r="A1077" s="16" t="s">
        <v>5639</v>
      </c>
      <c r="B1077" s="3" t="s">
        <v>89</v>
      </c>
      <c r="C1077" s="16" t="s">
        <v>5640</v>
      </c>
      <c r="H1077" s="3" t="s">
        <v>5641</v>
      </c>
      <c r="I1077" s="3" t="s">
        <v>4288</v>
      </c>
      <c r="K1077" s="17" t="s">
        <v>5642</v>
      </c>
      <c r="L1077" s="3">
        <v>0.77262987230731406</v>
      </c>
      <c r="M1077" s="3">
        <v>0.74539037384822326</v>
      </c>
      <c r="N1077" s="3">
        <v>1.9904587578146271</v>
      </c>
      <c r="O1077" s="3">
        <v>2.2376910725955401</v>
      </c>
      <c r="P1077" s="3">
        <v>2.3503577610930368</v>
      </c>
      <c r="Q1077" s="3">
        <v>2.4568648770259331</v>
      </c>
      <c r="R1077" s="3">
        <v>2.5613984764687219</v>
      </c>
      <c r="S1077" s="3">
        <v>2.6864833088336022</v>
      </c>
      <c r="T1077" s="3">
        <v>2.7887300422241879</v>
      </c>
      <c r="U1077" s="3">
        <v>2.897781602525809</v>
      </c>
      <c r="V1077" s="3">
        <v>2.9487049277177562</v>
      </c>
      <c r="W1077" s="3">
        <v>3.0702845934117722</v>
      </c>
      <c r="X1077" s="3">
        <v>3.1913421036674241</v>
      </c>
      <c r="Y1077" s="3">
        <v>3.3195646230916651</v>
      </c>
      <c r="Z1077" s="3">
        <v>3.4512803811418689</v>
      </c>
      <c r="AA1077" s="3">
        <v>3.5866080574682182</v>
      </c>
      <c r="AB1077" s="3">
        <v>3.7254270929092712</v>
      </c>
      <c r="AC1077" s="3">
        <v>3.8676449076882391</v>
      </c>
      <c r="AD1077" s="3">
        <v>4.0134001898211453</v>
      </c>
      <c r="AE1077" s="3">
        <v>4.1626714074730948</v>
      </c>
      <c r="AG1077" s="17" t="s">
        <v>5643</v>
      </c>
      <c r="AH1077" s="3">
        <v>0.77262987230731406</v>
      </c>
      <c r="AI1077" s="3">
        <v>0.74539037384822326</v>
      </c>
      <c r="AJ1077" s="3">
        <v>1.9904587578146271</v>
      </c>
      <c r="AK1077" s="3">
        <v>2.2377210588509162</v>
      </c>
      <c r="AL1077" s="3">
        <v>2.3503990193282571</v>
      </c>
      <c r="AM1077" s="3">
        <v>2.6828956878601802</v>
      </c>
      <c r="AN1077" s="3">
        <v>2.5431028926590371</v>
      </c>
      <c r="AO1077" s="3">
        <v>2.6936623707146401</v>
      </c>
      <c r="AP1077" s="3">
        <v>2.737372208656577</v>
      </c>
      <c r="AQ1077" s="3">
        <v>2.873905707559357</v>
      </c>
      <c r="AR1077" s="3">
        <v>2.9246041886678422</v>
      </c>
      <c r="AS1077" s="3">
        <v>3.0506990711101452</v>
      </c>
      <c r="AT1077" s="3">
        <v>3.1701435825363289</v>
      </c>
      <c r="AU1077" s="3">
        <v>3.2982468023326219</v>
      </c>
      <c r="AV1077" s="3">
        <v>3.4310934258317158</v>
      </c>
      <c r="AW1077" s="3">
        <v>3.5689862066664921</v>
      </c>
      <c r="AX1077" s="3">
        <v>3.708848594479019</v>
      </c>
      <c r="AY1077" s="3">
        <v>3.8514964298690271</v>
      </c>
      <c r="AZ1077" s="3">
        <v>3.9954912605327189</v>
      </c>
      <c r="BA1077" s="3">
        <v>4.1424285996292873</v>
      </c>
      <c r="BC1077" s="17" t="s">
        <v>5644</v>
      </c>
      <c r="BD1077" s="3">
        <v>0.77262987230731406</v>
      </c>
      <c r="BE1077" s="3">
        <v>0.74539037384822326</v>
      </c>
      <c r="BF1077" s="3">
        <v>1.9904587578146271</v>
      </c>
      <c r="BG1077" s="3">
        <v>2.2377910486668902</v>
      </c>
      <c r="BH1077" s="3">
        <v>2.3504986466607081</v>
      </c>
      <c r="BI1077" s="3">
        <v>2.569788110621142</v>
      </c>
      <c r="BJ1077" s="3">
        <v>2.696590194636189</v>
      </c>
      <c r="BK1077" s="3">
        <v>2.8089180645692222</v>
      </c>
      <c r="BL1077" s="3">
        <v>2.8750195031517518</v>
      </c>
      <c r="BM1077" s="3">
        <v>2.996476757347911</v>
      </c>
      <c r="BN1077" s="3">
        <v>3.0814474878902458</v>
      </c>
      <c r="BO1077" s="3">
        <v>3.20371681830578</v>
      </c>
      <c r="BP1077" s="3">
        <v>3.3068574143163572</v>
      </c>
      <c r="BQ1077" s="3">
        <v>3.4365118623646902</v>
      </c>
      <c r="BR1077" s="3">
        <v>3.5491239034616431</v>
      </c>
      <c r="BS1077" s="3">
        <v>3.6904003696524459</v>
      </c>
      <c r="BT1077" s="3">
        <v>3.8073809710633801</v>
      </c>
      <c r="BU1077" s="3">
        <v>3.9616986767316051</v>
      </c>
      <c r="BV1077" s="3">
        <v>4.0735735630877246</v>
      </c>
      <c r="BW1077" s="3">
        <v>4.2470057893622242</v>
      </c>
      <c r="BY1077" s="17" t="s">
        <v>5645</v>
      </c>
      <c r="BZ1077" s="3">
        <v>0.77262987230731406</v>
      </c>
      <c r="CA1077" s="3">
        <v>0.74539037384822326</v>
      </c>
      <c r="CB1077" s="3">
        <v>1.9904587578146271</v>
      </c>
      <c r="CC1077" s="3">
        <v>2.2378627683563379</v>
      </c>
      <c r="CD1077" s="3">
        <v>2.3505982174155009</v>
      </c>
      <c r="CE1077" s="3">
        <v>2.4569493399465441</v>
      </c>
      <c r="CF1077" s="3">
        <v>2.5614418823914051</v>
      </c>
      <c r="CG1077" s="3">
        <v>2.6878499795588819</v>
      </c>
      <c r="CH1077" s="3">
        <v>2.786783099133407</v>
      </c>
      <c r="CI1077" s="3">
        <v>2.897428897904764</v>
      </c>
      <c r="CJ1077" s="3">
        <v>2.9437937267392829</v>
      </c>
      <c r="CK1077" s="3">
        <v>3.066972863684343</v>
      </c>
      <c r="CL1077" s="3">
        <v>3.1921523066671411</v>
      </c>
      <c r="CM1077" s="3">
        <v>3.3171205832160751</v>
      </c>
      <c r="CN1077" s="3">
        <v>3.4560303532926691</v>
      </c>
      <c r="CO1077" s="3">
        <v>3.5979831174375061</v>
      </c>
      <c r="CP1077" s="3">
        <v>3.7420236532511342</v>
      </c>
      <c r="CQ1077" s="3">
        <v>3.89156762017525</v>
      </c>
      <c r="CR1077" s="3">
        <v>4.0423949848381326</v>
      </c>
      <c r="CS1077" s="3">
        <v>4.1968048038332304</v>
      </c>
      <c r="CU1077" s="17" t="s">
        <v>5646</v>
      </c>
      <c r="CV1077" s="3">
        <v>0.77262987230731406</v>
      </c>
      <c r="CW1077" s="3">
        <v>0.74539037384822326</v>
      </c>
      <c r="CX1077" s="3">
        <v>1.9904587578146271</v>
      </c>
      <c r="CY1077" s="3">
        <v>2.2377610951218991</v>
      </c>
      <c r="CZ1077" s="3">
        <v>2.3504554162574069</v>
      </c>
      <c r="DA1077" s="3">
        <v>3.0215607172745171</v>
      </c>
      <c r="DB1077" s="3">
        <v>2.5419938493876688</v>
      </c>
      <c r="DC1077" s="3">
        <v>2.7281965702318072</v>
      </c>
      <c r="DD1077" s="3">
        <v>2.7385035359590488</v>
      </c>
      <c r="DE1077" s="3">
        <v>2.8511780667189761</v>
      </c>
      <c r="DF1077" s="3">
        <v>2.9163565615628748</v>
      </c>
      <c r="DG1077" s="3">
        <v>3.0321934432699562</v>
      </c>
      <c r="DH1077" s="3">
        <v>3.1408513318710001</v>
      </c>
      <c r="DI1077" s="3">
        <v>3.271427000078218</v>
      </c>
      <c r="DJ1077" s="3">
        <v>3.4029499928593121</v>
      </c>
      <c r="DK1077" s="3">
        <v>3.548947859942706</v>
      </c>
      <c r="DL1077" s="3">
        <v>3.6907210345866419</v>
      </c>
      <c r="DM1077" s="3">
        <v>3.8416928393984922</v>
      </c>
      <c r="DN1077" s="3">
        <v>3.986919480346915</v>
      </c>
      <c r="DO1077" s="3">
        <v>4.1402290479455761</v>
      </c>
    </row>
    <row r="1078" spans="1:119" x14ac:dyDescent="0.45">
      <c r="A1078" s="16" t="s">
        <v>5647</v>
      </c>
      <c r="B1078" s="3" t="s">
        <v>89</v>
      </c>
      <c r="C1078" s="16" t="s">
        <v>5648</v>
      </c>
      <c r="H1078" s="3" t="s">
        <v>5649</v>
      </c>
      <c r="I1078" s="3" t="s">
        <v>5072</v>
      </c>
      <c r="K1078" s="17" t="s">
        <v>5650</v>
      </c>
      <c r="L1078" s="3">
        <v>5.9873933199678452E-2</v>
      </c>
      <c r="M1078" s="3">
        <v>5.4763920163926352E-2</v>
      </c>
      <c r="N1078" s="3">
        <v>0.1022342311562227</v>
      </c>
      <c r="O1078" s="3">
        <v>0.1010060196141126</v>
      </c>
      <c r="P1078" s="3">
        <v>0.10100574744992109</v>
      </c>
      <c r="Q1078" s="3">
        <v>0.1014639943468309</v>
      </c>
      <c r="R1078" s="3">
        <v>0.1016063872415035</v>
      </c>
      <c r="S1078" s="3">
        <v>0.10231121170863119</v>
      </c>
      <c r="T1078" s="3">
        <v>0.1029787062745723</v>
      </c>
      <c r="U1078" s="3">
        <v>0.103729685620503</v>
      </c>
      <c r="V1078" s="3">
        <v>0.1024834080380993</v>
      </c>
      <c r="W1078" s="3">
        <v>0.101419506458334</v>
      </c>
      <c r="X1078" s="3">
        <v>0.1003515013395055</v>
      </c>
      <c r="Y1078" s="3">
        <v>9.9355874007726205E-2</v>
      </c>
      <c r="Z1078" s="3">
        <v>9.8424877068417238E-2</v>
      </c>
      <c r="AA1078" s="3">
        <v>9.75545565474773E-2</v>
      </c>
      <c r="AB1078" s="3">
        <v>9.6738542143694969E-2</v>
      </c>
      <c r="AC1078" s="3">
        <v>9.5968476134625044E-2</v>
      </c>
      <c r="AD1078" s="3">
        <v>9.5239080998230016E-2</v>
      </c>
      <c r="AE1078" s="3">
        <v>9.4544423509786452E-2</v>
      </c>
      <c r="AG1078" s="17" t="s">
        <v>5651</v>
      </c>
      <c r="AH1078" s="3">
        <v>5.9873933199678452E-2</v>
      </c>
      <c r="AI1078" s="3">
        <v>5.4763920163926352E-2</v>
      </c>
      <c r="AJ1078" s="3">
        <v>0.1022342311562227</v>
      </c>
      <c r="AK1078" s="3">
        <v>0.1010074424312102</v>
      </c>
      <c r="AL1078" s="3">
        <v>0.10100939111592989</v>
      </c>
      <c r="AM1078" s="3">
        <v>0.11067268162595</v>
      </c>
      <c r="AN1078" s="3">
        <v>0.1106418887237104</v>
      </c>
      <c r="AO1078" s="3">
        <v>0.1122150951400448</v>
      </c>
      <c r="AP1078" s="3">
        <v>0.11147447572399891</v>
      </c>
      <c r="AQ1078" s="3">
        <v>0.1118651646643096</v>
      </c>
      <c r="AR1078" s="3">
        <v>0.11009600663114651</v>
      </c>
      <c r="AS1078" s="3">
        <v>0.1087390938005111</v>
      </c>
      <c r="AT1078" s="3">
        <v>0.1073139887293134</v>
      </c>
      <c r="AU1078" s="3">
        <v>0.1059989981392188</v>
      </c>
      <c r="AV1078" s="3">
        <v>0.10479141271799761</v>
      </c>
      <c r="AW1078" s="3">
        <v>0.10367009073929941</v>
      </c>
      <c r="AX1078" s="3">
        <v>0.1026226549339553</v>
      </c>
      <c r="AY1078" s="3">
        <v>0.1016415995013929</v>
      </c>
      <c r="AZ1078" s="3">
        <v>0.10071746733748339</v>
      </c>
      <c r="BA1078" s="3">
        <v>9.9844380904538843E-2</v>
      </c>
      <c r="BC1078" s="17" t="s">
        <v>5652</v>
      </c>
      <c r="BD1078" s="3">
        <v>5.9873933199678452E-2</v>
      </c>
      <c r="BE1078" s="3">
        <v>5.4763920163926352E-2</v>
      </c>
      <c r="BF1078" s="3">
        <v>0.1022342311562227</v>
      </c>
      <c r="BG1078" s="3">
        <v>0.1010107627894391</v>
      </c>
      <c r="BH1078" s="3">
        <v>0.10101804065539</v>
      </c>
      <c r="BI1078" s="3">
        <v>0.1060782248744869</v>
      </c>
      <c r="BJ1078" s="3">
        <v>0.1121847529172703</v>
      </c>
      <c r="BK1078" s="3">
        <v>0.11864463461615909</v>
      </c>
      <c r="BL1078" s="3">
        <v>0.1234979791954528</v>
      </c>
      <c r="BM1078" s="3">
        <v>0.1286911410064335</v>
      </c>
      <c r="BN1078" s="3">
        <v>0.13241906769962869</v>
      </c>
      <c r="BO1078" s="3">
        <v>0.13605841755559619</v>
      </c>
      <c r="BP1078" s="3">
        <v>0.13852269195456579</v>
      </c>
      <c r="BQ1078" s="3">
        <v>0.14081623138746099</v>
      </c>
      <c r="BR1078" s="3">
        <v>0.1420616735686703</v>
      </c>
      <c r="BS1078" s="3">
        <v>0.1433182985689008</v>
      </c>
      <c r="BT1078" s="3">
        <v>0.14348600823856039</v>
      </c>
      <c r="BU1078" s="3">
        <v>0.14398011246200459</v>
      </c>
      <c r="BV1078" s="3">
        <v>0.14316234907362871</v>
      </c>
      <c r="BW1078" s="3">
        <v>0.1433100646645139</v>
      </c>
      <c r="BY1078" s="17" t="s">
        <v>5653</v>
      </c>
      <c r="BZ1078" s="3">
        <v>5.9873933199678452E-2</v>
      </c>
      <c r="CA1078" s="3">
        <v>5.4763920163926352E-2</v>
      </c>
      <c r="CB1078" s="3">
        <v>0.1022342311562227</v>
      </c>
      <c r="CC1078" s="3">
        <v>0.10101416553691719</v>
      </c>
      <c r="CD1078" s="3">
        <v>0.1010267932081796</v>
      </c>
      <c r="CE1078" s="3">
        <v>0.1014938958077385</v>
      </c>
      <c r="CF1078" s="3">
        <v>0.1016451206219403</v>
      </c>
      <c r="CG1078" s="3">
        <v>0.10236269295873431</v>
      </c>
      <c r="CH1078" s="3">
        <v>0.10303291895826221</v>
      </c>
      <c r="CI1078" s="3">
        <v>0.1038003587805664</v>
      </c>
      <c r="CJ1078" s="3">
        <v>0.1024680411822933</v>
      </c>
      <c r="CK1078" s="3">
        <v>0.1012959442365972</v>
      </c>
      <c r="CL1078" s="3">
        <v>0.1001566070813301</v>
      </c>
      <c r="CM1078" s="3">
        <v>9.891203729616542E-2</v>
      </c>
      <c r="CN1078" s="3">
        <v>9.7800148319159008E-2</v>
      </c>
      <c r="CO1078" s="3">
        <v>9.6756766073682138E-2</v>
      </c>
      <c r="CP1078" s="3">
        <v>9.5762402237206126E-2</v>
      </c>
      <c r="CQ1078" s="3">
        <v>9.4852269686485371E-2</v>
      </c>
      <c r="CR1078" s="3">
        <v>9.4002964894518898E-2</v>
      </c>
      <c r="CS1078" s="3">
        <v>9.3198421506097417E-2</v>
      </c>
      <c r="CU1078" s="17" t="s">
        <v>5654</v>
      </c>
      <c r="CV1078" s="3">
        <v>5.9873933199678452E-2</v>
      </c>
      <c r="CW1078" s="3">
        <v>5.4763920163926352E-2</v>
      </c>
      <c r="CX1078" s="3">
        <v>0.1022342311562227</v>
      </c>
      <c r="CY1078" s="3">
        <v>0.10100934187834459</v>
      </c>
      <c r="CZ1078" s="3">
        <v>0.1010143130727725</v>
      </c>
      <c r="DA1078" s="3">
        <v>0.124470852521138</v>
      </c>
      <c r="DB1078" s="3">
        <v>0.123879107175981</v>
      </c>
      <c r="DC1078" s="3">
        <v>0.12668431074747311</v>
      </c>
      <c r="DD1078" s="3">
        <v>0.1252834686238003</v>
      </c>
      <c r="DE1078" s="3">
        <v>0.12423107372100931</v>
      </c>
      <c r="DF1078" s="3">
        <v>0.1215850459794016</v>
      </c>
      <c r="DG1078" s="3">
        <v>0.1191471353560719</v>
      </c>
      <c r="DH1078" s="3">
        <v>0.1163315773492508</v>
      </c>
      <c r="DI1078" s="3">
        <v>0.1138613208907137</v>
      </c>
      <c r="DJ1078" s="3">
        <v>0.1115153446833532</v>
      </c>
      <c r="DK1078" s="3">
        <v>0.1094640581674797</v>
      </c>
      <c r="DL1078" s="3">
        <v>0.10751497740314379</v>
      </c>
      <c r="DM1078" s="3">
        <v>0.1058241979895464</v>
      </c>
      <c r="DN1078" s="3">
        <v>0.10422302199081029</v>
      </c>
      <c r="DO1078" s="3">
        <v>0.1028228891987787</v>
      </c>
    </row>
    <row r="1079" spans="1:119" x14ac:dyDescent="0.45">
      <c r="A1079" s="16" t="s">
        <v>5655</v>
      </c>
      <c r="B1079" s="3" t="s">
        <v>89</v>
      </c>
      <c r="C1079" s="16" t="s">
        <v>5656</v>
      </c>
      <c r="H1079" s="3" t="s">
        <v>5657</v>
      </c>
      <c r="I1079" s="3" t="s">
        <v>5072</v>
      </c>
      <c r="K1079" s="17" t="s">
        <v>5658</v>
      </c>
      <c r="L1079" s="3">
        <v>0</v>
      </c>
      <c r="M1079" s="3">
        <v>0</v>
      </c>
      <c r="N1079" s="3">
        <v>0</v>
      </c>
      <c r="O1079" s="3">
        <v>0</v>
      </c>
      <c r="P1079" s="3">
        <v>0</v>
      </c>
      <c r="Q1079" s="3">
        <v>0</v>
      </c>
      <c r="R1079" s="3">
        <v>0</v>
      </c>
      <c r="S1079" s="3">
        <v>0</v>
      </c>
      <c r="T1079" s="3">
        <v>0</v>
      </c>
      <c r="U1079" s="3">
        <v>0</v>
      </c>
      <c r="V1079" s="3">
        <v>0</v>
      </c>
      <c r="W1079" s="3">
        <v>0</v>
      </c>
      <c r="X1079" s="3">
        <v>0</v>
      </c>
      <c r="Y1079" s="3">
        <v>0</v>
      </c>
      <c r="Z1079" s="3">
        <v>0</v>
      </c>
      <c r="AA1079" s="3">
        <v>0</v>
      </c>
      <c r="AB1079" s="3">
        <v>0</v>
      </c>
      <c r="AC1079" s="3">
        <v>0</v>
      </c>
      <c r="AD1079" s="3">
        <v>0</v>
      </c>
      <c r="AE1079" s="3">
        <v>0</v>
      </c>
      <c r="AG1079" s="17" t="s">
        <v>5659</v>
      </c>
      <c r="AH1079" s="3">
        <v>0</v>
      </c>
      <c r="AI1079" s="3">
        <v>0</v>
      </c>
      <c r="AJ1079" s="3">
        <v>0</v>
      </c>
      <c r="AK1079" s="3">
        <v>0</v>
      </c>
      <c r="AL1079" s="3">
        <v>0</v>
      </c>
      <c r="AM1079" s="3">
        <v>0</v>
      </c>
      <c r="AN1079" s="3">
        <v>0</v>
      </c>
      <c r="AO1079" s="3">
        <v>0</v>
      </c>
      <c r="AP1079" s="3">
        <v>0</v>
      </c>
      <c r="AQ1079" s="3">
        <v>0</v>
      </c>
      <c r="AR1079" s="3">
        <v>0</v>
      </c>
      <c r="AS1079" s="3">
        <v>0</v>
      </c>
      <c r="AT1079" s="3">
        <v>0</v>
      </c>
      <c r="AU1079" s="3">
        <v>0</v>
      </c>
      <c r="AV1079" s="3">
        <v>0</v>
      </c>
      <c r="AW1079" s="3">
        <v>0</v>
      </c>
      <c r="AX1079" s="3">
        <v>0</v>
      </c>
      <c r="AY1079" s="3">
        <v>0</v>
      </c>
      <c r="AZ1079" s="3">
        <v>0</v>
      </c>
      <c r="BA1079" s="3">
        <v>0</v>
      </c>
      <c r="BC1079" s="17" t="s">
        <v>5660</v>
      </c>
      <c r="BD1079" s="3">
        <v>0</v>
      </c>
      <c r="BE1079" s="3">
        <v>0</v>
      </c>
      <c r="BF1079" s="3">
        <v>0</v>
      </c>
      <c r="BG1079" s="3">
        <v>0</v>
      </c>
      <c r="BH1079" s="3">
        <v>0</v>
      </c>
      <c r="BI1079" s="3">
        <v>0</v>
      </c>
      <c r="BJ1079" s="3">
        <v>0</v>
      </c>
      <c r="BK1079" s="3">
        <v>0</v>
      </c>
      <c r="BL1079" s="3">
        <v>0</v>
      </c>
      <c r="BM1079" s="3">
        <v>0</v>
      </c>
      <c r="BN1079" s="3">
        <v>0</v>
      </c>
      <c r="BO1079" s="3">
        <v>0</v>
      </c>
      <c r="BP1079" s="3">
        <v>0</v>
      </c>
      <c r="BQ1079" s="3">
        <v>0</v>
      </c>
      <c r="BR1079" s="3">
        <v>0</v>
      </c>
      <c r="BS1079" s="3">
        <v>0</v>
      </c>
      <c r="BT1079" s="3">
        <v>0</v>
      </c>
      <c r="BU1079" s="3">
        <v>0</v>
      </c>
      <c r="BV1079" s="3">
        <v>0</v>
      </c>
      <c r="BW1079" s="3">
        <v>0</v>
      </c>
      <c r="BY1079" s="17" t="s">
        <v>5661</v>
      </c>
      <c r="BZ1079" s="3">
        <v>0</v>
      </c>
      <c r="CA1079" s="3">
        <v>0</v>
      </c>
      <c r="CB1079" s="3">
        <v>0</v>
      </c>
      <c r="CC1079" s="3">
        <v>0</v>
      </c>
      <c r="CD1079" s="3">
        <v>0</v>
      </c>
      <c r="CE1079" s="3">
        <v>0</v>
      </c>
      <c r="CF1079" s="3">
        <v>0</v>
      </c>
      <c r="CG1079" s="3">
        <v>0</v>
      </c>
      <c r="CH1079" s="3">
        <v>0</v>
      </c>
      <c r="CI1079" s="3">
        <v>0</v>
      </c>
      <c r="CJ1079" s="3">
        <v>0</v>
      </c>
      <c r="CK1079" s="3">
        <v>0</v>
      </c>
      <c r="CL1079" s="3">
        <v>0</v>
      </c>
      <c r="CM1079" s="3">
        <v>0</v>
      </c>
      <c r="CN1079" s="3">
        <v>0</v>
      </c>
      <c r="CO1079" s="3">
        <v>0</v>
      </c>
      <c r="CP1079" s="3">
        <v>0</v>
      </c>
      <c r="CQ1079" s="3">
        <v>0</v>
      </c>
      <c r="CR1079" s="3">
        <v>0</v>
      </c>
      <c r="CS1079" s="3">
        <v>0</v>
      </c>
      <c r="CU1079" s="17" t="s">
        <v>5662</v>
      </c>
      <c r="CV1079" s="3">
        <v>0</v>
      </c>
      <c r="CW1079" s="3">
        <v>0</v>
      </c>
      <c r="CX1079" s="3">
        <v>0</v>
      </c>
      <c r="CY1079" s="3">
        <v>0</v>
      </c>
      <c r="CZ1079" s="3">
        <v>0</v>
      </c>
      <c r="DA1079" s="3">
        <v>0</v>
      </c>
      <c r="DB1079" s="3">
        <v>0</v>
      </c>
      <c r="DC1079" s="3">
        <v>0</v>
      </c>
      <c r="DD1079" s="3">
        <v>0</v>
      </c>
      <c r="DE1079" s="3">
        <v>0</v>
      </c>
      <c r="DF1079" s="3">
        <v>0</v>
      </c>
      <c r="DG1079" s="3">
        <v>0</v>
      </c>
      <c r="DH1079" s="3">
        <v>0</v>
      </c>
      <c r="DI1079" s="3">
        <v>0</v>
      </c>
      <c r="DJ1079" s="3">
        <v>0</v>
      </c>
      <c r="DK1079" s="3">
        <v>0</v>
      </c>
      <c r="DL1079" s="3">
        <v>0</v>
      </c>
      <c r="DM1079" s="3">
        <v>0</v>
      </c>
      <c r="DN1079" s="3">
        <v>0</v>
      </c>
      <c r="DO1079" s="3">
        <v>0</v>
      </c>
    </row>
    <row r="1080" spans="1:119" x14ac:dyDescent="0.45">
      <c r="A1080" s="16" t="s">
        <v>5663</v>
      </c>
      <c r="B1080" s="3" t="s">
        <v>89</v>
      </c>
      <c r="C1080" s="16" t="s">
        <v>5664</v>
      </c>
      <c r="H1080" s="3" t="s">
        <v>5665</v>
      </c>
      <c r="I1080" s="3" t="s">
        <v>5072</v>
      </c>
      <c r="K1080" s="17" t="s">
        <v>5666</v>
      </c>
      <c r="L1080" s="3">
        <v>6.1897213404623558E-3</v>
      </c>
      <c r="M1080" s="3">
        <v>5.5214861144956117E-3</v>
      </c>
      <c r="N1080" s="3">
        <v>1.0799036608755259E-2</v>
      </c>
      <c r="O1080" s="3">
        <v>1.0721806045167041E-2</v>
      </c>
      <c r="P1080" s="3">
        <v>1.074109983912184E-2</v>
      </c>
      <c r="Q1080" s="3">
        <v>1.0803073541697411E-2</v>
      </c>
      <c r="R1080" s="3">
        <v>1.0831961791239301E-2</v>
      </c>
      <c r="S1080" s="3">
        <v>1.0920547982281511E-2</v>
      </c>
      <c r="T1080" s="3">
        <v>1.100359561476252E-2</v>
      </c>
      <c r="U1080" s="3">
        <v>1.109513986358374E-2</v>
      </c>
      <c r="V1080" s="3">
        <v>1.0969418822930911E-2</v>
      </c>
      <c r="W1080" s="3">
        <v>1.087990748796799E-2</v>
      </c>
      <c r="X1080" s="3">
        <v>1.0788774702194109E-2</v>
      </c>
      <c r="Y1080" s="3">
        <v>1.070448712819249E-2</v>
      </c>
      <c r="Z1080" s="3">
        <v>1.0626260550255799E-2</v>
      </c>
      <c r="AA1080" s="3">
        <v>1.055374323285747E-2</v>
      </c>
      <c r="AB1080" s="3">
        <v>1.04863062666452E-2</v>
      </c>
      <c r="AC1080" s="3">
        <v>1.042312226525063E-2</v>
      </c>
      <c r="AD1080" s="3">
        <v>1.0363697368559219E-2</v>
      </c>
      <c r="AE1080" s="3">
        <v>1.0307448106912601E-2</v>
      </c>
      <c r="AG1080" s="17" t="s">
        <v>5667</v>
      </c>
      <c r="AH1080" s="3">
        <v>6.1897213404623558E-3</v>
      </c>
      <c r="AI1080" s="3">
        <v>5.5214861144956117E-3</v>
      </c>
      <c r="AJ1080" s="3">
        <v>1.0799036608755259E-2</v>
      </c>
      <c r="AK1080" s="3">
        <v>1.072194972309385E-2</v>
      </c>
      <c r="AL1080" s="3">
        <v>1.074146638597538E-2</v>
      </c>
      <c r="AM1080" s="3">
        <v>1.179744486583161E-2</v>
      </c>
      <c r="AN1080" s="3">
        <v>1.174692128432429E-2</v>
      </c>
      <c r="AO1080" s="3">
        <v>1.19313984289354E-2</v>
      </c>
      <c r="AP1080" s="3">
        <v>1.185835419877373E-2</v>
      </c>
      <c r="AQ1080" s="3">
        <v>1.1920773479681301E-2</v>
      </c>
      <c r="AR1080" s="3">
        <v>1.174385718081716E-2</v>
      </c>
      <c r="AS1080" s="3">
        <v>1.1627719966887129E-2</v>
      </c>
      <c r="AT1080" s="3">
        <v>1.150035560765926E-2</v>
      </c>
      <c r="AU1080" s="3">
        <v>1.1384692295012761E-2</v>
      </c>
      <c r="AV1080" s="3">
        <v>1.127935344789216E-2</v>
      </c>
      <c r="AW1080" s="3">
        <v>1.1182356763769869E-2</v>
      </c>
      <c r="AX1080" s="3">
        <v>1.109218297181737E-2</v>
      </c>
      <c r="AY1080" s="3">
        <v>1.100822210376678E-2</v>
      </c>
      <c r="AZ1080" s="3">
        <v>1.0929421031332929E-2</v>
      </c>
      <c r="BA1080" s="3">
        <v>1.085538040085381E-2</v>
      </c>
      <c r="BC1080" s="17" t="s">
        <v>5668</v>
      </c>
      <c r="BD1080" s="3">
        <v>6.1897213404623558E-3</v>
      </c>
      <c r="BE1080" s="3">
        <v>5.5214861144956117E-3</v>
      </c>
      <c r="BF1080" s="3">
        <v>1.0799036608755259E-2</v>
      </c>
      <c r="BG1080" s="3">
        <v>1.072228507645929E-2</v>
      </c>
      <c r="BH1080" s="3">
        <v>1.074233697483609E-2</v>
      </c>
      <c r="BI1080" s="3">
        <v>1.130119722427509E-2</v>
      </c>
      <c r="BJ1080" s="3">
        <v>1.1942492846401431E-2</v>
      </c>
      <c r="BK1080" s="3">
        <v>1.26140651298529E-2</v>
      </c>
      <c r="BL1080" s="3">
        <v>1.3115681562233091E-2</v>
      </c>
      <c r="BM1080" s="3">
        <v>1.366451523063123E-2</v>
      </c>
      <c r="BN1080" s="3">
        <v>1.405598947767186E-2</v>
      </c>
      <c r="BO1080" s="3">
        <v>1.444882948995513E-2</v>
      </c>
      <c r="BP1080" s="3">
        <v>1.4715767004552179E-2</v>
      </c>
      <c r="BQ1080" s="3">
        <v>1.497234858486525E-2</v>
      </c>
      <c r="BR1080" s="3">
        <v>1.511725228174707E-2</v>
      </c>
      <c r="BS1080" s="3">
        <v>1.526920566710508E-2</v>
      </c>
      <c r="BT1080" s="3">
        <v>1.5303975609999011E-2</v>
      </c>
      <c r="BU1080" s="3">
        <v>1.5379212193796329E-2</v>
      </c>
      <c r="BV1080" s="3">
        <v>1.531099622825666E-2</v>
      </c>
      <c r="BW1080" s="3">
        <v>1.535288642389103E-2</v>
      </c>
      <c r="BY1080" s="17" t="s">
        <v>5669</v>
      </c>
      <c r="BZ1080" s="3">
        <v>6.1897213404623558E-3</v>
      </c>
      <c r="CA1080" s="3">
        <v>5.5214861144956117E-3</v>
      </c>
      <c r="CB1080" s="3">
        <v>1.0799036608755259E-2</v>
      </c>
      <c r="CC1080" s="3">
        <v>1.072262871844335E-2</v>
      </c>
      <c r="CD1080" s="3">
        <v>1.0743217685651819E-2</v>
      </c>
      <c r="CE1080" s="3">
        <v>1.0806046173702739E-2</v>
      </c>
      <c r="CF1080" s="3">
        <v>1.0835805182921239E-2</v>
      </c>
      <c r="CG1080" s="3">
        <v>1.092606086738407E-2</v>
      </c>
      <c r="CH1080" s="3">
        <v>1.1008894750524301E-2</v>
      </c>
      <c r="CI1080" s="3">
        <v>1.110235923001316E-2</v>
      </c>
      <c r="CJ1080" s="3">
        <v>1.0967029287593039E-2</v>
      </c>
      <c r="CK1080" s="3">
        <v>1.086710562663544E-2</v>
      </c>
      <c r="CL1080" s="3">
        <v>1.076930569750874E-2</v>
      </c>
      <c r="CM1080" s="3">
        <v>1.0659514511104541E-2</v>
      </c>
      <c r="CN1080" s="3">
        <v>1.0563918850243411E-2</v>
      </c>
      <c r="CO1080" s="3">
        <v>1.04745471104787E-2</v>
      </c>
      <c r="CP1080" s="3">
        <v>1.038947914727012E-2</v>
      </c>
      <c r="CQ1080" s="3">
        <v>1.031267044210931E-2</v>
      </c>
      <c r="CR1080" s="3">
        <v>1.02413530911863E-2</v>
      </c>
      <c r="CS1080" s="3">
        <v>1.017414529398422E-2</v>
      </c>
      <c r="CU1080" s="17" t="s">
        <v>5670</v>
      </c>
      <c r="CV1080" s="3">
        <v>6.1897213404623558E-3</v>
      </c>
      <c r="CW1080" s="3">
        <v>5.5214861144956117E-3</v>
      </c>
      <c r="CX1080" s="3">
        <v>1.0799036608755259E-2</v>
      </c>
      <c r="CY1080" s="3">
        <v>1.072214155526296E-2</v>
      </c>
      <c r="CZ1080" s="3">
        <v>1.074196170798329E-2</v>
      </c>
      <c r="DA1080" s="3">
        <v>1.3287398164649741E-2</v>
      </c>
      <c r="DB1080" s="3">
        <v>1.3089328812633199E-2</v>
      </c>
      <c r="DC1080" s="3">
        <v>1.3409820781214341E-2</v>
      </c>
      <c r="DD1080" s="3">
        <v>1.326238640189145E-2</v>
      </c>
      <c r="DE1080" s="3">
        <v>1.3174297308259589E-2</v>
      </c>
      <c r="DF1080" s="3">
        <v>1.2914075491840619E-2</v>
      </c>
      <c r="DG1080" s="3">
        <v>1.268860950992049E-2</v>
      </c>
      <c r="DH1080" s="3">
        <v>1.2418812193327791E-2</v>
      </c>
      <c r="DI1080" s="3">
        <v>1.218798760828306E-2</v>
      </c>
      <c r="DJ1080" s="3">
        <v>1.1967402868346379E-2</v>
      </c>
      <c r="DK1080" s="3">
        <v>1.1777803468404711E-2</v>
      </c>
      <c r="DL1080" s="3">
        <v>1.15962400235636E-2</v>
      </c>
      <c r="DM1080" s="3">
        <v>1.1441471857043049E-2</v>
      </c>
      <c r="DN1080" s="3">
        <v>1.1293681035654099E-2</v>
      </c>
      <c r="DO1080" s="3">
        <v>1.1166780224149761E-2</v>
      </c>
    </row>
    <row r="1081" spans="1:119" x14ac:dyDescent="0.45">
      <c r="A1081" s="16" t="s">
        <v>5671</v>
      </c>
      <c r="B1081" s="3" t="s">
        <v>89</v>
      </c>
      <c r="C1081" s="16" t="s">
        <v>5672</v>
      </c>
      <c r="H1081" s="3" t="s">
        <v>5673</v>
      </c>
      <c r="I1081" s="3" t="s">
        <v>5072</v>
      </c>
      <c r="K1081" s="17" t="s">
        <v>5674</v>
      </c>
      <c r="L1081" s="3">
        <v>6.6063654540140807E-2</v>
      </c>
      <c r="M1081" s="3">
        <v>6.0285406278421959E-2</v>
      </c>
      <c r="N1081" s="3">
        <v>0.11303326776497789</v>
      </c>
      <c r="O1081" s="3">
        <v>0.1117278256592797</v>
      </c>
      <c r="P1081" s="3">
        <v>0.11174684728904299</v>
      </c>
      <c r="Q1081" s="3">
        <v>0.1122670678885283</v>
      </c>
      <c r="R1081" s="3">
        <v>0.1124383490327428</v>
      </c>
      <c r="S1081" s="3">
        <v>0.1132317596909127</v>
      </c>
      <c r="T1081" s="3">
        <v>0.11398230188933479</v>
      </c>
      <c r="U1081" s="3">
        <v>0.11482482548408671</v>
      </c>
      <c r="V1081" s="3">
        <v>0.1134528268610302</v>
      </c>
      <c r="W1081" s="3">
        <v>0.112299413946302</v>
      </c>
      <c r="X1081" s="3">
        <v>0.1111402760416996</v>
      </c>
      <c r="Y1081" s="3">
        <v>0.1100603611359187</v>
      </c>
      <c r="Z1081" s="3">
        <v>0.10905113761867299</v>
      </c>
      <c r="AA1081" s="3">
        <v>0.1081082997803348</v>
      </c>
      <c r="AB1081" s="3">
        <v>0.1072248484103402</v>
      </c>
      <c r="AC1081" s="3">
        <v>0.10639159839987571</v>
      </c>
      <c r="AD1081" s="3">
        <v>0.1056027783667892</v>
      </c>
      <c r="AE1081" s="3">
        <v>0.10485187161669909</v>
      </c>
      <c r="AG1081" s="17" t="s">
        <v>5675</v>
      </c>
      <c r="AH1081" s="3">
        <v>6.6063654540140807E-2</v>
      </c>
      <c r="AI1081" s="3">
        <v>6.0285406278421959E-2</v>
      </c>
      <c r="AJ1081" s="3">
        <v>0.11303326776497789</v>
      </c>
      <c r="AK1081" s="3">
        <v>0.111729392154304</v>
      </c>
      <c r="AL1081" s="3">
        <v>0.1117508575019053</v>
      </c>
      <c r="AM1081" s="3">
        <v>0.1224701264917816</v>
      </c>
      <c r="AN1081" s="3">
        <v>0.1223888100080347</v>
      </c>
      <c r="AO1081" s="3">
        <v>0.12414649356898021</v>
      </c>
      <c r="AP1081" s="3">
        <v>0.1233328299227726</v>
      </c>
      <c r="AQ1081" s="3">
        <v>0.1237859381439909</v>
      </c>
      <c r="AR1081" s="3">
        <v>0.1218398638119636</v>
      </c>
      <c r="AS1081" s="3">
        <v>0.1203668137673982</v>
      </c>
      <c r="AT1081" s="3">
        <v>0.1188143443369727</v>
      </c>
      <c r="AU1081" s="3">
        <v>0.11738369043423159</v>
      </c>
      <c r="AV1081" s="3">
        <v>0.11607076616588979</v>
      </c>
      <c r="AW1081" s="3">
        <v>0.1148524475030693</v>
      </c>
      <c r="AX1081" s="3">
        <v>0.11371483790577259</v>
      </c>
      <c r="AY1081" s="3">
        <v>0.1126498216051597</v>
      </c>
      <c r="AZ1081" s="3">
        <v>0.11164688836881639</v>
      </c>
      <c r="BA1081" s="3">
        <v>0.11069976130539259</v>
      </c>
      <c r="BC1081" s="17" t="s">
        <v>5676</v>
      </c>
      <c r="BD1081" s="3">
        <v>6.6063654540140807E-2</v>
      </c>
      <c r="BE1081" s="3">
        <v>6.0285406278421959E-2</v>
      </c>
      <c r="BF1081" s="3">
        <v>0.11303326776497789</v>
      </c>
      <c r="BG1081" s="3">
        <v>0.1117330478658984</v>
      </c>
      <c r="BH1081" s="3">
        <v>0.1117603776302261</v>
      </c>
      <c r="BI1081" s="3">
        <v>0.117379422098762</v>
      </c>
      <c r="BJ1081" s="3">
        <v>0.1241272457636718</v>
      </c>
      <c r="BK1081" s="3">
        <v>0.13125869974601201</v>
      </c>
      <c r="BL1081" s="3">
        <v>0.13661366075768591</v>
      </c>
      <c r="BM1081" s="3">
        <v>0.1423556562370647</v>
      </c>
      <c r="BN1081" s="3">
        <v>0.14647505717730061</v>
      </c>
      <c r="BO1081" s="3">
        <v>0.15050724704555141</v>
      </c>
      <c r="BP1081" s="3">
        <v>0.153238458959118</v>
      </c>
      <c r="BQ1081" s="3">
        <v>0.15578857997232631</v>
      </c>
      <c r="BR1081" s="3">
        <v>0.1571789258504174</v>
      </c>
      <c r="BS1081" s="3">
        <v>0.1585875042360059</v>
      </c>
      <c r="BT1081" s="3">
        <v>0.15878998384855941</v>
      </c>
      <c r="BU1081" s="3">
        <v>0.15935932465580091</v>
      </c>
      <c r="BV1081" s="3">
        <v>0.15847334530188539</v>
      </c>
      <c r="BW1081" s="3">
        <v>0.15866295108840489</v>
      </c>
      <c r="BY1081" s="17" t="s">
        <v>5677</v>
      </c>
      <c r="BZ1081" s="3">
        <v>6.6063654540140807E-2</v>
      </c>
      <c r="CA1081" s="3">
        <v>6.0285406278421959E-2</v>
      </c>
      <c r="CB1081" s="3">
        <v>0.11303326776497789</v>
      </c>
      <c r="CC1081" s="3">
        <v>0.11173679425536059</v>
      </c>
      <c r="CD1081" s="3">
        <v>0.1117700108938314</v>
      </c>
      <c r="CE1081" s="3">
        <v>0.1122999419814413</v>
      </c>
      <c r="CF1081" s="3">
        <v>0.1124809258048616</v>
      </c>
      <c r="CG1081" s="3">
        <v>0.1132887538261183</v>
      </c>
      <c r="CH1081" s="3">
        <v>0.11404181370878649</v>
      </c>
      <c r="CI1081" s="3">
        <v>0.11490271801057959</v>
      </c>
      <c r="CJ1081" s="3">
        <v>0.1134350704698863</v>
      </c>
      <c r="CK1081" s="3">
        <v>0.1121630498632326</v>
      </c>
      <c r="CL1081" s="3">
        <v>0.1109259127788388</v>
      </c>
      <c r="CM1081" s="3">
        <v>0.10957155180727</v>
      </c>
      <c r="CN1081" s="3">
        <v>0.1083640671694024</v>
      </c>
      <c r="CO1081" s="3">
        <v>0.10723131318416081</v>
      </c>
      <c r="CP1081" s="3">
        <v>0.1061518813844762</v>
      </c>
      <c r="CQ1081" s="3">
        <v>0.1051649401285947</v>
      </c>
      <c r="CR1081" s="3">
        <v>0.1042443179857052</v>
      </c>
      <c r="CS1081" s="3">
        <v>0.1033725668000816</v>
      </c>
      <c r="CU1081" s="17" t="s">
        <v>5678</v>
      </c>
      <c r="CV1081" s="3">
        <v>6.6063654540140807E-2</v>
      </c>
      <c r="CW1081" s="3">
        <v>6.0285406278421959E-2</v>
      </c>
      <c r="CX1081" s="3">
        <v>0.11303326776497789</v>
      </c>
      <c r="CY1081" s="3">
        <v>0.1117314834336076</v>
      </c>
      <c r="CZ1081" s="3">
        <v>0.1117562747807558</v>
      </c>
      <c r="DA1081" s="3">
        <v>0.13775825068578779</v>
      </c>
      <c r="DB1081" s="3">
        <v>0.13696843598861419</v>
      </c>
      <c r="DC1081" s="3">
        <v>0.14009413152868741</v>
      </c>
      <c r="DD1081" s="3">
        <v>0.13854585502569169</v>
      </c>
      <c r="DE1081" s="3">
        <v>0.13740537102926889</v>
      </c>
      <c r="DF1081" s="3">
        <v>0.13449912147124221</v>
      </c>
      <c r="DG1081" s="3">
        <v>0.13183574486599239</v>
      </c>
      <c r="DH1081" s="3">
        <v>0.12875038954257861</v>
      </c>
      <c r="DI1081" s="3">
        <v>0.12604930849899679</v>
      </c>
      <c r="DJ1081" s="3">
        <v>0.12348274755169961</v>
      </c>
      <c r="DK1081" s="3">
        <v>0.12124186163588439</v>
      </c>
      <c r="DL1081" s="3">
        <v>0.11911121742670749</v>
      </c>
      <c r="DM1081" s="3">
        <v>0.1172656698465895</v>
      </c>
      <c r="DN1081" s="3">
        <v>0.1155167030264644</v>
      </c>
      <c r="DO1081" s="3">
        <v>0.1139896694229285</v>
      </c>
    </row>
    <row r="1082" spans="1:119" x14ac:dyDescent="0.45">
      <c r="A1082" s="16" t="s">
        <v>5679</v>
      </c>
      <c r="B1082" s="3" t="s">
        <v>89</v>
      </c>
      <c r="C1082" s="16" t="s">
        <v>5680</v>
      </c>
      <c r="H1082" s="3" t="s">
        <v>5681</v>
      </c>
      <c r="I1082" s="3" t="s">
        <v>5072</v>
      </c>
      <c r="K1082" s="17" t="s">
        <v>5682</v>
      </c>
      <c r="L1082" s="3">
        <v>6.1434807532996558E-2</v>
      </c>
      <c r="M1082" s="3">
        <v>5.5702667171962858E-2</v>
      </c>
      <c r="N1082" s="3">
        <v>4.7006801353054933E-2</v>
      </c>
      <c r="O1082" s="3">
        <v>4.5773067079122133E-2</v>
      </c>
      <c r="P1082" s="3">
        <v>4.5770601368465169E-2</v>
      </c>
      <c r="Q1082" s="3">
        <v>4.6227189180414588E-2</v>
      </c>
      <c r="R1082" s="3">
        <v>4.6367983646357608E-2</v>
      </c>
      <c r="S1082" s="3">
        <v>4.7071122062792577E-2</v>
      </c>
      <c r="T1082" s="3">
        <v>4.7737419661987551E-2</v>
      </c>
      <c r="U1082" s="3">
        <v>4.8487278637178631E-2</v>
      </c>
      <c r="V1082" s="3">
        <v>4.7239947039411638E-2</v>
      </c>
      <c r="W1082" s="3">
        <v>4.6173502012552319E-2</v>
      </c>
      <c r="X1082" s="3">
        <v>4.5103195583497367E-2</v>
      </c>
      <c r="Y1082" s="3">
        <v>4.4105298567246889E-2</v>
      </c>
      <c r="Z1082" s="3">
        <v>4.3172066620096067E-2</v>
      </c>
      <c r="AA1082" s="3">
        <v>4.2299544039234069E-2</v>
      </c>
      <c r="AB1082" s="3">
        <v>4.1481360929239937E-2</v>
      </c>
      <c r="AC1082" s="3">
        <v>4.070915792821888E-2</v>
      </c>
      <c r="AD1082" s="3">
        <v>3.9977653931707977E-2</v>
      </c>
      <c r="AE1082" s="3">
        <v>3.9280913889247371E-2</v>
      </c>
      <c r="AG1082" s="17" t="s">
        <v>5683</v>
      </c>
      <c r="AH1082" s="3">
        <v>6.1434807532996558E-2</v>
      </c>
      <c r="AI1082" s="3">
        <v>5.5702667171962858E-2</v>
      </c>
      <c r="AJ1082" s="3">
        <v>4.7006801353054933E-2</v>
      </c>
      <c r="AK1082" s="3">
        <v>4.5774489896219669E-2</v>
      </c>
      <c r="AL1082" s="3">
        <v>4.577424578668704E-2</v>
      </c>
      <c r="AM1082" s="3">
        <v>5.5435878569556112E-2</v>
      </c>
      <c r="AN1082" s="3">
        <v>5.54099062777271E-2</v>
      </c>
      <c r="AO1082" s="3">
        <v>5.6981278616106273E-2</v>
      </c>
      <c r="AP1082" s="3">
        <v>5.6239965336464172E-2</v>
      </c>
      <c r="AQ1082" s="3">
        <v>5.6628572874900203E-2</v>
      </c>
      <c r="AR1082" s="3">
        <v>5.485807236849103E-2</v>
      </c>
      <c r="AS1082" s="3">
        <v>5.3498461020048481E-2</v>
      </c>
      <c r="AT1082" s="3">
        <v>5.2070992709097999E-2</v>
      </c>
      <c r="AU1082" s="3">
        <v>5.0753582433925033E-2</v>
      </c>
      <c r="AV1082" s="3">
        <v>4.9543619796258147E-2</v>
      </c>
      <c r="AW1082" s="3">
        <v>4.8419948761325007E-2</v>
      </c>
      <c r="AX1082" s="3">
        <v>4.7370221350429148E-2</v>
      </c>
      <c r="AY1082" s="3">
        <v>4.6386919133761292E-2</v>
      </c>
      <c r="AZ1082" s="3">
        <v>4.5460595865522167E-2</v>
      </c>
      <c r="BA1082" s="3">
        <v>4.4585354766216147E-2</v>
      </c>
      <c r="BC1082" s="17" t="s">
        <v>5684</v>
      </c>
      <c r="BD1082" s="3">
        <v>6.1434807532996558E-2</v>
      </c>
      <c r="BE1082" s="3">
        <v>5.5702667171962858E-2</v>
      </c>
      <c r="BF1082" s="3">
        <v>4.7006801353054933E-2</v>
      </c>
      <c r="BG1082" s="3">
        <v>4.5777810254448589E-2</v>
      </c>
      <c r="BH1082" s="3">
        <v>4.5782897083703603E-2</v>
      </c>
      <c r="BI1082" s="3">
        <v>5.0841426834715757E-2</v>
      </c>
      <c r="BJ1082" s="3">
        <v>5.6949735735205557E-2</v>
      </c>
      <c r="BK1082" s="3">
        <v>6.3411787630140118E-2</v>
      </c>
      <c r="BL1082" s="3">
        <v>6.8267140819984681E-2</v>
      </c>
      <c r="BM1082" s="3">
        <v>7.3461238391797468E-2</v>
      </c>
      <c r="BN1082" s="3">
        <v>7.7190099171376925E-2</v>
      </c>
      <c r="BO1082" s="3">
        <v>8.0829581249550975E-2</v>
      </c>
      <c r="BP1082" s="3">
        <v>8.3293894631820797E-2</v>
      </c>
      <c r="BQ1082" s="3">
        <v>8.5586907840667151E-2</v>
      </c>
      <c r="BR1082" s="3">
        <v>8.6831742779397342E-2</v>
      </c>
      <c r="BS1082" s="3">
        <v>8.8087318075762783E-2</v>
      </c>
      <c r="BT1082" s="3">
        <v>8.8253976575130136E-2</v>
      </c>
      <c r="BU1082" s="3">
        <v>8.8746615212592042E-2</v>
      </c>
      <c r="BV1082" s="3">
        <v>8.7927529096872001E-2</v>
      </c>
      <c r="BW1082" s="3">
        <v>8.8073444351938812E-2</v>
      </c>
      <c r="BY1082" s="17" t="s">
        <v>5685</v>
      </c>
      <c r="BZ1082" s="3">
        <v>6.1434807532996558E-2</v>
      </c>
      <c r="CA1082" s="3">
        <v>5.5702667171962858E-2</v>
      </c>
      <c r="CB1082" s="3">
        <v>4.7006801353054933E-2</v>
      </c>
      <c r="CC1082" s="3">
        <v>4.5781213001926703E-2</v>
      </c>
      <c r="CD1082" s="3">
        <v>4.5791651436283477E-2</v>
      </c>
      <c r="CE1082" s="3">
        <v>4.6257102841324588E-2</v>
      </c>
      <c r="CF1082" s="3">
        <v>4.6406734826121017E-2</v>
      </c>
      <c r="CG1082" s="3">
        <v>4.7122610093604307E-2</v>
      </c>
      <c r="CH1082" s="3">
        <v>4.7791696222558133E-2</v>
      </c>
      <c r="CI1082" s="3">
        <v>4.8558000916474171E-2</v>
      </c>
      <c r="CJ1082" s="3">
        <v>4.722466065089987E-2</v>
      </c>
      <c r="CK1082" s="3">
        <v>4.6049930217766752E-2</v>
      </c>
      <c r="CL1082" s="3">
        <v>4.4908197566583603E-2</v>
      </c>
      <c r="CM1082" s="3">
        <v>4.3661287285281687E-2</v>
      </c>
      <c r="CN1082" s="3">
        <v>4.2546961682721068E-2</v>
      </c>
      <c r="CO1082" s="3">
        <v>4.1501199310953939E-2</v>
      </c>
      <c r="CP1082" s="3">
        <v>4.0504503336091471E-2</v>
      </c>
      <c r="CQ1082" s="3">
        <v>3.9592063042768057E-2</v>
      </c>
      <c r="CR1082" s="3">
        <v>3.8740518107456483E-2</v>
      </c>
      <c r="CS1082" s="3">
        <v>3.7933769253839962E-2</v>
      </c>
      <c r="CU1082" s="17" t="s">
        <v>5686</v>
      </c>
      <c r="CV1082" s="3">
        <v>6.1434807532996558E-2</v>
      </c>
      <c r="CW1082" s="3">
        <v>5.5702667171962858E-2</v>
      </c>
      <c r="CX1082" s="3">
        <v>4.7006801353054933E-2</v>
      </c>
      <c r="CY1082" s="3">
        <v>4.5776389343354082E-2</v>
      </c>
      <c r="CZ1082" s="3">
        <v>4.5779168748581317E-2</v>
      </c>
      <c r="DA1082" s="3">
        <v>6.9234052318075667E-2</v>
      </c>
      <c r="DB1082" s="3">
        <v>6.8654705800519064E-2</v>
      </c>
      <c r="DC1082" s="3">
        <v>7.1457799622109755E-2</v>
      </c>
      <c r="DD1082" s="3">
        <v>7.005671697986196E-2</v>
      </c>
      <c r="DE1082" s="3">
        <v>6.9002038079495912E-2</v>
      </c>
      <c r="DF1082" s="3">
        <v>6.6353952840077043E-2</v>
      </c>
      <c r="DG1082" s="3">
        <v>6.391313103549677E-2</v>
      </c>
      <c r="DH1082" s="3">
        <v>6.109480028389401E-2</v>
      </c>
      <c r="DI1082" s="3">
        <v>5.8621502027709167E-2</v>
      </c>
      <c r="DJ1082" s="3">
        <v>5.6272607148693303E-2</v>
      </c>
      <c r="DK1082" s="3">
        <v>5.4218358619392927E-2</v>
      </c>
      <c r="DL1082" s="3">
        <v>5.2266478942656819E-2</v>
      </c>
      <c r="DM1082" s="3">
        <v>5.0572925288191933E-2</v>
      </c>
      <c r="DN1082" s="3">
        <v>4.8969149537150869E-2</v>
      </c>
      <c r="DO1082" s="3">
        <v>4.7566445891867717E-2</v>
      </c>
    </row>
    <row r="1083" spans="1:119" x14ac:dyDescent="0.45">
      <c r="A1083" s="16" t="s">
        <v>5687</v>
      </c>
      <c r="B1083" s="3" t="s">
        <v>89</v>
      </c>
      <c r="C1083" s="16" t="s">
        <v>5688</v>
      </c>
      <c r="H1083" s="3" t="s">
        <v>5689</v>
      </c>
      <c r="I1083" s="3" t="s">
        <v>5081</v>
      </c>
      <c r="K1083" s="17" t="s">
        <v>5690</v>
      </c>
      <c r="L1083" s="3">
        <v>503.50048761555593</v>
      </c>
      <c r="M1083" s="3">
        <v>471.40742782061028</v>
      </c>
      <c r="N1083" s="3">
        <v>536.63734363170306</v>
      </c>
      <c r="O1083" s="3">
        <v>596.93371182730061</v>
      </c>
      <c r="P1083" s="3">
        <v>628.58248421857263</v>
      </c>
      <c r="Q1083" s="3">
        <v>659.89570968900614</v>
      </c>
      <c r="R1083" s="3">
        <v>695.47569739989262</v>
      </c>
      <c r="S1083" s="3">
        <v>731.74275825600216</v>
      </c>
      <c r="T1083" s="3">
        <v>762.84875277158244</v>
      </c>
      <c r="U1083" s="3">
        <v>795.00036893111235</v>
      </c>
      <c r="V1083" s="3">
        <v>827.46693394322403</v>
      </c>
      <c r="W1083" s="3">
        <v>873.0685924151876</v>
      </c>
      <c r="X1083" s="3">
        <v>919.7170703193143</v>
      </c>
      <c r="Y1083" s="3">
        <v>968.52524115500364</v>
      </c>
      <c r="Z1083" s="3">
        <v>1018.83099789427</v>
      </c>
      <c r="AA1083" s="3">
        <v>1070.6493349240809</v>
      </c>
      <c r="AB1083" s="3">
        <v>1123.967354332234</v>
      </c>
      <c r="AC1083" s="3">
        <v>1178.797378920111</v>
      </c>
      <c r="AD1083" s="3">
        <v>1235.181300267197</v>
      </c>
      <c r="AE1083" s="3">
        <v>1293.139930105734</v>
      </c>
      <c r="AG1083" s="17" t="s">
        <v>5691</v>
      </c>
      <c r="AH1083" s="3">
        <v>503.50048761555593</v>
      </c>
      <c r="AI1083" s="3">
        <v>471.40742782061028</v>
      </c>
      <c r="AJ1083" s="3">
        <v>536.63734363170306</v>
      </c>
      <c r="AK1083" s="3">
        <v>596.93371182730061</v>
      </c>
      <c r="AL1083" s="3">
        <v>628.57527232747725</v>
      </c>
      <c r="AM1083" s="3">
        <v>659.87662123973223</v>
      </c>
      <c r="AN1083" s="3">
        <v>653.17837625412869</v>
      </c>
      <c r="AO1083" s="3">
        <v>688.69473529862159</v>
      </c>
      <c r="AP1083" s="3">
        <v>713.64761951557182</v>
      </c>
      <c r="AQ1083" s="3">
        <v>750.95043780272727</v>
      </c>
      <c r="AR1083" s="3">
        <v>783.44470097106853</v>
      </c>
      <c r="AS1083" s="3">
        <v>829.0454291410673</v>
      </c>
      <c r="AT1083" s="3">
        <v>875.41546051836349</v>
      </c>
      <c r="AU1083" s="3">
        <v>924.05303285535456</v>
      </c>
      <c r="AV1083" s="3">
        <v>974.48569481272705</v>
      </c>
      <c r="AW1083" s="3">
        <v>1027.0479249129539</v>
      </c>
      <c r="AX1083" s="3">
        <v>1080.5796721883389</v>
      </c>
      <c r="AY1083" s="3">
        <v>1135.353050529932</v>
      </c>
      <c r="AZ1083" s="3">
        <v>1190.8528558467581</v>
      </c>
      <c r="BA1083" s="3">
        <v>1247.65969982311</v>
      </c>
      <c r="BC1083" s="17" t="s">
        <v>5692</v>
      </c>
      <c r="BD1083" s="3">
        <v>503.50048761555593</v>
      </c>
      <c r="BE1083" s="3">
        <v>471.40742782061028</v>
      </c>
      <c r="BF1083" s="3">
        <v>536.63734363170306</v>
      </c>
      <c r="BG1083" s="3">
        <v>596.93371182730061</v>
      </c>
      <c r="BH1083" s="3">
        <v>628.55844653781469</v>
      </c>
      <c r="BI1083" s="3">
        <v>659.83131822523626</v>
      </c>
      <c r="BJ1083" s="3">
        <v>673.02663337907302</v>
      </c>
      <c r="BK1083" s="3">
        <v>681.90787033885226</v>
      </c>
      <c r="BL1083" s="3">
        <v>688.17357408606017</v>
      </c>
      <c r="BM1083" s="3">
        <v>702.15471132113862</v>
      </c>
      <c r="BN1083" s="3">
        <v>715.73333461377558</v>
      </c>
      <c r="BO1083" s="3">
        <v>735.57077819230119</v>
      </c>
      <c r="BP1083" s="3">
        <v>757.12309249739201</v>
      </c>
      <c r="BQ1083" s="3">
        <v>783.61763786262486</v>
      </c>
      <c r="BR1083" s="3">
        <v>811.80573101300388</v>
      </c>
      <c r="BS1083" s="3">
        <v>844.88666819922707</v>
      </c>
      <c r="BT1083" s="3">
        <v>879.13436904135222</v>
      </c>
      <c r="BU1083" s="3">
        <v>918.35182375420993</v>
      </c>
      <c r="BV1083" s="3">
        <v>957.12664280955005</v>
      </c>
      <c r="BW1083" s="3">
        <v>1001.671280448341</v>
      </c>
      <c r="BY1083" s="17" t="s">
        <v>5693</v>
      </c>
      <c r="BZ1083" s="3">
        <v>503.50048761555593</v>
      </c>
      <c r="CA1083" s="3">
        <v>471.40742782061028</v>
      </c>
      <c r="CB1083" s="3">
        <v>536.63734363170306</v>
      </c>
      <c r="CC1083" s="3">
        <v>596.93371182730061</v>
      </c>
      <c r="CD1083" s="3">
        <v>628.54120334106494</v>
      </c>
      <c r="CE1083" s="3">
        <v>659.78548084943679</v>
      </c>
      <c r="CF1083" s="3">
        <v>695.31216425972218</v>
      </c>
      <c r="CG1083" s="3">
        <v>731.95537949372238</v>
      </c>
      <c r="CH1083" s="3">
        <v>761.89412740815089</v>
      </c>
      <c r="CI1083" s="3">
        <v>794.45236682819927</v>
      </c>
      <c r="CJ1083" s="3">
        <v>826.22728833952419</v>
      </c>
      <c r="CK1083" s="3">
        <v>873.09378957366766</v>
      </c>
      <c r="CL1083" s="3">
        <v>921.41913848593128</v>
      </c>
      <c r="CM1083" s="3">
        <v>971.60640050102609</v>
      </c>
      <c r="CN1083" s="3">
        <v>1025.2171667145481</v>
      </c>
      <c r="CO1083" s="3">
        <v>1080.6478127447269</v>
      </c>
      <c r="CP1083" s="3">
        <v>1137.2704197688511</v>
      </c>
      <c r="CQ1083" s="3">
        <v>1195.67267442108</v>
      </c>
      <c r="CR1083" s="3">
        <v>1254.8453517061639</v>
      </c>
      <c r="CS1083" s="3">
        <v>1315.7090318719629</v>
      </c>
      <c r="CU1083" s="17" t="s">
        <v>5694</v>
      </c>
      <c r="CV1083" s="3">
        <v>503.50048761555593</v>
      </c>
      <c r="CW1083" s="3">
        <v>471.40742782061028</v>
      </c>
      <c r="CX1083" s="3">
        <v>536.63734363170306</v>
      </c>
      <c r="CY1083" s="3">
        <v>596.93371182730061</v>
      </c>
      <c r="CZ1083" s="3">
        <v>628.56564621197617</v>
      </c>
      <c r="DA1083" s="3">
        <v>659.85084007935006</v>
      </c>
      <c r="DB1083" s="3">
        <v>604.56368839898266</v>
      </c>
      <c r="DC1083" s="3">
        <v>639.82008012485846</v>
      </c>
      <c r="DD1083" s="3">
        <v>658.98025964474266</v>
      </c>
      <c r="DE1083" s="3">
        <v>695.40876298319711</v>
      </c>
      <c r="DF1083" s="3">
        <v>730.50200995827595</v>
      </c>
      <c r="DG1083" s="3">
        <v>775.88861249148806</v>
      </c>
      <c r="DH1083" s="3">
        <v>824.1752524401229</v>
      </c>
      <c r="DI1083" s="3">
        <v>876.56753696943019</v>
      </c>
      <c r="DJ1083" s="3">
        <v>930.92090706127567</v>
      </c>
      <c r="DK1083" s="3">
        <v>989.07416389248101</v>
      </c>
      <c r="DL1083" s="3">
        <v>1047.3373878031221</v>
      </c>
      <c r="DM1083" s="3">
        <v>1107.357441995103</v>
      </c>
      <c r="DN1083" s="3">
        <v>1166.711548062628</v>
      </c>
      <c r="DO1083" s="3">
        <v>1227.6642818136511</v>
      </c>
    </row>
    <row r="1084" spans="1:119" x14ac:dyDescent="0.45">
      <c r="A1084" s="16" t="s">
        <v>5695</v>
      </c>
      <c r="B1084" s="3" t="s">
        <v>89</v>
      </c>
      <c r="C1084" s="16" t="s">
        <v>5696</v>
      </c>
      <c r="H1084" s="3" t="s">
        <v>5697</v>
      </c>
      <c r="I1084" s="3" t="s">
        <v>4288</v>
      </c>
      <c r="K1084" s="17" t="s">
        <v>5698</v>
      </c>
      <c r="L1084" s="3">
        <v>0</v>
      </c>
      <c r="M1084" s="3">
        <v>0</v>
      </c>
      <c r="N1084" s="3">
        <v>2.9637101225178281E-2</v>
      </c>
      <c r="O1084" s="3">
        <v>3.2970411371893001E-2</v>
      </c>
      <c r="P1084" s="3">
        <v>3.4719845340057343E-2</v>
      </c>
      <c r="Q1084" s="3">
        <v>3.6450530746245692E-2</v>
      </c>
      <c r="R1084" s="3">
        <v>3.8416967263590833E-2</v>
      </c>
      <c r="S1084" s="3">
        <v>4.0421535563754753E-2</v>
      </c>
      <c r="T1084" s="3">
        <v>4.2140746593907777E-2</v>
      </c>
      <c r="U1084" s="3">
        <v>4.3917733932385523E-2</v>
      </c>
      <c r="V1084" s="3">
        <v>4.5712137292996183E-2</v>
      </c>
      <c r="W1084" s="3">
        <v>4.8233551338041802E-2</v>
      </c>
      <c r="X1084" s="3">
        <v>5.0812809910021482E-2</v>
      </c>
      <c r="Y1084" s="3">
        <v>5.3511576902442952E-2</v>
      </c>
      <c r="Z1084" s="3">
        <v>5.6293276005526027E-2</v>
      </c>
      <c r="AA1084" s="3">
        <v>5.9158742393172391E-2</v>
      </c>
      <c r="AB1084" s="3">
        <v>6.210726777746782E-2</v>
      </c>
      <c r="AC1084" s="3">
        <v>6.5139539462623977E-2</v>
      </c>
      <c r="AD1084" s="3">
        <v>6.8257881338647533E-2</v>
      </c>
      <c r="AE1084" s="3">
        <v>7.1463450968101472E-2</v>
      </c>
      <c r="AG1084" s="17" t="s">
        <v>5699</v>
      </c>
      <c r="AH1084" s="3">
        <v>0</v>
      </c>
      <c r="AI1084" s="3">
        <v>0</v>
      </c>
      <c r="AJ1084" s="3">
        <v>2.9637101225178281E-2</v>
      </c>
      <c r="AK1084" s="3">
        <v>3.2970411371893001E-2</v>
      </c>
      <c r="AL1084" s="3">
        <v>3.4719446517376608E-2</v>
      </c>
      <c r="AM1084" s="3">
        <v>3.6449474968937683E-2</v>
      </c>
      <c r="AN1084" s="3">
        <v>3.6076336611363939E-2</v>
      </c>
      <c r="AO1084" s="3">
        <v>3.8039238650486473E-2</v>
      </c>
      <c r="AP1084" s="3">
        <v>3.9417976853172269E-2</v>
      </c>
      <c r="AQ1084" s="3">
        <v>4.1479942786987488E-2</v>
      </c>
      <c r="AR1084" s="3">
        <v>4.3275866890665621E-2</v>
      </c>
      <c r="AS1084" s="3">
        <v>4.579699410950272E-2</v>
      </c>
      <c r="AT1084" s="3">
        <v>4.8360572801451007E-2</v>
      </c>
      <c r="AU1084" s="3">
        <v>5.1049693933831561E-2</v>
      </c>
      <c r="AV1084" s="3">
        <v>5.3838183872210968E-2</v>
      </c>
      <c r="AW1084" s="3">
        <v>5.6744543669624753E-2</v>
      </c>
      <c r="AX1084" s="3">
        <v>5.9704656569294627E-2</v>
      </c>
      <c r="AY1084" s="3">
        <v>6.2733569911446893E-2</v>
      </c>
      <c r="AZ1084" s="3">
        <v>6.5802803197542323E-2</v>
      </c>
      <c r="BA1084" s="3">
        <v>6.8944459964257104E-2</v>
      </c>
      <c r="BC1084" s="17" t="s">
        <v>5700</v>
      </c>
      <c r="BD1084" s="3">
        <v>0</v>
      </c>
      <c r="BE1084" s="3">
        <v>0</v>
      </c>
      <c r="BF1084" s="3">
        <v>2.9637101225178281E-2</v>
      </c>
      <c r="BG1084" s="3">
        <v>3.2970411371893001E-2</v>
      </c>
      <c r="BH1084" s="3">
        <v>3.4718516037712352E-2</v>
      </c>
      <c r="BI1084" s="3">
        <v>3.644696926512335E-2</v>
      </c>
      <c r="BJ1084" s="3">
        <v>3.7174637658680308E-2</v>
      </c>
      <c r="BK1084" s="3">
        <v>3.7663713060987883E-2</v>
      </c>
      <c r="BL1084" s="3">
        <v>3.8008403444615417E-2</v>
      </c>
      <c r="BM1084" s="3">
        <v>3.8779936326674348E-2</v>
      </c>
      <c r="BN1084" s="3">
        <v>3.9529213812004922E-2</v>
      </c>
      <c r="BO1084" s="3">
        <v>4.0624718100292917E-2</v>
      </c>
      <c r="BP1084" s="3">
        <v>4.1814997823908392E-2</v>
      </c>
      <c r="BQ1084" s="3">
        <v>4.3278672058489238E-2</v>
      </c>
      <c r="BR1084" s="3">
        <v>4.4835974338183371E-2</v>
      </c>
      <c r="BS1084" s="3">
        <v>4.666391909022391E-2</v>
      </c>
      <c r="BT1084" s="3">
        <v>4.8556377307301737E-2</v>
      </c>
      <c r="BU1084" s="3">
        <v>5.0723782931321147E-2</v>
      </c>
      <c r="BV1084" s="3">
        <v>5.2866717810543043E-2</v>
      </c>
      <c r="BW1084" s="3">
        <v>5.5328936196135922E-2</v>
      </c>
      <c r="BY1084" s="17" t="s">
        <v>5701</v>
      </c>
      <c r="BZ1084" s="3">
        <v>0</v>
      </c>
      <c r="CA1084" s="3">
        <v>0</v>
      </c>
      <c r="CB1084" s="3">
        <v>2.9637101225178281E-2</v>
      </c>
      <c r="CC1084" s="3">
        <v>3.2970411371893008E-2</v>
      </c>
      <c r="CD1084" s="3">
        <v>3.4717562476021917E-2</v>
      </c>
      <c r="CE1084" s="3">
        <v>3.6444434007926213E-2</v>
      </c>
      <c r="CF1084" s="3">
        <v>3.8407921577904618E-2</v>
      </c>
      <c r="CG1084" s="3">
        <v>4.0433275816810867E-2</v>
      </c>
      <c r="CH1084" s="3">
        <v>4.2087963193178542E-2</v>
      </c>
      <c r="CI1084" s="3">
        <v>4.388742195429849E-2</v>
      </c>
      <c r="CJ1084" s="3">
        <v>4.5643588495161647E-2</v>
      </c>
      <c r="CK1084" s="3">
        <v>4.8234951738540643E-2</v>
      </c>
      <c r="CL1084" s="3">
        <v>5.0906941897795648E-2</v>
      </c>
      <c r="CM1084" s="3">
        <v>5.3681982343056767E-2</v>
      </c>
      <c r="CN1084" s="3">
        <v>5.6646515455359037E-2</v>
      </c>
      <c r="CO1084" s="3">
        <v>5.9711807364112447E-2</v>
      </c>
      <c r="CP1084" s="3">
        <v>6.284317387881537E-2</v>
      </c>
      <c r="CQ1084" s="3">
        <v>6.607311906675499E-2</v>
      </c>
      <c r="CR1084" s="3">
        <v>6.934582447465451E-2</v>
      </c>
      <c r="CS1084" s="3">
        <v>7.2712202111558363E-2</v>
      </c>
      <c r="CU1084" s="17" t="s">
        <v>5702</v>
      </c>
      <c r="CV1084" s="3">
        <v>0</v>
      </c>
      <c r="CW1084" s="3">
        <v>0</v>
      </c>
      <c r="CX1084" s="3">
        <v>2.9637101225178281E-2</v>
      </c>
      <c r="CY1084" s="3">
        <v>3.2970411371893001E-2</v>
      </c>
      <c r="CZ1084" s="3">
        <v>3.4718914185746977E-2</v>
      </c>
      <c r="DA1084" s="3">
        <v>3.6448049017285912E-2</v>
      </c>
      <c r="DB1084" s="3">
        <v>3.3386667785175107E-2</v>
      </c>
      <c r="DC1084" s="3">
        <v>3.5335030773246352E-2</v>
      </c>
      <c r="DD1084" s="3">
        <v>3.6393339137658187E-2</v>
      </c>
      <c r="DE1084" s="3">
        <v>3.8406755356219707E-2</v>
      </c>
      <c r="DF1084" s="3">
        <v>4.0346424550469308E-2</v>
      </c>
      <c r="DG1084" s="3">
        <v>4.2855434974639922E-2</v>
      </c>
      <c r="DH1084" s="3">
        <v>4.5524784681819253E-2</v>
      </c>
      <c r="DI1084" s="3">
        <v>4.8421431963381389E-2</v>
      </c>
      <c r="DJ1084" s="3">
        <v>5.142661933431357E-2</v>
      </c>
      <c r="DK1084" s="3">
        <v>5.4642094089179132E-2</v>
      </c>
      <c r="DL1084" s="3">
        <v>5.7863818057651277E-2</v>
      </c>
      <c r="DM1084" s="3">
        <v>6.1182908005545773E-2</v>
      </c>
      <c r="DN1084" s="3">
        <v>6.446533106686396E-2</v>
      </c>
      <c r="DO1084" s="3">
        <v>6.7836361787955601E-2</v>
      </c>
    </row>
    <row r="1085" spans="1:119" x14ac:dyDescent="0.45">
      <c r="A1085" s="16" t="s">
        <v>5703</v>
      </c>
      <c r="B1085" s="3" t="s">
        <v>89</v>
      </c>
      <c r="C1085" s="16" t="s">
        <v>5704</v>
      </c>
      <c r="H1085" s="3" t="s">
        <v>5705</v>
      </c>
      <c r="I1085" s="3" t="s">
        <v>4288</v>
      </c>
      <c r="K1085" s="17" t="s">
        <v>5706</v>
      </c>
      <c r="L1085" s="3">
        <v>2.330626725194932E-3</v>
      </c>
      <c r="M1085" s="3">
        <v>2.160337254548807E-3</v>
      </c>
      <c r="N1085" s="3">
        <v>5.7951663195039338E-3</v>
      </c>
      <c r="O1085" s="3">
        <v>6.4002074800339594E-3</v>
      </c>
      <c r="P1085" s="3">
        <v>6.7516672201149118E-3</v>
      </c>
      <c r="Q1085" s="3">
        <v>7.1289018816209342E-3</v>
      </c>
      <c r="R1085" s="3">
        <v>7.5333661809711414E-3</v>
      </c>
      <c r="S1085" s="3">
        <v>7.9910319022216906E-3</v>
      </c>
      <c r="T1085" s="3">
        <v>8.3940791907244454E-3</v>
      </c>
      <c r="U1085" s="3">
        <v>8.8206402848913616E-3</v>
      </c>
      <c r="V1085" s="3">
        <v>9.0768313605497208E-3</v>
      </c>
      <c r="W1085" s="3">
        <v>9.4989055161276634E-3</v>
      </c>
      <c r="X1085" s="3">
        <v>9.9226202614370995E-3</v>
      </c>
      <c r="Y1085" s="3">
        <v>1.0367565977273259E-2</v>
      </c>
      <c r="Z1085" s="3">
        <v>1.082636364030163E-2</v>
      </c>
      <c r="AA1085" s="3">
        <v>1.1299358173218369E-2</v>
      </c>
      <c r="AB1085" s="3">
        <v>1.1786265911238729E-2</v>
      </c>
      <c r="AC1085" s="3">
        <v>1.228674920644128E-2</v>
      </c>
      <c r="AD1085" s="3">
        <v>1.280104519127271E-2</v>
      </c>
      <c r="AE1085" s="3">
        <v>1.332897272454144E-2</v>
      </c>
      <c r="AG1085" s="17" t="s">
        <v>5707</v>
      </c>
      <c r="AH1085" s="3">
        <v>2.330626725194932E-3</v>
      </c>
      <c r="AI1085" s="3">
        <v>2.160337254548807E-3</v>
      </c>
      <c r="AJ1085" s="3">
        <v>5.7951663195039338E-3</v>
      </c>
      <c r="AK1085" s="3">
        <v>6.4002932462321046E-3</v>
      </c>
      <c r="AL1085" s="3">
        <v>6.7518201587609189E-3</v>
      </c>
      <c r="AM1085" s="3">
        <v>7.7848580573269942E-3</v>
      </c>
      <c r="AN1085" s="3">
        <v>7.6728349704799966E-3</v>
      </c>
      <c r="AO1085" s="3">
        <v>8.2170912827580541E-3</v>
      </c>
      <c r="AP1085" s="3">
        <v>8.4626862453273614E-3</v>
      </c>
      <c r="AQ1085" s="3">
        <v>8.9519100635138162E-3</v>
      </c>
      <c r="AR1085" s="3">
        <v>9.2006626772722384E-3</v>
      </c>
      <c r="AS1085" s="3">
        <v>9.6399080898801025E-3</v>
      </c>
      <c r="AT1085" s="3">
        <v>1.006758910040398E-2</v>
      </c>
      <c r="AU1085" s="3">
        <v>1.0520059443331529E-2</v>
      </c>
      <c r="AV1085" s="3">
        <v>1.0991568581707521E-2</v>
      </c>
      <c r="AW1085" s="3">
        <v>1.148481630986619E-2</v>
      </c>
      <c r="AX1085" s="3">
        <v>1.198598743953949E-2</v>
      </c>
      <c r="AY1085" s="3">
        <v>1.249821854642264E-2</v>
      </c>
      <c r="AZ1085" s="3">
        <v>1.301533224791444E-2</v>
      </c>
      <c r="BA1085" s="3">
        <v>1.354382065239494E-2</v>
      </c>
      <c r="BC1085" s="17" t="s">
        <v>5708</v>
      </c>
      <c r="BD1085" s="3">
        <v>2.330626725194932E-3</v>
      </c>
      <c r="BE1085" s="3">
        <v>2.160337254548807E-3</v>
      </c>
      <c r="BF1085" s="3">
        <v>5.7951663195039338E-3</v>
      </c>
      <c r="BG1085" s="3">
        <v>6.4004934299613193E-3</v>
      </c>
      <c r="BH1085" s="3">
        <v>6.7521866410887024E-3</v>
      </c>
      <c r="BI1085" s="3">
        <v>7.4568838620168096E-3</v>
      </c>
      <c r="BJ1085" s="3">
        <v>8.0376157545672105E-3</v>
      </c>
      <c r="BK1085" s="3">
        <v>8.6016302890135603E-3</v>
      </c>
      <c r="BL1085" s="3">
        <v>9.0258654572565825E-3</v>
      </c>
      <c r="BM1085" s="3">
        <v>9.5946037471071697E-3</v>
      </c>
      <c r="BN1085" s="3">
        <v>1.0060340220150231E-2</v>
      </c>
      <c r="BO1085" s="3">
        <v>1.062813675189416E-2</v>
      </c>
      <c r="BP1085" s="3">
        <v>1.114164702295763E-2</v>
      </c>
      <c r="BQ1085" s="3">
        <v>1.173259643132793E-2</v>
      </c>
      <c r="BR1085" s="3">
        <v>1.227227203949168E-2</v>
      </c>
      <c r="BS1085" s="3">
        <v>1.290074830212916E-2</v>
      </c>
      <c r="BT1085" s="3">
        <v>1.345425094172073E-2</v>
      </c>
      <c r="BU1085" s="3">
        <v>1.412352756607585E-2</v>
      </c>
      <c r="BV1085" s="3">
        <v>1.465456241802098E-2</v>
      </c>
      <c r="BW1085" s="3">
        <v>1.537854540279689E-2</v>
      </c>
      <c r="BY1085" s="17" t="s">
        <v>5709</v>
      </c>
      <c r="BZ1085" s="3">
        <v>2.330626725194932E-3</v>
      </c>
      <c r="CA1085" s="3">
        <v>2.160337254548807E-3</v>
      </c>
      <c r="CB1085" s="3">
        <v>5.7951663195039338E-3</v>
      </c>
      <c r="CC1085" s="3">
        <v>6.400698561446397E-3</v>
      </c>
      <c r="CD1085" s="3">
        <v>6.7525549718946013E-3</v>
      </c>
      <c r="CE1085" s="3">
        <v>7.1296723707976739E-3</v>
      </c>
      <c r="CF1085" s="3">
        <v>7.5342671532336808E-3</v>
      </c>
      <c r="CG1085" s="3">
        <v>7.9973890285576152E-3</v>
      </c>
      <c r="CH1085" s="3">
        <v>8.3876122596788852E-3</v>
      </c>
      <c r="CI1085" s="3">
        <v>8.8202955676608651E-3</v>
      </c>
      <c r="CJ1085" s="3">
        <v>9.0612588694281362E-3</v>
      </c>
      <c r="CK1085" s="3">
        <v>9.4880024332564643E-3</v>
      </c>
      <c r="CL1085" s="3">
        <v>9.923044377890133E-3</v>
      </c>
      <c r="CM1085" s="3">
        <v>1.035685252522274E-2</v>
      </c>
      <c r="CN1085" s="3">
        <v>1.083031095304896E-2</v>
      </c>
      <c r="CO1085" s="3">
        <v>1.1319296424430419E-2</v>
      </c>
      <c r="CP1085" s="3">
        <v>1.181564731099561E-2</v>
      </c>
      <c r="CQ1085" s="3">
        <v>1.233057824794005E-2</v>
      </c>
      <c r="CR1085" s="3">
        <v>1.285131432165668E-2</v>
      </c>
      <c r="CS1085" s="3">
        <v>1.338621485487267E-2</v>
      </c>
      <c r="CU1085" s="17" t="s">
        <v>5710</v>
      </c>
      <c r="CV1085" s="3">
        <v>2.330626725194932E-3</v>
      </c>
      <c r="CW1085" s="3">
        <v>2.160337254548807E-3</v>
      </c>
      <c r="CX1085" s="3">
        <v>5.7951663195039338E-3</v>
      </c>
      <c r="CY1085" s="3">
        <v>6.4004077573208678E-3</v>
      </c>
      <c r="CZ1085" s="3">
        <v>6.7520281025628204E-3</v>
      </c>
      <c r="DA1085" s="3">
        <v>8.7677008414129478E-3</v>
      </c>
      <c r="DB1085" s="3">
        <v>7.9133329056326005E-3</v>
      </c>
      <c r="DC1085" s="3">
        <v>8.579872606696546E-3</v>
      </c>
      <c r="DD1085" s="3">
        <v>8.7396508346273341E-3</v>
      </c>
      <c r="DE1085" s="3">
        <v>9.1615217943096707E-3</v>
      </c>
      <c r="DF1085" s="3">
        <v>9.433758103542484E-3</v>
      </c>
      <c r="DG1085" s="3">
        <v>9.8449476270985152E-3</v>
      </c>
      <c r="DH1085" s="3">
        <v>1.02352776744424E-2</v>
      </c>
      <c r="DI1085" s="3">
        <v>1.068359427840663E-2</v>
      </c>
      <c r="DJ1085" s="3">
        <v>1.114070553336873E-2</v>
      </c>
      <c r="DK1085" s="3">
        <v>1.1649121118002349E-2</v>
      </c>
      <c r="DL1085" s="3">
        <v>1.214517573461711E-2</v>
      </c>
      <c r="DM1085" s="3">
        <v>1.266979900827416E-2</v>
      </c>
      <c r="DN1085" s="3">
        <v>1.317646808443354E-2</v>
      </c>
      <c r="DO1085" s="3">
        <v>1.3709057224051691E-2</v>
      </c>
    </row>
    <row r="1086" spans="1:119" x14ac:dyDescent="0.45">
      <c r="A1086" s="16" t="s">
        <v>5711</v>
      </c>
      <c r="B1086" s="3" t="s">
        <v>89</v>
      </c>
      <c r="C1086" s="16" t="s">
        <v>5712</v>
      </c>
      <c r="H1086" s="3" t="s">
        <v>5713</v>
      </c>
      <c r="I1086" s="3" t="s">
        <v>4288</v>
      </c>
      <c r="K1086" s="17" t="s">
        <v>5714</v>
      </c>
      <c r="L1086" s="3">
        <v>37.746227552784198</v>
      </c>
      <c r="M1086" s="3">
        <v>33.425902920921963</v>
      </c>
      <c r="N1086" s="3">
        <v>46.974246682577608</v>
      </c>
      <c r="O1086" s="3">
        <v>44.972775576878959</v>
      </c>
      <c r="P1086" s="3">
        <v>50.192510518734437</v>
      </c>
      <c r="Q1086" s="3">
        <v>47.636101030711671</v>
      </c>
      <c r="R1086" s="3">
        <v>47.984285258800583</v>
      </c>
      <c r="S1086" s="3">
        <v>48.851356400049809</v>
      </c>
      <c r="T1086" s="3">
        <v>49.462147166391503</v>
      </c>
      <c r="U1086" s="3">
        <v>49.700108754859457</v>
      </c>
      <c r="V1086" s="3">
        <v>50.502496495006611</v>
      </c>
      <c r="W1086" s="3">
        <v>51.945045158329933</v>
      </c>
      <c r="X1086" s="3">
        <v>53.337034907839993</v>
      </c>
      <c r="Y1086" s="3">
        <v>54.822611375999251</v>
      </c>
      <c r="Z1086" s="3">
        <v>56.333856389651963</v>
      </c>
      <c r="AA1086" s="3">
        <v>57.877088686645003</v>
      </c>
      <c r="AB1086" s="3">
        <v>59.450199813315187</v>
      </c>
      <c r="AC1086" s="3">
        <v>61.0536347701929</v>
      </c>
      <c r="AD1086" s="3">
        <v>62.689594906324828</v>
      </c>
      <c r="AE1086" s="3">
        <v>64.358918734440735</v>
      </c>
      <c r="AG1086" s="17" t="s">
        <v>5715</v>
      </c>
      <c r="AH1086" s="3">
        <v>37.746227552784198</v>
      </c>
      <c r="AI1086" s="3">
        <v>33.419173219735463</v>
      </c>
      <c r="AJ1086" s="3">
        <v>46.96844266902481</v>
      </c>
      <c r="AK1086" s="3">
        <v>44.967291676868783</v>
      </c>
      <c r="AL1086" s="3">
        <v>50.186715456909901</v>
      </c>
      <c r="AM1086" s="3">
        <v>41.156868851099297</v>
      </c>
      <c r="AN1086" s="3">
        <v>39.164189729955339</v>
      </c>
      <c r="AO1086" s="3">
        <v>40.170601409539721</v>
      </c>
      <c r="AP1086" s="3">
        <v>40.368590317529907</v>
      </c>
      <c r="AQ1086" s="3">
        <v>40.840830104552367</v>
      </c>
      <c r="AR1086" s="3">
        <v>41.526196647519839</v>
      </c>
      <c r="AS1086" s="3">
        <v>42.898634196390638</v>
      </c>
      <c r="AT1086" s="3">
        <v>44.121754046522383</v>
      </c>
      <c r="AU1086" s="3">
        <v>45.477012466971978</v>
      </c>
      <c r="AV1086" s="3">
        <v>46.862896929319056</v>
      </c>
      <c r="AW1086" s="3">
        <v>48.296897256694628</v>
      </c>
      <c r="AX1086" s="3">
        <v>49.736105115225023</v>
      </c>
      <c r="AY1086" s="3">
        <v>51.194329560926882</v>
      </c>
      <c r="AZ1086" s="3">
        <v>52.652512871025444</v>
      </c>
      <c r="BA1086" s="3">
        <v>54.133978352652107</v>
      </c>
      <c r="BC1086" s="17" t="s">
        <v>5716</v>
      </c>
      <c r="BD1086" s="3">
        <v>37.746227552784198</v>
      </c>
      <c r="BE1086" s="3">
        <v>33.402656464187821</v>
      </c>
      <c r="BF1086" s="3">
        <v>46.95422185084275</v>
      </c>
      <c r="BG1086" s="3">
        <v>44.953799803654192</v>
      </c>
      <c r="BH1086" s="3">
        <v>50.172547920830873</v>
      </c>
      <c r="BI1086" s="3">
        <v>43.827219651810573</v>
      </c>
      <c r="BJ1086" s="3">
        <v>38.84058227239305</v>
      </c>
      <c r="BK1086" s="3">
        <v>34.616931158259703</v>
      </c>
      <c r="BL1086" s="3">
        <v>31.201656763658189</v>
      </c>
      <c r="BM1086" s="3">
        <v>28.507590477250091</v>
      </c>
      <c r="BN1086" s="3">
        <v>26.026534627296272</v>
      </c>
      <c r="BO1086" s="3">
        <v>24.28717736482573</v>
      </c>
      <c r="BP1086" s="3">
        <v>22.563231519800919</v>
      </c>
      <c r="BQ1086" s="3">
        <v>21.525991078765131</v>
      </c>
      <c r="BR1086" s="3">
        <v>20.690914612516131</v>
      </c>
      <c r="BS1086" s="3">
        <v>20.411783002882121</v>
      </c>
      <c r="BT1086" s="3">
        <v>20.345594242842811</v>
      </c>
      <c r="BU1086" s="3">
        <v>20.554821545781831</v>
      </c>
      <c r="BV1086" s="3">
        <v>20.553611350466191</v>
      </c>
      <c r="BW1086" s="3">
        <v>20.966352931188069</v>
      </c>
      <c r="BY1086" s="17" t="s">
        <v>5717</v>
      </c>
      <c r="BZ1086" s="3">
        <v>37.746227552784198</v>
      </c>
      <c r="CA1086" s="3">
        <v>33.386439847371769</v>
      </c>
      <c r="CB1086" s="3">
        <v>46.940224981428379</v>
      </c>
      <c r="CC1086" s="3">
        <v>44.940544776493176</v>
      </c>
      <c r="CD1086" s="3">
        <v>50.158545327164362</v>
      </c>
      <c r="CE1086" s="3">
        <v>40.025421518130017</v>
      </c>
      <c r="CF1086" s="3">
        <v>40.201907556666939</v>
      </c>
      <c r="CG1086" s="3">
        <v>40.859463358190673</v>
      </c>
      <c r="CH1086" s="3">
        <v>41.206337987157717</v>
      </c>
      <c r="CI1086" s="3">
        <v>41.246630865979682</v>
      </c>
      <c r="CJ1086" s="3">
        <v>41.616337042185997</v>
      </c>
      <c r="CK1086" s="3">
        <v>42.799502162672248</v>
      </c>
      <c r="CL1086" s="3">
        <v>43.52602986839225</v>
      </c>
      <c r="CM1086" s="3">
        <v>44.422739655803333</v>
      </c>
      <c r="CN1086" s="3">
        <v>45.42797038911899</v>
      </c>
      <c r="CO1086" s="3">
        <v>46.391764845585513</v>
      </c>
      <c r="CP1086" s="3">
        <v>47.428240672762747</v>
      </c>
      <c r="CQ1086" s="3">
        <v>48.516460935222199</v>
      </c>
      <c r="CR1086" s="3">
        <v>49.591357474150882</v>
      </c>
      <c r="CS1086" s="3">
        <v>50.736603778768107</v>
      </c>
      <c r="CU1086" s="17" t="s">
        <v>5718</v>
      </c>
      <c r="CV1086" s="3">
        <v>37.746227552784198</v>
      </c>
      <c r="CW1086" s="3">
        <v>33.409869775826131</v>
      </c>
      <c r="CX1086" s="3">
        <v>46.960428442622593</v>
      </c>
      <c r="CY1086" s="3">
        <v>44.959697543682083</v>
      </c>
      <c r="CZ1086" s="3">
        <v>50.17872587866146</v>
      </c>
      <c r="DA1086" s="3">
        <v>34.326108369569042</v>
      </c>
      <c r="DB1086" s="3">
        <v>29.70119506694714</v>
      </c>
      <c r="DC1086" s="3">
        <v>30.617555018420141</v>
      </c>
      <c r="DD1086" s="3">
        <v>30.489793076086219</v>
      </c>
      <c r="DE1086" s="3">
        <v>31.308742880053579</v>
      </c>
      <c r="DF1086" s="3">
        <v>31.634506398983369</v>
      </c>
      <c r="DG1086" s="3">
        <v>32.682462834831298</v>
      </c>
      <c r="DH1086" s="3">
        <v>33.437721680451787</v>
      </c>
      <c r="DI1086" s="3">
        <v>34.47566390611545</v>
      </c>
      <c r="DJ1086" s="3">
        <v>35.453778803321981</v>
      </c>
      <c r="DK1086" s="3">
        <v>36.600532487644628</v>
      </c>
      <c r="DL1086" s="3">
        <v>37.656707756226147</v>
      </c>
      <c r="DM1086" s="3">
        <v>38.834078812656919</v>
      </c>
      <c r="DN1086" s="3">
        <v>39.917670188600667</v>
      </c>
      <c r="DO1086" s="3">
        <v>41.111092661025452</v>
      </c>
    </row>
    <row r="1087" spans="1:119" x14ac:dyDescent="0.45">
      <c r="A1087" s="16" t="s">
        <v>5719</v>
      </c>
      <c r="B1087" s="3" t="s">
        <v>89</v>
      </c>
      <c r="C1087" s="16" t="s">
        <v>5720</v>
      </c>
      <c r="H1087" s="3" t="s">
        <v>5721</v>
      </c>
      <c r="I1087" s="3" t="s">
        <v>4288</v>
      </c>
      <c r="K1087" s="17" t="s">
        <v>5722</v>
      </c>
      <c r="L1087" s="3">
        <v>25.397755482946291</v>
      </c>
      <c r="M1087" s="3">
        <v>25.316297998815209</v>
      </c>
      <c r="N1087" s="3">
        <v>30.87093995485332</v>
      </c>
      <c r="O1087" s="3">
        <v>30.60108646308548</v>
      </c>
      <c r="P1087" s="3">
        <v>33.251632835360589</v>
      </c>
      <c r="Q1087" s="3">
        <v>35.079659921860099</v>
      </c>
      <c r="R1087" s="3">
        <v>37.741401018422181</v>
      </c>
      <c r="S1087" s="3">
        <v>40.531572293323428</v>
      </c>
      <c r="T1087" s="3">
        <v>43.246466695612128</v>
      </c>
      <c r="U1087" s="3">
        <v>45.144390998189749</v>
      </c>
      <c r="V1087" s="3">
        <v>47.300764779366908</v>
      </c>
      <c r="W1087" s="3">
        <v>49.903468576098852</v>
      </c>
      <c r="X1087" s="3">
        <v>52.582866775658907</v>
      </c>
      <c r="Y1087" s="3">
        <v>55.45093566633782</v>
      </c>
      <c r="Z1087" s="3">
        <v>58.469550918537237</v>
      </c>
      <c r="AA1087" s="3">
        <v>61.652754755922977</v>
      </c>
      <c r="AB1087" s="3">
        <v>65.00730608704616</v>
      </c>
      <c r="AC1087" s="3">
        <v>68.541730944189794</v>
      </c>
      <c r="AD1087" s="3">
        <v>72.266085409064075</v>
      </c>
      <c r="AE1087" s="3">
        <v>75.580863915043594</v>
      </c>
      <c r="AG1087" s="17" t="s">
        <v>5723</v>
      </c>
      <c r="AH1087" s="3">
        <v>25.397755482946291</v>
      </c>
      <c r="AI1087" s="3">
        <v>25.31269605021329</v>
      </c>
      <c r="AJ1087" s="3">
        <v>30.867380736493569</v>
      </c>
      <c r="AK1087" s="3">
        <v>30.59770821512145</v>
      </c>
      <c r="AL1087" s="3">
        <v>33.248096207856953</v>
      </c>
      <c r="AM1087" s="3">
        <v>32.030195120827941</v>
      </c>
      <c r="AN1087" s="3">
        <v>33.472682855612497</v>
      </c>
      <c r="AO1087" s="3">
        <v>36.029112041011771</v>
      </c>
      <c r="AP1087" s="3">
        <v>38.305456783865523</v>
      </c>
      <c r="AQ1087" s="3">
        <v>40.149256039115421</v>
      </c>
      <c r="AR1087" s="3">
        <v>42.059689626933221</v>
      </c>
      <c r="AS1087" s="3">
        <v>44.476645518747503</v>
      </c>
      <c r="AT1087" s="3">
        <v>46.888588656791768</v>
      </c>
      <c r="AU1087" s="3">
        <v>49.507335764596583</v>
      </c>
      <c r="AV1087" s="3">
        <v>52.271456233182448</v>
      </c>
      <c r="AW1087" s="3">
        <v>55.207603874169862</v>
      </c>
      <c r="AX1087" s="3">
        <v>58.279496575619618</v>
      </c>
      <c r="AY1087" s="3">
        <v>61.506943536764737</v>
      </c>
      <c r="AZ1087" s="3">
        <v>64.876109026749916</v>
      </c>
      <c r="BA1087" s="3">
        <v>67.891102674850913</v>
      </c>
      <c r="BC1087" s="17" t="s">
        <v>5724</v>
      </c>
      <c r="BD1087" s="3">
        <v>25.397755482946291</v>
      </c>
      <c r="BE1087" s="3">
        <v>25.303912366133339</v>
      </c>
      <c r="BF1087" s="3">
        <v>30.85869439789186</v>
      </c>
      <c r="BG1087" s="3">
        <v>30.58943963240592</v>
      </c>
      <c r="BH1087" s="3">
        <v>33.239462558605389</v>
      </c>
      <c r="BI1087" s="3">
        <v>33.056225890720569</v>
      </c>
      <c r="BJ1087" s="3">
        <v>32.853231817669567</v>
      </c>
      <c r="BK1087" s="3">
        <v>32.516820770761562</v>
      </c>
      <c r="BL1087" s="3">
        <v>32.496225702361158</v>
      </c>
      <c r="BM1087" s="3">
        <v>32.713266974877001</v>
      </c>
      <c r="BN1087" s="3">
        <v>32.873933214294773</v>
      </c>
      <c r="BO1087" s="3">
        <v>33.322245685579247</v>
      </c>
      <c r="BP1087" s="3">
        <v>33.521358777129073</v>
      </c>
      <c r="BQ1087" s="3">
        <v>33.71589466688998</v>
      </c>
      <c r="BR1087" s="3">
        <v>33.584565779178639</v>
      </c>
      <c r="BS1087" s="3">
        <v>33.429512453613718</v>
      </c>
      <c r="BT1087" s="3">
        <v>32.86843454774872</v>
      </c>
      <c r="BU1087" s="3">
        <v>32.607694139354543</v>
      </c>
      <c r="BV1087" s="3">
        <v>32.168673952318343</v>
      </c>
      <c r="BW1087" s="3">
        <v>31.834971285636581</v>
      </c>
      <c r="BY1087" s="17" t="s">
        <v>5725</v>
      </c>
      <c r="BZ1087" s="3">
        <v>25.397755482946291</v>
      </c>
      <c r="CA1087" s="3">
        <v>25.29524642452094</v>
      </c>
      <c r="CB1087" s="3">
        <v>30.850119582214621</v>
      </c>
      <c r="CC1087" s="3">
        <v>30.581285384098141</v>
      </c>
      <c r="CD1087" s="3">
        <v>33.230921274552102</v>
      </c>
      <c r="CE1087" s="3">
        <v>31.400138196782269</v>
      </c>
      <c r="CF1087" s="3">
        <v>33.781991055453062</v>
      </c>
      <c r="CG1087" s="3">
        <v>36.298698553751628</v>
      </c>
      <c r="CH1087" s="3">
        <v>38.693112156992918</v>
      </c>
      <c r="CI1087" s="3">
        <v>40.265363485942913</v>
      </c>
      <c r="CJ1087" s="3">
        <v>41.909629781423646</v>
      </c>
      <c r="CK1087" s="3">
        <v>44.10524588523041</v>
      </c>
      <c r="CL1087" s="3">
        <v>45.990354969316428</v>
      </c>
      <c r="CM1087" s="3">
        <v>48.0774102968278</v>
      </c>
      <c r="CN1087" s="3">
        <v>50.322039674788492</v>
      </c>
      <c r="CO1087" s="3">
        <v>52.612951715359621</v>
      </c>
      <c r="CP1087" s="3">
        <v>55.055657770027658</v>
      </c>
      <c r="CQ1087" s="3">
        <v>57.636219113651627</v>
      </c>
      <c r="CR1087" s="3">
        <v>60.300335236462473</v>
      </c>
      <c r="CS1087" s="3">
        <v>62.634206493509303</v>
      </c>
      <c r="CU1087" s="17" t="s">
        <v>5726</v>
      </c>
      <c r="CV1087" s="3">
        <v>25.397755482946291</v>
      </c>
      <c r="CW1087" s="3">
        <v>25.307738957639359</v>
      </c>
      <c r="CX1087" s="3">
        <v>30.862479736755741</v>
      </c>
      <c r="CY1087" s="3">
        <v>30.593046956400219</v>
      </c>
      <c r="CZ1087" s="3">
        <v>33.243225315944478</v>
      </c>
      <c r="DA1087" s="3">
        <v>29.119794900808412</v>
      </c>
      <c r="DB1087" s="3">
        <v>29.164321501360991</v>
      </c>
      <c r="DC1087" s="3">
        <v>31.5093585989306</v>
      </c>
      <c r="DD1087" s="3">
        <v>33.123617412103563</v>
      </c>
      <c r="DE1087" s="3">
        <v>35.06664644192</v>
      </c>
      <c r="DF1087" s="3">
        <v>36.495558648818736</v>
      </c>
      <c r="DG1087" s="3">
        <v>38.499434945618681</v>
      </c>
      <c r="DH1087" s="3">
        <v>40.312617058711353</v>
      </c>
      <c r="DI1087" s="3">
        <v>42.402778756477147</v>
      </c>
      <c r="DJ1087" s="3">
        <v>44.520320976050513</v>
      </c>
      <c r="DK1087" s="3">
        <v>46.877944780716213</v>
      </c>
      <c r="DL1087" s="3">
        <v>49.238577888559753</v>
      </c>
      <c r="DM1087" s="3">
        <v>51.808435147318413</v>
      </c>
      <c r="DN1087" s="3">
        <v>54.38554363822314</v>
      </c>
      <c r="DO1087" s="3">
        <v>56.743371318308363</v>
      </c>
    </row>
    <row r="1088" spans="1:119" x14ac:dyDescent="0.45">
      <c r="A1088" s="16" t="s">
        <v>5727</v>
      </c>
      <c r="B1088" s="3" t="s">
        <v>89</v>
      </c>
      <c r="C1088" s="16" t="s">
        <v>5728</v>
      </c>
      <c r="H1088" s="3" t="s">
        <v>5729</v>
      </c>
      <c r="I1088" s="3" t="s">
        <v>175</v>
      </c>
      <c r="K1088" s="17" t="s">
        <v>5730</v>
      </c>
      <c r="L1088" s="3">
        <v>6.900956867786856E-2</v>
      </c>
      <c r="M1088" s="3">
        <v>5.8896266816378773E-2</v>
      </c>
      <c r="N1088" s="3">
        <v>8.0829440517679346E-2</v>
      </c>
      <c r="O1088" s="3">
        <v>7.4129421706121718E-2</v>
      </c>
      <c r="P1088" s="3">
        <v>7.9368223818482367E-2</v>
      </c>
      <c r="Q1088" s="3">
        <v>7.1855762827836733E-2</v>
      </c>
      <c r="R1088" s="3">
        <v>6.8584600294093787E-2</v>
      </c>
      <c r="S1088" s="3">
        <v>6.6355762749999228E-2</v>
      </c>
      <c r="T1088" s="3">
        <v>6.4082610727924538E-2</v>
      </c>
      <c r="U1088" s="3">
        <v>6.1448313614220762E-2</v>
      </c>
      <c r="V1088" s="3">
        <v>5.9617144746523541E-2</v>
      </c>
      <c r="W1088" s="3">
        <v>5.8577193255228727E-2</v>
      </c>
      <c r="X1088" s="3">
        <v>5.7485713418825558E-2</v>
      </c>
      <c r="Y1088" s="3">
        <v>5.6501247221611053E-2</v>
      </c>
      <c r="Z1088" s="3">
        <v>5.5546385428947319E-2</v>
      </c>
      <c r="AA1088" s="3">
        <v>5.4626309484996513E-2</v>
      </c>
      <c r="AB1088" s="3">
        <v>5.3737608481797511E-2</v>
      </c>
      <c r="AC1088" s="3">
        <v>5.2879514083343619E-2</v>
      </c>
      <c r="AD1088" s="3">
        <v>5.2052729193438493E-2</v>
      </c>
      <c r="AE1088" s="3">
        <v>5.1256647680976847E-2</v>
      </c>
      <c r="AG1088" s="17" t="s">
        <v>5731</v>
      </c>
      <c r="AH1088" s="3">
        <v>6.900956867786856E-2</v>
      </c>
      <c r="AI1088" s="3">
        <v>5.8884409117946138E-2</v>
      </c>
      <c r="AJ1088" s="3">
        <v>8.0819453446010048E-2</v>
      </c>
      <c r="AK1088" s="3">
        <v>7.4120382496705911E-2</v>
      </c>
      <c r="AL1088" s="3">
        <v>7.9359060224966554E-2</v>
      </c>
      <c r="AM1088" s="3">
        <v>6.2082289333342408E-2</v>
      </c>
      <c r="AN1088" s="3">
        <v>5.5977916186183099E-2</v>
      </c>
      <c r="AO1088" s="3">
        <v>5.4564521705961967E-2</v>
      </c>
      <c r="AP1088" s="3">
        <v>5.2301099065733533E-2</v>
      </c>
      <c r="AQ1088" s="3">
        <v>5.0494862071791033E-2</v>
      </c>
      <c r="AR1088" s="3">
        <v>4.902080982377912E-2</v>
      </c>
      <c r="AS1088" s="3">
        <v>4.8375770548432603E-2</v>
      </c>
      <c r="AT1088" s="3">
        <v>4.7553646599156417E-2</v>
      </c>
      <c r="AU1088" s="3">
        <v>4.6869491616766998E-2</v>
      </c>
      <c r="AV1088" s="3">
        <v>4.6207817145483908E-2</v>
      </c>
      <c r="AW1088" s="3">
        <v>4.5584208131015713E-2</v>
      </c>
      <c r="AX1088" s="3">
        <v>4.4956944677802042E-2</v>
      </c>
      <c r="AY1088" s="3">
        <v>4.4340214652150753E-2</v>
      </c>
      <c r="AZ1088" s="3">
        <v>4.3718690444959449E-2</v>
      </c>
      <c r="BA1088" s="3">
        <v>4.3113313749733068E-2</v>
      </c>
      <c r="BC1088" s="17" t="s">
        <v>5732</v>
      </c>
      <c r="BD1088" s="3">
        <v>6.900956867786856E-2</v>
      </c>
      <c r="BE1088" s="3">
        <v>5.885530668071428E-2</v>
      </c>
      <c r="BF1088" s="3">
        <v>8.0794983425551248E-2</v>
      </c>
      <c r="BG1088" s="3">
        <v>7.4098143603368777E-2</v>
      </c>
      <c r="BH1088" s="3">
        <v>7.9336657436923946E-2</v>
      </c>
      <c r="BI1088" s="3">
        <v>6.6110328775095317E-2</v>
      </c>
      <c r="BJ1088" s="3">
        <v>5.5515379586765327E-2</v>
      </c>
      <c r="BK1088" s="3">
        <v>4.7020861657552558E-2</v>
      </c>
      <c r="BL1088" s="3">
        <v>4.0424521356210531E-2</v>
      </c>
      <c r="BM1088" s="3">
        <v>3.524626814545067E-2</v>
      </c>
      <c r="BN1088" s="3">
        <v>3.0723781789269461E-2</v>
      </c>
      <c r="BO1088" s="3">
        <v>2.7388072871764039E-2</v>
      </c>
      <c r="BP1088" s="3">
        <v>2.4318252096147779E-2</v>
      </c>
      <c r="BQ1088" s="3">
        <v>2.2185104158755228E-2</v>
      </c>
      <c r="BR1088" s="3">
        <v>2.040168366949181E-2</v>
      </c>
      <c r="BS1088" s="3">
        <v>1.9265315529136469E-2</v>
      </c>
      <c r="BT1088" s="3">
        <v>1.839057868913211E-2</v>
      </c>
      <c r="BU1088" s="3">
        <v>1.7802854481997789E-2</v>
      </c>
      <c r="BV1088" s="3">
        <v>1.7066174493098531E-2</v>
      </c>
      <c r="BW1088" s="3">
        <v>1.6697995965147119E-2</v>
      </c>
      <c r="BY1088" s="17" t="s">
        <v>5733</v>
      </c>
      <c r="BZ1088" s="3">
        <v>6.900956867786856E-2</v>
      </c>
      <c r="CA1088" s="3">
        <v>5.8826733086363922E-2</v>
      </c>
      <c r="CB1088" s="3">
        <v>8.0770898757809628E-2</v>
      </c>
      <c r="CC1088" s="3">
        <v>7.4076295107572354E-2</v>
      </c>
      <c r="CD1088" s="3">
        <v>7.9314515468397628E-2</v>
      </c>
      <c r="CE1088" s="3">
        <v>6.0375579307733622E-2</v>
      </c>
      <c r="CF1088" s="3">
        <v>5.7461140578902753E-2</v>
      </c>
      <c r="CG1088" s="3">
        <v>5.5500216503417757E-2</v>
      </c>
      <c r="CH1088" s="3">
        <v>5.3386475679498148E-2</v>
      </c>
      <c r="CI1088" s="3">
        <v>5.0996586777788518E-2</v>
      </c>
      <c r="CJ1088" s="3">
        <v>4.9127218681346237E-2</v>
      </c>
      <c r="CK1088" s="3">
        <v>4.8263981709300657E-2</v>
      </c>
      <c r="CL1088" s="3">
        <v>4.6911585610205191E-2</v>
      </c>
      <c r="CM1088" s="3">
        <v>4.5782937597398612E-2</v>
      </c>
      <c r="CN1088" s="3">
        <v>4.479294893350011E-2</v>
      </c>
      <c r="CO1088" s="3">
        <v>4.3786081185436317E-2</v>
      </c>
      <c r="CP1088" s="3">
        <v>4.2870843769351907E-2</v>
      </c>
      <c r="CQ1088" s="3">
        <v>4.202087048469378E-2</v>
      </c>
      <c r="CR1088" s="3">
        <v>4.1176937014734807E-2</v>
      </c>
      <c r="CS1088" s="3">
        <v>4.0407581040139029E-2</v>
      </c>
      <c r="CU1088" s="17" t="s">
        <v>5734</v>
      </c>
      <c r="CV1088" s="3">
        <v>6.900956867786856E-2</v>
      </c>
      <c r="CW1088" s="3">
        <v>5.8868016498243657E-2</v>
      </c>
      <c r="CX1088" s="3">
        <v>8.0805663220896884E-2</v>
      </c>
      <c r="CY1088" s="3">
        <v>7.4107864952607988E-2</v>
      </c>
      <c r="CZ1088" s="3">
        <v>7.9346426494792788E-2</v>
      </c>
      <c r="DA1088" s="3">
        <v>5.177855971495586E-2</v>
      </c>
      <c r="DB1088" s="3">
        <v>4.2452327484650297E-2</v>
      </c>
      <c r="DC1088" s="3">
        <v>4.1588430015123669E-2</v>
      </c>
      <c r="DD1088" s="3">
        <v>3.9502238637092832E-2</v>
      </c>
      <c r="DE1088" s="3">
        <v>3.8709562203370948E-2</v>
      </c>
      <c r="DF1088" s="3">
        <v>3.7343875607406637E-2</v>
      </c>
      <c r="DG1088" s="3">
        <v>3.685523683149098E-2</v>
      </c>
      <c r="DH1088" s="3">
        <v>3.6038585369850759E-2</v>
      </c>
      <c r="DI1088" s="3">
        <v>3.5531288287762593E-2</v>
      </c>
      <c r="DJ1088" s="3">
        <v>3.495818302763512E-2</v>
      </c>
      <c r="DK1088" s="3">
        <v>3.4544792427458268E-2</v>
      </c>
      <c r="DL1088" s="3">
        <v>3.4038261006219907E-2</v>
      </c>
      <c r="DM1088" s="3">
        <v>3.3634806923733288E-2</v>
      </c>
      <c r="DN1088" s="3">
        <v>3.3144633961426181E-2</v>
      </c>
      <c r="DO1088" s="3">
        <v>3.2741643796115057E-2</v>
      </c>
    </row>
    <row r="1089" spans="1:230" x14ac:dyDescent="0.45">
      <c r="A1089" s="16" t="s">
        <v>5735</v>
      </c>
      <c r="B1089" s="3" t="s">
        <v>89</v>
      </c>
      <c r="C1089" s="16" t="s">
        <v>5736</v>
      </c>
      <c r="H1089" s="3" t="s">
        <v>5737</v>
      </c>
      <c r="I1089" s="3" t="s">
        <v>175</v>
      </c>
      <c r="K1089" s="17" t="s">
        <v>5738</v>
      </c>
      <c r="L1089" s="3">
        <v>4.6433465405599568E-2</v>
      </c>
      <c r="M1089" s="3">
        <v>4.4607185190139079E-2</v>
      </c>
      <c r="N1089" s="3">
        <v>5.3120187784323702E-2</v>
      </c>
      <c r="O1089" s="3">
        <v>5.0440312255350062E-2</v>
      </c>
      <c r="P1089" s="3">
        <v>5.2580016618651478E-2</v>
      </c>
      <c r="Q1089" s="3">
        <v>5.2915240099126362E-2</v>
      </c>
      <c r="R1089" s="3">
        <v>5.3944304670305553E-2</v>
      </c>
      <c r="S1089" s="3">
        <v>5.5054835590552187E-2</v>
      </c>
      <c r="T1089" s="3">
        <v>5.6029643866656431E-2</v>
      </c>
      <c r="U1089" s="3">
        <v>5.581570675554174E-2</v>
      </c>
      <c r="V1089" s="3">
        <v>5.5837567173567318E-2</v>
      </c>
      <c r="W1089" s="3">
        <v>5.6274955849559209E-2</v>
      </c>
      <c r="X1089" s="3">
        <v>5.6672884336911221E-2</v>
      </c>
      <c r="Y1089" s="3">
        <v>5.7148810429067179E-2</v>
      </c>
      <c r="Z1089" s="3">
        <v>5.7652225842914552E-2</v>
      </c>
      <c r="AA1089" s="3">
        <v>5.8189907929435403E-2</v>
      </c>
      <c r="AB1089" s="3">
        <v>5.8760730391685723E-2</v>
      </c>
      <c r="AC1089" s="3">
        <v>5.9365072045301608E-2</v>
      </c>
      <c r="AD1089" s="3">
        <v>6.0004327341544081E-2</v>
      </c>
      <c r="AE1089" s="3">
        <v>6.01940148979557E-2</v>
      </c>
      <c r="AG1089" s="17" t="s">
        <v>5739</v>
      </c>
      <c r="AH1089" s="3">
        <v>4.6433465405599568E-2</v>
      </c>
      <c r="AI1089" s="3">
        <v>4.4600838575466643E-2</v>
      </c>
      <c r="AJ1089" s="3">
        <v>5.3114063372565849E-2</v>
      </c>
      <c r="AK1089" s="3">
        <v>5.0434743829458173E-2</v>
      </c>
      <c r="AL1089" s="3">
        <v>5.2574424233644827E-2</v>
      </c>
      <c r="AM1089" s="3">
        <v>4.8315333415883503E-2</v>
      </c>
      <c r="AN1089" s="3">
        <v>4.7842966963900002E-2</v>
      </c>
      <c r="AO1089" s="3">
        <v>4.8939054856705667E-2</v>
      </c>
      <c r="AP1089" s="3">
        <v>4.9628126081508177E-2</v>
      </c>
      <c r="AQ1089" s="3">
        <v>4.9639812432563109E-2</v>
      </c>
      <c r="AR1089" s="3">
        <v>4.965058716910474E-2</v>
      </c>
      <c r="AS1089" s="3">
        <v>5.0155256424455827E-2</v>
      </c>
      <c r="AT1089" s="3">
        <v>5.0535692034529033E-2</v>
      </c>
      <c r="AU1089" s="3">
        <v>5.1023221023421973E-2</v>
      </c>
      <c r="AV1089" s="3">
        <v>5.154077212072506E-2</v>
      </c>
      <c r="AW1089" s="3">
        <v>5.2106761476607949E-2</v>
      </c>
      <c r="AX1089" s="3">
        <v>5.2679398544182347E-2</v>
      </c>
      <c r="AY1089" s="3">
        <v>5.3272131941334629E-2</v>
      </c>
      <c r="AZ1089" s="3">
        <v>5.3868246227137387E-2</v>
      </c>
      <c r="BA1089" s="3">
        <v>5.4069745093707683E-2</v>
      </c>
      <c r="BC1089" s="17" t="s">
        <v>5740</v>
      </c>
      <c r="BD1089" s="3">
        <v>4.6433465405599568E-2</v>
      </c>
      <c r="BE1089" s="3">
        <v>4.4585361769875861E-2</v>
      </c>
      <c r="BF1089" s="3">
        <v>5.309911663176832E-2</v>
      </c>
      <c r="BG1089" s="3">
        <v>5.0421114578268533E-2</v>
      </c>
      <c r="BH1089" s="3">
        <v>5.2560772049303248E-2</v>
      </c>
      <c r="BI1089" s="3">
        <v>4.9863029849055787E-2</v>
      </c>
      <c r="BJ1089" s="3">
        <v>4.6957577057393347E-2</v>
      </c>
      <c r="BK1089" s="3">
        <v>4.4168240217925682E-2</v>
      </c>
      <c r="BL1089" s="3">
        <v>4.2101750552919037E-2</v>
      </c>
      <c r="BM1089" s="3">
        <v>4.0446090336199253E-2</v>
      </c>
      <c r="BN1089" s="3">
        <v>3.8806993135833141E-2</v>
      </c>
      <c r="BO1089" s="3">
        <v>3.7576704751586421E-2</v>
      </c>
      <c r="BP1089" s="3">
        <v>3.6128727954249769E-2</v>
      </c>
      <c r="BQ1089" s="3">
        <v>3.4748255365043272E-2</v>
      </c>
      <c r="BR1089" s="3">
        <v>3.3115099068147011E-2</v>
      </c>
      <c r="BS1089" s="3">
        <v>3.1551878898238767E-2</v>
      </c>
      <c r="BT1089" s="3">
        <v>2.9710094712598639E-2</v>
      </c>
      <c r="BU1089" s="3">
        <v>2.824203715237562E-2</v>
      </c>
      <c r="BV1089" s="3">
        <v>2.6710449736581501E-2</v>
      </c>
      <c r="BW1089" s="3">
        <v>2.5353967083487989E-2</v>
      </c>
      <c r="BY1089" s="17" t="s">
        <v>5741</v>
      </c>
      <c r="BZ1089" s="3">
        <v>4.6433465405599568E-2</v>
      </c>
      <c r="CA1089" s="3">
        <v>4.4570092425899523E-2</v>
      </c>
      <c r="CB1089" s="3">
        <v>5.3084361790495048E-2</v>
      </c>
      <c r="CC1089" s="3">
        <v>5.0407673786506187E-2</v>
      </c>
      <c r="CD1089" s="3">
        <v>5.2547265919854202E-2</v>
      </c>
      <c r="CE1089" s="3">
        <v>4.7364936134773647E-2</v>
      </c>
      <c r="CF1089" s="3">
        <v>4.8285065437167547E-2</v>
      </c>
      <c r="CG1089" s="3">
        <v>4.9305239544260172E-2</v>
      </c>
      <c r="CH1089" s="3">
        <v>5.013036809476213E-2</v>
      </c>
      <c r="CI1089" s="3">
        <v>4.9783365575289472E-2</v>
      </c>
      <c r="CJ1089" s="3">
        <v>4.9473444648412343E-2</v>
      </c>
      <c r="CK1089" s="3">
        <v>4.973643788187606E-2</v>
      </c>
      <c r="CL1089" s="3">
        <v>4.956759164367374E-2</v>
      </c>
      <c r="CM1089" s="3">
        <v>4.9549512085904059E-2</v>
      </c>
      <c r="CN1089" s="3">
        <v>4.9618605763691967E-2</v>
      </c>
      <c r="CO1089" s="3">
        <v>4.9657843000413281E-2</v>
      </c>
      <c r="CP1089" s="3">
        <v>4.9765339582440643E-2</v>
      </c>
      <c r="CQ1089" s="3">
        <v>4.9919636591709997E-2</v>
      </c>
      <c r="CR1089" s="3">
        <v>5.0068867489530718E-2</v>
      </c>
      <c r="CS1089" s="3">
        <v>4.988305456563473E-2</v>
      </c>
      <c r="CU1089" s="17" t="s">
        <v>5742</v>
      </c>
      <c r="CV1089" s="3">
        <v>4.6433465405599568E-2</v>
      </c>
      <c r="CW1089" s="3">
        <v>4.4592104204175059E-2</v>
      </c>
      <c r="CX1089" s="3">
        <v>5.3105630133189738E-2</v>
      </c>
      <c r="CY1089" s="3">
        <v>5.0427060594234283E-2</v>
      </c>
      <c r="CZ1089" s="3">
        <v>5.2566722008043659E-2</v>
      </c>
      <c r="DA1089" s="3">
        <v>4.3925196032284897E-2</v>
      </c>
      <c r="DB1089" s="3">
        <v>4.1684966697559327E-2</v>
      </c>
      <c r="DC1089" s="3">
        <v>4.2799784441464463E-2</v>
      </c>
      <c r="DD1089" s="3">
        <v>4.2914592311973677E-2</v>
      </c>
      <c r="DE1089" s="3">
        <v>4.3355766052552411E-2</v>
      </c>
      <c r="DF1089" s="3">
        <v>4.3082246494230092E-2</v>
      </c>
      <c r="DG1089" s="3">
        <v>4.3414898074546557E-2</v>
      </c>
      <c r="DH1089" s="3">
        <v>4.344822608538567E-2</v>
      </c>
      <c r="DI1089" s="3">
        <v>4.3701126693352903E-2</v>
      </c>
      <c r="DJ1089" s="3">
        <v>4.3897987229051257E-2</v>
      </c>
      <c r="DK1089" s="3">
        <v>4.4244953879355578E-2</v>
      </c>
      <c r="DL1089" s="3">
        <v>4.4507225023376507E-2</v>
      </c>
      <c r="DM1089" s="3">
        <v>4.4872101166794513E-2</v>
      </c>
      <c r="DN1089" s="3">
        <v>4.5157668976303217E-2</v>
      </c>
      <c r="DO1089" s="3">
        <v>4.5191483155495427E-2</v>
      </c>
    </row>
    <row r="1090" spans="1:230" ht="15.4" x14ac:dyDescent="0.45">
      <c r="A1090" s="5"/>
      <c r="B1090" s="15" t="s">
        <v>5743</v>
      </c>
      <c r="C1090" s="5"/>
      <c r="D1090" s="5"/>
      <c r="E1090" s="5"/>
      <c r="F1090" s="5"/>
      <c r="G1090" s="5"/>
      <c r="H1090" s="5"/>
      <c r="I1090" s="5"/>
      <c r="J1090" s="5"/>
      <c r="K1090" s="5"/>
      <c r="L1090" s="5"/>
      <c r="M1090" s="5"/>
      <c r="N1090" s="5"/>
      <c r="O1090" s="5"/>
      <c r="P1090" s="5"/>
      <c r="Q1090" s="5"/>
      <c r="R1090" s="5"/>
      <c r="S1090" s="5"/>
      <c r="T1090" s="5"/>
      <c r="U1090" s="5"/>
      <c r="V1090" s="5"/>
      <c r="W1090" s="5"/>
      <c r="X1090" s="5"/>
      <c r="Y1090" s="5"/>
      <c r="Z1090" s="5"/>
      <c r="AA1090" s="5"/>
      <c r="AB1090" s="5"/>
      <c r="AC1090" s="5"/>
      <c r="AD1090" s="5"/>
      <c r="AE1090" s="5"/>
      <c r="AF1090" s="5"/>
      <c r="AG1090" s="5"/>
      <c r="AH1090" s="5"/>
      <c r="AI1090" s="5"/>
      <c r="AJ1090" s="5"/>
      <c r="AK1090" s="5"/>
      <c r="AL1090" s="5"/>
      <c r="AM1090" s="5"/>
      <c r="AN1090" s="5"/>
      <c r="AO1090" s="5"/>
      <c r="AP1090" s="5"/>
      <c r="AQ1090" s="5"/>
      <c r="AR1090" s="5"/>
      <c r="AS1090" s="5"/>
      <c r="AT1090" s="5"/>
      <c r="AU1090" s="5"/>
      <c r="AV1090" s="5"/>
      <c r="AW1090" s="5"/>
      <c r="AX1090" s="5"/>
      <c r="AY1090" s="5"/>
      <c r="AZ1090" s="5"/>
      <c r="BA1090" s="5"/>
      <c r="BB1090" s="5"/>
      <c r="BC1090" s="5"/>
      <c r="BD1090" s="5"/>
      <c r="BE1090" s="5"/>
      <c r="BF1090" s="5"/>
      <c r="BG1090" s="5"/>
      <c r="BH1090" s="5"/>
      <c r="BI1090" s="5"/>
      <c r="BJ1090" s="5"/>
      <c r="BK1090" s="5"/>
      <c r="BL1090" s="5"/>
      <c r="BM1090" s="5"/>
      <c r="BN1090" s="5"/>
      <c r="BO1090" s="5"/>
      <c r="BP1090" s="5"/>
      <c r="BQ1090" s="5"/>
      <c r="BR1090" s="5"/>
      <c r="BS1090" s="5"/>
      <c r="BT1090" s="5"/>
      <c r="BU1090" s="5"/>
      <c r="BV1090" s="5"/>
      <c r="BW1090" s="5"/>
      <c r="BX1090" s="5"/>
      <c r="BY1090" s="5"/>
      <c r="BZ1090" s="5"/>
      <c r="CA1090" s="5"/>
      <c r="CB1090" s="5"/>
      <c r="CC1090" s="5"/>
      <c r="CD1090" s="5"/>
      <c r="CE1090" s="5"/>
      <c r="CF1090" s="5"/>
      <c r="CG1090" s="5"/>
      <c r="CH1090" s="5"/>
      <c r="CI1090" s="5"/>
      <c r="CJ1090" s="5"/>
      <c r="CK1090" s="5"/>
      <c r="CL1090" s="5"/>
      <c r="CM1090" s="5"/>
      <c r="CN1090" s="5"/>
      <c r="CO1090" s="5"/>
      <c r="CP1090" s="5"/>
      <c r="CQ1090" s="5"/>
      <c r="CR1090" s="5"/>
      <c r="CS1090" s="5"/>
      <c r="CT1090" s="5"/>
      <c r="CU1090" s="5"/>
      <c r="CV1090" s="5"/>
      <c r="CW1090" s="5"/>
      <c r="CX1090" s="5"/>
      <c r="CY1090" s="5"/>
      <c r="CZ1090" s="5"/>
      <c r="DA1090" s="5"/>
      <c r="DB1090" s="5"/>
      <c r="DC1090" s="5"/>
      <c r="DD1090" s="5"/>
      <c r="DE1090" s="5"/>
      <c r="DF1090" s="5"/>
      <c r="DG1090" s="5"/>
      <c r="DH1090" s="5"/>
      <c r="DI1090" s="5"/>
      <c r="DJ1090" s="5"/>
      <c r="DK1090" s="5"/>
      <c r="DL1090" s="5"/>
      <c r="DM1090" s="5"/>
      <c r="DN1090" s="5"/>
      <c r="DO1090" s="5"/>
      <c r="DP1090" s="5"/>
      <c r="DQ1090" s="5"/>
      <c r="DR1090" s="5"/>
      <c r="DS1090" s="5"/>
      <c r="DT1090" s="5"/>
      <c r="DU1090" s="5"/>
      <c r="DV1090" s="5"/>
      <c r="DW1090" s="5"/>
      <c r="DX1090" s="5"/>
      <c r="DY1090" s="5"/>
      <c r="DZ1090" s="5"/>
      <c r="EA1090" s="5"/>
      <c r="EB1090" s="5"/>
      <c r="EC1090" s="5"/>
      <c r="ED1090" s="5"/>
      <c r="EE1090" s="5"/>
      <c r="EF1090" s="5"/>
      <c r="EG1090" s="5"/>
      <c r="EH1090" s="5"/>
      <c r="EI1090" s="5"/>
      <c r="EJ1090" s="5"/>
      <c r="EK1090" s="5"/>
      <c r="EL1090" s="5"/>
      <c r="EM1090" s="5"/>
      <c r="EN1090" s="5"/>
      <c r="EO1090" s="5"/>
      <c r="EP1090" s="5"/>
      <c r="EQ1090" s="5"/>
      <c r="ER1090" s="5"/>
      <c r="ES1090" s="5"/>
      <c r="ET1090" s="5"/>
      <c r="EU1090" s="5"/>
      <c r="EV1090" s="5"/>
      <c r="EW1090" s="5"/>
      <c r="EX1090" s="5"/>
      <c r="EY1090" s="5"/>
      <c r="EZ1090" s="5"/>
      <c r="FA1090" s="5"/>
      <c r="FB1090" s="5"/>
      <c r="FC1090" s="5"/>
      <c r="FD1090" s="5"/>
      <c r="FE1090" s="5"/>
      <c r="FF1090" s="5"/>
      <c r="FG1090" s="5"/>
      <c r="FH1090" s="5"/>
      <c r="FI1090" s="5"/>
      <c r="FJ1090" s="5"/>
      <c r="FK1090" s="5"/>
      <c r="FL1090" s="5"/>
      <c r="FM1090" s="5"/>
      <c r="FN1090" s="5"/>
      <c r="FO1090" s="5"/>
      <c r="FP1090" s="5"/>
      <c r="FQ1090" s="5"/>
      <c r="FR1090" s="5"/>
      <c r="FS1090" s="5"/>
      <c r="FT1090" s="5"/>
      <c r="FU1090" s="5"/>
      <c r="FV1090" s="5"/>
      <c r="FW1090" s="5"/>
      <c r="FX1090" s="5"/>
      <c r="FY1090" s="5"/>
      <c r="FZ1090" s="5"/>
      <c r="GA1090" s="5"/>
      <c r="GB1090" s="5"/>
      <c r="GC1090" s="5"/>
      <c r="GD1090" s="5"/>
      <c r="GE1090" s="5"/>
      <c r="GF1090" s="5"/>
      <c r="GG1090" s="5"/>
      <c r="GH1090" s="5"/>
      <c r="GI1090" s="5"/>
      <c r="GJ1090" s="5"/>
      <c r="GK1090" s="5"/>
      <c r="GL1090" s="5"/>
      <c r="GM1090" s="5"/>
      <c r="GN1090" s="5"/>
      <c r="GO1090" s="5"/>
      <c r="GP1090" s="5"/>
      <c r="GQ1090" s="5"/>
      <c r="GR1090" s="5"/>
      <c r="GS1090" s="5"/>
      <c r="GT1090" s="5"/>
      <c r="GU1090" s="5"/>
      <c r="GV1090" s="5"/>
      <c r="GW1090" s="5"/>
      <c r="GX1090" s="5"/>
      <c r="GY1090" s="5"/>
      <c r="GZ1090" s="5"/>
      <c r="HA1090" s="5"/>
      <c r="HB1090" s="5"/>
      <c r="HC1090" s="5"/>
      <c r="HD1090" s="5"/>
      <c r="HE1090" s="5"/>
      <c r="HF1090" s="5"/>
      <c r="HG1090" s="5"/>
      <c r="HH1090" s="5"/>
      <c r="HI1090" s="5"/>
      <c r="HJ1090" s="5"/>
      <c r="HK1090" s="5"/>
      <c r="HL1090" s="5"/>
      <c r="HM1090" s="5"/>
      <c r="HN1090" s="5"/>
      <c r="HO1090" s="5"/>
      <c r="HP1090" s="5"/>
      <c r="HQ1090" s="5"/>
      <c r="HR1090" s="5"/>
      <c r="HS1090" s="5"/>
      <c r="HT1090" s="5"/>
      <c r="HU1090" s="5"/>
      <c r="HV1090" s="5"/>
    </row>
    <row r="1091" spans="1:230" x14ac:dyDescent="0.45">
      <c r="A1091" s="16" t="s">
        <v>5744</v>
      </c>
      <c r="B1091" s="3" t="s">
        <v>89</v>
      </c>
      <c r="C1091" s="16"/>
      <c r="H1091" s="3" t="s">
        <v>5745</v>
      </c>
      <c r="I1091" s="3" t="s">
        <v>529</v>
      </c>
      <c r="K1091" s="17" t="s">
        <v>5746</v>
      </c>
      <c r="L1091" s="25">
        <v>1</v>
      </c>
      <c r="M1091" s="25">
        <v>1</v>
      </c>
      <c r="N1091" s="25">
        <v>1</v>
      </c>
      <c r="O1091" s="25">
        <v>1</v>
      </c>
      <c r="P1091" s="25">
        <v>1</v>
      </c>
      <c r="Q1091" s="25">
        <v>1</v>
      </c>
      <c r="R1091" s="25">
        <v>1</v>
      </c>
      <c r="S1091" s="25">
        <v>1</v>
      </c>
      <c r="T1091" s="25">
        <v>1</v>
      </c>
      <c r="U1091" s="25">
        <v>1</v>
      </c>
      <c r="V1091" s="25">
        <v>1</v>
      </c>
      <c r="W1091" s="25">
        <v>1</v>
      </c>
      <c r="X1091" s="25">
        <v>1</v>
      </c>
      <c r="Y1091" s="25">
        <v>1</v>
      </c>
      <c r="Z1091" s="25">
        <v>1</v>
      </c>
      <c r="AA1091" s="25">
        <v>1</v>
      </c>
      <c r="AB1091" s="25">
        <v>1</v>
      </c>
      <c r="AC1091" s="25">
        <v>1</v>
      </c>
      <c r="AD1091" s="25">
        <v>1</v>
      </c>
      <c r="AE1091" s="25">
        <v>1</v>
      </c>
      <c r="AG1091" s="17" t="s">
        <v>5747</v>
      </c>
      <c r="AH1091" s="25">
        <v>1</v>
      </c>
      <c r="AI1091" s="25">
        <v>1</v>
      </c>
      <c r="AJ1091" s="25">
        <v>1</v>
      </c>
      <c r="AK1091" s="25">
        <v>1</v>
      </c>
      <c r="AL1091" s="25">
        <v>1</v>
      </c>
      <c r="AM1091" s="25">
        <v>1.2715408217618771</v>
      </c>
      <c r="AN1091" s="25">
        <v>1.2732028373158479</v>
      </c>
      <c r="AO1091" s="25">
        <v>1.2750075153025551</v>
      </c>
      <c r="AP1091" s="25">
        <v>1.2769651921339169</v>
      </c>
      <c r="AQ1091" s="25">
        <v>1.278881040499247</v>
      </c>
      <c r="AR1091" s="25">
        <v>1.2788830860180671</v>
      </c>
      <c r="AS1091" s="25">
        <v>1.278885086327882</v>
      </c>
      <c r="AT1091" s="25">
        <v>1.2788870427364589</v>
      </c>
      <c r="AU1091" s="25">
        <v>1.2788889565054919</v>
      </c>
      <c r="AV1091" s="25">
        <v>1.278890828851849</v>
      </c>
      <c r="AW1091" s="25">
        <v>1.278892660948824</v>
      </c>
      <c r="AX1091" s="25">
        <v>1.2788944539273479</v>
      </c>
      <c r="AY1091" s="25">
        <v>1.2788962088771949</v>
      </c>
      <c r="AZ1091" s="25">
        <v>1.278897926848154</v>
      </c>
      <c r="BA1091" s="25">
        <v>1.278899608851181</v>
      </c>
      <c r="BC1091" s="17" t="s">
        <v>5748</v>
      </c>
      <c r="BD1091" s="25">
        <v>1</v>
      </c>
      <c r="BE1091" s="25">
        <v>1</v>
      </c>
      <c r="BF1091" s="25">
        <v>1</v>
      </c>
      <c r="BG1091" s="25">
        <v>1</v>
      </c>
      <c r="BH1091" s="25">
        <v>1</v>
      </c>
      <c r="BI1091" s="25">
        <v>1.1357704108809381</v>
      </c>
      <c r="BJ1091" s="25">
        <v>1.318736643535156</v>
      </c>
      <c r="BK1091" s="25">
        <v>1.50418044472135</v>
      </c>
      <c r="BL1091" s="25">
        <v>1.692412980334792</v>
      </c>
      <c r="BM1091" s="25">
        <v>1.883123294914282</v>
      </c>
      <c r="BN1091" s="25">
        <v>2.0690518297359231</v>
      </c>
      <c r="BO1091" s="25">
        <v>2.254982888475467</v>
      </c>
      <c r="BP1091" s="25">
        <v>2.4409163874717059</v>
      </c>
      <c r="BQ1091" s="25">
        <v>2.6268522462820352</v>
      </c>
      <c r="BR1091" s="25">
        <v>2.8127903875370199</v>
      </c>
      <c r="BS1091" s="25">
        <v>2.9987307367999052</v>
      </c>
      <c r="BT1091" s="25">
        <v>3.184673222430892</v>
      </c>
      <c r="BU1091" s="25">
        <v>3.370617775456155</v>
      </c>
      <c r="BV1091" s="25">
        <v>3.5565643294414109</v>
      </c>
      <c r="BW1091" s="25">
        <v>3.7425128203699538</v>
      </c>
      <c r="BY1091" s="17" t="s">
        <v>5749</v>
      </c>
      <c r="BZ1091" s="25">
        <v>1</v>
      </c>
      <c r="CA1091" s="25">
        <v>1</v>
      </c>
      <c r="CB1091" s="25">
        <v>1</v>
      </c>
      <c r="CC1091" s="25">
        <v>1</v>
      </c>
      <c r="CD1091" s="25">
        <v>1</v>
      </c>
      <c r="CE1091" s="25">
        <v>1.0003675299643831</v>
      </c>
      <c r="CF1091" s="25">
        <v>1.000365618061213</v>
      </c>
      <c r="CG1091" s="25">
        <v>1.0003641244899111</v>
      </c>
      <c r="CH1091" s="25">
        <v>1.0003630969599411</v>
      </c>
      <c r="CI1091" s="25">
        <v>1.0003620620233</v>
      </c>
      <c r="CJ1091" s="25">
        <v>1.0003588604250271</v>
      </c>
      <c r="CK1091" s="25">
        <v>1.0003557295868331</v>
      </c>
      <c r="CL1091" s="25">
        <v>1.000352667461829</v>
      </c>
      <c r="CM1091" s="25">
        <v>1.0003496720752469</v>
      </c>
      <c r="CN1091" s="25">
        <v>1.0003467415224661</v>
      </c>
      <c r="CO1091" s="25">
        <v>1.00034387396708</v>
      </c>
      <c r="CP1091" s="25">
        <v>1.000341067638979</v>
      </c>
      <c r="CQ1091" s="25">
        <v>1.000338320832475</v>
      </c>
      <c r="CR1091" s="25">
        <v>1.000335631904463</v>
      </c>
      <c r="CS1091" s="25">
        <v>1.000332999272616</v>
      </c>
      <c r="CU1091" s="17" t="s">
        <v>5750</v>
      </c>
      <c r="CV1091" s="25">
        <v>1</v>
      </c>
      <c r="CW1091" s="25">
        <v>1</v>
      </c>
      <c r="CX1091" s="25">
        <v>1</v>
      </c>
      <c r="CY1091" s="25">
        <v>1</v>
      </c>
      <c r="CZ1091" s="25">
        <v>1</v>
      </c>
      <c r="DA1091" s="25">
        <v>1.6788520544046921</v>
      </c>
      <c r="DB1091" s="25">
        <v>1.6830070932896199</v>
      </c>
      <c r="DC1091" s="25">
        <v>1.6875187882563869</v>
      </c>
      <c r="DD1091" s="25">
        <v>1.692412980334792</v>
      </c>
      <c r="DE1091" s="25">
        <v>1.6972026012481181</v>
      </c>
      <c r="DF1091" s="25">
        <v>1.697207715045167</v>
      </c>
      <c r="DG1091" s="25">
        <v>1.6972127158197039</v>
      </c>
      <c r="DH1091" s="25">
        <v>1.697217606841148</v>
      </c>
      <c r="DI1091" s="25">
        <v>1.697222391263729</v>
      </c>
      <c r="DJ1091" s="25">
        <v>1.697227072129623</v>
      </c>
      <c r="DK1091" s="25">
        <v>1.6972316523720601</v>
      </c>
      <c r="DL1091" s="25">
        <v>1.69723613481837</v>
      </c>
      <c r="DM1091" s="25">
        <v>1.6972405221929869</v>
      </c>
      <c r="DN1091" s="25">
        <v>1.6972448171203851</v>
      </c>
      <c r="DO1091" s="25">
        <v>1.6972490221279539</v>
      </c>
    </row>
    <row r="1092" spans="1:230" x14ac:dyDescent="0.45">
      <c r="A1092" s="16" t="s">
        <v>5751</v>
      </c>
      <c r="B1092" s="3" t="s">
        <v>89</v>
      </c>
      <c r="C1092" s="16"/>
      <c r="H1092" s="3" t="s">
        <v>5752</v>
      </c>
      <c r="I1092" s="3" t="s">
        <v>529</v>
      </c>
      <c r="K1092" s="17" t="s">
        <v>5753</v>
      </c>
      <c r="L1092" s="25">
        <v>1</v>
      </c>
      <c r="M1092" s="25">
        <v>1</v>
      </c>
      <c r="N1092" s="25">
        <v>1</v>
      </c>
      <c r="O1092" s="25">
        <v>1</v>
      </c>
      <c r="P1092" s="25">
        <v>1</v>
      </c>
      <c r="Q1092" s="25">
        <v>1</v>
      </c>
      <c r="R1092" s="25">
        <v>1</v>
      </c>
      <c r="S1092" s="25">
        <v>1</v>
      </c>
      <c r="T1092" s="25">
        <v>1</v>
      </c>
      <c r="U1092" s="25">
        <v>1</v>
      </c>
      <c r="V1092" s="25">
        <v>1</v>
      </c>
      <c r="W1092" s="25">
        <v>1</v>
      </c>
      <c r="X1092" s="25">
        <v>1</v>
      </c>
      <c r="Y1092" s="25">
        <v>1</v>
      </c>
      <c r="Z1092" s="25">
        <v>1</v>
      </c>
      <c r="AA1092" s="25">
        <v>1</v>
      </c>
      <c r="AB1092" s="25">
        <v>1</v>
      </c>
      <c r="AC1092" s="25">
        <v>1</v>
      </c>
      <c r="AD1092" s="25">
        <v>1</v>
      </c>
      <c r="AE1092" s="25">
        <v>1</v>
      </c>
      <c r="AG1092" s="17" t="s">
        <v>5754</v>
      </c>
      <c r="AH1092" s="25">
        <v>1</v>
      </c>
      <c r="AI1092" s="25">
        <v>1</v>
      </c>
      <c r="AJ1092" s="25">
        <v>1</v>
      </c>
      <c r="AK1092" s="25">
        <v>1</v>
      </c>
      <c r="AL1092" s="25">
        <v>1</v>
      </c>
      <c r="AM1092" s="25">
        <v>1.275937295874666</v>
      </c>
      <c r="AN1092" s="25">
        <v>1.2744323094260299</v>
      </c>
      <c r="AO1092" s="25">
        <v>1.273060696769178</v>
      </c>
      <c r="AP1092" s="25">
        <v>1.2718301906307861</v>
      </c>
      <c r="AQ1092" s="25">
        <v>1.2706488912867231</v>
      </c>
      <c r="AR1092" s="25">
        <v>1.269510830782115</v>
      </c>
      <c r="AS1092" s="25">
        <v>1.2684142144848889</v>
      </c>
      <c r="AT1092" s="25">
        <v>1.2673573226451369</v>
      </c>
      <c r="AU1092" s="25">
        <v>1.266338508253662</v>
      </c>
      <c r="AV1092" s="25">
        <v>1.2653561948089811</v>
      </c>
      <c r="AW1092" s="25">
        <v>1.2644088740209649</v>
      </c>
      <c r="AX1092" s="25">
        <v>1.2634951034754389</v>
      </c>
      <c r="AY1092" s="25">
        <v>1.2626135042805751</v>
      </c>
      <c r="AZ1092" s="25">
        <v>1.261762758712816</v>
      </c>
      <c r="BA1092" s="25">
        <v>1.2609416078773179</v>
      </c>
      <c r="BC1092" s="17" t="s">
        <v>5755</v>
      </c>
      <c r="BD1092" s="25">
        <v>1</v>
      </c>
      <c r="BE1092" s="25">
        <v>1</v>
      </c>
      <c r="BF1092" s="25">
        <v>1</v>
      </c>
      <c r="BG1092" s="25">
        <v>1</v>
      </c>
      <c r="BH1092" s="25">
        <v>1</v>
      </c>
      <c r="BI1092" s="25">
        <v>1.137968647937333</v>
      </c>
      <c r="BJ1092" s="25">
        <v>1.320171027663702</v>
      </c>
      <c r="BK1092" s="25">
        <v>1.5006112774101601</v>
      </c>
      <c r="BL1092" s="25">
        <v>1.679575476576965</v>
      </c>
      <c r="BM1092" s="25">
        <v>1.8570548224079571</v>
      </c>
      <c r="BN1092" s="25">
        <v>2.0331248513314391</v>
      </c>
      <c r="BO1092" s="25">
        <v>2.2078639651819989</v>
      </c>
      <c r="BP1092" s="25">
        <v>2.3813461669998728</v>
      </c>
      <c r="BQ1092" s="25">
        <v>2.5536412981463599</v>
      </c>
      <c r="BR1092" s="25">
        <v>2.724815266258374</v>
      </c>
      <c r="BS1092" s="25">
        <v>2.894930263816915</v>
      </c>
      <c r="BT1092" s="25">
        <v>3.0640449772242708</v>
      </c>
      <c r="BU1092" s="25">
        <v>3.2322147863848851</v>
      </c>
      <c r="BV1092" s="25">
        <v>3.3994919548674818</v>
      </c>
      <c r="BW1092" s="25">
        <v>3.5659258107936278</v>
      </c>
      <c r="BY1092" s="17" t="s">
        <v>5756</v>
      </c>
      <c r="BZ1092" s="25">
        <v>1</v>
      </c>
      <c r="CA1092" s="25">
        <v>1</v>
      </c>
      <c r="CB1092" s="25">
        <v>1</v>
      </c>
      <c r="CC1092" s="25">
        <v>1</v>
      </c>
      <c r="CD1092" s="25">
        <v>1</v>
      </c>
      <c r="CE1092" s="25">
        <v>1.272223403746898</v>
      </c>
      <c r="CF1092" s="25">
        <v>1.270022514185877</v>
      </c>
      <c r="CG1092" s="25">
        <v>1.2680166702256439</v>
      </c>
      <c r="CH1092" s="25">
        <v>1.2662171801922191</v>
      </c>
      <c r="CI1092" s="25">
        <v>1.264489650089111</v>
      </c>
      <c r="CJ1092" s="25">
        <v>1.262825352389505</v>
      </c>
      <c r="CK1092" s="25">
        <v>1.261221662626586</v>
      </c>
      <c r="CL1092" s="25">
        <v>1.2596760658410819</v>
      </c>
      <c r="CM1092" s="25">
        <v>1.2581861534496139</v>
      </c>
      <c r="CN1092" s="25">
        <v>1.2567496199791579</v>
      </c>
      <c r="CO1092" s="25">
        <v>1.255364259708857</v>
      </c>
      <c r="CP1092" s="25">
        <v>1.2540279632547331</v>
      </c>
      <c r="CQ1092" s="25">
        <v>1.2527387141277799</v>
      </c>
      <c r="CR1092" s="25">
        <v>1.251494585291363</v>
      </c>
      <c r="CS1092" s="25">
        <v>1.250293735739854</v>
      </c>
      <c r="CU1092" s="17" t="s">
        <v>5757</v>
      </c>
      <c r="CV1092" s="25">
        <v>1</v>
      </c>
      <c r="CW1092" s="25">
        <v>1</v>
      </c>
      <c r="CX1092" s="25">
        <v>1</v>
      </c>
      <c r="CY1092" s="25">
        <v>1</v>
      </c>
      <c r="CZ1092" s="25">
        <v>1</v>
      </c>
      <c r="DA1092" s="25">
        <v>1.6898432396866661</v>
      </c>
      <c r="DB1092" s="25">
        <v>1.686080773565076</v>
      </c>
      <c r="DC1092" s="25">
        <v>1.6826517419229461</v>
      </c>
      <c r="DD1092" s="25">
        <v>1.679575476576965</v>
      </c>
      <c r="DE1092" s="25">
        <v>1.676622228216808</v>
      </c>
      <c r="DF1092" s="25">
        <v>1.673777076955286</v>
      </c>
      <c r="DG1092" s="25">
        <v>1.671035536212222</v>
      </c>
      <c r="DH1092" s="25">
        <v>1.668393306612842</v>
      </c>
      <c r="DI1092" s="25">
        <v>1.6658462706341539</v>
      </c>
      <c r="DJ1092" s="25">
        <v>1.6633904870224521</v>
      </c>
      <c r="DK1092" s="25">
        <v>1.6610221850524121</v>
      </c>
      <c r="DL1092" s="25">
        <v>1.658737758688597</v>
      </c>
      <c r="DM1092" s="25">
        <v>1.656533760701437</v>
      </c>
      <c r="DN1092" s="25">
        <v>1.65440689678204</v>
      </c>
      <c r="DO1092" s="25">
        <v>1.6523540196932951</v>
      </c>
    </row>
    <row r="1093" spans="1:230" x14ac:dyDescent="0.45">
      <c r="A1093" s="16" t="s">
        <v>5758</v>
      </c>
      <c r="B1093" s="3" t="s">
        <v>89</v>
      </c>
      <c r="C1093" s="16"/>
      <c r="H1093" s="3" t="s">
        <v>5759</v>
      </c>
      <c r="I1093" s="3" t="s">
        <v>529</v>
      </c>
      <c r="K1093" s="17" t="s">
        <v>5760</v>
      </c>
      <c r="L1093" s="25">
        <v>1</v>
      </c>
      <c r="M1093" s="25">
        <v>1</v>
      </c>
      <c r="N1093" s="25">
        <v>1</v>
      </c>
      <c r="O1093" s="25">
        <v>1</v>
      </c>
      <c r="P1093" s="25">
        <v>1</v>
      </c>
      <c r="Q1093" s="25">
        <v>1</v>
      </c>
      <c r="R1093" s="25">
        <v>1</v>
      </c>
      <c r="S1093" s="25">
        <v>1</v>
      </c>
      <c r="T1093" s="25">
        <v>1</v>
      </c>
      <c r="U1093" s="25">
        <v>1</v>
      </c>
      <c r="V1093" s="25">
        <v>1</v>
      </c>
      <c r="W1093" s="25">
        <v>1</v>
      </c>
      <c r="X1093" s="25">
        <v>1</v>
      </c>
      <c r="Y1093" s="25">
        <v>1</v>
      </c>
      <c r="Z1093" s="25">
        <v>1</v>
      </c>
      <c r="AA1093" s="25">
        <v>1</v>
      </c>
      <c r="AB1093" s="25">
        <v>1</v>
      </c>
      <c r="AC1093" s="25">
        <v>1</v>
      </c>
      <c r="AD1093" s="25">
        <v>1</v>
      </c>
      <c r="AE1093" s="25">
        <v>1</v>
      </c>
      <c r="AG1093" s="17" t="s">
        <v>5761</v>
      </c>
      <c r="AH1093" s="25">
        <v>1</v>
      </c>
      <c r="AI1093" s="25">
        <v>1</v>
      </c>
      <c r="AJ1093" s="25">
        <v>1</v>
      </c>
      <c r="AK1093" s="25">
        <v>1</v>
      </c>
      <c r="AL1093" s="25">
        <v>1</v>
      </c>
      <c r="AM1093" s="25">
        <v>1.144084376462231</v>
      </c>
      <c r="AN1093" s="25">
        <v>1.144084376462231</v>
      </c>
      <c r="AO1093" s="25">
        <v>1.144084376462231</v>
      </c>
      <c r="AP1093" s="25">
        <v>1.144084376462231</v>
      </c>
      <c r="AQ1093" s="25">
        <v>1.144084376462231</v>
      </c>
      <c r="AR1093" s="25">
        <v>1.144084376462231</v>
      </c>
      <c r="AS1093" s="25">
        <v>1.144084376462231</v>
      </c>
      <c r="AT1093" s="25">
        <v>1.144084376462231</v>
      </c>
      <c r="AU1093" s="25">
        <v>1.144084376462231</v>
      </c>
      <c r="AV1093" s="25">
        <v>1.144084376462231</v>
      </c>
      <c r="AW1093" s="25">
        <v>1.144084376462231</v>
      </c>
      <c r="AX1093" s="25">
        <v>1.144084376462231</v>
      </c>
      <c r="AY1093" s="25">
        <v>1.144084376462231</v>
      </c>
      <c r="AZ1093" s="25">
        <v>1.144084376462231</v>
      </c>
      <c r="BA1093" s="25">
        <v>1.144084376462231</v>
      </c>
      <c r="BC1093" s="17" t="s">
        <v>5762</v>
      </c>
      <c r="BD1093" s="25">
        <v>1</v>
      </c>
      <c r="BE1093" s="25">
        <v>1</v>
      </c>
      <c r="BF1093" s="25">
        <v>1</v>
      </c>
      <c r="BG1093" s="25">
        <v>1</v>
      </c>
      <c r="BH1093" s="25">
        <v>1</v>
      </c>
      <c r="BI1093" s="25">
        <v>1.072042188231116</v>
      </c>
      <c r="BJ1093" s="25">
        <v>1.1680984392059359</v>
      </c>
      <c r="BK1093" s="25">
        <v>1.264154690180757</v>
      </c>
      <c r="BL1093" s="25">
        <v>1.3602109411555781</v>
      </c>
      <c r="BM1093" s="25">
        <v>1.456267192130398</v>
      </c>
      <c r="BN1093" s="25">
        <v>1.5523234431052191</v>
      </c>
      <c r="BO1093" s="25">
        <v>1.6483796940800399</v>
      </c>
      <c r="BP1093" s="25">
        <v>1.7444359450548601</v>
      </c>
      <c r="BQ1093" s="25">
        <v>1.8404921960296809</v>
      </c>
      <c r="BR1093" s="25">
        <v>1.936548447004502</v>
      </c>
      <c r="BS1093" s="25">
        <v>2.032604697979322</v>
      </c>
      <c r="BT1093" s="25">
        <v>2.1286609489541428</v>
      </c>
      <c r="BU1093" s="25">
        <v>2.2247171999289641</v>
      </c>
      <c r="BV1093" s="25">
        <v>2.320773450903785</v>
      </c>
      <c r="BW1093" s="25">
        <v>2.4168297018786049</v>
      </c>
      <c r="BY1093" s="17" t="s">
        <v>5763</v>
      </c>
      <c r="BZ1093" s="25">
        <v>1</v>
      </c>
      <c r="CA1093" s="25">
        <v>1</v>
      </c>
      <c r="CB1093" s="25">
        <v>1</v>
      </c>
      <c r="CC1093" s="25">
        <v>1</v>
      </c>
      <c r="CD1093" s="25">
        <v>1</v>
      </c>
      <c r="CE1093" s="25">
        <v>1.1801054705777889</v>
      </c>
      <c r="CF1093" s="25">
        <v>1.1801054705777889</v>
      </c>
      <c r="CG1093" s="25">
        <v>1.1801054705777889</v>
      </c>
      <c r="CH1093" s="25">
        <v>1.1801054705777889</v>
      </c>
      <c r="CI1093" s="25">
        <v>1.1801054705777889</v>
      </c>
      <c r="CJ1093" s="25">
        <v>1.1801054705777889</v>
      </c>
      <c r="CK1093" s="25">
        <v>1.1801054705777889</v>
      </c>
      <c r="CL1093" s="25">
        <v>1.1801054705777889</v>
      </c>
      <c r="CM1093" s="25">
        <v>1.1801054705777889</v>
      </c>
      <c r="CN1093" s="25">
        <v>1.1801054705777889</v>
      </c>
      <c r="CO1093" s="25">
        <v>1.1801054705777889</v>
      </c>
      <c r="CP1093" s="25">
        <v>1.1801054705777889</v>
      </c>
      <c r="CQ1093" s="25">
        <v>1.1801054705777889</v>
      </c>
      <c r="CR1093" s="25">
        <v>1.1801054705777889</v>
      </c>
      <c r="CS1093" s="25">
        <v>1.1801054705777889</v>
      </c>
      <c r="CU1093" s="17" t="s">
        <v>5764</v>
      </c>
      <c r="CV1093" s="25">
        <v>1</v>
      </c>
      <c r="CW1093" s="25">
        <v>1</v>
      </c>
      <c r="CX1093" s="25">
        <v>1</v>
      </c>
      <c r="CY1093" s="25">
        <v>1</v>
      </c>
      <c r="CZ1093" s="25">
        <v>1</v>
      </c>
      <c r="DA1093" s="25">
        <v>1.3602109411555769</v>
      </c>
      <c r="DB1093" s="25">
        <v>1.3602109411555781</v>
      </c>
      <c r="DC1093" s="25">
        <v>1.3602109411555781</v>
      </c>
      <c r="DD1093" s="25">
        <v>1.3602109411555781</v>
      </c>
      <c r="DE1093" s="25">
        <v>1.3602109411555769</v>
      </c>
      <c r="DF1093" s="25">
        <v>1.3602109411555781</v>
      </c>
      <c r="DG1093" s="25">
        <v>1.3602109411555781</v>
      </c>
      <c r="DH1093" s="25">
        <v>1.3602109411555769</v>
      </c>
      <c r="DI1093" s="25">
        <v>1.3602109411555769</v>
      </c>
      <c r="DJ1093" s="25">
        <v>1.3602109411555769</v>
      </c>
      <c r="DK1093" s="25">
        <v>1.3602109411555769</v>
      </c>
      <c r="DL1093" s="25">
        <v>1.3602109411555769</v>
      </c>
      <c r="DM1093" s="25">
        <v>1.3602109411555769</v>
      </c>
      <c r="DN1093" s="25">
        <v>1.3602109411555781</v>
      </c>
      <c r="DO1093" s="25">
        <v>1.3602109411555769</v>
      </c>
    </row>
    <row r="1094" spans="1:230" x14ac:dyDescent="0.45">
      <c r="A1094" s="16" t="s">
        <v>5765</v>
      </c>
      <c r="B1094" s="3" t="s">
        <v>89</v>
      </c>
      <c r="C1094" s="16"/>
      <c r="H1094" s="3" t="s">
        <v>5766</v>
      </c>
      <c r="I1094" s="3" t="s">
        <v>529</v>
      </c>
      <c r="K1094" s="17" t="s">
        <v>5767</v>
      </c>
      <c r="L1094" s="25">
        <v>1</v>
      </c>
      <c r="M1094" s="25">
        <v>1</v>
      </c>
      <c r="N1094" s="25">
        <v>1</v>
      </c>
      <c r="O1094" s="25">
        <v>1</v>
      </c>
      <c r="P1094" s="25">
        <v>1</v>
      </c>
      <c r="Q1094" s="25">
        <v>1</v>
      </c>
      <c r="R1094" s="25">
        <v>1</v>
      </c>
      <c r="S1094" s="25">
        <v>1</v>
      </c>
      <c r="T1094" s="25">
        <v>1</v>
      </c>
      <c r="U1094" s="25">
        <v>1</v>
      </c>
      <c r="V1094" s="25">
        <v>1</v>
      </c>
      <c r="W1094" s="25">
        <v>1</v>
      </c>
      <c r="X1094" s="25">
        <v>1</v>
      </c>
      <c r="Y1094" s="25">
        <v>1</v>
      </c>
      <c r="Z1094" s="25">
        <v>1</v>
      </c>
      <c r="AA1094" s="25">
        <v>1</v>
      </c>
      <c r="AB1094" s="25">
        <v>1</v>
      </c>
      <c r="AC1094" s="25">
        <v>1</v>
      </c>
      <c r="AD1094" s="25">
        <v>1</v>
      </c>
      <c r="AE1094" s="25">
        <v>1</v>
      </c>
      <c r="AG1094" s="17" t="s">
        <v>5768</v>
      </c>
      <c r="AH1094" s="25">
        <v>1</v>
      </c>
      <c r="AI1094" s="25">
        <v>1</v>
      </c>
      <c r="AJ1094" s="25">
        <v>1</v>
      </c>
      <c r="AK1094" s="25">
        <v>1</v>
      </c>
      <c r="AL1094" s="25">
        <v>1</v>
      </c>
      <c r="AM1094" s="25">
        <v>1.2080670943963281</v>
      </c>
      <c r="AN1094" s="25">
        <v>1.2080672085493971</v>
      </c>
      <c r="AO1094" s="25">
        <v>1.208067639991423</v>
      </c>
      <c r="AP1094" s="25">
        <v>1.208068444288932</v>
      </c>
      <c r="AQ1094" s="25">
        <v>1.208069319290547</v>
      </c>
      <c r="AR1094" s="25">
        <v>1.2080702499823861</v>
      </c>
      <c r="AS1094" s="25">
        <v>1.2080712354872609</v>
      </c>
      <c r="AT1094" s="25">
        <v>1.208072274944032</v>
      </c>
      <c r="AU1094" s="25">
        <v>1.2080733675086039</v>
      </c>
      <c r="AV1094" s="25">
        <v>1.208074512354844</v>
      </c>
      <c r="AW1094" s="25">
        <v>1.208075708675429</v>
      </c>
      <c r="AX1094" s="25">
        <v>1.208076955682619</v>
      </c>
      <c r="AY1094" s="25">
        <v>1.2080782526089759</v>
      </c>
      <c r="AZ1094" s="25">
        <v>1.2080795987080151</v>
      </c>
      <c r="BA1094" s="25">
        <v>1.208080993254822</v>
      </c>
      <c r="BC1094" s="17" t="s">
        <v>5769</v>
      </c>
      <c r="BD1094" s="25">
        <v>1</v>
      </c>
      <c r="BE1094" s="25">
        <v>1</v>
      </c>
      <c r="BF1094" s="25">
        <v>1</v>
      </c>
      <c r="BG1094" s="25">
        <v>1</v>
      </c>
      <c r="BH1094" s="25">
        <v>1</v>
      </c>
      <c r="BI1094" s="25">
        <v>1.1040335471981639</v>
      </c>
      <c r="BJ1094" s="25">
        <v>1.2427450766409629</v>
      </c>
      <c r="BK1094" s="25">
        <v>1.381457339984276</v>
      </c>
      <c r="BL1094" s="25">
        <v>1.520171110722331</v>
      </c>
      <c r="BM1094" s="25">
        <v>1.658886177753399</v>
      </c>
      <c r="BN1094" s="25">
        <v>1.797602624932481</v>
      </c>
      <c r="BO1094" s="25">
        <v>1.936320559692676</v>
      </c>
      <c r="BP1094" s="25">
        <v>2.0750400872108332</v>
      </c>
      <c r="BQ1094" s="25">
        <v>2.2137613104668561</v>
      </c>
      <c r="BR1094" s="25">
        <v>2.3524843303064871</v>
      </c>
      <c r="BS1094" s="25">
        <v>2.4912092455072421</v>
      </c>
      <c r="BT1094" s="25">
        <v>2.629936152847185</v>
      </c>
      <c r="BU1094" s="25">
        <v>2.7686651471762889</v>
      </c>
      <c r="BV1094" s="25">
        <v>2.9073963214901379</v>
      </c>
      <c r="BW1094" s="25">
        <v>3.0461297670057501</v>
      </c>
      <c r="BY1094" s="17" t="s">
        <v>5770</v>
      </c>
      <c r="BZ1094" s="25">
        <v>1</v>
      </c>
      <c r="CA1094" s="25">
        <v>1</v>
      </c>
      <c r="CB1094" s="25">
        <v>1</v>
      </c>
      <c r="CC1094" s="25">
        <v>1</v>
      </c>
      <c r="CD1094" s="25">
        <v>1</v>
      </c>
      <c r="CE1094" s="25">
        <v>1.2600838679954089</v>
      </c>
      <c r="CF1094" s="25">
        <v>1.2600840106867459</v>
      </c>
      <c r="CG1094" s="25">
        <v>1.260084549989279</v>
      </c>
      <c r="CH1094" s="25">
        <v>1.260085555361165</v>
      </c>
      <c r="CI1094" s="25">
        <v>1.2600866491131839</v>
      </c>
      <c r="CJ1094" s="25">
        <v>1.2600878124779831</v>
      </c>
      <c r="CK1094" s="25">
        <v>1.2600890443590771</v>
      </c>
      <c r="CL1094" s="25">
        <v>1.2600903436800399</v>
      </c>
      <c r="CM1094" s="25">
        <v>1.2600917093857551</v>
      </c>
      <c r="CN1094" s="25">
        <v>1.2600931404435549</v>
      </c>
      <c r="CO1094" s="25">
        <v>1.260094635844287</v>
      </c>
      <c r="CP1094" s="25">
        <v>1.260096194603274</v>
      </c>
      <c r="CQ1094" s="25">
        <v>1.260097815761219</v>
      </c>
      <c r="CR1094" s="25">
        <v>1.2600994983850189</v>
      </c>
      <c r="CS1094" s="25">
        <v>1.2601012415685271</v>
      </c>
      <c r="CU1094" s="17" t="s">
        <v>5771</v>
      </c>
      <c r="CV1094" s="25">
        <v>1</v>
      </c>
      <c r="CW1094" s="25">
        <v>1</v>
      </c>
      <c r="CX1094" s="25">
        <v>1</v>
      </c>
      <c r="CY1094" s="25">
        <v>1</v>
      </c>
      <c r="CZ1094" s="25">
        <v>1</v>
      </c>
      <c r="DA1094" s="25">
        <v>1.520167735990819</v>
      </c>
      <c r="DB1094" s="25">
        <v>1.5201680213734921</v>
      </c>
      <c r="DC1094" s="25">
        <v>1.520169099978558</v>
      </c>
      <c r="DD1094" s="25">
        <v>1.520171110722331</v>
      </c>
      <c r="DE1094" s="25">
        <v>1.5201732982263669</v>
      </c>
      <c r="DF1094" s="25">
        <v>1.520175624955965</v>
      </c>
      <c r="DG1094" s="25">
        <v>1.520178088718154</v>
      </c>
      <c r="DH1094" s="25">
        <v>1.5201806873600809</v>
      </c>
      <c r="DI1094" s="25">
        <v>1.52018341877151</v>
      </c>
      <c r="DJ1094" s="25">
        <v>1.5201862808871101</v>
      </c>
      <c r="DK1094" s="25">
        <v>1.520189271688573</v>
      </c>
      <c r="DL1094" s="25">
        <v>1.5201923892065481</v>
      </c>
      <c r="DM1094" s="25">
        <v>1.5201956315224381</v>
      </c>
      <c r="DN1094" s="25">
        <v>1.5201989967700369</v>
      </c>
      <c r="DO1094" s="25">
        <v>1.5202024831370551</v>
      </c>
    </row>
    <row r="1095" spans="1:230" x14ac:dyDescent="0.45">
      <c r="A1095" s="16" t="s">
        <v>5772</v>
      </c>
      <c r="B1095" s="3" t="s">
        <v>89</v>
      </c>
      <c r="C1095" s="16"/>
      <c r="H1095" s="3" t="s">
        <v>5773</v>
      </c>
      <c r="I1095" s="3" t="s">
        <v>529</v>
      </c>
      <c r="K1095" s="17" t="s">
        <v>5774</v>
      </c>
      <c r="L1095" s="25">
        <v>1</v>
      </c>
      <c r="M1095" s="25">
        <v>1</v>
      </c>
      <c r="N1095" s="25">
        <v>1</v>
      </c>
      <c r="O1095" s="25">
        <v>1</v>
      </c>
      <c r="P1095" s="25">
        <v>1</v>
      </c>
      <c r="Q1095" s="25">
        <v>1</v>
      </c>
      <c r="R1095" s="25">
        <v>1</v>
      </c>
      <c r="S1095" s="25">
        <v>1</v>
      </c>
      <c r="T1095" s="25">
        <v>1</v>
      </c>
      <c r="U1095" s="25">
        <v>1</v>
      </c>
      <c r="V1095" s="25">
        <v>1</v>
      </c>
      <c r="W1095" s="25">
        <v>1</v>
      </c>
      <c r="X1095" s="25">
        <v>1</v>
      </c>
      <c r="Y1095" s="25">
        <v>1</v>
      </c>
      <c r="Z1095" s="25">
        <v>1</v>
      </c>
      <c r="AA1095" s="25">
        <v>1</v>
      </c>
      <c r="AB1095" s="25">
        <v>1</v>
      </c>
      <c r="AC1095" s="25">
        <v>1</v>
      </c>
      <c r="AD1095" s="25">
        <v>1</v>
      </c>
      <c r="AE1095" s="25">
        <v>1</v>
      </c>
      <c r="AG1095" s="17" t="s">
        <v>5775</v>
      </c>
      <c r="AH1095" s="25">
        <v>1</v>
      </c>
      <c r="AI1095" s="25">
        <v>1</v>
      </c>
      <c r="AJ1095" s="25">
        <v>1</v>
      </c>
      <c r="AK1095" s="25">
        <v>1</v>
      </c>
      <c r="AL1095" s="25">
        <v>1</v>
      </c>
      <c r="AM1095" s="25">
        <v>1.335740253699061</v>
      </c>
      <c r="AN1095" s="25">
        <v>1.335740253699061</v>
      </c>
      <c r="AO1095" s="25">
        <v>1.335740253699061</v>
      </c>
      <c r="AP1095" s="25">
        <v>1.335740253699061</v>
      </c>
      <c r="AQ1095" s="25">
        <v>1.335740253699061</v>
      </c>
      <c r="AR1095" s="25">
        <v>1.335740253699061</v>
      </c>
      <c r="AS1095" s="25">
        <v>1.335740253699061</v>
      </c>
      <c r="AT1095" s="25">
        <v>1.335740253699061</v>
      </c>
      <c r="AU1095" s="25">
        <v>1.3357402536990599</v>
      </c>
      <c r="AV1095" s="25">
        <v>1.335740253699061</v>
      </c>
      <c r="AW1095" s="25">
        <v>1.335740253699061</v>
      </c>
      <c r="AX1095" s="25">
        <v>1.335740253699061</v>
      </c>
      <c r="AY1095" s="25">
        <v>1.335740253699061</v>
      </c>
      <c r="AZ1095" s="25">
        <v>1.335740253699061</v>
      </c>
      <c r="BA1095" s="25">
        <v>1.335740253699061</v>
      </c>
      <c r="BC1095" s="17" t="s">
        <v>5776</v>
      </c>
      <c r="BD1095" s="25">
        <v>1</v>
      </c>
      <c r="BE1095" s="25">
        <v>1</v>
      </c>
      <c r="BF1095" s="25">
        <v>1</v>
      </c>
      <c r="BG1095" s="25">
        <v>1</v>
      </c>
      <c r="BH1095" s="25">
        <v>1</v>
      </c>
      <c r="BI1095" s="25">
        <v>1.16787012684953</v>
      </c>
      <c r="BJ1095" s="25">
        <v>1.3916969626489051</v>
      </c>
      <c r="BK1095" s="25">
        <v>1.6155237984482791</v>
      </c>
      <c r="BL1095" s="25">
        <v>1.839350634247652</v>
      </c>
      <c r="BM1095" s="25">
        <v>2.0631774700470271</v>
      </c>
      <c r="BN1095" s="25">
        <v>2.2870043058464011</v>
      </c>
      <c r="BO1095" s="25">
        <v>2.5108311416457751</v>
      </c>
      <c r="BP1095" s="25">
        <v>2.7346579774451469</v>
      </c>
      <c r="BQ1095" s="25">
        <v>2.958484813244521</v>
      </c>
      <c r="BR1095" s="25">
        <v>3.1823116490438941</v>
      </c>
      <c r="BS1095" s="25">
        <v>3.4061384848432712</v>
      </c>
      <c r="BT1095" s="25">
        <v>3.6299653206426452</v>
      </c>
      <c r="BU1095" s="25">
        <v>3.8537921564420179</v>
      </c>
      <c r="BV1095" s="25">
        <v>4.0776189922413923</v>
      </c>
      <c r="BW1095" s="25">
        <v>4.3014458280407677</v>
      </c>
      <c r="BY1095" s="17" t="s">
        <v>5777</v>
      </c>
      <c r="BZ1095" s="25">
        <v>1</v>
      </c>
      <c r="CA1095" s="25">
        <v>1</v>
      </c>
      <c r="CB1095" s="25">
        <v>1</v>
      </c>
      <c r="CC1095" s="25">
        <v>1</v>
      </c>
      <c r="CD1095" s="25">
        <v>1</v>
      </c>
      <c r="CE1095" s="25">
        <v>1.4196753171238261</v>
      </c>
      <c r="CF1095" s="25">
        <v>1.4196753171238261</v>
      </c>
      <c r="CG1095" s="25">
        <v>1.4196753171238261</v>
      </c>
      <c r="CH1095" s="25">
        <v>1.4196753171238261</v>
      </c>
      <c r="CI1095" s="25">
        <v>1.4196753171238261</v>
      </c>
      <c r="CJ1095" s="25">
        <v>1.4196753171238261</v>
      </c>
      <c r="CK1095" s="25">
        <v>1.4196753171238261</v>
      </c>
      <c r="CL1095" s="25">
        <v>1.4196753171238261</v>
      </c>
      <c r="CM1095" s="25">
        <v>1.4196753171238261</v>
      </c>
      <c r="CN1095" s="25">
        <v>1.4196753171238261</v>
      </c>
      <c r="CO1095" s="25">
        <v>1.4196753171238261</v>
      </c>
      <c r="CP1095" s="25">
        <v>1.4196753171238261</v>
      </c>
      <c r="CQ1095" s="25">
        <v>1.4196753171238261</v>
      </c>
      <c r="CR1095" s="25">
        <v>1.4196753171238261</v>
      </c>
      <c r="CS1095" s="25">
        <v>1.4196753171238261</v>
      </c>
      <c r="CU1095" s="17" t="s">
        <v>5778</v>
      </c>
      <c r="CV1095" s="25">
        <v>1</v>
      </c>
      <c r="CW1095" s="25">
        <v>1</v>
      </c>
      <c r="CX1095" s="25">
        <v>1</v>
      </c>
      <c r="CY1095" s="25">
        <v>1</v>
      </c>
      <c r="CZ1095" s="25">
        <v>1</v>
      </c>
      <c r="DA1095" s="25">
        <v>1.8393506342476531</v>
      </c>
      <c r="DB1095" s="25">
        <v>1.8393506342476531</v>
      </c>
      <c r="DC1095" s="25">
        <v>1.8393506342476531</v>
      </c>
      <c r="DD1095" s="25">
        <v>1.839350634247652</v>
      </c>
      <c r="DE1095" s="25">
        <v>1.839350634247652</v>
      </c>
      <c r="DF1095" s="25">
        <v>1.8393506342476531</v>
      </c>
      <c r="DG1095" s="25">
        <v>1.839350634247652</v>
      </c>
      <c r="DH1095" s="25">
        <v>1.839350634247652</v>
      </c>
      <c r="DI1095" s="25">
        <v>1.839350634247652</v>
      </c>
      <c r="DJ1095" s="25">
        <v>1.839350634247652</v>
      </c>
      <c r="DK1095" s="25">
        <v>1.839350634247652</v>
      </c>
      <c r="DL1095" s="25">
        <v>1.8393506342476531</v>
      </c>
      <c r="DM1095" s="25">
        <v>1.8393506342476531</v>
      </c>
      <c r="DN1095" s="25">
        <v>1.839350634247652</v>
      </c>
      <c r="DO1095" s="25">
        <v>1.8393506342476531</v>
      </c>
    </row>
    <row r="1096" spans="1:230" x14ac:dyDescent="0.45">
      <c r="A1096" s="16" t="s">
        <v>5779</v>
      </c>
      <c r="B1096" s="3" t="s">
        <v>89</v>
      </c>
      <c r="C1096" s="16"/>
      <c r="H1096" s="3" t="s">
        <v>5780</v>
      </c>
      <c r="I1096" s="3" t="s">
        <v>529</v>
      </c>
      <c r="K1096" s="17" t="s">
        <v>5781</v>
      </c>
      <c r="L1096" s="25">
        <v>1</v>
      </c>
      <c r="M1096" s="25">
        <v>1</v>
      </c>
      <c r="N1096" s="25">
        <v>1</v>
      </c>
      <c r="O1096" s="25">
        <v>1</v>
      </c>
      <c r="P1096" s="25">
        <v>1</v>
      </c>
      <c r="Q1096" s="25">
        <v>1</v>
      </c>
      <c r="R1096" s="25">
        <v>1</v>
      </c>
      <c r="S1096" s="25">
        <v>1</v>
      </c>
      <c r="T1096" s="25">
        <v>1</v>
      </c>
      <c r="U1096" s="25">
        <v>1</v>
      </c>
      <c r="V1096" s="25">
        <v>1</v>
      </c>
      <c r="W1096" s="25">
        <v>1</v>
      </c>
      <c r="X1096" s="25">
        <v>1</v>
      </c>
      <c r="Y1096" s="25">
        <v>1</v>
      </c>
      <c r="Z1096" s="25">
        <v>1</v>
      </c>
      <c r="AA1096" s="25">
        <v>1</v>
      </c>
      <c r="AB1096" s="25">
        <v>1</v>
      </c>
      <c r="AC1096" s="25">
        <v>1</v>
      </c>
      <c r="AD1096" s="25">
        <v>1</v>
      </c>
      <c r="AE1096" s="25">
        <v>1</v>
      </c>
      <c r="AG1096" s="17" t="s">
        <v>5782</v>
      </c>
      <c r="AH1096" s="25">
        <v>1</v>
      </c>
      <c r="AI1096" s="25">
        <v>1</v>
      </c>
      <c r="AJ1096" s="25">
        <v>1</v>
      </c>
      <c r="AK1096" s="25">
        <v>1</v>
      </c>
      <c r="AL1096" s="25">
        <v>1</v>
      </c>
      <c r="AM1096" s="25">
        <v>1.1916369444633681</v>
      </c>
      <c r="AN1096" s="25">
        <v>1.191629371550587</v>
      </c>
      <c r="AO1096" s="25">
        <v>1.1916223082857591</v>
      </c>
      <c r="AP1096" s="25">
        <v>1.1916158317312271</v>
      </c>
      <c r="AQ1096" s="25">
        <v>1.19160948689945</v>
      </c>
      <c r="AR1096" s="25">
        <v>1.19160325071123</v>
      </c>
      <c r="AS1096" s="25">
        <v>1.19159712123229</v>
      </c>
      <c r="AT1096" s="25">
        <v>1.1915910965449099</v>
      </c>
      <c r="AU1096" s="25">
        <v>1.191585174751254</v>
      </c>
      <c r="AV1096" s="25">
        <v>1.1915793539763819</v>
      </c>
      <c r="AW1096" s="25">
        <v>1.1915736323709769</v>
      </c>
      <c r="AX1096" s="25">
        <v>1.1915680081137849</v>
      </c>
      <c r="AY1096" s="25">
        <v>1.19156247941382</v>
      </c>
      <c r="AZ1096" s="25">
        <v>1.1915570445123209</v>
      </c>
      <c r="BA1096" s="25">
        <v>1.191551701684497</v>
      </c>
      <c r="BC1096" s="17" t="s">
        <v>5783</v>
      </c>
      <c r="BD1096" s="25">
        <v>1</v>
      </c>
      <c r="BE1096" s="25">
        <v>1</v>
      </c>
      <c r="BF1096" s="25">
        <v>1</v>
      </c>
      <c r="BG1096" s="25">
        <v>1</v>
      </c>
      <c r="BH1096" s="25">
        <v>1</v>
      </c>
      <c r="BI1096" s="25">
        <v>1.0958184722316839</v>
      </c>
      <c r="BJ1096" s="25">
        <v>1.223567600142351</v>
      </c>
      <c r="BK1096" s="25">
        <v>1.3513075651905591</v>
      </c>
      <c r="BL1096" s="25">
        <v>1.479039579328068</v>
      </c>
      <c r="BM1096" s="25">
        <v>1.6067633751815931</v>
      </c>
      <c r="BN1096" s="25">
        <v>1.734479127726384</v>
      </c>
      <c r="BO1096" s="25">
        <v>1.8621870455453069</v>
      </c>
      <c r="BP1096" s="25">
        <v>1.9898873321487021</v>
      </c>
      <c r="BQ1096" s="25">
        <v>2.11758018604898</v>
      </c>
      <c r="BR1096" s="25">
        <v>2.245265800846485</v>
      </c>
      <c r="BS1096" s="25">
        <v>2.3729443653253339</v>
      </c>
      <c r="BT1096" s="25">
        <v>2.5006160635579842</v>
      </c>
      <c r="BU1096" s="25">
        <v>2.6282810750174739</v>
      </c>
      <c r="BV1096" s="25">
        <v>2.7559395746962769</v>
      </c>
      <c r="BW1096" s="25">
        <v>2.8835917332308818</v>
      </c>
      <c r="BY1096" s="17" t="s">
        <v>5784</v>
      </c>
      <c r="BZ1096" s="25">
        <v>1</v>
      </c>
      <c r="CA1096" s="25">
        <v>1</v>
      </c>
      <c r="CB1096" s="25">
        <v>1</v>
      </c>
      <c r="CC1096" s="25">
        <v>1</v>
      </c>
      <c r="CD1096" s="25">
        <v>1</v>
      </c>
      <c r="CE1096" s="25">
        <v>1.2395461805792101</v>
      </c>
      <c r="CF1096" s="25">
        <v>1.239536714438233</v>
      </c>
      <c r="CG1096" s="25">
        <v>1.2395278853571989</v>
      </c>
      <c r="CH1096" s="25">
        <v>1.239519789664034</v>
      </c>
      <c r="CI1096" s="25">
        <v>1.239511858624313</v>
      </c>
      <c r="CJ1096" s="25">
        <v>1.239504063389038</v>
      </c>
      <c r="CK1096" s="25">
        <v>1.2394964015403629</v>
      </c>
      <c r="CL1096" s="25">
        <v>1.239488870681138</v>
      </c>
      <c r="CM1096" s="25">
        <v>1.2394814684390669</v>
      </c>
      <c r="CN1096" s="25">
        <v>1.239474192470478</v>
      </c>
      <c r="CO1096" s="25">
        <v>1.2394670404637209</v>
      </c>
      <c r="CP1096" s="25">
        <v>1.2394600101422319</v>
      </c>
      <c r="CQ1096" s="25">
        <v>1.2394530992672761</v>
      </c>
      <c r="CR1096" s="25">
        <v>1.239446305640401</v>
      </c>
      <c r="CS1096" s="25">
        <v>1.2394396271056209</v>
      </c>
      <c r="CU1096" s="17" t="s">
        <v>5785</v>
      </c>
      <c r="CV1096" s="25">
        <v>1</v>
      </c>
      <c r="CW1096" s="25">
        <v>1</v>
      </c>
      <c r="CX1096" s="25">
        <v>1</v>
      </c>
      <c r="CY1096" s="25">
        <v>1</v>
      </c>
      <c r="CZ1096" s="25">
        <v>1</v>
      </c>
      <c r="DA1096" s="25">
        <v>1.4790923611584199</v>
      </c>
      <c r="DB1096" s="25">
        <v>1.4790734288764671</v>
      </c>
      <c r="DC1096" s="25">
        <v>1.4790557707143981</v>
      </c>
      <c r="DD1096" s="25">
        <v>1.479039579328068</v>
      </c>
      <c r="DE1096" s="25">
        <v>1.479023717248626</v>
      </c>
      <c r="DF1096" s="25">
        <v>1.479008126778077</v>
      </c>
      <c r="DG1096" s="25">
        <v>1.478992803080726</v>
      </c>
      <c r="DH1096" s="25">
        <v>1.4789777413622749</v>
      </c>
      <c r="DI1096" s="25">
        <v>1.4789629368781341</v>
      </c>
      <c r="DJ1096" s="25">
        <v>1.4789483849409559</v>
      </c>
      <c r="DK1096" s="25">
        <v>1.4789340809274421</v>
      </c>
      <c r="DL1096" s="25">
        <v>1.478920020284463</v>
      </c>
      <c r="DM1096" s="25">
        <v>1.4789061985345511</v>
      </c>
      <c r="DN1096" s="25">
        <v>1.478892611280803</v>
      </c>
      <c r="DO1096" s="25">
        <v>1.478879254211241</v>
      </c>
    </row>
    <row r="1097" spans="1:230" x14ac:dyDescent="0.45">
      <c r="A1097" s="16" t="s">
        <v>5786</v>
      </c>
      <c r="B1097" s="3" t="s">
        <v>89</v>
      </c>
      <c r="C1097" s="16"/>
      <c r="H1097" s="3" t="s">
        <v>5787</v>
      </c>
      <c r="I1097" s="3" t="s">
        <v>529</v>
      </c>
      <c r="K1097" s="17" t="s">
        <v>5788</v>
      </c>
      <c r="L1097" s="25">
        <v>1</v>
      </c>
      <c r="M1097" s="25">
        <v>1</v>
      </c>
      <c r="N1097" s="25">
        <v>1</v>
      </c>
      <c r="O1097" s="25">
        <v>1</v>
      </c>
      <c r="P1097" s="25">
        <v>1</v>
      </c>
      <c r="Q1097" s="25">
        <v>1</v>
      </c>
      <c r="R1097" s="25">
        <v>1</v>
      </c>
      <c r="S1097" s="25">
        <v>1</v>
      </c>
      <c r="T1097" s="25">
        <v>1</v>
      </c>
      <c r="U1097" s="25">
        <v>1</v>
      </c>
      <c r="V1097" s="25">
        <v>1</v>
      </c>
      <c r="W1097" s="25">
        <v>1</v>
      </c>
      <c r="X1097" s="25">
        <v>1</v>
      </c>
      <c r="Y1097" s="25">
        <v>1</v>
      </c>
      <c r="Z1097" s="25">
        <v>1</v>
      </c>
      <c r="AA1097" s="25">
        <v>1</v>
      </c>
      <c r="AB1097" s="25">
        <v>1</v>
      </c>
      <c r="AC1097" s="25">
        <v>1</v>
      </c>
      <c r="AD1097" s="25">
        <v>1</v>
      </c>
      <c r="AE1097" s="25">
        <v>1</v>
      </c>
      <c r="AG1097" s="17" t="s">
        <v>5789</v>
      </c>
      <c r="AH1097" s="25">
        <v>1</v>
      </c>
      <c r="AI1097" s="25">
        <v>1</v>
      </c>
      <c r="AJ1097" s="25">
        <v>1</v>
      </c>
      <c r="AK1097" s="25">
        <v>1</v>
      </c>
      <c r="AL1097" s="25">
        <v>1</v>
      </c>
      <c r="AM1097" s="25">
        <v>1.201184722718287</v>
      </c>
      <c r="AN1097" s="25">
        <v>1.201184722718287</v>
      </c>
      <c r="AO1097" s="25">
        <v>1.201184722718287</v>
      </c>
      <c r="AP1097" s="25">
        <v>1.201184722718287</v>
      </c>
      <c r="AQ1097" s="25">
        <v>1.201184722718287</v>
      </c>
      <c r="AR1097" s="25">
        <v>1.201184722718287</v>
      </c>
      <c r="AS1097" s="25">
        <v>1.201184722718287</v>
      </c>
      <c r="AT1097" s="25">
        <v>1.201184722718287</v>
      </c>
      <c r="AU1097" s="25">
        <v>1.201184722718287</v>
      </c>
      <c r="AV1097" s="25">
        <v>1.201184722718287</v>
      </c>
      <c r="AW1097" s="25">
        <v>1.201184722718287</v>
      </c>
      <c r="AX1097" s="25">
        <v>1.201184722718287</v>
      </c>
      <c r="AY1097" s="25">
        <v>1.201184722718287</v>
      </c>
      <c r="AZ1097" s="25">
        <v>1.201184722718287</v>
      </c>
      <c r="BA1097" s="25">
        <v>1.201184722718287</v>
      </c>
      <c r="BC1097" s="17" t="s">
        <v>5790</v>
      </c>
      <c r="BD1097" s="25">
        <v>1</v>
      </c>
      <c r="BE1097" s="25">
        <v>1</v>
      </c>
      <c r="BF1097" s="25">
        <v>1</v>
      </c>
      <c r="BG1097" s="25">
        <v>1</v>
      </c>
      <c r="BH1097" s="25">
        <v>1</v>
      </c>
      <c r="BI1097" s="25">
        <v>1.100592361359144</v>
      </c>
      <c r="BJ1097" s="25">
        <v>1.234715509838002</v>
      </c>
      <c r="BK1097" s="25">
        <v>1.3688386583168599</v>
      </c>
      <c r="BL1097" s="25">
        <v>1.502961806795718</v>
      </c>
      <c r="BM1097" s="25">
        <v>1.6370849552745761</v>
      </c>
      <c r="BN1097" s="25">
        <v>1.771208103753434</v>
      </c>
      <c r="BO1097" s="25">
        <v>1.905331252232292</v>
      </c>
      <c r="BP1097" s="25">
        <v>2.0394544007111488</v>
      </c>
      <c r="BQ1097" s="25">
        <v>2.173577549190008</v>
      </c>
      <c r="BR1097" s="25">
        <v>2.307700697668865</v>
      </c>
      <c r="BS1097" s="25">
        <v>2.4418238461477242</v>
      </c>
      <c r="BT1097" s="25">
        <v>2.5759469946265812</v>
      </c>
      <c r="BU1097" s="25">
        <v>2.710070143105439</v>
      </c>
      <c r="BV1097" s="25">
        <v>2.8441932915842969</v>
      </c>
      <c r="BW1097" s="25">
        <v>2.9783164400631552</v>
      </c>
      <c r="BY1097" s="17" t="s">
        <v>5791</v>
      </c>
      <c r="BZ1097" s="25">
        <v>1</v>
      </c>
      <c r="CA1097" s="25">
        <v>1</v>
      </c>
      <c r="CB1097" s="25">
        <v>1</v>
      </c>
      <c r="CC1097" s="25">
        <v>1</v>
      </c>
      <c r="CD1097" s="25">
        <v>1</v>
      </c>
      <c r="CE1097" s="25">
        <v>1.2514809033978589</v>
      </c>
      <c r="CF1097" s="25">
        <v>1.2514809033978589</v>
      </c>
      <c r="CG1097" s="25">
        <v>1.2514809033978589</v>
      </c>
      <c r="CH1097" s="25">
        <v>1.2514809033978589</v>
      </c>
      <c r="CI1097" s="25">
        <v>1.2514809033978589</v>
      </c>
      <c r="CJ1097" s="25">
        <v>1.2514809033978589</v>
      </c>
      <c r="CK1097" s="25">
        <v>1.2514809033978589</v>
      </c>
      <c r="CL1097" s="25">
        <v>1.2514809033978589</v>
      </c>
      <c r="CM1097" s="25">
        <v>1.2514809033978589</v>
      </c>
      <c r="CN1097" s="25">
        <v>1.2514809033978589</v>
      </c>
      <c r="CO1097" s="25">
        <v>1.2514809033978589</v>
      </c>
      <c r="CP1097" s="25">
        <v>1.2514809033978589</v>
      </c>
      <c r="CQ1097" s="25">
        <v>1.2514809033978589</v>
      </c>
      <c r="CR1097" s="25">
        <v>1.2514809033978589</v>
      </c>
      <c r="CS1097" s="25">
        <v>1.2514809033978589</v>
      </c>
      <c r="CU1097" s="17" t="s">
        <v>5792</v>
      </c>
      <c r="CV1097" s="25">
        <v>1</v>
      </c>
      <c r="CW1097" s="25">
        <v>1</v>
      </c>
      <c r="CX1097" s="25">
        <v>1</v>
      </c>
      <c r="CY1097" s="25">
        <v>1</v>
      </c>
      <c r="CZ1097" s="25">
        <v>1</v>
      </c>
      <c r="DA1097" s="25">
        <v>1.502961806795718</v>
      </c>
      <c r="DB1097" s="25">
        <v>1.502961806795718</v>
      </c>
      <c r="DC1097" s="25">
        <v>1.502961806795718</v>
      </c>
      <c r="DD1097" s="25">
        <v>1.502961806795718</v>
      </c>
      <c r="DE1097" s="25">
        <v>1.502961806795718</v>
      </c>
      <c r="DF1097" s="25">
        <v>1.502961806795718</v>
      </c>
      <c r="DG1097" s="25">
        <v>1.502961806795718</v>
      </c>
      <c r="DH1097" s="25">
        <v>1.5029618067957169</v>
      </c>
      <c r="DI1097" s="25">
        <v>1.5029618067957169</v>
      </c>
      <c r="DJ1097" s="25">
        <v>1.5029618067957169</v>
      </c>
      <c r="DK1097" s="25">
        <v>1.502961806795718</v>
      </c>
      <c r="DL1097" s="25">
        <v>1.5029618067957169</v>
      </c>
      <c r="DM1097" s="25">
        <v>1.502961806795718</v>
      </c>
      <c r="DN1097" s="25">
        <v>1.5029618067957169</v>
      </c>
      <c r="DO1097" s="25">
        <v>1.5029618067957169</v>
      </c>
    </row>
    <row r="1098" spans="1:230" x14ac:dyDescent="0.45">
      <c r="A1098" s="16" t="s">
        <v>5793</v>
      </c>
      <c r="B1098" s="3" t="s">
        <v>89</v>
      </c>
      <c r="C1098" s="16"/>
      <c r="H1098" s="3" t="s">
        <v>5794</v>
      </c>
      <c r="I1098" s="3" t="s">
        <v>529</v>
      </c>
      <c r="K1098" s="17" t="s">
        <v>5795</v>
      </c>
      <c r="L1098" s="25">
        <v>1</v>
      </c>
      <c r="M1098" s="25">
        <v>1</v>
      </c>
      <c r="N1098" s="25">
        <v>1</v>
      </c>
      <c r="O1098" s="25">
        <v>1</v>
      </c>
      <c r="P1098" s="25">
        <v>1</v>
      </c>
      <c r="Q1098" s="25">
        <v>1</v>
      </c>
      <c r="R1098" s="25">
        <v>1</v>
      </c>
      <c r="S1098" s="25">
        <v>1</v>
      </c>
      <c r="T1098" s="25">
        <v>1</v>
      </c>
      <c r="U1098" s="25">
        <v>1</v>
      </c>
      <c r="V1098" s="25">
        <v>1</v>
      </c>
      <c r="W1098" s="25">
        <v>1</v>
      </c>
      <c r="X1098" s="25">
        <v>1</v>
      </c>
      <c r="Y1098" s="25">
        <v>1</v>
      </c>
      <c r="Z1098" s="25">
        <v>1</v>
      </c>
      <c r="AA1098" s="25">
        <v>1</v>
      </c>
      <c r="AB1098" s="25">
        <v>1</v>
      </c>
      <c r="AC1098" s="25">
        <v>1</v>
      </c>
      <c r="AD1098" s="25">
        <v>1</v>
      </c>
      <c r="AE1098" s="25">
        <v>1</v>
      </c>
      <c r="AG1098" s="17" t="s">
        <v>5796</v>
      </c>
      <c r="AH1098" s="25">
        <v>1</v>
      </c>
      <c r="AI1098" s="25">
        <v>1</v>
      </c>
      <c r="AJ1098" s="25">
        <v>1</v>
      </c>
      <c r="AK1098" s="25">
        <v>1</v>
      </c>
      <c r="AL1098" s="25">
        <v>1</v>
      </c>
      <c r="AM1098" s="25">
        <v>1.3504047420908689</v>
      </c>
      <c r="AN1098" s="25">
        <v>1.3504094737425929</v>
      </c>
      <c r="AO1098" s="25">
        <v>1.3504141899155571</v>
      </c>
      <c r="AP1098" s="25">
        <v>1.3504188906485599</v>
      </c>
      <c r="AQ1098" s="25">
        <v>1.3504235759803851</v>
      </c>
      <c r="AR1098" s="25">
        <v>1.3504282459498069</v>
      </c>
      <c r="AS1098" s="25">
        <v>1.350432900595588</v>
      </c>
      <c r="AT1098" s="25">
        <v>1.350437539956475</v>
      </c>
      <c r="AU1098" s="25">
        <v>1.3504421640712061</v>
      </c>
      <c r="AV1098" s="25">
        <v>1.350446772978499</v>
      </c>
      <c r="AW1098" s="25">
        <v>1.350451366717063</v>
      </c>
      <c r="AX1098" s="25">
        <v>1.3504559453255851</v>
      </c>
      <c r="AY1098" s="25">
        <v>1.350460508842739</v>
      </c>
      <c r="AZ1098" s="25">
        <v>1.3504650573071839</v>
      </c>
      <c r="BA1098" s="25">
        <v>1.3504695907575559</v>
      </c>
      <c r="BC1098" s="17" t="s">
        <v>5797</v>
      </c>
      <c r="BD1098" s="25">
        <v>1</v>
      </c>
      <c r="BE1098" s="25">
        <v>1</v>
      </c>
      <c r="BF1098" s="25">
        <v>1</v>
      </c>
      <c r="BG1098" s="25">
        <v>1</v>
      </c>
      <c r="BH1098" s="25">
        <v>1</v>
      </c>
      <c r="BI1098" s="25">
        <v>1.1752023710454349</v>
      </c>
      <c r="BJ1098" s="25">
        <v>1.408811052699692</v>
      </c>
      <c r="BK1098" s="25">
        <v>1.642426014845189</v>
      </c>
      <c r="BL1098" s="25">
        <v>1.876047226621399</v>
      </c>
      <c r="BM1098" s="25">
        <v>2.1096746572712188</v>
      </c>
      <c r="BN1098" s="25">
        <v>2.343308276140927</v>
      </c>
      <c r="BO1098" s="25">
        <v>2.576948052680144</v>
      </c>
      <c r="BP1098" s="25">
        <v>2.8105939564417892</v>
      </c>
      <c r="BQ1098" s="25">
        <v>3.0442459570820342</v>
      </c>
      <c r="BR1098" s="25">
        <v>3.277904024360248</v>
      </c>
      <c r="BS1098" s="25">
        <v>3.5115681281389501</v>
      </c>
      <c r="BT1098" s="25">
        <v>3.745238238383747</v>
      </c>
      <c r="BU1098" s="25">
        <v>3.9789143251632879</v>
      </c>
      <c r="BV1098" s="25">
        <v>4.2125963586491872</v>
      </c>
      <c r="BW1098" s="25">
        <v>4.4462843091159714</v>
      </c>
      <c r="BY1098" s="17" t="s">
        <v>5798</v>
      </c>
      <c r="BZ1098" s="25">
        <v>1</v>
      </c>
      <c r="CA1098" s="25">
        <v>1</v>
      </c>
      <c r="CB1098" s="25">
        <v>1</v>
      </c>
      <c r="CC1098" s="25">
        <v>1</v>
      </c>
      <c r="CD1098" s="25">
        <v>1</v>
      </c>
      <c r="CE1098" s="25">
        <v>1.438005927613587</v>
      </c>
      <c r="CF1098" s="25">
        <v>1.4380118421782411</v>
      </c>
      <c r="CG1098" s="25">
        <v>1.4380177373944469</v>
      </c>
      <c r="CH1098" s="25">
        <v>1.4380236133107001</v>
      </c>
      <c r="CI1098" s="25">
        <v>1.438029469975481</v>
      </c>
      <c r="CJ1098" s="25">
        <v>1.4380353074372589</v>
      </c>
      <c r="CK1098" s="25">
        <v>1.4380411257444849</v>
      </c>
      <c r="CL1098" s="25">
        <v>1.4380469249455941</v>
      </c>
      <c r="CM1098" s="25">
        <v>1.4380527050890071</v>
      </c>
      <c r="CN1098" s="25">
        <v>1.4380584662231239</v>
      </c>
      <c r="CO1098" s="25">
        <v>1.438064208396328</v>
      </c>
      <c r="CP1098" s="25">
        <v>1.4380699316569809</v>
      </c>
      <c r="CQ1098" s="25">
        <v>1.438075636053425</v>
      </c>
      <c r="CR1098" s="25">
        <v>1.4380813216339801</v>
      </c>
      <c r="CS1098" s="25">
        <v>1.4380869884469449</v>
      </c>
      <c r="CU1098" s="17" t="s">
        <v>5799</v>
      </c>
      <c r="CV1098" s="25">
        <v>1</v>
      </c>
      <c r="CW1098" s="25">
        <v>1</v>
      </c>
      <c r="CX1098" s="25">
        <v>1</v>
      </c>
      <c r="CY1098" s="25">
        <v>1</v>
      </c>
      <c r="CZ1098" s="25">
        <v>1</v>
      </c>
      <c r="DA1098" s="25">
        <v>1.8760118552271741</v>
      </c>
      <c r="DB1098" s="25">
        <v>1.8760236843564819</v>
      </c>
      <c r="DC1098" s="25">
        <v>1.8760354747888941</v>
      </c>
      <c r="DD1098" s="25">
        <v>1.876047226621399</v>
      </c>
      <c r="DE1098" s="25">
        <v>1.876058939950962</v>
      </c>
      <c r="DF1098" s="25">
        <v>1.876070614874517</v>
      </c>
      <c r="DG1098" s="25">
        <v>1.876082251488969</v>
      </c>
      <c r="DH1098" s="25">
        <v>1.8760938498911881</v>
      </c>
      <c r="DI1098" s="25">
        <v>1.8761054101780139</v>
      </c>
      <c r="DJ1098" s="25">
        <v>1.876116932446249</v>
      </c>
      <c r="DK1098" s="25">
        <v>1.8761284167926571</v>
      </c>
      <c r="DL1098" s="25">
        <v>1.8761398633139621</v>
      </c>
      <c r="DM1098" s="25">
        <v>1.876151272106849</v>
      </c>
      <c r="DN1098" s="25">
        <v>1.8761626432679599</v>
      </c>
      <c r="DO1098" s="25">
        <v>1.8761739768938901</v>
      </c>
    </row>
    <row r="1099" spans="1:230" x14ac:dyDescent="0.45">
      <c r="A1099" s="16" t="s">
        <v>5800</v>
      </c>
      <c r="B1099" s="3" t="s">
        <v>89</v>
      </c>
      <c r="C1099" s="16"/>
      <c r="H1099" s="3" t="s">
        <v>5801</v>
      </c>
      <c r="I1099" s="3" t="s">
        <v>529</v>
      </c>
      <c r="K1099" s="17" t="s">
        <v>5802</v>
      </c>
      <c r="L1099" s="25">
        <v>1</v>
      </c>
      <c r="M1099" s="25">
        <v>1</v>
      </c>
      <c r="N1099" s="25">
        <v>1</v>
      </c>
      <c r="O1099" s="25">
        <v>1</v>
      </c>
      <c r="P1099" s="25">
        <v>1</v>
      </c>
      <c r="Q1099" s="25">
        <v>1</v>
      </c>
      <c r="R1099" s="25">
        <v>1</v>
      </c>
      <c r="S1099" s="25">
        <v>1</v>
      </c>
      <c r="T1099" s="25">
        <v>1</v>
      </c>
      <c r="U1099" s="25">
        <v>1</v>
      </c>
      <c r="V1099" s="25">
        <v>1</v>
      </c>
      <c r="W1099" s="25">
        <v>1</v>
      </c>
      <c r="X1099" s="25">
        <v>1</v>
      </c>
      <c r="Y1099" s="25">
        <v>1</v>
      </c>
      <c r="Z1099" s="25">
        <v>1</v>
      </c>
      <c r="AA1099" s="25">
        <v>1</v>
      </c>
      <c r="AB1099" s="25">
        <v>1</v>
      </c>
      <c r="AC1099" s="25">
        <v>1</v>
      </c>
      <c r="AD1099" s="25">
        <v>1</v>
      </c>
      <c r="AE1099" s="25">
        <v>1</v>
      </c>
      <c r="AG1099" s="17" t="s">
        <v>5803</v>
      </c>
      <c r="AH1099" s="25">
        <v>1</v>
      </c>
      <c r="AI1099" s="25">
        <v>1</v>
      </c>
      <c r="AJ1099" s="25">
        <v>1</v>
      </c>
      <c r="AK1099" s="25">
        <v>1</v>
      </c>
      <c r="AL1099" s="25">
        <v>1</v>
      </c>
      <c r="AM1099" s="25">
        <v>1</v>
      </c>
      <c r="AN1099" s="25">
        <v>1</v>
      </c>
      <c r="AO1099" s="25">
        <v>1</v>
      </c>
      <c r="AP1099" s="25">
        <v>1</v>
      </c>
      <c r="AQ1099" s="25">
        <v>1</v>
      </c>
      <c r="AR1099" s="25">
        <v>1</v>
      </c>
      <c r="AS1099" s="25">
        <v>1</v>
      </c>
      <c r="AT1099" s="25">
        <v>1</v>
      </c>
      <c r="AU1099" s="25">
        <v>1</v>
      </c>
      <c r="AV1099" s="25">
        <v>1</v>
      </c>
      <c r="AW1099" s="25">
        <v>1</v>
      </c>
      <c r="AX1099" s="25">
        <v>1</v>
      </c>
      <c r="AY1099" s="25">
        <v>1</v>
      </c>
      <c r="AZ1099" s="25">
        <v>1</v>
      </c>
      <c r="BA1099" s="25">
        <v>1</v>
      </c>
      <c r="BC1099" s="17" t="s">
        <v>5804</v>
      </c>
      <c r="BD1099" s="25">
        <v>1</v>
      </c>
      <c r="BE1099" s="25">
        <v>1</v>
      </c>
      <c r="BF1099" s="25">
        <v>1</v>
      </c>
      <c r="BG1099" s="25">
        <v>1</v>
      </c>
      <c r="BH1099" s="25">
        <v>1</v>
      </c>
      <c r="BI1099" s="25">
        <v>1</v>
      </c>
      <c r="BJ1099" s="25">
        <v>1</v>
      </c>
      <c r="BK1099" s="25">
        <v>1</v>
      </c>
      <c r="BL1099" s="25">
        <v>1</v>
      </c>
      <c r="BM1099" s="25">
        <v>1</v>
      </c>
      <c r="BN1099" s="25">
        <v>1</v>
      </c>
      <c r="BO1099" s="25">
        <v>1</v>
      </c>
      <c r="BP1099" s="25">
        <v>1</v>
      </c>
      <c r="BQ1099" s="25">
        <v>1</v>
      </c>
      <c r="BR1099" s="25">
        <v>1</v>
      </c>
      <c r="BS1099" s="25">
        <v>1</v>
      </c>
      <c r="BT1099" s="25">
        <v>1</v>
      </c>
      <c r="BU1099" s="25">
        <v>1</v>
      </c>
      <c r="BV1099" s="25">
        <v>1</v>
      </c>
      <c r="BW1099" s="25">
        <v>1</v>
      </c>
      <c r="BY1099" s="17" t="s">
        <v>5805</v>
      </c>
      <c r="BZ1099" s="25">
        <v>1</v>
      </c>
      <c r="CA1099" s="25">
        <v>1</v>
      </c>
      <c r="CB1099" s="25">
        <v>1</v>
      </c>
      <c r="CC1099" s="25">
        <v>1</v>
      </c>
      <c r="CD1099" s="25">
        <v>1</v>
      </c>
      <c r="CE1099" s="25">
        <v>1</v>
      </c>
      <c r="CF1099" s="25">
        <v>1</v>
      </c>
      <c r="CG1099" s="25">
        <v>1</v>
      </c>
      <c r="CH1099" s="25">
        <v>1</v>
      </c>
      <c r="CI1099" s="25">
        <v>1</v>
      </c>
      <c r="CJ1099" s="25">
        <v>1</v>
      </c>
      <c r="CK1099" s="25">
        <v>1</v>
      </c>
      <c r="CL1099" s="25">
        <v>1</v>
      </c>
      <c r="CM1099" s="25">
        <v>1</v>
      </c>
      <c r="CN1099" s="25">
        <v>1</v>
      </c>
      <c r="CO1099" s="25">
        <v>1</v>
      </c>
      <c r="CP1099" s="25">
        <v>1</v>
      </c>
      <c r="CQ1099" s="25">
        <v>1</v>
      </c>
      <c r="CR1099" s="25">
        <v>1</v>
      </c>
      <c r="CS1099" s="25">
        <v>1</v>
      </c>
      <c r="CU1099" s="17" t="s">
        <v>5806</v>
      </c>
      <c r="CV1099" s="25">
        <v>1</v>
      </c>
      <c r="CW1099" s="25">
        <v>1</v>
      </c>
      <c r="CX1099" s="25">
        <v>1</v>
      </c>
      <c r="CY1099" s="25">
        <v>1</v>
      </c>
      <c r="CZ1099" s="25">
        <v>1</v>
      </c>
      <c r="DA1099" s="25">
        <v>1</v>
      </c>
      <c r="DB1099" s="25">
        <v>1</v>
      </c>
      <c r="DC1099" s="25">
        <v>1</v>
      </c>
      <c r="DD1099" s="25">
        <v>1</v>
      </c>
      <c r="DE1099" s="25">
        <v>1</v>
      </c>
      <c r="DF1099" s="25">
        <v>1</v>
      </c>
      <c r="DG1099" s="25">
        <v>1</v>
      </c>
      <c r="DH1099" s="25">
        <v>1</v>
      </c>
      <c r="DI1099" s="25">
        <v>1</v>
      </c>
      <c r="DJ1099" s="25">
        <v>1</v>
      </c>
      <c r="DK1099" s="25">
        <v>1</v>
      </c>
      <c r="DL1099" s="25">
        <v>1</v>
      </c>
      <c r="DM1099" s="25">
        <v>1</v>
      </c>
      <c r="DN1099" s="25">
        <v>1</v>
      </c>
      <c r="DO1099" s="25">
        <v>1</v>
      </c>
    </row>
    <row r="1100" spans="1:230" x14ac:dyDescent="0.45">
      <c r="A1100" s="16" t="s">
        <v>5807</v>
      </c>
      <c r="B1100" s="3" t="s">
        <v>89</v>
      </c>
      <c r="C1100" s="16"/>
      <c r="H1100" s="3" t="s">
        <v>5808</v>
      </c>
      <c r="I1100" s="3" t="s">
        <v>529</v>
      </c>
      <c r="K1100" s="17" t="s">
        <v>5809</v>
      </c>
      <c r="L1100" s="25">
        <v>1</v>
      </c>
      <c r="M1100" s="25">
        <v>1</v>
      </c>
      <c r="N1100" s="25">
        <v>1</v>
      </c>
      <c r="O1100" s="25">
        <v>1</v>
      </c>
      <c r="P1100" s="25">
        <v>1</v>
      </c>
      <c r="Q1100" s="25">
        <v>1</v>
      </c>
      <c r="R1100" s="25">
        <v>1</v>
      </c>
      <c r="S1100" s="25">
        <v>1</v>
      </c>
      <c r="T1100" s="25">
        <v>1</v>
      </c>
      <c r="U1100" s="25">
        <v>1</v>
      </c>
      <c r="V1100" s="25">
        <v>1</v>
      </c>
      <c r="W1100" s="25">
        <v>1</v>
      </c>
      <c r="X1100" s="25">
        <v>1</v>
      </c>
      <c r="Y1100" s="25">
        <v>1</v>
      </c>
      <c r="Z1100" s="25">
        <v>1</v>
      </c>
      <c r="AA1100" s="25">
        <v>1</v>
      </c>
      <c r="AB1100" s="25">
        <v>1</v>
      </c>
      <c r="AC1100" s="25">
        <v>1</v>
      </c>
      <c r="AD1100" s="25">
        <v>1</v>
      </c>
      <c r="AE1100" s="25">
        <v>1</v>
      </c>
      <c r="AG1100" s="17" t="s">
        <v>5810</v>
      </c>
      <c r="AH1100" s="25">
        <v>1</v>
      </c>
      <c r="AI1100" s="25">
        <v>1</v>
      </c>
      <c r="AJ1100" s="25">
        <v>1</v>
      </c>
      <c r="AK1100" s="25">
        <v>1.000032125172222</v>
      </c>
      <c r="AL1100" s="25">
        <v>1.000080885416174</v>
      </c>
      <c r="AM1100" s="25">
        <v>1.18745963512723</v>
      </c>
      <c r="AN1100" s="25">
        <v>1.1828022088492349</v>
      </c>
      <c r="AO1100" s="25">
        <v>1.197341866269237</v>
      </c>
      <c r="AP1100" s="25">
        <v>1.16690094300014</v>
      </c>
      <c r="AQ1100" s="25">
        <v>1.1574903755481409</v>
      </c>
      <c r="AR1100" s="25">
        <v>1.150601015753832</v>
      </c>
      <c r="AS1100" s="25">
        <v>1.147538030573299</v>
      </c>
      <c r="AT1100" s="25">
        <v>1.1435530493781521</v>
      </c>
      <c r="AU1100" s="25">
        <v>1.1399064266401051</v>
      </c>
      <c r="AV1100" s="25">
        <v>1.136861901372441</v>
      </c>
      <c r="AW1100" s="25">
        <v>1.134071689434101</v>
      </c>
      <c r="AX1100" s="25">
        <v>1.131444908176416</v>
      </c>
      <c r="AY1100" s="25">
        <v>1.129048420189378</v>
      </c>
      <c r="AZ1100" s="25">
        <v>1.126819917528636</v>
      </c>
      <c r="BA1100" s="25">
        <v>1.124794774181928</v>
      </c>
      <c r="BC1100" s="17" t="s">
        <v>5811</v>
      </c>
      <c r="BD1100" s="25">
        <v>1</v>
      </c>
      <c r="BE1100" s="25">
        <v>1</v>
      </c>
      <c r="BF1100" s="25">
        <v>1</v>
      </c>
      <c r="BG1100" s="25">
        <v>1.000107076385728</v>
      </c>
      <c r="BH1100" s="25">
        <v>1.0002728331520501</v>
      </c>
      <c r="BI1100" s="25">
        <v>1.0939529932150069</v>
      </c>
      <c r="BJ1100" s="25">
        <v>1.214355131512086</v>
      </c>
      <c r="BK1100" s="25">
        <v>1.325693300137019</v>
      </c>
      <c r="BL1100" s="25">
        <v>1.403345859033386</v>
      </c>
      <c r="BM1100" s="25">
        <v>1.4830875144478</v>
      </c>
      <c r="BN1100" s="25">
        <v>1.593133377892894</v>
      </c>
      <c r="BO1100" s="25">
        <v>1.701623245281743</v>
      </c>
      <c r="BP1100" s="25">
        <v>1.791910119256976</v>
      </c>
      <c r="BQ1100" s="25">
        <v>1.879471155795464</v>
      </c>
      <c r="BR1100" s="25">
        <v>1.9454316166239289</v>
      </c>
      <c r="BS1100" s="25">
        <v>2.011577109476931</v>
      </c>
      <c r="BT1100" s="25">
        <v>2.0532586118293832</v>
      </c>
      <c r="BU1100" s="25">
        <v>2.1017152993026298</v>
      </c>
      <c r="BV1100" s="25">
        <v>2.1192467219011069</v>
      </c>
      <c r="BW1100" s="25">
        <v>2.158491370071844</v>
      </c>
      <c r="BY1100" s="17" t="s">
        <v>5812</v>
      </c>
      <c r="BZ1100" s="25">
        <v>1</v>
      </c>
      <c r="CA1100" s="25">
        <v>1</v>
      </c>
      <c r="CB1100" s="25">
        <v>1</v>
      </c>
      <c r="CC1100" s="25">
        <v>1.0001838971464729</v>
      </c>
      <c r="CD1100" s="25">
        <v>1.000467082041089</v>
      </c>
      <c r="CE1100" s="25">
        <v>1.0006526425953319</v>
      </c>
      <c r="CF1100" s="25">
        <v>1.0008412218623219</v>
      </c>
      <c r="CG1100" s="25">
        <v>1.001027783935585</v>
      </c>
      <c r="CH1100" s="25">
        <v>1.0010634543753629</v>
      </c>
      <c r="CI1100" s="25">
        <v>1.001368228117695</v>
      </c>
      <c r="CJ1100" s="25">
        <v>0.99968825317198773</v>
      </c>
      <c r="CK1100" s="25">
        <v>0.99731150812326452</v>
      </c>
      <c r="CL1100" s="25">
        <v>0.9956678578991226</v>
      </c>
      <c r="CM1100" s="25">
        <v>0.98989753185362628</v>
      </c>
      <c r="CN1100" s="25">
        <v>0.98547836967625491</v>
      </c>
      <c r="CO1100" s="25">
        <v>0.98107293308530996</v>
      </c>
      <c r="CP1100" s="25">
        <v>0.97638044249849354</v>
      </c>
      <c r="CQ1100" s="25">
        <v>0.97247656642179714</v>
      </c>
      <c r="CR1100" s="25">
        <v>0.96895673962249784</v>
      </c>
      <c r="CS1100" s="25">
        <v>0.96559111494190408</v>
      </c>
      <c r="CU1100" s="17" t="s">
        <v>5813</v>
      </c>
      <c r="CV1100" s="25">
        <v>1</v>
      </c>
      <c r="CW1100" s="25">
        <v>1</v>
      </c>
      <c r="CX1100" s="25">
        <v>1</v>
      </c>
      <c r="CY1100" s="25">
        <v>1.000075004935302</v>
      </c>
      <c r="CZ1100" s="25">
        <v>1.0001901227282251</v>
      </c>
      <c r="DA1100" s="25">
        <v>1.4683454726631679</v>
      </c>
      <c r="DB1100" s="25">
        <v>1.450750290205699</v>
      </c>
      <c r="DC1100" s="25">
        <v>1.4857940105263141</v>
      </c>
      <c r="DD1100" s="25">
        <v>1.4384277933990099</v>
      </c>
      <c r="DE1100" s="25">
        <v>1.396971138195364</v>
      </c>
      <c r="DF1100" s="25">
        <v>1.3783210571878359</v>
      </c>
      <c r="DG1100" s="25">
        <v>1.3579138280664531</v>
      </c>
      <c r="DH1100" s="25">
        <v>1.3297456721566121</v>
      </c>
      <c r="DI1100" s="25">
        <v>1.30534169740148</v>
      </c>
      <c r="DJ1100" s="25">
        <v>1.280844055054783</v>
      </c>
      <c r="DK1100" s="25">
        <v>1.2601019839156109</v>
      </c>
      <c r="DL1100" s="25">
        <v>1.2393590859876791</v>
      </c>
      <c r="DM1100" s="25">
        <v>1.22244337299026</v>
      </c>
      <c r="DN1100" s="25">
        <v>1.2059085471921229</v>
      </c>
      <c r="DO1100" s="25">
        <v>1.1925669655353639</v>
      </c>
    </row>
    <row r="1101" spans="1:230" x14ac:dyDescent="0.45">
      <c r="A1101" s="16" t="s">
        <v>5814</v>
      </c>
      <c r="B1101" s="3" t="s">
        <v>89</v>
      </c>
      <c r="C1101" s="16"/>
      <c r="H1101" s="3" t="s">
        <v>5815</v>
      </c>
      <c r="I1101" s="3" t="s">
        <v>529</v>
      </c>
      <c r="K1101" s="17" t="s">
        <v>5816</v>
      </c>
      <c r="L1101" s="25">
        <v>1</v>
      </c>
      <c r="M1101" s="25">
        <v>1</v>
      </c>
      <c r="N1101" s="25">
        <v>1</v>
      </c>
      <c r="O1101" s="25">
        <v>1</v>
      </c>
      <c r="P1101" s="25">
        <v>1</v>
      </c>
      <c r="Q1101" s="25">
        <v>1</v>
      </c>
      <c r="R1101" s="25">
        <v>1</v>
      </c>
      <c r="S1101" s="25">
        <v>1</v>
      </c>
      <c r="T1101" s="25">
        <v>1</v>
      </c>
      <c r="U1101" s="25">
        <v>1</v>
      </c>
      <c r="V1101" s="25">
        <v>1</v>
      </c>
      <c r="W1101" s="25">
        <v>1</v>
      </c>
      <c r="X1101" s="25">
        <v>1</v>
      </c>
      <c r="Y1101" s="25">
        <v>1</v>
      </c>
      <c r="Z1101" s="25">
        <v>1</v>
      </c>
      <c r="AA1101" s="25">
        <v>1</v>
      </c>
      <c r="AB1101" s="25">
        <v>1</v>
      </c>
      <c r="AC1101" s="25">
        <v>1</v>
      </c>
      <c r="AD1101" s="25">
        <v>1</v>
      </c>
      <c r="AE1101" s="25">
        <v>1</v>
      </c>
      <c r="AG1101" s="17" t="s">
        <v>5817</v>
      </c>
      <c r="AH1101" s="25">
        <v>1</v>
      </c>
      <c r="AI1101" s="25">
        <v>1</v>
      </c>
      <c r="AJ1101" s="25">
        <v>1</v>
      </c>
      <c r="AK1101" s="25">
        <v>1.0000128682473559</v>
      </c>
      <c r="AL1101" s="25">
        <v>1.0000328889314549</v>
      </c>
      <c r="AM1101" s="25">
        <v>1.199606678569068</v>
      </c>
      <c r="AN1101" s="25">
        <v>1.197789127910597</v>
      </c>
      <c r="AO1101" s="25">
        <v>1.2039267323760321</v>
      </c>
      <c r="AP1101" s="25">
        <v>1.1910432084102991</v>
      </c>
      <c r="AQ1101" s="25">
        <v>1.186917344188013</v>
      </c>
      <c r="AR1101" s="25">
        <v>1.184335752537008</v>
      </c>
      <c r="AS1101" s="25">
        <v>1.183095163749585</v>
      </c>
      <c r="AT1101" s="25">
        <v>1.181488413782334</v>
      </c>
      <c r="AU1101" s="25">
        <v>1.179995594739913</v>
      </c>
      <c r="AV1101" s="25">
        <v>1.1787490761067441</v>
      </c>
      <c r="AW1101" s="25">
        <v>1.1775993397694819</v>
      </c>
      <c r="AX1101" s="25">
        <v>1.176508655841175</v>
      </c>
      <c r="AY1101" s="25">
        <v>1.175507855101517</v>
      </c>
      <c r="AZ1101" s="25">
        <v>1.1745704943128861</v>
      </c>
      <c r="BA1101" s="25">
        <v>1.17371351630934</v>
      </c>
      <c r="BC1101" s="17" t="s">
        <v>5818</v>
      </c>
      <c r="BD1101" s="25">
        <v>1</v>
      </c>
      <c r="BE1101" s="25">
        <v>1</v>
      </c>
      <c r="BF1101" s="25">
        <v>1</v>
      </c>
      <c r="BG1101" s="25">
        <v>1.0000428911449279</v>
      </c>
      <c r="BH1101" s="25">
        <v>1.000110937067038</v>
      </c>
      <c r="BI1101" s="25">
        <v>1.0998953518710239</v>
      </c>
      <c r="BJ1101" s="25">
        <v>1.231205145748927</v>
      </c>
      <c r="BK1101" s="25">
        <v>1.3586230449151571</v>
      </c>
      <c r="BL1101" s="25">
        <v>1.4716728861031929</v>
      </c>
      <c r="BM1101" s="25">
        <v>1.5851535907315479</v>
      </c>
      <c r="BN1101" s="25">
        <v>1.7133817117876871</v>
      </c>
      <c r="BO1101" s="25">
        <v>1.8400586144071911</v>
      </c>
      <c r="BP1101" s="25">
        <v>1.95918337495004</v>
      </c>
      <c r="BQ1101" s="25">
        <v>2.077121007954243</v>
      </c>
      <c r="BR1101" s="25">
        <v>2.1858263016991142</v>
      </c>
      <c r="BS1101" s="25">
        <v>2.294598808803042</v>
      </c>
      <c r="BT1101" s="25">
        <v>2.3928146851682399</v>
      </c>
      <c r="BU1101" s="25">
        <v>2.4938886558042208</v>
      </c>
      <c r="BV1101" s="25">
        <v>2.581532180661938</v>
      </c>
      <c r="BW1101" s="25">
        <v>2.6784581193424679</v>
      </c>
      <c r="BY1101" s="17" t="s">
        <v>5819</v>
      </c>
      <c r="BZ1101" s="25">
        <v>1</v>
      </c>
      <c r="CA1101" s="25">
        <v>1</v>
      </c>
      <c r="CB1101" s="25">
        <v>1</v>
      </c>
      <c r="CC1101" s="25">
        <v>1.000073662919303</v>
      </c>
      <c r="CD1101" s="25">
        <v>1.000189920877705</v>
      </c>
      <c r="CE1101" s="25">
        <v>1.1385986070320351</v>
      </c>
      <c r="CF1101" s="25">
        <v>1.1380434400453241</v>
      </c>
      <c r="CG1101" s="25">
        <v>1.1366410420290189</v>
      </c>
      <c r="CH1101" s="25">
        <v>1.135680368207324</v>
      </c>
      <c r="CI1101" s="25">
        <v>1.134701065988593</v>
      </c>
      <c r="CJ1101" s="25">
        <v>1.135169309362051</v>
      </c>
      <c r="CK1101" s="25">
        <v>1.1340517232135341</v>
      </c>
      <c r="CL1101" s="25">
        <v>1.1333741995557349</v>
      </c>
      <c r="CM1101" s="25">
        <v>1.1308319760804499</v>
      </c>
      <c r="CN1101" s="25">
        <v>1.1288423081573531</v>
      </c>
      <c r="CO1101" s="25">
        <v>1.1268300288890489</v>
      </c>
      <c r="CP1101" s="25">
        <v>1.1246695009645049</v>
      </c>
      <c r="CQ1101" s="25">
        <v>1.1228298253706119</v>
      </c>
      <c r="CR1101" s="25">
        <v>1.1211380380697711</v>
      </c>
      <c r="CS1101" s="25">
        <v>1.119499569499246</v>
      </c>
      <c r="CU1101" s="17" t="s">
        <v>5820</v>
      </c>
      <c r="CV1101" s="25">
        <v>1</v>
      </c>
      <c r="CW1101" s="25">
        <v>1</v>
      </c>
      <c r="CX1101" s="25">
        <v>1</v>
      </c>
      <c r="CY1101" s="25">
        <v>1.000030044416689</v>
      </c>
      <c r="CZ1101" s="25">
        <v>1.0000773060666861</v>
      </c>
      <c r="DA1101" s="25">
        <v>1.4988915196145081</v>
      </c>
      <c r="DB1101" s="25">
        <v>1.491873904656043</v>
      </c>
      <c r="DC1101" s="25">
        <v>1.506624479418722</v>
      </c>
      <c r="DD1101" s="25">
        <v>1.4866454555317099</v>
      </c>
      <c r="DE1101" s="25">
        <v>1.468694934701626</v>
      </c>
      <c r="DF1101" s="25">
        <v>1.4616161339836571</v>
      </c>
      <c r="DG1101" s="25">
        <v>1.4530611108122189</v>
      </c>
      <c r="DH1101" s="25">
        <v>1.441250796880154</v>
      </c>
      <c r="DI1101" s="25">
        <v>1.4309523821783141</v>
      </c>
      <c r="DJ1101" s="25">
        <v>1.420563201584025</v>
      </c>
      <c r="DK1101" s="25">
        <v>1.41173046903369</v>
      </c>
      <c r="DL1101" s="25">
        <v>1.402845092758831</v>
      </c>
      <c r="DM1101" s="25">
        <v>1.3955621778087921</v>
      </c>
      <c r="DN1101" s="25">
        <v>1.3884002175850769</v>
      </c>
      <c r="DO1101" s="25">
        <v>1.3825815447974379</v>
      </c>
    </row>
    <row r="1102" spans="1:230" x14ac:dyDescent="0.45">
      <c r="A1102" s="16" t="s">
        <v>5821</v>
      </c>
      <c r="B1102" s="3" t="s">
        <v>89</v>
      </c>
      <c r="C1102" s="16"/>
      <c r="H1102" s="3" t="s">
        <v>5822</v>
      </c>
      <c r="I1102" s="3" t="s">
        <v>529</v>
      </c>
      <c r="K1102" s="17" t="s">
        <v>5823</v>
      </c>
      <c r="L1102" s="25">
        <v>1</v>
      </c>
      <c r="M1102" s="25">
        <v>0.8078315757270792</v>
      </c>
      <c r="N1102" s="25">
        <v>0.70622681311879953</v>
      </c>
      <c r="O1102" s="25">
        <v>0.69720850017169655</v>
      </c>
      <c r="P1102" s="25">
        <v>0.69822318215831869</v>
      </c>
      <c r="Q1102" s="25">
        <v>0.70123702137634447</v>
      </c>
      <c r="R1102" s="25">
        <v>0.70202709791499807</v>
      </c>
      <c r="S1102" s="25">
        <v>0.70614952400698305</v>
      </c>
      <c r="T1102" s="25">
        <v>0.70981339438956415</v>
      </c>
      <c r="U1102" s="25">
        <v>0.71394961857621797</v>
      </c>
      <c r="V1102" s="25">
        <v>0.7069582656297112</v>
      </c>
      <c r="W1102" s="25">
        <v>0.70072968992547768</v>
      </c>
      <c r="X1102" s="25">
        <v>0.69434420377522621</v>
      </c>
      <c r="Y1102" s="25">
        <v>0.68839108920825953</v>
      </c>
      <c r="Z1102" s="25">
        <v>0.68282395939845031</v>
      </c>
      <c r="AA1102" s="25">
        <v>0.67761935787184346</v>
      </c>
      <c r="AB1102" s="25">
        <v>0.67273917070316924</v>
      </c>
      <c r="AC1102" s="25">
        <v>0.66813328371281799</v>
      </c>
      <c r="AD1102" s="25">
        <v>0.66377015436179843</v>
      </c>
      <c r="AE1102" s="25">
        <v>0.65961420665978598</v>
      </c>
      <c r="AG1102" s="17" t="s">
        <v>5824</v>
      </c>
      <c r="AH1102" s="25">
        <v>1</v>
      </c>
      <c r="AI1102" s="25">
        <v>0.8078315757270792</v>
      </c>
      <c r="AJ1102" s="25">
        <v>0.70622681311879953</v>
      </c>
      <c r="AK1102" s="25">
        <v>0.6972172993270086</v>
      </c>
      <c r="AL1102" s="25">
        <v>0.69824533225373508</v>
      </c>
      <c r="AM1102" s="25">
        <v>0.84010515392479901</v>
      </c>
      <c r="AN1102" s="25">
        <v>0.83978455372645699</v>
      </c>
      <c r="AO1102" s="25">
        <v>0.84879240553725022</v>
      </c>
      <c r="AP1102" s="25">
        <v>0.84452039516217559</v>
      </c>
      <c r="AQ1102" s="25">
        <v>0.84664967017695725</v>
      </c>
      <c r="AR1102" s="25">
        <v>0.83662005759411651</v>
      </c>
      <c r="AS1102" s="25">
        <v>0.82862136577161372</v>
      </c>
      <c r="AT1102" s="25">
        <v>0.82023053974189275</v>
      </c>
      <c r="AU1102" s="25">
        <v>0.81247304774449036</v>
      </c>
      <c r="AV1102" s="25">
        <v>0.80535188868586638</v>
      </c>
      <c r="AW1102" s="25">
        <v>0.79873897051346643</v>
      </c>
      <c r="AX1102" s="25">
        <v>0.79256163968087667</v>
      </c>
      <c r="AY1102" s="25">
        <v>0.78677483268649429</v>
      </c>
      <c r="AZ1102" s="25">
        <v>0.78132299766275659</v>
      </c>
      <c r="BA1102" s="25">
        <v>0.77617076723484246</v>
      </c>
      <c r="BC1102" s="17" t="s">
        <v>5825</v>
      </c>
      <c r="BD1102" s="25">
        <v>1</v>
      </c>
      <c r="BE1102" s="25">
        <v>0.8078315757270792</v>
      </c>
      <c r="BF1102" s="25">
        <v>0.70622681311879953</v>
      </c>
      <c r="BG1102" s="25">
        <v>0.69723782854796301</v>
      </c>
      <c r="BH1102" s="25">
        <v>0.69829789605915626</v>
      </c>
      <c r="BI1102" s="25">
        <v>0.77073283310290042</v>
      </c>
      <c r="BJ1102" s="25">
        <v>0.86304542333883461</v>
      </c>
      <c r="BK1102" s="25">
        <v>0.95748969277516749</v>
      </c>
      <c r="BL1102" s="25">
        <v>1.042609464864686</v>
      </c>
      <c r="BM1102" s="25">
        <v>1.129635879870442</v>
      </c>
      <c r="BN1102" s="25">
        <v>1.2084737621378501</v>
      </c>
      <c r="BO1102" s="25">
        <v>1.286666556661058</v>
      </c>
      <c r="BP1102" s="25">
        <v>1.35831796435756</v>
      </c>
      <c r="BQ1102" s="25">
        <v>1.4289293830627601</v>
      </c>
      <c r="BR1102" s="25">
        <v>1.493668119021005</v>
      </c>
      <c r="BS1102" s="25">
        <v>1.558456508303395</v>
      </c>
      <c r="BT1102" s="25">
        <v>1.617136980942727</v>
      </c>
      <c r="BU1102" s="25">
        <v>1.6776472346098701</v>
      </c>
      <c r="BV1102" s="25">
        <v>1.730798039422712</v>
      </c>
      <c r="BW1102" s="25">
        <v>1.7893722192475849</v>
      </c>
      <c r="BY1102" s="17" t="s">
        <v>5826</v>
      </c>
      <c r="BZ1102" s="25">
        <v>1</v>
      </c>
      <c r="CA1102" s="25">
        <v>0.8078315757270792</v>
      </c>
      <c r="CB1102" s="25">
        <v>0.70622681311879953</v>
      </c>
      <c r="CC1102" s="25">
        <v>0.69725886988472674</v>
      </c>
      <c r="CD1102" s="25">
        <v>0.69835109007215868</v>
      </c>
      <c r="CE1102" s="25">
        <v>0.798238911010413</v>
      </c>
      <c r="CF1102" s="25">
        <v>0.79908189079179071</v>
      </c>
      <c r="CG1102" s="25">
        <v>0.80326048081209034</v>
      </c>
      <c r="CH1102" s="25">
        <v>0.8069384883211016</v>
      </c>
      <c r="CI1102" s="25">
        <v>0.81116767293249947</v>
      </c>
      <c r="CJ1102" s="25">
        <v>0.80369140057568511</v>
      </c>
      <c r="CK1102" s="25">
        <v>0.796807665810361</v>
      </c>
      <c r="CL1102" s="25">
        <v>0.7899953783975715</v>
      </c>
      <c r="CM1102" s="25">
        <v>0.78254386259219</v>
      </c>
      <c r="CN1102" s="25">
        <v>0.7758903769319645</v>
      </c>
      <c r="CO1102" s="25">
        <v>0.76964531169734651</v>
      </c>
      <c r="CP1102" s="25">
        <v>0.76369170297680722</v>
      </c>
      <c r="CQ1102" s="25">
        <v>0.75824280913732578</v>
      </c>
      <c r="CR1102" s="25">
        <v>0.7531570391796536</v>
      </c>
      <c r="CS1102" s="25">
        <v>0.74833834648477227</v>
      </c>
      <c r="CU1102" s="17" t="s">
        <v>5827</v>
      </c>
      <c r="CV1102" s="25">
        <v>1</v>
      </c>
      <c r="CW1102" s="25">
        <v>0.8078315757270792</v>
      </c>
      <c r="CX1102" s="25">
        <v>0.70622681311879953</v>
      </c>
      <c r="CY1102" s="25">
        <v>0.69722904415616382</v>
      </c>
      <c r="CZ1102" s="25">
        <v>0.69827524630887738</v>
      </c>
      <c r="DA1102" s="25">
        <v>1.048323406160163</v>
      </c>
      <c r="DB1102" s="25">
        <v>1.044685212595625</v>
      </c>
      <c r="DC1102" s="25">
        <v>1.0606263935500659</v>
      </c>
      <c r="DD1102" s="25">
        <v>1.052628779062033</v>
      </c>
      <c r="DE1102" s="25">
        <v>1.046640631937426</v>
      </c>
      <c r="DF1102" s="25">
        <v>1.0316261323155329</v>
      </c>
      <c r="DG1102" s="25">
        <v>1.0174293186300889</v>
      </c>
      <c r="DH1102" s="25">
        <v>1.001173736776497</v>
      </c>
      <c r="DI1102" s="25">
        <v>0.98683541273206066</v>
      </c>
      <c r="DJ1102" s="25">
        <v>0.97325142626495442</v>
      </c>
      <c r="DK1102" s="25">
        <v>0.96134523189843446</v>
      </c>
      <c r="DL1102" s="25">
        <v>0.9500518463137011</v>
      </c>
      <c r="DM1102" s="25">
        <v>0.9402282333310894</v>
      </c>
      <c r="DN1102" s="25">
        <v>0.93094052527921667</v>
      </c>
      <c r="DO1102" s="25">
        <v>0.92279560391984217</v>
      </c>
    </row>
    <row r="1103" spans="1:230" x14ac:dyDescent="0.45">
      <c r="A1103" s="16" t="s">
        <v>5828</v>
      </c>
      <c r="B1103" s="3" t="s">
        <v>89</v>
      </c>
      <c r="C1103" s="16"/>
      <c r="H1103" s="3" t="s">
        <v>5829</v>
      </c>
      <c r="I1103" s="3" t="s">
        <v>529</v>
      </c>
      <c r="K1103" s="17" t="s">
        <v>5830</v>
      </c>
      <c r="L1103" s="25">
        <v>1</v>
      </c>
      <c r="M1103" s="25">
        <v>1</v>
      </c>
      <c r="N1103" s="25">
        <v>1</v>
      </c>
      <c r="O1103" s="25">
        <v>1</v>
      </c>
      <c r="P1103" s="25">
        <v>1</v>
      </c>
      <c r="Q1103" s="25">
        <v>1</v>
      </c>
      <c r="R1103" s="25">
        <v>1</v>
      </c>
      <c r="S1103" s="25">
        <v>1</v>
      </c>
      <c r="T1103" s="25">
        <v>1</v>
      </c>
      <c r="U1103" s="25">
        <v>1</v>
      </c>
      <c r="V1103" s="25">
        <v>1</v>
      </c>
      <c r="W1103" s="25">
        <v>1</v>
      </c>
      <c r="X1103" s="25">
        <v>1</v>
      </c>
      <c r="Y1103" s="25">
        <v>1</v>
      </c>
      <c r="Z1103" s="25">
        <v>1</v>
      </c>
      <c r="AA1103" s="25">
        <v>1</v>
      </c>
      <c r="AB1103" s="25">
        <v>1</v>
      </c>
      <c r="AC1103" s="25">
        <v>1</v>
      </c>
      <c r="AD1103" s="25">
        <v>1</v>
      </c>
      <c r="AE1103" s="25">
        <v>1</v>
      </c>
      <c r="AG1103" s="17" t="s">
        <v>5831</v>
      </c>
      <c r="AH1103" s="25">
        <v>1</v>
      </c>
      <c r="AI1103" s="25">
        <v>1</v>
      </c>
      <c r="AJ1103" s="25">
        <v>1</v>
      </c>
      <c r="AK1103" s="25">
        <v>1</v>
      </c>
      <c r="AL1103" s="25">
        <v>1</v>
      </c>
      <c r="AM1103" s="25">
        <v>1.2715408217618771</v>
      </c>
      <c r="AN1103" s="25">
        <v>1.2732028373158479</v>
      </c>
      <c r="AO1103" s="25">
        <v>1.2750075153025551</v>
      </c>
      <c r="AP1103" s="25">
        <v>1.2769651921339169</v>
      </c>
      <c r="AQ1103" s="25">
        <v>1.278881040499247</v>
      </c>
      <c r="AR1103" s="25">
        <v>1.278883086018066</v>
      </c>
      <c r="AS1103" s="25">
        <v>1.278885086327882</v>
      </c>
      <c r="AT1103" s="25">
        <v>1.2788870427364589</v>
      </c>
      <c r="AU1103" s="25">
        <v>1.2788889565054919</v>
      </c>
      <c r="AV1103" s="25">
        <v>1.278890828851849</v>
      </c>
      <c r="AW1103" s="25">
        <v>1.2788926609488229</v>
      </c>
      <c r="AX1103" s="25">
        <v>1.2788944539273479</v>
      </c>
      <c r="AY1103" s="25">
        <v>1.278896208877194</v>
      </c>
      <c r="AZ1103" s="25">
        <v>1.278897926848154</v>
      </c>
      <c r="BA1103" s="25">
        <v>1.2788996088511819</v>
      </c>
      <c r="BC1103" s="17" t="s">
        <v>5832</v>
      </c>
      <c r="BD1103" s="25">
        <v>1</v>
      </c>
      <c r="BE1103" s="25">
        <v>1</v>
      </c>
      <c r="BF1103" s="25">
        <v>1</v>
      </c>
      <c r="BG1103" s="25">
        <v>1</v>
      </c>
      <c r="BH1103" s="25">
        <v>1</v>
      </c>
      <c r="BI1103" s="25">
        <v>1.1357704108809381</v>
      </c>
      <c r="BJ1103" s="25">
        <v>1.318736643535156</v>
      </c>
      <c r="BK1103" s="25">
        <v>1.50418044472135</v>
      </c>
      <c r="BL1103" s="25">
        <v>1.6924129803347929</v>
      </c>
      <c r="BM1103" s="25">
        <v>1.883123294914282</v>
      </c>
      <c r="BN1103" s="25">
        <v>2.0690518297359222</v>
      </c>
      <c r="BO1103" s="25">
        <v>2.254982888475467</v>
      </c>
      <c r="BP1103" s="25">
        <v>2.4409163874717068</v>
      </c>
      <c r="BQ1103" s="25">
        <v>2.6268522462820352</v>
      </c>
      <c r="BR1103" s="25">
        <v>2.8127903875370199</v>
      </c>
      <c r="BS1103" s="25">
        <v>2.9987307367999052</v>
      </c>
      <c r="BT1103" s="25">
        <v>3.184673222430892</v>
      </c>
      <c r="BU1103" s="25">
        <v>3.370617775456155</v>
      </c>
      <c r="BV1103" s="25">
        <v>3.5565643294414109</v>
      </c>
      <c r="BW1103" s="25">
        <v>3.7425128203699538</v>
      </c>
      <c r="BY1103" s="17" t="s">
        <v>5833</v>
      </c>
      <c r="BZ1103" s="25">
        <v>1</v>
      </c>
      <c r="CA1103" s="25">
        <v>1</v>
      </c>
      <c r="CB1103" s="25">
        <v>1</v>
      </c>
      <c r="CC1103" s="25">
        <v>1</v>
      </c>
      <c r="CD1103" s="25">
        <v>1</v>
      </c>
      <c r="CE1103" s="25">
        <v>1.0003675299643831</v>
      </c>
      <c r="CF1103" s="25">
        <v>1.000365618061213</v>
      </c>
      <c r="CG1103" s="25">
        <v>1.0003641244899111</v>
      </c>
      <c r="CH1103" s="25">
        <v>1.0003630969599411</v>
      </c>
      <c r="CI1103" s="25">
        <v>1.0003620620233</v>
      </c>
      <c r="CJ1103" s="25">
        <v>1.0003588604250271</v>
      </c>
      <c r="CK1103" s="25">
        <v>1.0003557295868331</v>
      </c>
      <c r="CL1103" s="25">
        <v>1.0003526674618299</v>
      </c>
      <c r="CM1103" s="25">
        <v>1.0003496720752469</v>
      </c>
      <c r="CN1103" s="25">
        <v>1.0003467415224669</v>
      </c>
      <c r="CO1103" s="25">
        <v>1.00034387396708</v>
      </c>
      <c r="CP1103" s="25">
        <v>1.000341067638979</v>
      </c>
      <c r="CQ1103" s="25">
        <v>1.000338320832475</v>
      </c>
      <c r="CR1103" s="25">
        <v>1.000335631904463</v>
      </c>
      <c r="CS1103" s="25">
        <v>1.000332999272616</v>
      </c>
      <c r="CU1103" s="17" t="s">
        <v>5834</v>
      </c>
      <c r="CV1103" s="25">
        <v>1</v>
      </c>
      <c r="CW1103" s="25">
        <v>1</v>
      </c>
      <c r="CX1103" s="25">
        <v>1</v>
      </c>
      <c r="CY1103" s="25">
        <v>1</v>
      </c>
      <c r="CZ1103" s="25">
        <v>1</v>
      </c>
      <c r="DA1103" s="25">
        <v>1.6788520544046921</v>
      </c>
      <c r="DB1103" s="25">
        <v>1.6830070932896199</v>
      </c>
      <c r="DC1103" s="25">
        <v>1.6875187882563869</v>
      </c>
      <c r="DD1103" s="25">
        <v>1.692412980334792</v>
      </c>
      <c r="DE1103" s="25">
        <v>1.6972026012481169</v>
      </c>
      <c r="DF1103" s="25">
        <v>1.697207715045167</v>
      </c>
      <c r="DG1103" s="25">
        <v>1.6972127158197039</v>
      </c>
      <c r="DH1103" s="25">
        <v>1.697217606841148</v>
      </c>
      <c r="DI1103" s="25">
        <v>1.697222391263729</v>
      </c>
      <c r="DJ1103" s="25">
        <v>1.697227072129623</v>
      </c>
      <c r="DK1103" s="25">
        <v>1.6972316523720601</v>
      </c>
      <c r="DL1103" s="25">
        <v>1.69723613481837</v>
      </c>
      <c r="DM1103" s="25">
        <v>1.6972405221929869</v>
      </c>
      <c r="DN1103" s="25">
        <v>1.6972448171203851</v>
      </c>
      <c r="DO1103" s="25">
        <v>1.6972490221279539</v>
      </c>
    </row>
    <row r="1104" spans="1:230" x14ac:dyDescent="0.45">
      <c r="A1104" s="16" t="s">
        <v>5835</v>
      </c>
      <c r="B1104" s="3" t="s">
        <v>89</v>
      </c>
      <c r="C1104" s="16"/>
      <c r="H1104" s="3" t="s">
        <v>5836</v>
      </c>
      <c r="I1104" s="3" t="s">
        <v>529</v>
      </c>
      <c r="K1104" s="17" t="s">
        <v>5837</v>
      </c>
      <c r="L1104" s="25">
        <v>1</v>
      </c>
      <c r="M1104" s="25">
        <v>1</v>
      </c>
      <c r="N1104" s="25">
        <v>1</v>
      </c>
      <c r="O1104" s="25">
        <v>1</v>
      </c>
      <c r="P1104" s="25">
        <v>1</v>
      </c>
      <c r="Q1104" s="25">
        <v>1</v>
      </c>
      <c r="R1104" s="25">
        <v>1</v>
      </c>
      <c r="S1104" s="25">
        <v>1</v>
      </c>
      <c r="T1104" s="25">
        <v>1</v>
      </c>
      <c r="U1104" s="25">
        <v>1</v>
      </c>
      <c r="V1104" s="25">
        <v>1</v>
      </c>
      <c r="W1104" s="25">
        <v>1</v>
      </c>
      <c r="X1104" s="25">
        <v>1</v>
      </c>
      <c r="Y1104" s="25">
        <v>1</v>
      </c>
      <c r="Z1104" s="25">
        <v>1</v>
      </c>
      <c r="AA1104" s="25">
        <v>1</v>
      </c>
      <c r="AB1104" s="25">
        <v>1</v>
      </c>
      <c r="AC1104" s="25">
        <v>1</v>
      </c>
      <c r="AD1104" s="25">
        <v>1</v>
      </c>
      <c r="AE1104" s="25">
        <v>1</v>
      </c>
      <c r="AG1104" s="17" t="s">
        <v>5838</v>
      </c>
      <c r="AH1104" s="25">
        <v>1</v>
      </c>
      <c r="AI1104" s="25">
        <v>1</v>
      </c>
      <c r="AJ1104" s="25">
        <v>1</v>
      </c>
      <c r="AK1104" s="25">
        <v>1</v>
      </c>
      <c r="AL1104" s="25">
        <v>1</v>
      </c>
      <c r="AM1104" s="25">
        <v>1.348743765244492</v>
      </c>
      <c r="AN1104" s="25">
        <v>1.346531000371042</v>
      </c>
      <c r="AO1104" s="25">
        <v>1.3443916691633411</v>
      </c>
      <c r="AP1104" s="25">
        <v>1.341794147660474</v>
      </c>
      <c r="AQ1104" s="25">
        <v>1.339911149337744</v>
      </c>
      <c r="AR1104" s="25">
        <v>1.337842079242803</v>
      </c>
      <c r="AS1104" s="25">
        <v>1.33705832877829</v>
      </c>
      <c r="AT1104" s="25">
        <v>1.3359854307583321</v>
      </c>
      <c r="AU1104" s="25">
        <v>1.335117283549335</v>
      </c>
      <c r="AV1104" s="25">
        <v>1.334247756821813</v>
      </c>
      <c r="AW1104" s="25">
        <v>1.3334026322754291</v>
      </c>
      <c r="AX1104" s="25">
        <v>1.332575654881319</v>
      </c>
      <c r="AY1104" s="25">
        <v>1.331768043077016</v>
      </c>
      <c r="AZ1104" s="25">
        <v>1.3309846414844271</v>
      </c>
      <c r="BA1104" s="25">
        <v>1.330226822683104</v>
      </c>
      <c r="BC1104" s="17" t="s">
        <v>5839</v>
      </c>
      <c r="BD1104" s="25">
        <v>1</v>
      </c>
      <c r="BE1104" s="25">
        <v>1</v>
      </c>
      <c r="BF1104" s="25">
        <v>1</v>
      </c>
      <c r="BG1104" s="25">
        <v>1</v>
      </c>
      <c r="BH1104" s="25">
        <v>1</v>
      </c>
      <c r="BI1104" s="25">
        <v>1.174371882622246</v>
      </c>
      <c r="BJ1104" s="25">
        <v>1.404286167099549</v>
      </c>
      <c r="BK1104" s="25">
        <v>1.6313847267994579</v>
      </c>
      <c r="BL1104" s="25">
        <v>1.8544853691511849</v>
      </c>
      <c r="BM1104" s="25">
        <v>2.0763853062361899</v>
      </c>
      <c r="BN1104" s="25">
        <v>2.2950613037640779</v>
      </c>
      <c r="BO1104" s="25">
        <v>2.5167624795023049</v>
      </c>
      <c r="BP1104" s="25">
        <v>2.7359247255847179</v>
      </c>
      <c r="BQ1104" s="25">
        <v>2.954850820704455</v>
      </c>
      <c r="BR1104" s="25">
        <v>3.1726104193417859</v>
      </c>
      <c r="BS1104" s="25">
        <v>3.3893855313072412</v>
      </c>
      <c r="BT1104" s="25">
        <v>3.6051759632370031</v>
      </c>
      <c r="BU1104" s="25">
        <v>3.8200283661546321</v>
      </c>
      <c r="BV1104" s="25">
        <v>4.0340258802739113</v>
      </c>
      <c r="BW1104" s="25">
        <v>4.2472304230505236</v>
      </c>
      <c r="BY1104" s="17" t="s">
        <v>5840</v>
      </c>
      <c r="BZ1104" s="25">
        <v>1</v>
      </c>
      <c r="CA1104" s="25">
        <v>1</v>
      </c>
      <c r="CB1104" s="25">
        <v>1</v>
      </c>
      <c r="CC1104" s="25">
        <v>1</v>
      </c>
      <c r="CD1104" s="25">
        <v>1</v>
      </c>
      <c r="CE1104" s="25">
        <v>1.0969379430553421</v>
      </c>
      <c r="CF1104" s="25">
        <v>1.099897343854537</v>
      </c>
      <c r="CG1104" s="25">
        <v>1.1027660432088831</v>
      </c>
      <c r="CH1104" s="25">
        <v>1.1065474025138451</v>
      </c>
      <c r="CI1104" s="25">
        <v>1.1089775729718809</v>
      </c>
      <c r="CJ1104" s="25">
        <v>1.1117226030282761</v>
      </c>
      <c r="CK1104" s="25">
        <v>1.11215699519036</v>
      </c>
      <c r="CL1104" s="25">
        <v>1.1131229166346011</v>
      </c>
      <c r="CM1104" s="25">
        <v>1.1137433067865601</v>
      </c>
      <c r="CN1104" s="25">
        <v>1.1141907358833429</v>
      </c>
      <c r="CO1104" s="25">
        <v>1.114628158978701</v>
      </c>
      <c r="CP1104" s="25">
        <v>1.1150637925570941</v>
      </c>
      <c r="CQ1104" s="25">
        <v>1.1154950039020179</v>
      </c>
      <c r="CR1104" s="25">
        <v>1.115914081665482</v>
      </c>
      <c r="CS1104" s="25">
        <v>1.1163184205542871</v>
      </c>
      <c r="CU1104" s="17" t="s">
        <v>5841</v>
      </c>
      <c r="CV1104" s="25">
        <v>1</v>
      </c>
      <c r="CW1104" s="25">
        <v>1</v>
      </c>
      <c r="CX1104" s="25">
        <v>1</v>
      </c>
      <c r="CY1104" s="25">
        <v>1</v>
      </c>
      <c r="CZ1104" s="25">
        <v>1</v>
      </c>
      <c r="DA1104" s="25">
        <v>1.8718594131112301</v>
      </c>
      <c r="DB1104" s="25">
        <v>1.8663275009276039</v>
      </c>
      <c r="DC1104" s="25">
        <v>1.860979172908352</v>
      </c>
      <c r="DD1104" s="25">
        <v>1.8544853691511849</v>
      </c>
      <c r="DE1104" s="25">
        <v>1.8497778733443611</v>
      </c>
      <c r="DF1104" s="25">
        <v>1.8446051981070071</v>
      </c>
      <c r="DG1104" s="25">
        <v>1.8426458219457249</v>
      </c>
      <c r="DH1104" s="25">
        <v>1.839963576895832</v>
      </c>
      <c r="DI1104" s="25">
        <v>1.837793208873338</v>
      </c>
      <c r="DJ1104" s="25">
        <v>1.835619392054533</v>
      </c>
      <c r="DK1104" s="25">
        <v>1.833506580688572</v>
      </c>
      <c r="DL1104" s="25">
        <v>1.831439137203299</v>
      </c>
      <c r="DM1104" s="25">
        <v>1.8294201076925389</v>
      </c>
      <c r="DN1104" s="25">
        <v>1.827461603711066</v>
      </c>
      <c r="DO1104" s="25">
        <v>1.82556705670776</v>
      </c>
    </row>
    <row r="1105" spans="1:119" x14ac:dyDescent="0.45">
      <c r="A1105" s="16" t="s">
        <v>5842</v>
      </c>
      <c r="B1105" s="3" t="s">
        <v>89</v>
      </c>
      <c r="C1105" s="16"/>
      <c r="H1105" s="3" t="s">
        <v>5843</v>
      </c>
      <c r="I1105" s="3" t="s">
        <v>529</v>
      </c>
      <c r="K1105" s="17" t="s">
        <v>5844</v>
      </c>
      <c r="L1105" s="25">
        <v>1</v>
      </c>
      <c r="M1105" s="25">
        <v>1</v>
      </c>
      <c r="N1105" s="25">
        <v>1</v>
      </c>
      <c r="O1105" s="25">
        <v>1</v>
      </c>
      <c r="P1105" s="25">
        <v>1</v>
      </c>
      <c r="Q1105" s="25">
        <v>1</v>
      </c>
      <c r="R1105" s="25">
        <v>1</v>
      </c>
      <c r="S1105" s="25">
        <v>1</v>
      </c>
      <c r="T1105" s="25">
        <v>1</v>
      </c>
      <c r="U1105" s="25">
        <v>1</v>
      </c>
      <c r="V1105" s="25">
        <v>1</v>
      </c>
      <c r="W1105" s="25">
        <v>1</v>
      </c>
      <c r="X1105" s="25">
        <v>1</v>
      </c>
      <c r="Y1105" s="25">
        <v>1</v>
      </c>
      <c r="Z1105" s="25">
        <v>1</v>
      </c>
      <c r="AA1105" s="25">
        <v>1</v>
      </c>
      <c r="AB1105" s="25">
        <v>1</v>
      </c>
      <c r="AC1105" s="25">
        <v>1</v>
      </c>
      <c r="AD1105" s="25">
        <v>1</v>
      </c>
      <c r="AE1105" s="25">
        <v>1</v>
      </c>
      <c r="AG1105" s="17" t="s">
        <v>5845</v>
      </c>
      <c r="AH1105" s="25">
        <v>1</v>
      </c>
      <c r="AI1105" s="25">
        <v>1</v>
      </c>
      <c r="AJ1105" s="25">
        <v>1</v>
      </c>
      <c r="AK1105" s="25">
        <v>1</v>
      </c>
      <c r="AL1105" s="25">
        <v>1</v>
      </c>
      <c r="AM1105" s="25">
        <v>1.144084376462231</v>
      </c>
      <c r="AN1105" s="25">
        <v>1.144084376462231</v>
      </c>
      <c r="AO1105" s="25">
        <v>1.144084376462231</v>
      </c>
      <c r="AP1105" s="25">
        <v>1.144084376462231</v>
      </c>
      <c r="AQ1105" s="25">
        <v>1.144084376462231</v>
      </c>
      <c r="AR1105" s="25">
        <v>1.144084376462231</v>
      </c>
      <c r="AS1105" s="25">
        <v>1.144084376462231</v>
      </c>
      <c r="AT1105" s="25">
        <v>1.144084376462231</v>
      </c>
      <c r="AU1105" s="25">
        <v>1.144084376462231</v>
      </c>
      <c r="AV1105" s="25">
        <v>1.144084376462231</v>
      </c>
      <c r="AW1105" s="25">
        <v>1.144084376462231</v>
      </c>
      <c r="AX1105" s="25">
        <v>1.144084376462231</v>
      </c>
      <c r="AY1105" s="25">
        <v>1.144084376462231</v>
      </c>
      <c r="AZ1105" s="25">
        <v>1.144084376462231</v>
      </c>
      <c r="BA1105" s="25">
        <v>1.144084376462231</v>
      </c>
      <c r="BC1105" s="17" t="s">
        <v>5846</v>
      </c>
      <c r="BD1105" s="25">
        <v>1</v>
      </c>
      <c r="BE1105" s="25">
        <v>1</v>
      </c>
      <c r="BF1105" s="25">
        <v>1</v>
      </c>
      <c r="BG1105" s="25">
        <v>1</v>
      </c>
      <c r="BH1105" s="25">
        <v>1</v>
      </c>
      <c r="BI1105" s="25">
        <v>1.072042188231116</v>
      </c>
      <c r="BJ1105" s="25">
        <v>1.1680984392059359</v>
      </c>
      <c r="BK1105" s="25">
        <v>1.264154690180757</v>
      </c>
      <c r="BL1105" s="25">
        <v>1.3602109411555781</v>
      </c>
      <c r="BM1105" s="25">
        <v>1.456267192130398</v>
      </c>
      <c r="BN1105" s="25">
        <v>1.5523234431052191</v>
      </c>
      <c r="BO1105" s="25">
        <v>1.6483796940800399</v>
      </c>
      <c r="BP1105" s="25">
        <v>1.7444359450548601</v>
      </c>
      <c r="BQ1105" s="25">
        <v>1.8404921960296809</v>
      </c>
      <c r="BR1105" s="25">
        <v>1.9365484470045009</v>
      </c>
      <c r="BS1105" s="25">
        <v>2.032604697979322</v>
      </c>
      <c r="BT1105" s="25">
        <v>2.1286609489541428</v>
      </c>
      <c r="BU1105" s="25">
        <v>2.2247171999289641</v>
      </c>
      <c r="BV1105" s="25">
        <v>2.3207734509037841</v>
      </c>
      <c r="BW1105" s="25">
        <v>2.416829701878604</v>
      </c>
      <c r="BY1105" s="17" t="s">
        <v>5847</v>
      </c>
      <c r="BZ1105" s="25">
        <v>1</v>
      </c>
      <c r="CA1105" s="25">
        <v>1</v>
      </c>
      <c r="CB1105" s="25">
        <v>1</v>
      </c>
      <c r="CC1105" s="25">
        <v>1</v>
      </c>
      <c r="CD1105" s="25">
        <v>1</v>
      </c>
      <c r="CE1105" s="25">
        <v>1.1801054705777889</v>
      </c>
      <c r="CF1105" s="25">
        <v>1.1801054705777889</v>
      </c>
      <c r="CG1105" s="25">
        <v>1.1801054705777889</v>
      </c>
      <c r="CH1105" s="25">
        <v>1.1801054705777889</v>
      </c>
      <c r="CI1105" s="25">
        <v>1.1801054705777889</v>
      </c>
      <c r="CJ1105" s="25">
        <v>1.1801054705777889</v>
      </c>
      <c r="CK1105" s="25">
        <v>1.1801054705777889</v>
      </c>
      <c r="CL1105" s="25">
        <v>1.1801054705777889</v>
      </c>
      <c r="CM1105" s="25">
        <v>1.1801054705777889</v>
      </c>
      <c r="CN1105" s="25">
        <v>1.1801054705777889</v>
      </c>
      <c r="CO1105" s="25">
        <v>1.1801054705777889</v>
      </c>
      <c r="CP1105" s="25">
        <v>1.180105470577788</v>
      </c>
      <c r="CQ1105" s="25">
        <v>1.1801054705777889</v>
      </c>
      <c r="CR1105" s="25">
        <v>1.1801054705777889</v>
      </c>
      <c r="CS1105" s="25">
        <v>1.1801054705777889</v>
      </c>
      <c r="CU1105" s="17" t="s">
        <v>5848</v>
      </c>
      <c r="CV1105" s="25">
        <v>1</v>
      </c>
      <c r="CW1105" s="25">
        <v>1</v>
      </c>
      <c r="CX1105" s="25">
        <v>1</v>
      </c>
      <c r="CY1105" s="25">
        <v>1</v>
      </c>
      <c r="CZ1105" s="25">
        <v>1</v>
      </c>
      <c r="DA1105" s="25">
        <v>1.3602109411555781</v>
      </c>
      <c r="DB1105" s="25">
        <v>1.3602109411555781</v>
      </c>
      <c r="DC1105" s="25">
        <v>1.3602109411555781</v>
      </c>
      <c r="DD1105" s="25">
        <v>1.3602109411555781</v>
      </c>
      <c r="DE1105" s="25">
        <v>1.3602109411555781</v>
      </c>
      <c r="DF1105" s="25">
        <v>1.3602109411555781</v>
      </c>
      <c r="DG1105" s="25">
        <v>1.3602109411555781</v>
      </c>
      <c r="DH1105" s="25">
        <v>1.3602109411555781</v>
      </c>
      <c r="DI1105" s="25">
        <v>1.3602109411555769</v>
      </c>
      <c r="DJ1105" s="25">
        <v>1.3602109411555769</v>
      </c>
      <c r="DK1105" s="25">
        <v>1.3602109411555769</v>
      </c>
      <c r="DL1105" s="25">
        <v>1.3602109411555769</v>
      </c>
      <c r="DM1105" s="25">
        <v>1.3602109411555769</v>
      </c>
      <c r="DN1105" s="25">
        <v>1.3602109411555769</v>
      </c>
      <c r="DO1105" s="25">
        <v>1.3602109411555769</v>
      </c>
    </row>
    <row r="1106" spans="1:119" x14ac:dyDescent="0.45">
      <c r="A1106" s="16" t="s">
        <v>5849</v>
      </c>
      <c r="B1106" s="3" t="s">
        <v>89</v>
      </c>
      <c r="C1106" s="16"/>
      <c r="H1106" s="3" t="s">
        <v>5850</v>
      </c>
      <c r="I1106" s="3" t="s">
        <v>529</v>
      </c>
      <c r="K1106" s="17" t="s">
        <v>5851</v>
      </c>
      <c r="L1106" s="25">
        <v>1</v>
      </c>
      <c r="M1106" s="25">
        <v>1</v>
      </c>
      <c r="N1106" s="25">
        <v>1</v>
      </c>
      <c r="O1106" s="25">
        <v>1</v>
      </c>
      <c r="P1106" s="25">
        <v>1</v>
      </c>
      <c r="Q1106" s="25">
        <v>1</v>
      </c>
      <c r="R1106" s="25">
        <v>1</v>
      </c>
      <c r="S1106" s="25">
        <v>1</v>
      </c>
      <c r="T1106" s="25">
        <v>1</v>
      </c>
      <c r="U1106" s="25">
        <v>1</v>
      </c>
      <c r="V1106" s="25">
        <v>1</v>
      </c>
      <c r="W1106" s="25">
        <v>1</v>
      </c>
      <c r="X1106" s="25">
        <v>1</v>
      </c>
      <c r="Y1106" s="25">
        <v>1</v>
      </c>
      <c r="Z1106" s="25">
        <v>1</v>
      </c>
      <c r="AA1106" s="25">
        <v>1</v>
      </c>
      <c r="AB1106" s="25">
        <v>1</v>
      </c>
      <c r="AC1106" s="25">
        <v>1</v>
      </c>
      <c r="AD1106" s="25">
        <v>1</v>
      </c>
      <c r="AE1106" s="25">
        <v>1</v>
      </c>
      <c r="AG1106" s="17" t="s">
        <v>5852</v>
      </c>
      <c r="AH1106" s="25">
        <v>1</v>
      </c>
      <c r="AI1106" s="25">
        <v>1</v>
      </c>
      <c r="AJ1106" s="25">
        <v>1</v>
      </c>
      <c r="AK1106" s="25">
        <v>1</v>
      </c>
      <c r="AL1106" s="25">
        <v>1</v>
      </c>
      <c r="AM1106" s="25">
        <v>1.2079699484822179</v>
      </c>
      <c r="AN1106" s="25">
        <v>1.2079700600917871</v>
      </c>
      <c r="AO1106" s="25">
        <v>1.2079704300734231</v>
      </c>
      <c r="AP1106" s="25">
        <v>1.207971332724727</v>
      </c>
      <c r="AQ1106" s="25">
        <v>1.2079721681942091</v>
      </c>
      <c r="AR1106" s="25">
        <v>1.2079731243424849</v>
      </c>
      <c r="AS1106" s="25">
        <v>1.207974027451898</v>
      </c>
      <c r="AT1106" s="25">
        <v>1.207974935233016</v>
      </c>
      <c r="AU1106" s="25">
        <v>1.207975920992842</v>
      </c>
      <c r="AV1106" s="25">
        <v>1.207976939249253</v>
      </c>
      <c r="AW1106" s="25">
        <v>1.2079779627061129</v>
      </c>
      <c r="AX1106" s="25">
        <v>1.2079790831884021</v>
      </c>
      <c r="AY1106" s="25">
        <v>1.207980278191561</v>
      </c>
      <c r="AZ1106" s="25">
        <v>1.207981576624213</v>
      </c>
      <c r="BA1106" s="25">
        <v>1.20798293798839</v>
      </c>
      <c r="BC1106" s="17" t="s">
        <v>5853</v>
      </c>
      <c r="BD1106" s="25">
        <v>1</v>
      </c>
      <c r="BE1106" s="25">
        <v>1</v>
      </c>
      <c r="BF1106" s="25">
        <v>1</v>
      </c>
      <c r="BG1106" s="25">
        <v>1</v>
      </c>
      <c r="BH1106" s="25">
        <v>1</v>
      </c>
      <c r="BI1106" s="25">
        <v>1.104012223954691</v>
      </c>
      <c r="BJ1106" s="25">
        <v>1.2426340937800791</v>
      </c>
      <c r="BK1106" s="25">
        <v>1.381195520985649</v>
      </c>
      <c r="BL1106" s="25">
        <v>1.519705848346854</v>
      </c>
      <c r="BM1106" s="25">
        <v>1.658156326067924</v>
      </c>
      <c r="BN1106" s="25">
        <v>1.796565726064707</v>
      </c>
      <c r="BO1106" s="25">
        <v>1.9349394387149179</v>
      </c>
      <c r="BP1106" s="25">
        <v>2.0732817872496891</v>
      </c>
      <c r="BQ1106" s="25">
        <v>2.2115965134366951</v>
      </c>
      <c r="BR1106" s="25">
        <v>2.3498866621273362</v>
      </c>
      <c r="BS1106" s="25">
        <v>2.4881546642950298</v>
      </c>
      <c r="BT1106" s="25">
        <v>2.6264028486036861</v>
      </c>
      <c r="BU1106" s="25">
        <v>2.7646332107535869</v>
      </c>
      <c r="BV1106" s="25">
        <v>2.9028476923935358</v>
      </c>
      <c r="BW1106" s="25">
        <v>3.041047837954693</v>
      </c>
      <c r="BY1106" s="17" t="s">
        <v>5854</v>
      </c>
      <c r="BZ1106" s="25">
        <v>1</v>
      </c>
      <c r="CA1106" s="25">
        <v>1</v>
      </c>
      <c r="CB1106" s="25">
        <v>1</v>
      </c>
      <c r="CC1106" s="25">
        <v>1</v>
      </c>
      <c r="CD1106" s="25">
        <v>1</v>
      </c>
      <c r="CE1106" s="25">
        <v>1.259935856937314</v>
      </c>
      <c r="CF1106" s="25">
        <v>1.2599359957447649</v>
      </c>
      <c r="CG1106" s="25">
        <v>1.259936465110677</v>
      </c>
      <c r="CH1106" s="25">
        <v>1.2599375780477049</v>
      </c>
      <c r="CI1106" s="25">
        <v>1.259938588066873</v>
      </c>
      <c r="CJ1106" s="25">
        <v>1.259939783562477</v>
      </c>
      <c r="CK1106" s="25">
        <v>1.259940896725388</v>
      </c>
      <c r="CL1106" s="25">
        <v>1.2599420706313571</v>
      </c>
      <c r="CM1106" s="25">
        <v>1.2599433306080401</v>
      </c>
      <c r="CN1106" s="25">
        <v>1.259944631138469</v>
      </c>
      <c r="CO1106" s="25">
        <v>1.259945952124242</v>
      </c>
      <c r="CP1106" s="25">
        <v>1.25994738826209</v>
      </c>
      <c r="CQ1106" s="25">
        <v>1.259948897731977</v>
      </c>
      <c r="CR1106" s="25">
        <v>1.259950521196441</v>
      </c>
      <c r="CS1106" s="25">
        <v>1.259952197755694</v>
      </c>
      <c r="CU1106" s="17" t="s">
        <v>5855</v>
      </c>
      <c r="CV1106" s="25">
        <v>1</v>
      </c>
      <c r="CW1106" s="25">
        <v>1</v>
      </c>
      <c r="CX1106" s="25">
        <v>1</v>
      </c>
      <c r="CY1106" s="25">
        <v>1</v>
      </c>
      <c r="CZ1106" s="25">
        <v>1</v>
      </c>
      <c r="DA1106" s="25">
        <v>1.5196398613181969</v>
      </c>
      <c r="DB1106" s="25">
        <v>1.519640130941375</v>
      </c>
      <c r="DC1106" s="25">
        <v>1.519640881923298</v>
      </c>
      <c r="DD1106" s="25">
        <v>1.5196433925339079</v>
      </c>
      <c r="DE1106" s="25">
        <v>1.5196453279061839</v>
      </c>
      <c r="DF1106" s="25">
        <v>1.519647785187167</v>
      </c>
      <c r="DG1106" s="25">
        <v>1.5196497813862999</v>
      </c>
      <c r="DH1106" s="25">
        <v>1.5196516983116679</v>
      </c>
      <c r="DI1106" s="25">
        <v>1.5196538602882901</v>
      </c>
      <c r="DJ1106" s="25">
        <v>1.5196560545189359</v>
      </c>
      <c r="DK1106" s="25">
        <v>1.519658137643302</v>
      </c>
      <c r="DL1106" s="25">
        <v>1.5196605913888139</v>
      </c>
      <c r="DM1106" s="25">
        <v>1.5196632805842909</v>
      </c>
      <c r="DN1106" s="25">
        <v>1.5196663682206131</v>
      </c>
      <c r="DO1106" s="25">
        <v>1.5196696403906611</v>
      </c>
    </row>
    <row r="1107" spans="1:119" x14ac:dyDescent="0.45">
      <c r="A1107" s="16" t="s">
        <v>5856</v>
      </c>
      <c r="B1107" s="3" t="s">
        <v>89</v>
      </c>
      <c r="C1107" s="16"/>
      <c r="H1107" s="3" t="s">
        <v>5857</v>
      </c>
      <c r="I1107" s="3" t="s">
        <v>529</v>
      </c>
      <c r="K1107" s="17" t="s">
        <v>5858</v>
      </c>
      <c r="L1107" s="25">
        <v>1</v>
      </c>
      <c r="M1107" s="25">
        <v>1</v>
      </c>
      <c r="N1107" s="25">
        <v>1</v>
      </c>
      <c r="O1107" s="25">
        <v>1</v>
      </c>
      <c r="P1107" s="25">
        <v>1</v>
      </c>
      <c r="Q1107" s="25">
        <v>1</v>
      </c>
      <c r="R1107" s="25">
        <v>1</v>
      </c>
      <c r="S1107" s="25">
        <v>1</v>
      </c>
      <c r="T1107" s="25">
        <v>1</v>
      </c>
      <c r="U1107" s="25">
        <v>1</v>
      </c>
      <c r="V1107" s="25">
        <v>1</v>
      </c>
      <c r="W1107" s="25">
        <v>1</v>
      </c>
      <c r="X1107" s="25">
        <v>1</v>
      </c>
      <c r="Y1107" s="25">
        <v>1</v>
      </c>
      <c r="Z1107" s="25">
        <v>1</v>
      </c>
      <c r="AA1107" s="25">
        <v>1</v>
      </c>
      <c r="AB1107" s="25">
        <v>1</v>
      </c>
      <c r="AC1107" s="25">
        <v>1</v>
      </c>
      <c r="AD1107" s="25">
        <v>1</v>
      </c>
      <c r="AE1107" s="25">
        <v>1</v>
      </c>
      <c r="AG1107" s="17" t="s">
        <v>5859</v>
      </c>
      <c r="AH1107" s="25">
        <v>1</v>
      </c>
      <c r="AI1107" s="25">
        <v>1</v>
      </c>
      <c r="AJ1107" s="25">
        <v>1</v>
      </c>
      <c r="AK1107" s="25">
        <v>1</v>
      </c>
      <c r="AL1107" s="25">
        <v>1</v>
      </c>
      <c r="AM1107" s="25">
        <v>1.335740253699061</v>
      </c>
      <c r="AN1107" s="25">
        <v>1.335740253699061</v>
      </c>
      <c r="AO1107" s="25">
        <v>1.335740253699061</v>
      </c>
      <c r="AP1107" s="25">
        <v>1.335740253699061</v>
      </c>
      <c r="AQ1107" s="25">
        <v>1.335740253699061</v>
      </c>
      <c r="AR1107" s="25">
        <v>1.335740253699061</v>
      </c>
      <c r="AS1107" s="25">
        <v>1.335740253699061</v>
      </c>
      <c r="AT1107" s="25">
        <v>1.3357402536990599</v>
      </c>
      <c r="AU1107" s="25">
        <v>1.335740253699061</v>
      </c>
      <c r="AV1107" s="25">
        <v>1.335740253699061</v>
      </c>
      <c r="AW1107" s="25">
        <v>1.335740253699061</v>
      </c>
      <c r="AX1107" s="25">
        <v>1.335740253699061</v>
      </c>
      <c r="AY1107" s="25">
        <v>1.335740253699061</v>
      </c>
      <c r="AZ1107" s="25">
        <v>1.335740253699061</v>
      </c>
      <c r="BA1107" s="25">
        <v>1.335740253699061</v>
      </c>
      <c r="BC1107" s="17" t="s">
        <v>5860</v>
      </c>
      <c r="BD1107" s="25">
        <v>1</v>
      </c>
      <c r="BE1107" s="25">
        <v>1</v>
      </c>
      <c r="BF1107" s="25">
        <v>1</v>
      </c>
      <c r="BG1107" s="25">
        <v>1</v>
      </c>
      <c r="BH1107" s="25">
        <v>1</v>
      </c>
      <c r="BI1107" s="25">
        <v>1.1678701268495311</v>
      </c>
      <c r="BJ1107" s="25">
        <v>1.3916969626489051</v>
      </c>
      <c r="BK1107" s="25">
        <v>1.6155237984482791</v>
      </c>
      <c r="BL1107" s="25">
        <v>1.839350634247652</v>
      </c>
      <c r="BM1107" s="25">
        <v>2.0631774700470271</v>
      </c>
      <c r="BN1107" s="25">
        <v>2.2870043058464011</v>
      </c>
      <c r="BO1107" s="25">
        <v>2.5108311416457738</v>
      </c>
      <c r="BP1107" s="25">
        <v>2.7346579774451469</v>
      </c>
      <c r="BQ1107" s="25">
        <v>2.958484813244521</v>
      </c>
      <c r="BR1107" s="25">
        <v>3.182311649043895</v>
      </c>
      <c r="BS1107" s="25">
        <v>3.4061384848432712</v>
      </c>
      <c r="BT1107" s="25">
        <v>3.6299653206426452</v>
      </c>
      <c r="BU1107" s="25">
        <v>3.8537921564420179</v>
      </c>
      <c r="BV1107" s="25">
        <v>4.0776189922413923</v>
      </c>
      <c r="BW1107" s="25">
        <v>4.3014458280407668</v>
      </c>
      <c r="BY1107" s="17" t="s">
        <v>5861</v>
      </c>
      <c r="BZ1107" s="25">
        <v>1</v>
      </c>
      <c r="CA1107" s="25">
        <v>1</v>
      </c>
      <c r="CB1107" s="25">
        <v>1</v>
      </c>
      <c r="CC1107" s="25">
        <v>1</v>
      </c>
      <c r="CD1107" s="25">
        <v>1</v>
      </c>
      <c r="CE1107" s="25">
        <v>1.4196753171238261</v>
      </c>
      <c r="CF1107" s="25">
        <v>1.4196753171238261</v>
      </c>
      <c r="CG1107" s="25">
        <v>1.4196753171238261</v>
      </c>
      <c r="CH1107" s="25">
        <v>1.4196753171238261</v>
      </c>
      <c r="CI1107" s="25">
        <v>1.4196753171238261</v>
      </c>
      <c r="CJ1107" s="25">
        <v>1.4196753171238261</v>
      </c>
      <c r="CK1107" s="25">
        <v>1.4196753171238261</v>
      </c>
      <c r="CL1107" s="25">
        <v>1.4196753171238261</v>
      </c>
      <c r="CM1107" s="25">
        <v>1.4196753171238261</v>
      </c>
      <c r="CN1107" s="25">
        <v>1.4196753171238261</v>
      </c>
      <c r="CO1107" s="25">
        <v>1.4196753171238261</v>
      </c>
      <c r="CP1107" s="25">
        <v>1.4196753171238261</v>
      </c>
      <c r="CQ1107" s="25">
        <v>1.4196753171238261</v>
      </c>
      <c r="CR1107" s="25">
        <v>1.4196753171238261</v>
      </c>
      <c r="CS1107" s="25">
        <v>1.4196753171238261</v>
      </c>
      <c r="CU1107" s="17" t="s">
        <v>5862</v>
      </c>
      <c r="CV1107" s="25">
        <v>1</v>
      </c>
      <c r="CW1107" s="25">
        <v>1</v>
      </c>
      <c r="CX1107" s="25">
        <v>1</v>
      </c>
      <c r="CY1107" s="25">
        <v>1</v>
      </c>
      <c r="CZ1107" s="25">
        <v>1</v>
      </c>
      <c r="DA1107" s="25">
        <v>1.8393506342476531</v>
      </c>
      <c r="DB1107" s="25">
        <v>1.8393506342476531</v>
      </c>
      <c r="DC1107" s="25">
        <v>1.8393506342476531</v>
      </c>
      <c r="DD1107" s="25">
        <v>1.8393506342476531</v>
      </c>
      <c r="DE1107" s="25">
        <v>1.8393506342476531</v>
      </c>
      <c r="DF1107" s="25">
        <v>1.839350634247652</v>
      </c>
      <c r="DG1107" s="25">
        <v>1.8393506342476531</v>
      </c>
      <c r="DH1107" s="25">
        <v>1.839350634247652</v>
      </c>
      <c r="DI1107" s="25">
        <v>1.839350634247652</v>
      </c>
      <c r="DJ1107" s="25">
        <v>1.839350634247652</v>
      </c>
      <c r="DK1107" s="25">
        <v>1.8393506342476531</v>
      </c>
      <c r="DL1107" s="25">
        <v>1.8393506342476531</v>
      </c>
      <c r="DM1107" s="25">
        <v>1.8393506342476531</v>
      </c>
      <c r="DN1107" s="25">
        <v>1.839350634247652</v>
      </c>
      <c r="DO1107" s="25">
        <v>1.8393506342476531</v>
      </c>
    </row>
    <row r="1108" spans="1:119" x14ac:dyDescent="0.45">
      <c r="A1108" s="16" t="s">
        <v>5863</v>
      </c>
      <c r="B1108" s="3" t="s">
        <v>89</v>
      </c>
      <c r="C1108" s="16"/>
      <c r="H1108" s="3" t="s">
        <v>5864</v>
      </c>
      <c r="I1108" s="3" t="s">
        <v>529</v>
      </c>
      <c r="K1108" s="17" t="s">
        <v>5865</v>
      </c>
      <c r="L1108" s="25">
        <v>1</v>
      </c>
      <c r="M1108" s="25">
        <v>1</v>
      </c>
      <c r="N1108" s="25">
        <v>1</v>
      </c>
      <c r="O1108" s="25">
        <v>1</v>
      </c>
      <c r="P1108" s="25">
        <v>1</v>
      </c>
      <c r="Q1108" s="25">
        <v>1</v>
      </c>
      <c r="R1108" s="25">
        <v>1</v>
      </c>
      <c r="S1108" s="25">
        <v>1</v>
      </c>
      <c r="T1108" s="25">
        <v>1</v>
      </c>
      <c r="U1108" s="25">
        <v>1</v>
      </c>
      <c r="V1108" s="25">
        <v>1</v>
      </c>
      <c r="W1108" s="25">
        <v>1</v>
      </c>
      <c r="X1108" s="25">
        <v>1</v>
      </c>
      <c r="Y1108" s="25">
        <v>1</v>
      </c>
      <c r="Z1108" s="25">
        <v>1</v>
      </c>
      <c r="AA1108" s="25">
        <v>1</v>
      </c>
      <c r="AB1108" s="25">
        <v>1</v>
      </c>
      <c r="AC1108" s="25">
        <v>1</v>
      </c>
      <c r="AD1108" s="25">
        <v>1</v>
      </c>
      <c r="AE1108" s="25">
        <v>1</v>
      </c>
      <c r="AG1108" s="17" t="s">
        <v>5866</v>
      </c>
      <c r="AH1108" s="25">
        <v>1</v>
      </c>
      <c r="AI1108" s="25">
        <v>1</v>
      </c>
      <c r="AJ1108" s="25">
        <v>1</v>
      </c>
      <c r="AK1108" s="25">
        <v>1</v>
      </c>
      <c r="AL1108" s="25">
        <v>1</v>
      </c>
      <c r="AM1108" s="25">
        <v>1.2010810668070859</v>
      </c>
      <c r="AN1108" s="25">
        <v>1.201081194491864</v>
      </c>
      <c r="AO1108" s="25">
        <v>1.201081288399285</v>
      </c>
      <c r="AP1108" s="25">
        <v>1.2010813205448361</v>
      </c>
      <c r="AQ1108" s="25">
        <v>1.2010813555495889</v>
      </c>
      <c r="AR1108" s="25">
        <v>1.201081373749286</v>
      </c>
      <c r="AS1108" s="25">
        <v>1.201081393377716</v>
      </c>
      <c r="AT1108" s="25">
        <v>1.201081408429904</v>
      </c>
      <c r="AU1108" s="25">
        <v>1.2010814115697279</v>
      </c>
      <c r="AV1108" s="25">
        <v>1.201081407583801</v>
      </c>
      <c r="AW1108" s="25">
        <v>1.2010813992809879</v>
      </c>
      <c r="AX1108" s="25">
        <v>1.2010813777228271</v>
      </c>
      <c r="AY1108" s="25">
        <v>1.2010813453760461</v>
      </c>
      <c r="AZ1108" s="25">
        <v>1.2010812996817859</v>
      </c>
      <c r="BA1108" s="25">
        <v>1.2010812447724759</v>
      </c>
      <c r="BC1108" s="17" t="s">
        <v>5867</v>
      </c>
      <c r="BD1108" s="25">
        <v>1</v>
      </c>
      <c r="BE1108" s="25">
        <v>1</v>
      </c>
      <c r="BF1108" s="25">
        <v>1</v>
      </c>
      <c r="BG1108" s="25">
        <v>1</v>
      </c>
      <c r="BH1108" s="25">
        <v>1</v>
      </c>
      <c r="BI1108" s="25">
        <v>1.1005408026834631</v>
      </c>
      <c r="BJ1108" s="25">
        <v>1.2345963729481519</v>
      </c>
      <c r="BK1108" s="25">
        <v>1.368652943304403</v>
      </c>
      <c r="BL1108" s="25">
        <v>1.5027102179336029</v>
      </c>
      <c r="BM1108" s="25">
        <v>1.63676645526822</v>
      </c>
      <c r="BN1108" s="25">
        <v>1.770822804474528</v>
      </c>
      <c r="BO1108" s="25">
        <v>1.904879291401381</v>
      </c>
      <c r="BP1108" s="25">
        <v>2.0389359338506008</v>
      </c>
      <c r="BQ1108" s="25">
        <v>2.1729927196665928</v>
      </c>
      <c r="BR1108" s="25">
        <v>2.30704964186023</v>
      </c>
      <c r="BS1108" s="25">
        <v>2.4411067058660749</v>
      </c>
      <c r="BT1108" s="25">
        <v>2.5751638840534579</v>
      </c>
      <c r="BU1108" s="25">
        <v>2.7092211503666279</v>
      </c>
      <c r="BV1108" s="25">
        <v>2.843278455604985</v>
      </c>
      <c r="BW1108" s="25">
        <v>2.9773357715805959</v>
      </c>
      <c r="BY1108" s="17" t="s">
        <v>5868</v>
      </c>
      <c r="BZ1108" s="25">
        <v>1</v>
      </c>
      <c r="CA1108" s="25">
        <v>1</v>
      </c>
      <c r="CB1108" s="25">
        <v>1</v>
      </c>
      <c r="CC1108" s="25">
        <v>1</v>
      </c>
      <c r="CD1108" s="25">
        <v>1</v>
      </c>
      <c r="CE1108" s="25">
        <v>1.251351419104141</v>
      </c>
      <c r="CF1108" s="25">
        <v>1.2513515795827701</v>
      </c>
      <c r="CG1108" s="25">
        <v>1.251351696791831</v>
      </c>
      <c r="CH1108" s="25">
        <v>1.2513517387239901</v>
      </c>
      <c r="CI1108" s="25">
        <v>1.251351786265114</v>
      </c>
      <c r="CJ1108" s="25">
        <v>1.251351809023914</v>
      </c>
      <c r="CK1108" s="25">
        <v>1.25135183528491</v>
      </c>
      <c r="CL1108" s="25">
        <v>1.2513518501878329</v>
      </c>
      <c r="CM1108" s="25">
        <v>1.25135185138359</v>
      </c>
      <c r="CN1108" s="25">
        <v>1.25135184372105</v>
      </c>
      <c r="CO1108" s="25">
        <v>1.251351829340005</v>
      </c>
      <c r="CP1108" s="25">
        <v>1.251351799004548</v>
      </c>
      <c r="CQ1108" s="25">
        <v>1.251351757132934</v>
      </c>
      <c r="CR1108" s="25">
        <v>1.251351700011299</v>
      </c>
      <c r="CS1108" s="25">
        <v>1.2513516337854711</v>
      </c>
      <c r="CU1108" s="17" t="s">
        <v>5869</v>
      </c>
      <c r="CV1108" s="25">
        <v>1</v>
      </c>
      <c r="CW1108" s="25">
        <v>1</v>
      </c>
      <c r="CX1108" s="25">
        <v>1</v>
      </c>
      <c r="CY1108" s="25">
        <v>1</v>
      </c>
      <c r="CZ1108" s="25">
        <v>1</v>
      </c>
      <c r="DA1108" s="25">
        <v>1.50270371432078</v>
      </c>
      <c r="DB1108" s="25">
        <v>1.5027040431482599</v>
      </c>
      <c r="DC1108" s="25">
        <v>1.5027043030678819</v>
      </c>
      <c r="DD1108" s="25">
        <v>1.5027043556507129</v>
      </c>
      <c r="DE1108" s="25">
        <v>1.5027044611499021</v>
      </c>
      <c r="DF1108" s="25">
        <v>1.5027044994937011</v>
      </c>
      <c r="DG1108" s="25">
        <v>1.5027045773119261</v>
      </c>
      <c r="DH1108" s="25">
        <v>1.502704652840597</v>
      </c>
      <c r="DI1108" s="25">
        <v>1.50270469200779</v>
      </c>
      <c r="DJ1108" s="25">
        <v>1.502704717671101</v>
      </c>
      <c r="DK1108" s="25">
        <v>1.5027047446661801</v>
      </c>
      <c r="DL1108" s="25">
        <v>1.5027047238917819</v>
      </c>
      <c r="DM1108" s="25">
        <v>1.502704670083288</v>
      </c>
      <c r="DN1108" s="25">
        <v>1.5027045677506441</v>
      </c>
      <c r="DO1108" s="25">
        <v>1.50270443910356</v>
      </c>
    </row>
    <row r="1109" spans="1:119" x14ac:dyDescent="0.45">
      <c r="A1109" s="16" t="s">
        <v>5870</v>
      </c>
      <c r="B1109" s="3" t="s">
        <v>89</v>
      </c>
      <c r="C1109" s="16"/>
      <c r="H1109" s="3" t="s">
        <v>5871</v>
      </c>
      <c r="I1109" s="3" t="s">
        <v>529</v>
      </c>
      <c r="K1109" s="17" t="s">
        <v>5872</v>
      </c>
      <c r="L1109" s="25">
        <v>1</v>
      </c>
      <c r="M1109" s="25">
        <v>1</v>
      </c>
      <c r="N1109" s="25">
        <v>1</v>
      </c>
      <c r="O1109" s="25">
        <v>1</v>
      </c>
      <c r="P1109" s="25">
        <v>1</v>
      </c>
      <c r="Q1109" s="25">
        <v>1</v>
      </c>
      <c r="R1109" s="25">
        <v>1</v>
      </c>
      <c r="S1109" s="25">
        <v>1</v>
      </c>
      <c r="T1109" s="25">
        <v>1</v>
      </c>
      <c r="U1109" s="25">
        <v>1</v>
      </c>
      <c r="V1109" s="25">
        <v>1</v>
      </c>
      <c r="W1109" s="25">
        <v>1</v>
      </c>
      <c r="X1109" s="25">
        <v>1</v>
      </c>
      <c r="Y1109" s="25">
        <v>1</v>
      </c>
      <c r="Z1109" s="25">
        <v>1</v>
      </c>
      <c r="AA1109" s="25">
        <v>1</v>
      </c>
      <c r="AB1109" s="25">
        <v>1</v>
      </c>
      <c r="AC1109" s="25">
        <v>1</v>
      </c>
      <c r="AD1109" s="25">
        <v>1</v>
      </c>
      <c r="AE1109" s="25">
        <v>1</v>
      </c>
      <c r="AG1109" s="17" t="s">
        <v>5873</v>
      </c>
      <c r="AH1109" s="25">
        <v>1</v>
      </c>
      <c r="AI1109" s="25">
        <v>1</v>
      </c>
      <c r="AJ1109" s="25">
        <v>1</v>
      </c>
      <c r="AK1109" s="25">
        <v>1</v>
      </c>
      <c r="AL1109" s="25">
        <v>1</v>
      </c>
      <c r="AM1109" s="25">
        <v>1.201184722718287</v>
      </c>
      <c r="AN1109" s="25">
        <v>1.201184722718287</v>
      </c>
      <c r="AO1109" s="25">
        <v>1.201184722718287</v>
      </c>
      <c r="AP1109" s="25">
        <v>1.201184722718287</v>
      </c>
      <c r="AQ1109" s="25">
        <v>1.201184722718287</v>
      </c>
      <c r="AR1109" s="25">
        <v>1.201184722718287</v>
      </c>
      <c r="AS1109" s="25">
        <v>1.201184722718287</v>
      </c>
      <c r="AT1109" s="25">
        <v>1.201184722718287</v>
      </c>
      <c r="AU1109" s="25">
        <v>1.201184722718287</v>
      </c>
      <c r="AV1109" s="25">
        <v>1.201184722718287</v>
      </c>
      <c r="AW1109" s="25">
        <v>1.201184722718287</v>
      </c>
      <c r="AX1109" s="25">
        <v>1.201184722718287</v>
      </c>
      <c r="AY1109" s="25">
        <v>1.201184722718287</v>
      </c>
      <c r="AZ1109" s="25">
        <v>1.201184722718287</v>
      </c>
      <c r="BA1109" s="25">
        <v>1.201184722718287</v>
      </c>
      <c r="BC1109" s="17" t="s">
        <v>5874</v>
      </c>
      <c r="BD1109" s="25">
        <v>1</v>
      </c>
      <c r="BE1109" s="25">
        <v>1</v>
      </c>
      <c r="BF1109" s="25">
        <v>1</v>
      </c>
      <c r="BG1109" s="25">
        <v>1</v>
      </c>
      <c r="BH1109" s="25">
        <v>1</v>
      </c>
      <c r="BI1109" s="25">
        <v>1.100592361359144</v>
      </c>
      <c r="BJ1109" s="25">
        <v>1.234715509838002</v>
      </c>
      <c r="BK1109" s="25">
        <v>1.3688386583168599</v>
      </c>
      <c r="BL1109" s="25">
        <v>1.502961806795718</v>
      </c>
      <c r="BM1109" s="25">
        <v>1.6370849552745761</v>
      </c>
      <c r="BN1109" s="25">
        <v>1.771208103753434</v>
      </c>
      <c r="BO1109" s="25">
        <v>1.905331252232292</v>
      </c>
      <c r="BP1109" s="25">
        <v>2.0394544007111488</v>
      </c>
      <c r="BQ1109" s="25">
        <v>2.173577549190008</v>
      </c>
      <c r="BR1109" s="25">
        <v>2.307700697668865</v>
      </c>
      <c r="BS1109" s="25">
        <v>2.4418238461477242</v>
      </c>
      <c r="BT1109" s="25">
        <v>2.5759469946265812</v>
      </c>
      <c r="BU1109" s="25">
        <v>2.710070143105439</v>
      </c>
      <c r="BV1109" s="25">
        <v>2.8441932915842969</v>
      </c>
      <c r="BW1109" s="25">
        <v>2.9783164400631552</v>
      </c>
      <c r="BY1109" s="17" t="s">
        <v>5875</v>
      </c>
      <c r="BZ1109" s="25">
        <v>1</v>
      </c>
      <c r="CA1109" s="25">
        <v>1</v>
      </c>
      <c r="CB1109" s="25">
        <v>1</v>
      </c>
      <c r="CC1109" s="25">
        <v>1</v>
      </c>
      <c r="CD1109" s="25">
        <v>1</v>
      </c>
      <c r="CE1109" s="25">
        <v>1.2514809033978589</v>
      </c>
      <c r="CF1109" s="25">
        <v>1.2514809033978589</v>
      </c>
      <c r="CG1109" s="25">
        <v>1.2514809033978589</v>
      </c>
      <c r="CH1109" s="25">
        <v>1.2514809033978589</v>
      </c>
      <c r="CI1109" s="25">
        <v>1.2514809033978589</v>
      </c>
      <c r="CJ1109" s="25">
        <v>1.2514809033978589</v>
      </c>
      <c r="CK1109" s="25">
        <v>1.2514809033978589</v>
      </c>
      <c r="CL1109" s="25">
        <v>1.2514809033978589</v>
      </c>
      <c r="CM1109" s="25">
        <v>1.2514809033978589</v>
      </c>
      <c r="CN1109" s="25">
        <v>1.2514809033978589</v>
      </c>
      <c r="CO1109" s="25">
        <v>1.2514809033978589</v>
      </c>
      <c r="CP1109" s="25">
        <v>1.2514809033978589</v>
      </c>
      <c r="CQ1109" s="25">
        <v>1.2514809033978589</v>
      </c>
      <c r="CR1109" s="25">
        <v>1.2514809033978589</v>
      </c>
      <c r="CS1109" s="25">
        <v>1.2514809033978589</v>
      </c>
      <c r="CU1109" s="17" t="s">
        <v>5876</v>
      </c>
      <c r="CV1109" s="25">
        <v>1</v>
      </c>
      <c r="CW1109" s="25">
        <v>1</v>
      </c>
      <c r="CX1109" s="25">
        <v>1</v>
      </c>
      <c r="CY1109" s="25">
        <v>1</v>
      </c>
      <c r="CZ1109" s="25">
        <v>1</v>
      </c>
      <c r="DA1109" s="25">
        <v>1.502961806795718</v>
      </c>
      <c r="DB1109" s="25">
        <v>1.502961806795718</v>
      </c>
      <c r="DC1109" s="25">
        <v>1.502961806795718</v>
      </c>
      <c r="DD1109" s="25">
        <v>1.502961806795718</v>
      </c>
      <c r="DE1109" s="25">
        <v>1.502961806795718</v>
      </c>
      <c r="DF1109" s="25">
        <v>1.502961806795718</v>
      </c>
      <c r="DG1109" s="25">
        <v>1.502961806795718</v>
      </c>
      <c r="DH1109" s="25">
        <v>1.5029618067957169</v>
      </c>
      <c r="DI1109" s="25">
        <v>1.5029618067957169</v>
      </c>
      <c r="DJ1109" s="25">
        <v>1.5029618067957169</v>
      </c>
      <c r="DK1109" s="25">
        <v>1.502961806795718</v>
      </c>
      <c r="DL1109" s="25">
        <v>1.5029618067957169</v>
      </c>
      <c r="DM1109" s="25">
        <v>1.502961806795718</v>
      </c>
      <c r="DN1109" s="25">
        <v>1.5029618067957169</v>
      </c>
      <c r="DO1109" s="25">
        <v>1.5029618067957169</v>
      </c>
    </row>
    <row r="1110" spans="1:119" x14ac:dyDescent="0.45">
      <c r="A1110" s="16" t="s">
        <v>5877</v>
      </c>
      <c r="B1110" s="3" t="s">
        <v>89</v>
      </c>
      <c r="C1110" s="16"/>
      <c r="H1110" s="3" t="s">
        <v>5878</v>
      </c>
      <c r="I1110" s="3" t="s">
        <v>529</v>
      </c>
      <c r="K1110" s="17" t="s">
        <v>5879</v>
      </c>
      <c r="L1110" s="25">
        <v>1</v>
      </c>
      <c r="M1110" s="25">
        <v>1</v>
      </c>
      <c r="N1110" s="25">
        <v>1</v>
      </c>
      <c r="O1110" s="25">
        <v>1</v>
      </c>
      <c r="P1110" s="25">
        <v>1</v>
      </c>
      <c r="Q1110" s="25">
        <v>1</v>
      </c>
      <c r="R1110" s="25">
        <v>1</v>
      </c>
      <c r="S1110" s="25">
        <v>1</v>
      </c>
      <c r="T1110" s="25">
        <v>1</v>
      </c>
      <c r="U1110" s="25">
        <v>1</v>
      </c>
      <c r="V1110" s="25">
        <v>1</v>
      </c>
      <c r="W1110" s="25">
        <v>1</v>
      </c>
      <c r="X1110" s="25">
        <v>1</v>
      </c>
      <c r="Y1110" s="25">
        <v>1</v>
      </c>
      <c r="Z1110" s="25">
        <v>1</v>
      </c>
      <c r="AA1110" s="25">
        <v>1</v>
      </c>
      <c r="AB1110" s="25">
        <v>1</v>
      </c>
      <c r="AC1110" s="25">
        <v>1</v>
      </c>
      <c r="AD1110" s="25">
        <v>1</v>
      </c>
      <c r="AE1110" s="25">
        <v>1</v>
      </c>
      <c r="AG1110" s="17" t="s">
        <v>5880</v>
      </c>
      <c r="AH1110" s="25">
        <v>1</v>
      </c>
      <c r="AI1110" s="25">
        <v>1</v>
      </c>
      <c r="AJ1110" s="25">
        <v>1</v>
      </c>
      <c r="AK1110" s="25">
        <v>1</v>
      </c>
      <c r="AL1110" s="25">
        <v>1</v>
      </c>
      <c r="AM1110" s="25">
        <v>1.3478565297745559</v>
      </c>
      <c r="AN1110" s="25">
        <v>1.3478604535264651</v>
      </c>
      <c r="AO1110" s="25">
        <v>1.347864364499654</v>
      </c>
      <c r="AP1110" s="25">
        <v>1.3478682627257359</v>
      </c>
      <c r="AQ1110" s="25">
        <v>1.347872148236319</v>
      </c>
      <c r="AR1110" s="25">
        <v>1.3478760210630041</v>
      </c>
      <c r="AS1110" s="25">
        <v>1.347879881237386</v>
      </c>
      <c r="AT1110" s="25">
        <v>1.3478837287910519</v>
      </c>
      <c r="AU1110" s="25">
        <v>1.3478875637555841</v>
      </c>
      <c r="AV1110" s="25">
        <v>1.347891386162555</v>
      </c>
      <c r="AW1110" s="25">
        <v>1.3478951960435259</v>
      </c>
      <c r="AX1110" s="25">
        <v>1.3478989934300509</v>
      </c>
      <c r="AY1110" s="25">
        <v>1.347902778353675</v>
      </c>
      <c r="AZ1110" s="25">
        <v>1.34790655084593</v>
      </c>
      <c r="BA1110" s="25">
        <v>1.347910310938339</v>
      </c>
      <c r="BC1110" s="17" t="s">
        <v>5881</v>
      </c>
      <c r="BD1110" s="25">
        <v>1</v>
      </c>
      <c r="BE1110" s="25">
        <v>1</v>
      </c>
      <c r="BF1110" s="25">
        <v>1</v>
      </c>
      <c r="BG1110" s="25">
        <v>1</v>
      </c>
      <c r="BH1110" s="25">
        <v>1</v>
      </c>
      <c r="BI1110" s="25">
        <v>1.1745537386273051</v>
      </c>
      <c r="BJ1110" s="25">
        <v>1.4055511564417931</v>
      </c>
      <c r="BK1110" s="25">
        <v>1.6349067671984929</v>
      </c>
      <c r="BL1110" s="25">
        <v>1.8628755405490689</v>
      </c>
      <c r="BM1110" s="25">
        <v>2.089209191626324</v>
      </c>
      <c r="BN1110" s="25">
        <v>2.314161754844009</v>
      </c>
      <c r="BO1110" s="25">
        <v>2.5378084676240622</v>
      </c>
      <c r="BP1110" s="25">
        <v>2.7602134701940071</v>
      </c>
      <c r="BQ1110" s="25">
        <v>2.9814323371822251</v>
      </c>
      <c r="BR1110" s="25">
        <v>3.2015138624869199</v>
      </c>
      <c r="BS1110" s="25">
        <v>3.4205013598529241</v>
      </c>
      <c r="BT1110" s="25">
        <v>3.638433636658112</v>
      </c>
      <c r="BU1110" s="25">
        <v>3.8553457398341071</v>
      </c>
      <c r="BV1110" s="25">
        <v>4.071269538447881</v>
      </c>
      <c r="BW1110" s="25">
        <v>4.286234186400069</v>
      </c>
      <c r="BY1110" s="17" t="s">
        <v>5882</v>
      </c>
      <c r="BZ1110" s="25">
        <v>1</v>
      </c>
      <c r="CA1110" s="25">
        <v>1</v>
      </c>
      <c r="CB1110" s="25">
        <v>1</v>
      </c>
      <c r="CC1110" s="25">
        <v>1</v>
      </c>
      <c r="CD1110" s="25">
        <v>1</v>
      </c>
      <c r="CE1110" s="25">
        <v>1.434085074636628</v>
      </c>
      <c r="CF1110" s="25">
        <v>1.4340897349331709</v>
      </c>
      <c r="CG1110" s="25">
        <v>1.434094380064681</v>
      </c>
      <c r="CH1110" s="25">
        <v>1.4340990100685851</v>
      </c>
      <c r="CI1110" s="25">
        <v>1.4341036249823</v>
      </c>
      <c r="CJ1110" s="25">
        <v>1.4341082248432431</v>
      </c>
      <c r="CK1110" s="25">
        <v>1.43411280968882</v>
      </c>
      <c r="CL1110" s="25">
        <v>1.434117379556429</v>
      </c>
      <c r="CM1110" s="25">
        <v>1.434121934483461</v>
      </c>
      <c r="CN1110" s="25">
        <v>1.434126474507301</v>
      </c>
      <c r="CO1110" s="25">
        <v>1.434130999665318</v>
      </c>
      <c r="CP1110" s="25">
        <v>1.434135509994874</v>
      </c>
      <c r="CQ1110" s="25">
        <v>1.434140005533322</v>
      </c>
      <c r="CR1110" s="25">
        <v>1.434144486317998</v>
      </c>
      <c r="CS1110" s="25">
        <v>1.434148952386229</v>
      </c>
      <c r="CU1110" s="17" t="s">
        <v>5883</v>
      </c>
      <c r="CV1110" s="25">
        <v>1</v>
      </c>
      <c r="CW1110" s="25">
        <v>1</v>
      </c>
      <c r="CX1110" s="25">
        <v>1</v>
      </c>
      <c r="CY1110" s="25">
        <v>1</v>
      </c>
      <c r="CZ1110" s="25">
        <v>1</v>
      </c>
      <c r="DA1110" s="25">
        <v>1.861352064806344</v>
      </c>
      <c r="DB1110" s="25">
        <v>1.8613590451251929</v>
      </c>
      <c r="DC1110" s="25">
        <v>1.8613660027988399</v>
      </c>
      <c r="DD1110" s="25">
        <v>1.861372937882664</v>
      </c>
      <c r="DE1110" s="25">
        <v>1.8613798504320429</v>
      </c>
      <c r="DF1110" s="25">
        <v>1.861386740502349</v>
      </c>
      <c r="DG1110" s="25">
        <v>1.8613936081489479</v>
      </c>
      <c r="DH1110" s="25">
        <v>1.861400453427198</v>
      </c>
      <c r="DI1110" s="25">
        <v>1.861407276392453</v>
      </c>
      <c r="DJ1110" s="25">
        <v>1.8614140771000529</v>
      </c>
      <c r="DK1110" s="25">
        <v>1.8614208556053291</v>
      </c>
      <c r="DL1110" s="25">
        <v>1.8614276119636011</v>
      </c>
      <c r="DM1110" s="25">
        <v>1.861434346230179</v>
      </c>
      <c r="DN1110" s="25">
        <v>1.8614410584603529</v>
      </c>
      <c r="DO1110" s="25">
        <v>1.861447748709405</v>
      </c>
    </row>
    <row r="1111" spans="1:119" x14ac:dyDescent="0.45">
      <c r="A1111" s="16" t="s">
        <v>5884</v>
      </c>
      <c r="B1111" s="3" t="s">
        <v>89</v>
      </c>
      <c r="C1111" s="16"/>
      <c r="H1111" s="3" t="s">
        <v>5885</v>
      </c>
      <c r="I1111" s="3" t="s">
        <v>529</v>
      </c>
      <c r="K1111" s="17" t="s">
        <v>5886</v>
      </c>
      <c r="L1111" s="25">
        <v>1</v>
      </c>
      <c r="M1111" s="25">
        <v>1</v>
      </c>
      <c r="N1111" s="25">
        <v>1</v>
      </c>
      <c r="O1111" s="25">
        <v>1</v>
      </c>
      <c r="P1111" s="25">
        <v>1</v>
      </c>
      <c r="Q1111" s="25">
        <v>1</v>
      </c>
      <c r="R1111" s="25">
        <v>1</v>
      </c>
      <c r="S1111" s="25">
        <v>1</v>
      </c>
      <c r="T1111" s="25">
        <v>1</v>
      </c>
      <c r="U1111" s="25">
        <v>1</v>
      </c>
      <c r="V1111" s="25">
        <v>1</v>
      </c>
      <c r="W1111" s="25">
        <v>1</v>
      </c>
      <c r="X1111" s="25">
        <v>1</v>
      </c>
      <c r="Y1111" s="25">
        <v>1</v>
      </c>
      <c r="Z1111" s="25">
        <v>1</v>
      </c>
      <c r="AA1111" s="25">
        <v>1</v>
      </c>
      <c r="AB1111" s="25">
        <v>1</v>
      </c>
      <c r="AC1111" s="25">
        <v>1</v>
      </c>
      <c r="AD1111" s="25">
        <v>1</v>
      </c>
      <c r="AE1111" s="25">
        <v>1</v>
      </c>
      <c r="AG1111" s="17" t="s">
        <v>5887</v>
      </c>
      <c r="AH1111" s="25">
        <v>1</v>
      </c>
      <c r="AI1111" s="25">
        <v>1</v>
      </c>
      <c r="AJ1111" s="25">
        <v>1</v>
      </c>
      <c r="AK1111" s="25">
        <v>1</v>
      </c>
      <c r="AL1111" s="25">
        <v>1</v>
      </c>
      <c r="AM1111" s="25">
        <v>1</v>
      </c>
      <c r="AN1111" s="25">
        <v>1</v>
      </c>
      <c r="AO1111" s="25">
        <v>1</v>
      </c>
      <c r="AP1111" s="25">
        <v>1</v>
      </c>
      <c r="AQ1111" s="25">
        <v>1</v>
      </c>
      <c r="AR1111" s="25">
        <v>1</v>
      </c>
      <c r="AS1111" s="25">
        <v>1</v>
      </c>
      <c r="AT1111" s="25">
        <v>1</v>
      </c>
      <c r="AU1111" s="25">
        <v>1</v>
      </c>
      <c r="AV1111" s="25">
        <v>1</v>
      </c>
      <c r="AW1111" s="25">
        <v>1</v>
      </c>
      <c r="AX1111" s="25">
        <v>1</v>
      </c>
      <c r="AY1111" s="25">
        <v>1</v>
      </c>
      <c r="AZ1111" s="25">
        <v>1</v>
      </c>
      <c r="BA1111" s="25">
        <v>1</v>
      </c>
      <c r="BC1111" s="17" t="s">
        <v>5888</v>
      </c>
      <c r="BD1111" s="25">
        <v>1</v>
      </c>
      <c r="BE1111" s="25">
        <v>1</v>
      </c>
      <c r="BF1111" s="25">
        <v>1</v>
      </c>
      <c r="BG1111" s="25">
        <v>1</v>
      </c>
      <c r="BH1111" s="25">
        <v>1</v>
      </c>
      <c r="BI1111" s="25">
        <v>1</v>
      </c>
      <c r="BJ1111" s="25">
        <v>1</v>
      </c>
      <c r="BK1111" s="25">
        <v>1</v>
      </c>
      <c r="BL1111" s="25">
        <v>1</v>
      </c>
      <c r="BM1111" s="25">
        <v>1</v>
      </c>
      <c r="BN1111" s="25">
        <v>1</v>
      </c>
      <c r="BO1111" s="25">
        <v>1</v>
      </c>
      <c r="BP1111" s="25">
        <v>1</v>
      </c>
      <c r="BQ1111" s="25">
        <v>1</v>
      </c>
      <c r="BR1111" s="25">
        <v>1</v>
      </c>
      <c r="BS1111" s="25">
        <v>1</v>
      </c>
      <c r="BT1111" s="25">
        <v>1</v>
      </c>
      <c r="BU1111" s="25">
        <v>1</v>
      </c>
      <c r="BV1111" s="25">
        <v>1</v>
      </c>
      <c r="BW1111" s="25">
        <v>1</v>
      </c>
      <c r="BY1111" s="17" t="s">
        <v>5889</v>
      </c>
      <c r="BZ1111" s="25">
        <v>1</v>
      </c>
      <c r="CA1111" s="25">
        <v>1</v>
      </c>
      <c r="CB1111" s="25">
        <v>1</v>
      </c>
      <c r="CC1111" s="25">
        <v>1</v>
      </c>
      <c r="CD1111" s="25">
        <v>1</v>
      </c>
      <c r="CE1111" s="25">
        <v>1</v>
      </c>
      <c r="CF1111" s="25">
        <v>1</v>
      </c>
      <c r="CG1111" s="25">
        <v>1</v>
      </c>
      <c r="CH1111" s="25">
        <v>1</v>
      </c>
      <c r="CI1111" s="25">
        <v>1</v>
      </c>
      <c r="CJ1111" s="25">
        <v>1</v>
      </c>
      <c r="CK1111" s="25">
        <v>1</v>
      </c>
      <c r="CL1111" s="25">
        <v>1</v>
      </c>
      <c r="CM1111" s="25">
        <v>1</v>
      </c>
      <c r="CN1111" s="25">
        <v>1</v>
      </c>
      <c r="CO1111" s="25">
        <v>1</v>
      </c>
      <c r="CP1111" s="25">
        <v>1</v>
      </c>
      <c r="CQ1111" s="25">
        <v>1</v>
      </c>
      <c r="CR1111" s="25">
        <v>1</v>
      </c>
      <c r="CS1111" s="25">
        <v>1</v>
      </c>
      <c r="CU1111" s="17" t="s">
        <v>5890</v>
      </c>
      <c r="CV1111" s="25">
        <v>1</v>
      </c>
      <c r="CW1111" s="25">
        <v>1</v>
      </c>
      <c r="CX1111" s="25">
        <v>1</v>
      </c>
      <c r="CY1111" s="25">
        <v>1</v>
      </c>
      <c r="CZ1111" s="25">
        <v>1</v>
      </c>
      <c r="DA1111" s="25">
        <v>1</v>
      </c>
      <c r="DB1111" s="25">
        <v>1</v>
      </c>
      <c r="DC1111" s="25">
        <v>1</v>
      </c>
      <c r="DD1111" s="25">
        <v>1</v>
      </c>
      <c r="DE1111" s="25">
        <v>1</v>
      </c>
      <c r="DF1111" s="25">
        <v>1</v>
      </c>
      <c r="DG1111" s="25">
        <v>1</v>
      </c>
      <c r="DH1111" s="25">
        <v>1</v>
      </c>
      <c r="DI1111" s="25">
        <v>1</v>
      </c>
      <c r="DJ1111" s="25">
        <v>1</v>
      </c>
      <c r="DK1111" s="25">
        <v>1</v>
      </c>
      <c r="DL1111" s="25">
        <v>1</v>
      </c>
      <c r="DM1111" s="25">
        <v>1</v>
      </c>
      <c r="DN1111" s="25">
        <v>1</v>
      </c>
      <c r="DO1111" s="25">
        <v>1</v>
      </c>
    </row>
    <row r="1112" spans="1:119" x14ac:dyDescent="0.45">
      <c r="A1112" s="16" t="s">
        <v>5891</v>
      </c>
      <c r="B1112" s="3" t="s">
        <v>89</v>
      </c>
      <c r="C1112" s="16"/>
      <c r="H1112" s="3" t="s">
        <v>5892</v>
      </c>
      <c r="I1112" s="3" t="s">
        <v>529</v>
      </c>
      <c r="K1112" s="17" t="s">
        <v>5893</v>
      </c>
      <c r="L1112" s="25">
        <v>1</v>
      </c>
      <c r="M1112" s="25">
        <v>1</v>
      </c>
      <c r="N1112" s="25">
        <v>1</v>
      </c>
      <c r="O1112" s="25">
        <v>1</v>
      </c>
      <c r="P1112" s="25">
        <v>1</v>
      </c>
      <c r="Q1112" s="25">
        <v>1</v>
      </c>
      <c r="R1112" s="25">
        <v>1</v>
      </c>
      <c r="S1112" s="25">
        <v>1</v>
      </c>
      <c r="T1112" s="25">
        <v>1</v>
      </c>
      <c r="U1112" s="25">
        <v>1</v>
      </c>
      <c r="V1112" s="25">
        <v>1</v>
      </c>
      <c r="W1112" s="25">
        <v>1</v>
      </c>
      <c r="X1112" s="25">
        <v>1</v>
      </c>
      <c r="Y1112" s="25">
        <v>1</v>
      </c>
      <c r="Z1112" s="25">
        <v>1</v>
      </c>
      <c r="AA1112" s="25">
        <v>1</v>
      </c>
      <c r="AB1112" s="25">
        <v>1</v>
      </c>
      <c r="AC1112" s="25">
        <v>1</v>
      </c>
      <c r="AD1112" s="25">
        <v>1</v>
      </c>
      <c r="AE1112" s="25">
        <v>1</v>
      </c>
      <c r="AG1112" s="17" t="s">
        <v>5894</v>
      </c>
      <c r="AH1112" s="25">
        <v>1</v>
      </c>
      <c r="AI1112" s="25">
        <v>1</v>
      </c>
      <c r="AJ1112" s="25">
        <v>1</v>
      </c>
      <c r="AK1112" s="25">
        <v>1.000032125172222</v>
      </c>
      <c r="AL1112" s="25">
        <v>1.000080677313145</v>
      </c>
      <c r="AM1112" s="25">
        <v>1.1874591744789471</v>
      </c>
      <c r="AN1112" s="25">
        <v>1.1824596449322651</v>
      </c>
      <c r="AO1112" s="25">
        <v>1.19700630059997</v>
      </c>
      <c r="AP1112" s="25">
        <v>1.1665313847010499</v>
      </c>
      <c r="AQ1112" s="25">
        <v>1.157174002905456</v>
      </c>
      <c r="AR1112" s="25">
        <v>1.150284523573037</v>
      </c>
      <c r="AS1112" s="25">
        <v>1.1472598404534831</v>
      </c>
      <c r="AT1112" s="25">
        <v>1.143305368938589</v>
      </c>
      <c r="AU1112" s="25">
        <v>1.139667299432741</v>
      </c>
      <c r="AV1112" s="25">
        <v>1.136634302845493</v>
      </c>
      <c r="AW1112" s="25">
        <v>1.133856101478331</v>
      </c>
      <c r="AX1112" s="25">
        <v>1.13123776968222</v>
      </c>
      <c r="AY1112" s="25">
        <v>1.128847745562876</v>
      </c>
      <c r="AZ1112" s="25">
        <v>1.1266215597369891</v>
      </c>
      <c r="BA1112" s="25">
        <v>1.124597330518071</v>
      </c>
      <c r="BC1112" s="17" t="s">
        <v>5895</v>
      </c>
      <c r="BD1112" s="25">
        <v>1</v>
      </c>
      <c r="BE1112" s="25">
        <v>1</v>
      </c>
      <c r="BF1112" s="25">
        <v>1</v>
      </c>
      <c r="BG1112" s="25">
        <v>1.000107076385728</v>
      </c>
      <c r="BH1112" s="25">
        <v>1.000272140260188</v>
      </c>
      <c r="BI1112" s="25">
        <v>1.093951442242437</v>
      </c>
      <c r="BJ1112" s="25">
        <v>1.2141836929038961</v>
      </c>
      <c r="BK1112" s="25">
        <v>1.325296438582912</v>
      </c>
      <c r="BL1112" s="25">
        <v>1.4027447292746049</v>
      </c>
      <c r="BM1112" s="25">
        <v>1.4823471658958749</v>
      </c>
      <c r="BN1112" s="25">
        <v>1.5922221246501971</v>
      </c>
      <c r="BO1112" s="25">
        <v>1.7005361098382299</v>
      </c>
      <c r="BP1112" s="25">
        <v>1.7906152725084801</v>
      </c>
      <c r="BQ1112" s="25">
        <v>1.8779830254920911</v>
      </c>
      <c r="BR1112" s="25">
        <v>1.943771332997817</v>
      </c>
      <c r="BS1112" s="25">
        <v>2.00979067642827</v>
      </c>
      <c r="BT1112" s="25">
        <v>2.0513532593944079</v>
      </c>
      <c r="BU1112" s="25">
        <v>2.0997370753096471</v>
      </c>
      <c r="BV1112" s="25">
        <v>2.1171853894973478</v>
      </c>
      <c r="BW1112" s="25">
        <v>2.1563991197430381</v>
      </c>
      <c r="BY1112" s="17" t="s">
        <v>5896</v>
      </c>
      <c r="BZ1112" s="25">
        <v>1</v>
      </c>
      <c r="CA1112" s="25">
        <v>1</v>
      </c>
      <c r="CB1112" s="25">
        <v>1</v>
      </c>
      <c r="CC1112" s="25">
        <v>1.0001838971464729</v>
      </c>
      <c r="CD1112" s="25">
        <v>1.0004658915990119</v>
      </c>
      <c r="CE1112" s="25">
        <v>1.0006499869304319</v>
      </c>
      <c r="CF1112" s="25">
        <v>1.0008376812848849</v>
      </c>
      <c r="CG1112" s="25">
        <v>1.0010261360775721</v>
      </c>
      <c r="CH1112" s="25">
        <v>1.001057418337455</v>
      </c>
      <c r="CI1112" s="25">
        <v>1.001364844910104</v>
      </c>
      <c r="CJ1112" s="25">
        <v>0.99968072563493815</v>
      </c>
      <c r="CK1112" s="25">
        <v>0.99731169305305489</v>
      </c>
      <c r="CL1112" s="25">
        <v>0.99568632984348504</v>
      </c>
      <c r="CM1112" s="25">
        <v>0.98992812171318567</v>
      </c>
      <c r="CN1112" s="25">
        <v>0.98554444912025663</v>
      </c>
      <c r="CO1112" s="25">
        <v>0.98116963695350368</v>
      </c>
      <c r="CP1112" s="25">
        <v>0.97650490699346582</v>
      </c>
      <c r="CQ1112" s="25">
        <v>0.97262986758513748</v>
      </c>
      <c r="CR1112" s="25">
        <v>0.969131865257013</v>
      </c>
      <c r="CS1112" s="25">
        <v>0.96578635263142332</v>
      </c>
      <c r="CU1112" s="17" t="s">
        <v>5897</v>
      </c>
      <c r="CV1112" s="25">
        <v>1</v>
      </c>
      <c r="CW1112" s="25">
        <v>1</v>
      </c>
      <c r="CX1112" s="25">
        <v>1</v>
      </c>
      <c r="CY1112" s="25">
        <v>1.000075004935302</v>
      </c>
      <c r="CZ1112" s="25">
        <v>1.000189637147116</v>
      </c>
      <c r="DA1112" s="25">
        <v>1.46834439101982</v>
      </c>
      <c r="DB1112" s="25">
        <v>1.44989910030213</v>
      </c>
      <c r="DC1112" s="25">
        <v>1.484970183544793</v>
      </c>
      <c r="DD1112" s="25">
        <v>1.4375284690680381</v>
      </c>
      <c r="DE1112" s="25">
        <v>1.3961502628082689</v>
      </c>
      <c r="DF1112" s="25">
        <v>1.3775373610664301</v>
      </c>
      <c r="DG1112" s="25">
        <v>1.3572104712501201</v>
      </c>
      <c r="DH1112" s="25">
        <v>1.329123750878302</v>
      </c>
      <c r="DI1112" s="25">
        <v>1.30478572957589</v>
      </c>
      <c r="DJ1112" s="25">
        <v>1.2803578231503849</v>
      </c>
      <c r="DK1112" s="25">
        <v>1.2596890773248981</v>
      </c>
      <c r="DL1112" s="25">
        <v>1.239007059604192</v>
      </c>
      <c r="DM1112" s="25">
        <v>1.2221476875899471</v>
      </c>
      <c r="DN1112" s="25">
        <v>1.205654732380314</v>
      </c>
      <c r="DO1112" s="25">
        <v>1.1923504719299991</v>
      </c>
    </row>
    <row r="1113" spans="1:119" x14ac:dyDescent="0.45">
      <c r="A1113" s="16" t="s">
        <v>5898</v>
      </c>
      <c r="B1113" s="3" t="s">
        <v>89</v>
      </c>
      <c r="C1113" s="16"/>
      <c r="H1113" s="3" t="s">
        <v>5899</v>
      </c>
      <c r="I1113" s="3" t="s">
        <v>529</v>
      </c>
      <c r="K1113" s="17" t="s">
        <v>5900</v>
      </c>
      <c r="L1113" s="25">
        <v>1</v>
      </c>
      <c r="M1113" s="25">
        <v>1</v>
      </c>
      <c r="N1113" s="25">
        <v>1</v>
      </c>
      <c r="O1113" s="25">
        <v>1</v>
      </c>
      <c r="P1113" s="25">
        <v>1</v>
      </c>
      <c r="Q1113" s="25">
        <v>1</v>
      </c>
      <c r="R1113" s="25">
        <v>1</v>
      </c>
      <c r="S1113" s="25">
        <v>1</v>
      </c>
      <c r="T1113" s="25">
        <v>1</v>
      </c>
      <c r="U1113" s="25">
        <v>1</v>
      </c>
      <c r="V1113" s="25">
        <v>1</v>
      </c>
      <c r="W1113" s="25">
        <v>1</v>
      </c>
      <c r="X1113" s="25">
        <v>1</v>
      </c>
      <c r="Y1113" s="25">
        <v>1</v>
      </c>
      <c r="Z1113" s="25">
        <v>1</v>
      </c>
      <c r="AA1113" s="25">
        <v>1</v>
      </c>
      <c r="AB1113" s="25">
        <v>1</v>
      </c>
      <c r="AC1113" s="25">
        <v>1</v>
      </c>
      <c r="AD1113" s="25">
        <v>1</v>
      </c>
      <c r="AE1113" s="25">
        <v>1</v>
      </c>
      <c r="AG1113" s="17" t="s">
        <v>5901</v>
      </c>
      <c r="AH1113" s="25">
        <v>1</v>
      </c>
      <c r="AI1113" s="25">
        <v>1</v>
      </c>
      <c r="AJ1113" s="25">
        <v>1</v>
      </c>
      <c r="AK1113" s="25">
        <v>1.0000128682473559</v>
      </c>
      <c r="AL1113" s="25">
        <v>1.0000328889314549</v>
      </c>
      <c r="AM1113" s="25">
        <v>1.199606678569068</v>
      </c>
      <c r="AN1113" s="25">
        <v>1.197789127910597</v>
      </c>
      <c r="AO1113" s="25">
        <v>1.2039267323760321</v>
      </c>
      <c r="AP1113" s="25">
        <v>1.1910432084102991</v>
      </c>
      <c r="AQ1113" s="25">
        <v>1.186917344188013</v>
      </c>
      <c r="AR1113" s="25">
        <v>1.184335752537008</v>
      </c>
      <c r="AS1113" s="25">
        <v>1.183095163749585</v>
      </c>
      <c r="AT1113" s="25">
        <v>1.181488413782334</v>
      </c>
      <c r="AU1113" s="25">
        <v>1.179995594739913</v>
      </c>
      <c r="AV1113" s="25">
        <v>1.1787490761067441</v>
      </c>
      <c r="AW1113" s="25">
        <v>1.1775993397694819</v>
      </c>
      <c r="AX1113" s="25">
        <v>1.176508655841175</v>
      </c>
      <c r="AY1113" s="25">
        <v>1.175507855101517</v>
      </c>
      <c r="AZ1113" s="25">
        <v>1.1745704943128861</v>
      </c>
      <c r="BA1113" s="25">
        <v>1.17371351630934</v>
      </c>
      <c r="BC1113" s="17" t="s">
        <v>5902</v>
      </c>
      <c r="BD1113" s="25">
        <v>1</v>
      </c>
      <c r="BE1113" s="25">
        <v>1</v>
      </c>
      <c r="BF1113" s="25">
        <v>1</v>
      </c>
      <c r="BG1113" s="25">
        <v>1.0000428911449279</v>
      </c>
      <c r="BH1113" s="25">
        <v>1.000110937067038</v>
      </c>
      <c r="BI1113" s="25">
        <v>1.0998953518710239</v>
      </c>
      <c r="BJ1113" s="25">
        <v>1.231205145748927</v>
      </c>
      <c r="BK1113" s="25">
        <v>1.3586230449151571</v>
      </c>
      <c r="BL1113" s="25">
        <v>1.4716728861031929</v>
      </c>
      <c r="BM1113" s="25">
        <v>1.5851535907315479</v>
      </c>
      <c r="BN1113" s="25">
        <v>1.7133817117876871</v>
      </c>
      <c r="BO1113" s="25">
        <v>1.8400586144071911</v>
      </c>
      <c r="BP1113" s="25">
        <v>1.95918337495004</v>
      </c>
      <c r="BQ1113" s="25">
        <v>2.077121007954243</v>
      </c>
      <c r="BR1113" s="25">
        <v>2.1858263016991142</v>
      </c>
      <c r="BS1113" s="25">
        <v>2.294598808803042</v>
      </c>
      <c r="BT1113" s="25">
        <v>2.3928146851682399</v>
      </c>
      <c r="BU1113" s="25">
        <v>2.4938886558042208</v>
      </c>
      <c r="BV1113" s="25">
        <v>2.581532180661938</v>
      </c>
      <c r="BW1113" s="25">
        <v>2.6784581193424679</v>
      </c>
      <c r="BY1113" s="17" t="s">
        <v>5903</v>
      </c>
      <c r="BZ1113" s="25">
        <v>1</v>
      </c>
      <c r="CA1113" s="25">
        <v>1</v>
      </c>
      <c r="CB1113" s="25">
        <v>1</v>
      </c>
      <c r="CC1113" s="25">
        <v>1.000073662919303</v>
      </c>
      <c r="CD1113" s="25">
        <v>1.000189920877705</v>
      </c>
      <c r="CE1113" s="25">
        <v>1.1385986070320351</v>
      </c>
      <c r="CF1113" s="25">
        <v>1.1380434400453241</v>
      </c>
      <c r="CG1113" s="25">
        <v>1.1366410420290189</v>
      </c>
      <c r="CH1113" s="25">
        <v>1.135680368207324</v>
      </c>
      <c r="CI1113" s="25">
        <v>1.134701065988593</v>
      </c>
      <c r="CJ1113" s="25">
        <v>1.135169309362051</v>
      </c>
      <c r="CK1113" s="25">
        <v>1.1340517232135341</v>
      </c>
      <c r="CL1113" s="25">
        <v>1.1333741995557349</v>
      </c>
      <c r="CM1113" s="25">
        <v>1.1308319760804499</v>
      </c>
      <c r="CN1113" s="25">
        <v>1.1288423081573531</v>
      </c>
      <c r="CO1113" s="25">
        <v>1.1268300288890489</v>
      </c>
      <c r="CP1113" s="25">
        <v>1.1246695009645049</v>
      </c>
      <c r="CQ1113" s="25">
        <v>1.1228298253706119</v>
      </c>
      <c r="CR1113" s="25">
        <v>1.1211380380697711</v>
      </c>
      <c r="CS1113" s="25">
        <v>1.119499569499246</v>
      </c>
      <c r="CU1113" s="17" t="s">
        <v>5904</v>
      </c>
      <c r="CV1113" s="25">
        <v>1</v>
      </c>
      <c r="CW1113" s="25">
        <v>1</v>
      </c>
      <c r="CX1113" s="25">
        <v>1</v>
      </c>
      <c r="CY1113" s="25">
        <v>1.000030044416689</v>
      </c>
      <c r="CZ1113" s="25">
        <v>1.0000773060666861</v>
      </c>
      <c r="DA1113" s="25">
        <v>1.4988915196145081</v>
      </c>
      <c r="DB1113" s="25">
        <v>1.491873904656043</v>
      </c>
      <c r="DC1113" s="25">
        <v>1.506624479418722</v>
      </c>
      <c r="DD1113" s="25">
        <v>1.4866454555317099</v>
      </c>
      <c r="DE1113" s="25">
        <v>1.468694934701626</v>
      </c>
      <c r="DF1113" s="25">
        <v>1.4616161339836571</v>
      </c>
      <c r="DG1113" s="25">
        <v>1.4530611108122189</v>
      </c>
      <c r="DH1113" s="25">
        <v>1.441250796880154</v>
      </c>
      <c r="DI1113" s="25">
        <v>1.4309523821783141</v>
      </c>
      <c r="DJ1113" s="25">
        <v>1.420563201584025</v>
      </c>
      <c r="DK1113" s="25">
        <v>1.41173046903369</v>
      </c>
      <c r="DL1113" s="25">
        <v>1.402845092758831</v>
      </c>
      <c r="DM1113" s="25">
        <v>1.3955621778087921</v>
      </c>
      <c r="DN1113" s="25">
        <v>1.3884002175850769</v>
      </c>
      <c r="DO1113" s="25">
        <v>1.3825815447974379</v>
      </c>
    </row>
    <row r="1114" spans="1:119" x14ac:dyDescent="0.45">
      <c r="A1114" s="16" t="s">
        <v>5905</v>
      </c>
      <c r="B1114" s="3" t="s">
        <v>89</v>
      </c>
      <c r="C1114" s="16"/>
      <c r="H1114" s="3" t="s">
        <v>5906</v>
      </c>
      <c r="I1114" s="3" t="s">
        <v>5907</v>
      </c>
      <c r="K1114" s="17" t="s">
        <v>5908</v>
      </c>
      <c r="L1114" s="18">
        <v>1</v>
      </c>
      <c r="M1114" s="18">
        <v>1</v>
      </c>
      <c r="N1114" s="18">
        <v>1</v>
      </c>
      <c r="O1114" s="18">
        <v>1</v>
      </c>
      <c r="P1114" s="18">
        <v>1</v>
      </c>
      <c r="Q1114" s="18">
        <v>1</v>
      </c>
      <c r="R1114" s="18">
        <v>1</v>
      </c>
      <c r="S1114" s="18">
        <v>1</v>
      </c>
      <c r="T1114" s="18">
        <v>1</v>
      </c>
      <c r="U1114" s="18">
        <v>1</v>
      </c>
      <c r="V1114" s="18">
        <v>1</v>
      </c>
      <c r="W1114" s="18">
        <v>1</v>
      </c>
      <c r="X1114" s="18">
        <v>1</v>
      </c>
      <c r="Y1114" s="18">
        <v>1</v>
      </c>
      <c r="Z1114" s="18">
        <v>1</v>
      </c>
      <c r="AA1114" s="18">
        <v>1</v>
      </c>
      <c r="AB1114" s="18">
        <v>1</v>
      </c>
      <c r="AC1114" s="18">
        <v>1</v>
      </c>
      <c r="AD1114" s="18">
        <v>1</v>
      </c>
      <c r="AE1114" s="18">
        <v>1</v>
      </c>
      <c r="AG1114" s="17" t="s">
        <v>5909</v>
      </c>
      <c r="AH1114" s="18">
        <v>1</v>
      </c>
      <c r="AI1114" s="18">
        <v>1</v>
      </c>
      <c r="AJ1114" s="18">
        <v>1</v>
      </c>
      <c r="AK1114" s="18">
        <v>1</v>
      </c>
      <c r="AL1114" s="18">
        <v>1</v>
      </c>
      <c r="AM1114" s="18">
        <v>1</v>
      </c>
      <c r="AN1114" s="18">
        <v>1</v>
      </c>
      <c r="AO1114" s="18">
        <v>1</v>
      </c>
      <c r="AP1114" s="18">
        <v>1</v>
      </c>
      <c r="AQ1114" s="18">
        <v>1</v>
      </c>
      <c r="AR1114" s="18">
        <v>1</v>
      </c>
      <c r="AS1114" s="18">
        <v>1</v>
      </c>
      <c r="AT1114" s="18">
        <v>1</v>
      </c>
      <c r="AU1114" s="18">
        <v>1</v>
      </c>
      <c r="AV1114" s="18">
        <v>1</v>
      </c>
      <c r="AW1114" s="18">
        <v>1</v>
      </c>
      <c r="AX1114" s="18">
        <v>1</v>
      </c>
      <c r="AY1114" s="18">
        <v>1</v>
      </c>
      <c r="AZ1114" s="18">
        <v>1</v>
      </c>
      <c r="BA1114" s="18">
        <v>1</v>
      </c>
      <c r="BC1114" s="17" t="s">
        <v>5910</v>
      </c>
      <c r="BD1114" s="18">
        <v>1</v>
      </c>
      <c r="BE1114" s="18">
        <v>1</v>
      </c>
      <c r="BF1114" s="18">
        <v>1</v>
      </c>
      <c r="BG1114" s="18">
        <v>1</v>
      </c>
      <c r="BH1114" s="18">
        <v>1</v>
      </c>
      <c r="BI1114" s="18">
        <v>1</v>
      </c>
      <c r="BJ1114" s="18">
        <v>1</v>
      </c>
      <c r="BK1114" s="18">
        <v>1</v>
      </c>
      <c r="BL1114" s="18">
        <v>1</v>
      </c>
      <c r="BM1114" s="18">
        <v>1</v>
      </c>
      <c r="BN1114" s="18">
        <v>1</v>
      </c>
      <c r="BO1114" s="18">
        <v>1</v>
      </c>
      <c r="BP1114" s="18">
        <v>1</v>
      </c>
      <c r="BQ1114" s="18">
        <v>1</v>
      </c>
      <c r="BR1114" s="18">
        <v>1</v>
      </c>
      <c r="BS1114" s="18">
        <v>1</v>
      </c>
      <c r="BT1114" s="18">
        <v>1</v>
      </c>
      <c r="BU1114" s="18">
        <v>1</v>
      </c>
      <c r="BV1114" s="18">
        <v>1</v>
      </c>
      <c r="BW1114" s="18">
        <v>1</v>
      </c>
      <c r="BY1114" s="17" t="s">
        <v>5911</v>
      </c>
      <c r="BZ1114" s="18">
        <v>1</v>
      </c>
      <c r="CA1114" s="18">
        <v>1</v>
      </c>
      <c r="CB1114" s="18">
        <v>1</v>
      </c>
      <c r="CC1114" s="18">
        <v>1</v>
      </c>
      <c r="CD1114" s="18">
        <v>1</v>
      </c>
      <c r="CE1114" s="18">
        <v>1</v>
      </c>
      <c r="CF1114" s="18">
        <v>1</v>
      </c>
      <c r="CG1114" s="18">
        <v>1</v>
      </c>
      <c r="CH1114" s="18">
        <v>1</v>
      </c>
      <c r="CI1114" s="18">
        <v>1</v>
      </c>
      <c r="CJ1114" s="18">
        <v>1</v>
      </c>
      <c r="CK1114" s="18">
        <v>1</v>
      </c>
      <c r="CL1114" s="18">
        <v>1</v>
      </c>
      <c r="CM1114" s="18">
        <v>1</v>
      </c>
      <c r="CN1114" s="18">
        <v>1</v>
      </c>
      <c r="CO1114" s="18">
        <v>1</v>
      </c>
      <c r="CP1114" s="18">
        <v>1</v>
      </c>
      <c r="CQ1114" s="18">
        <v>1</v>
      </c>
      <c r="CR1114" s="18">
        <v>1</v>
      </c>
      <c r="CS1114" s="18">
        <v>1</v>
      </c>
      <c r="CU1114" s="17" t="s">
        <v>5912</v>
      </c>
      <c r="CV1114" s="18">
        <v>1</v>
      </c>
      <c r="CW1114" s="18">
        <v>1</v>
      </c>
      <c r="CX1114" s="18">
        <v>1</v>
      </c>
      <c r="CY1114" s="18">
        <v>1</v>
      </c>
      <c r="CZ1114" s="18">
        <v>1</v>
      </c>
      <c r="DA1114" s="18">
        <v>1</v>
      </c>
      <c r="DB1114" s="18">
        <v>1</v>
      </c>
      <c r="DC1114" s="18">
        <v>1</v>
      </c>
      <c r="DD1114" s="18">
        <v>1</v>
      </c>
      <c r="DE1114" s="18">
        <v>1</v>
      </c>
      <c r="DF1114" s="18">
        <v>1</v>
      </c>
      <c r="DG1114" s="18">
        <v>1</v>
      </c>
      <c r="DH1114" s="18">
        <v>1</v>
      </c>
      <c r="DI1114" s="18">
        <v>1</v>
      </c>
      <c r="DJ1114" s="18">
        <v>1</v>
      </c>
      <c r="DK1114" s="18">
        <v>1</v>
      </c>
      <c r="DL1114" s="18">
        <v>1</v>
      </c>
      <c r="DM1114" s="18">
        <v>1</v>
      </c>
      <c r="DN1114" s="18">
        <v>1</v>
      </c>
      <c r="DO1114" s="18">
        <v>1</v>
      </c>
    </row>
    <row r="1115" spans="1:119" x14ac:dyDescent="0.45">
      <c r="A1115" s="16" t="s">
        <v>5913</v>
      </c>
      <c r="B1115" s="3" t="s">
        <v>89</v>
      </c>
      <c r="C1115" s="16"/>
      <c r="H1115" s="3" t="s">
        <v>5914</v>
      </c>
      <c r="I1115" s="3" t="s">
        <v>5907</v>
      </c>
      <c r="K1115" s="17" t="s">
        <v>5915</v>
      </c>
      <c r="L1115" s="18">
        <v>1</v>
      </c>
      <c r="M1115" s="18">
        <v>1</v>
      </c>
      <c r="N1115" s="18">
        <v>1</v>
      </c>
      <c r="O1115" s="18">
        <v>1</v>
      </c>
      <c r="P1115" s="18">
        <v>1</v>
      </c>
      <c r="Q1115" s="18">
        <v>1</v>
      </c>
      <c r="R1115" s="18">
        <v>1</v>
      </c>
      <c r="S1115" s="18">
        <v>1</v>
      </c>
      <c r="T1115" s="18">
        <v>1</v>
      </c>
      <c r="U1115" s="18">
        <v>1</v>
      </c>
      <c r="V1115" s="18">
        <v>1</v>
      </c>
      <c r="W1115" s="18">
        <v>1</v>
      </c>
      <c r="X1115" s="18">
        <v>1</v>
      </c>
      <c r="Y1115" s="18">
        <v>1</v>
      </c>
      <c r="Z1115" s="18">
        <v>1</v>
      </c>
      <c r="AA1115" s="18">
        <v>1</v>
      </c>
      <c r="AB1115" s="18">
        <v>1</v>
      </c>
      <c r="AC1115" s="18">
        <v>1</v>
      </c>
      <c r="AD1115" s="18">
        <v>1</v>
      </c>
      <c r="AE1115" s="18">
        <v>1</v>
      </c>
      <c r="AG1115" s="17" t="s">
        <v>5916</v>
      </c>
      <c r="AH1115" s="18">
        <v>1</v>
      </c>
      <c r="AI1115" s="18">
        <v>1</v>
      </c>
      <c r="AJ1115" s="18">
        <v>1</v>
      </c>
      <c r="AK1115" s="18">
        <v>1</v>
      </c>
      <c r="AL1115" s="18">
        <v>1</v>
      </c>
      <c r="AM1115" s="18">
        <v>1</v>
      </c>
      <c r="AN1115" s="18">
        <v>1</v>
      </c>
      <c r="AO1115" s="18">
        <v>1</v>
      </c>
      <c r="AP1115" s="18">
        <v>1</v>
      </c>
      <c r="AQ1115" s="18">
        <v>1</v>
      </c>
      <c r="AR1115" s="18">
        <v>1</v>
      </c>
      <c r="AS1115" s="18">
        <v>1</v>
      </c>
      <c r="AT1115" s="18">
        <v>1</v>
      </c>
      <c r="AU1115" s="18">
        <v>1</v>
      </c>
      <c r="AV1115" s="18">
        <v>1</v>
      </c>
      <c r="AW1115" s="18">
        <v>1</v>
      </c>
      <c r="AX1115" s="18">
        <v>1</v>
      </c>
      <c r="AY1115" s="18">
        <v>1</v>
      </c>
      <c r="AZ1115" s="18">
        <v>1</v>
      </c>
      <c r="BA1115" s="18">
        <v>1</v>
      </c>
      <c r="BC1115" s="17" t="s">
        <v>5917</v>
      </c>
      <c r="BD1115" s="18">
        <v>1</v>
      </c>
      <c r="BE1115" s="18">
        <v>1</v>
      </c>
      <c r="BF1115" s="18">
        <v>1</v>
      </c>
      <c r="BG1115" s="18">
        <v>1</v>
      </c>
      <c r="BH1115" s="18">
        <v>1</v>
      </c>
      <c r="BI1115" s="18">
        <v>1</v>
      </c>
      <c r="BJ1115" s="18">
        <v>1</v>
      </c>
      <c r="BK1115" s="18">
        <v>1</v>
      </c>
      <c r="BL1115" s="18">
        <v>1</v>
      </c>
      <c r="BM1115" s="18">
        <v>1</v>
      </c>
      <c r="BN1115" s="18">
        <v>1</v>
      </c>
      <c r="BO1115" s="18">
        <v>1</v>
      </c>
      <c r="BP1115" s="18">
        <v>1</v>
      </c>
      <c r="BQ1115" s="18">
        <v>1</v>
      </c>
      <c r="BR1115" s="18">
        <v>1</v>
      </c>
      <c r="BS1115" s="18">
        <v>1</v>
      </c>
      <c r="BT1115" s="18">
        <v>1</v>
      </c>
      <c r="BU1115" s="18">
        <v>1</v>
      </c>
      <c r="BV1115" s="18">
        <v>1</v>
      </c>
      <c r="BW1115" s="18">
        <v>1</v>
      </c>
      <c r="BY1115" s="17" t="s">
        <v>5918</v>
      </c>
      <c r="BZ1115" s="18">
        <v>1</v>
      </c>
      <c r="CA1115" s="18">
        <v>1</v>
      </c>
      <c r="CB1115" s="18">
        <v>1</v>
      </c>
      <c r="CC1115" s="18">
        <v>1</v>
      </c>
      <c r="CD1115" s="18">
        <v>1</v>
      </c>
      <c r="CE1115" s="18">
        <v>1</v>
      </c>
      <c r="CF1115" s="18">
        <v>1</v>
      </c>
      <c r="CG1115" s="18">
        <v>1</v>
      </c>
      <c r="CH1115" s="18">
        <v>1</v>
      </c>
      <c r="CI1115" s="18">
        <v>1</v>
      </c>
      <c r="CJ1115" s="18">
        <v>1</v>
      </c>
      <c r="CK1115" s="18">
        <v>1</v>
      </c>
      <c r="CL1115" s="18">
        <v>1</v>
      </c>
      <c r="CM1115" s="18">
        <v>1</v>
      </c>
      <c r="CN1115" s="18">
        <v>1</v>
      </c>
      <c r="CO1115" s="18">
        <v>1</v>
      </c>
      <c r="CP1115" s="18">
        <v>1</v>
      </c>
      <c r="CQ1115" s="18">
        <v>1</v>
      </c>
      <c r="CR1115" s="18">
        <v>1</v>
      </c>
      <c r="CS1115" s="18">
        <v>1</v>
      </c>
      <c r="CU1115" s="17" t="s">
        <v>5919</v>
      </c>
      <c r="CV1115" s="18">
        <v>1</v>
      </c>
      <c r="CW1115" s="18">
        <v>1</v>
      </c>
      <c r="CX1115" s="18">
        <v>1</v>
      </c>
      <c r="CY1115" s="18">
        <v>1</v>
      </c>
      <c r="CZ1115" s="18">
        <v>1</v>
      </c>
      <c r="DA1115" s="18">
        <v>1</v>
      </c>
      <c r="DB1115" s="18">
        <v>1</v>
      </c>
      <c r="DC1115" s="18">
        <v>1</v>
      </c>
      <c r="DD1115" s="18">
        <v>1</v>
      </c>
      <c r="DE1115" s="18">
        <v>1</v>
      </c>
      <c r="DF1115" s="18">
        <v>1</v>
      </c>
      <c r="DG1115" s="18">
        <v>1</v>
      </c>
      <c r="DH1115" s="18">
        <v>1</v>
      </c>
      <c r="DI1115" s="18">
        <v>1</v>
      </c>
      <c r="DJ1115" s="18">
        <v>1</v>
      </c>
      <c r="DK1115" s="18">
        <v>1</v>
      </c>
      <c r="DL1115" s="18">
        <v>1</v>
      </c>
      <c r="DM1115" s="18">
        <v>1</v>
      </c>
      <c r="DN1115" s="18">
        <v>1</v>
      </c>
      <c r="DO1115" s="18">
        <v>1</v>
      </c>
    </row>
    <row r="1116" spans="1:119" x14ac:dyDescent="0.45">
      <c r="A1116" s="16" t="s">
        <v>5920</v>
      </c>
      <c r="B1116" s="3" t="s">
        <v>89</v>
      </c>
      <c r="C1116" s="16"/>
      <c r="H1116" s="3" t="s">
        <v>5921</v>
      </c>
      <c r="I1116" s="3" t="s">
        <v>651</v>
      </c>
      <c r="K1116" s="17" t="s">
        <v>5922</v>
      </c>
      <c r="L1116" s="18">
        <v>18.10713099918123</v>
      </c>
      <c r="M1116" s="18">
        <v>11.328675363861979</v>
      </c>
      <c r="N1116" s="18">
        <v>9.1450407589110867</v>
      </c>
      <c r="O1116" s="18">
        <v>9.1450407589110867</v>
      </c>
      <c r="P1116" s="18">
        <v>9.1450407589110867</v>
      </c>
      <c r="Q1116" s="18">
        <v>9.1450407589110867</v>
      </c>
      <c r="R1116" s="18">
        <v>9.1450407589110867</v>
      </c>
      <c r="S1116" s="18">
        <v>9.1450407589110867</v>
      </c>
      <c r="T1116" s="18">
        <v>9.1450407589110867</v>
      </c>
      <c r="U1116" s="18">
        <v>9.1450407589110867</v>
      </c>
      <c r="V1116" s="18">
        <v>9.1450407589110867</v>
      </c>
      <c r="W1116" s="18">
        <v>9.1450407589110867</v>
      </c>
      <c r="X1116" s="18">
        <v>9.1450407589110903</v>
      </c>
      <c r="Y1116" s="18">
        <v>9.1450407589110903</v>
      </c>
      <c r="Z1116" s="18">
        <v>9.1450407589110903</v>
      </c>
      <c r="AA1116" s="18">
        <v>9.1450407589110903</v>
      </c>
      <c r="AB1116" s="18">
        <v>9.1450407589110903</v>
      </c>
      <c r="AC1116" s="18">
        <v>9.1450407589110903</v>
      </c>
      <c r="AD1116" s="18">
        <v>9.1450407589110903</v>
      </c>
      <c r="AE1116" s="18">
        <v>9.1450407589110938</v>
      </c>
      <c r="AG1116" s="17" t="s">
        <v>5923</v>
      </c>
      <c r="AH1116" s="18">
        <v>18.10713099918123</v>
      </c>
      <c r="AI1116" s="18">
        <v>11.328675363861979</v>
      </c>
      <c r="AJ1116" s="18">
        <v>9.1450407589110867</v>
      </c>
      <c r="AK1116" s="18">
        <v>9.1450407589110867</v>
      </c>
      <c r="AL1116" s="18">
        <v>9.1450407589110867</v>
      </c>
      <c r="AM1116" s="18">
        <v>9.1450407589110867</v>
      </c>
      <c r="AN1116" s="18">
        <v>9.1450407589110867</v>
      </c>
      <c r="AO1116" s="18">
        <v>9.1450407589110867</v>
      </c>
      <c r="AP1116" s="18">
        <v>9.1450407589110867</v>
      </c>
      <c r="AQ1116" s="18">
        <v>9.1450407589110867</v>
      </c>
      <c r="AR1116" s="18">
        <v>9.1450407589110867</v>
      </c>
      <c r="AS1116" s="18">
        <v>9.1450407589110867</v>
      </c>
      <c r="AT1116" s="18">
        <v>9.1450407589110903</v>
      </c>
      <c r="AU1116" s="18">
        <v>9.1450407589110903</v>
      </c>
      <c r="AV1116" s="18">
        <v>9.1450407589110903</v>
      </c>
      <c r="AW1116" s="18">
        <v>9.1450407589110903</v>
      </c>
      <c r="AX1116" s="18">
        <v>9.1450407589110903</v>
      </c>
      <c r="AY1116" s="18">
        <v>9.1450407589110903</v>
      </c>
      <c r="AZ1116" s="18">
        <v>9.1450407589110903</v>
      </c>
      <c r="BA1116" s="18">
        <v>9.1450407589110938</v>
      </c>
      <c r="BC1116" s="17" t="s">
        <v>5924</v>
      </c>
      <c r="BD1116" s="18">
        <v>18.10713099918123</v>
      </c>
      <c r="BE1116" s="18">
        <v>11.328675363861979</v>
      </c>
      <c r="BF1116" s="18">
        <v>9.1450407589110867</v>
      </c>
      <c r="BG1116" s="18">
        <v>9.1450407589110867</v>
      </c>
      <c r="BH1116" s="18">
        <v>9.1450407589110867</v>
      </c>
      <c r="BI1116" s="18">
        <v>9.1450407589110867</v>
      </c>
      <c r="BJ1116" s="18">
        <v>9.1450407589110867</v>
      </c>
      <c r="BK1116" s="18">
        <v>9.1450407589110867</v>
      </c>
      <c r="BL1116" s="18">
        <v>9.1450407589110867</v>
      </c>
      <c r="BM1116" s="18">
        <v>9.1450407589110867</v>
      </c>
      <c r="BN1116" s="18">
        <v>9.1450407589110867</v>
      </c>
      <c r="BO1116" s="18">
        <v>9.1450407589110867</v>
      </c>
      <c r="BP1116" s="18">
        <v>9.1450407589110903</v>
      </c>
      <c r="BQ1116" s="18">
        <v>9.1450407589110903</v>
      </c>
      <c r="BR1116" s="18">
        <v>9.1450407589110903</v>
      </c>
      <c r="BS1116" s="18">
        <v>9.1450407589110903</v>
      </c>
      <c r="BT1116" s="18">
        <v>9.1450407589110903</v>
      </c>
      <c r="BU1116" s="18">
        <v>9.1450407589110903</v>
      </c>
      <c r="BV1116" s="18">
        <v>9.1450407589110903</v>
      </c>
      <c r="BW1116" s="18">
        <v>9.1450407589110938</v>
      </c>
      <c r="BY1116" s="17" t="s">
        <v>5925</v>
      </c>
      <c r="BZ1116" s="18">
        <v>18.10713099918123</v>
      </c>
      <c r="CA1116" s="18">
        <v>11.328675363861979</v>
      </c>
      <c r="CB1116" s="18">
        <v>9.1450407589110867</v>
      </c>
      <c r="CC1116" s="18">
        <v>9.1450407589110867</v>
      </c>
      <c r="CD1116" s="18">
        <v>9.1450407589110867</v>
      </c>
      <c r="CE1116" s="18">
        <v>9.1450407589110867</v>
      </c>
      <c r="CF1116" s="18">
        <v>9.1450407589110867</v>
      </c>
      <c r="CG1116" s="18">
        <v>9.1450407589110867</v>
      </c>
      <c r="CH1116" s="18">
        <v>9.1450407589110867</v>
      </c>
      <c r="CI1116" s="18">
        <v>9.1450407589110867</v>
      </c>
      <c r="CJ1116" s="18">
        <v>9.1450407589110867</v>
      </c>
      <c r="CK1116" s="18">
        <v>9.1450407589110867</v>
      </c>
      <c r="CL1116" s="18">
        <v>9.1450407589110903</v>
      </c>
      <c r="CM1116" s="18">
        <v>9.1450407589110903</v>
      </c>
      <c r="CN1116" s="18">
        <v>9.1450407589110903</v>
      </c>
      <c r="CO1116" s="18">
        <v>9.1450407589110903</v>
      </c>
      <c r="CP1116" s="18">
        <v>9.1450407589110903</v>
      </c>
      <c r="CQ1116" s="18">
        <v>9.1450407589110903</v>
      </c>
      <c r="CR1116" s="18">
        <v>9.1450407589110903</v>
      </c>
      <c r="CS1116" s="18">
        <v>9.1450407589110938</v>
      </c>
      <c r="CU1116" s="17" t="s">
        <v>5926</v>
      </c>
      <c r="CV1116" s="18">
        <v>18.10713099918123</v>
      </c>
      <c r="CW1116" s="18">
        <v>11.328675363861979</v>
      </c>
      <c r="CX1116" s="18">
        <v>9.1450407589110867</v>
      </c>
      <c r="CY1116" s="18">
        <v>9.1450407589110867</v>
      </c>
      <c r="CZ1116" s="18">
        <v>9.1450407589110867</v>
      </c>
      <c r="DA1116" s="18">
        <v>9.1450407589110867</v>
      </c>
      <c r="DB1116" s="18">
        <v>9.1450407589110867</v>
      </c>
      <c r="DC1116" s="18">
        <v>9.1450407589110867</v>
      </c>
      <c r="DD1116" s="18">
        <v>9.1450407589110867</v>
      </c>
      <c r="DE1116" s="18">
        <v>9.1450407589110867</v>
      </c>
      <c r="DF1116" s="18">
        <v>9.1450407589110867</v>
      </c>
      <c r="DG1116" s="18">
        <v>9.1450407589110867</v>
      </c>
      <c r="DH1116" s="18">
        <v>9.1450407589110903</v>
      </c>
      <c r="DI1116" s="18">
        <v>9.1450407589110903</v>
      </c>
      <c r="DJ1116" s="18">
        <v>9.1450407589110903</v>
      </c>
      <c r="DK1116" s="18">
        <v>9.1450407589110903</v>
      </c>
      <c r="DL1116" s="18">
        <v>9.1450407589110903</v>
      </c>
      <c r="DM1116" s="18">
        <v>9.1450407589110903</v>
      </c>
      <c r="DN1116" s="18">
        <v>9.1450407589110903</v>
      </c>
      <c r="DO1116" s="18">
        <v>9.1450407589110938</v>
      </c>
    </row>
    <row r="1117" spans="1:119" x14ac:dyDescent="0.45">
      <c r="A1117" s="16" t="s">
        <v>5927</v>
      </c>
      <c r="B1117" s="3" t="s">
        <v>89</v>
      </c>
      <c r="C1117" s="16"/>
      <c r="H1117" s="3" t="s">
        <v>5928</v>
      </c>
      <c r="I1117" s="3" t="s">
        <v>651</v>
      </c>
      <c r="K1117" s="17" t="s">
        <v>5929</v>
      </c>
      <c r="L1117" s="18">
        <v>11.22829503955268</v>
      </c>
      <c r="M1117" s="18">
        <v>7.7491704179782808</v>
      </c>
      <c r="N1117" s="18">
        <v>6.8266892012964622</v>
      </c>
      <c r="O1117" s="18">
        <v>6.8266892012964622</v>
      </c>
      <c r="P1117" s="18">
        <v>6.8266892012964622</v>
      </c>
      <c r="Q1117" s="18">
        <v>6.8266892012964622</v>
      </c>
      <c r="R1117" s="18">
        <v>6.8266892012964622</v>
      </c>
      <c r="S1117" s="18">
        <v>6.8266892012964622</v>
      </c>
      <c r="T1117" s="18">
        <v>6.8266892012964622</v>
      </c>
      <c r="U1117" s="18">
        <v>6.8266892012964622</v>
      </c>
      <c r="V1117" s="18">
        <v>6.8266892012964622</v>
      </c>
      <c r="W1117" s="18">
        <v>6.8266892012964622</v>
      </c>
      <c r="X1117" s="18">
        <v>6.8266892012964657</v>
      </c>
      <c r="Y1117" s="18">
        <v>6.8266892012964657</v>
      </c>
      <c r="Z1117" s="18">
        <v>6.8266892012964657</v>
      </c>
      <c r="AA1117" s="18">
        <v>6.8266892012964622</v>
      </c>
      <c r="AB1117" s="18">
        <v>6.8266892012964622</v>
      </c>
      <c r="AC1117" s="18">
        <v>6.8266892012964622</v>
      </c>
      <c r="AD1117" s="18">
        <v>6.8266892012964622</v>
      </c>
      <c r="AE1117" s="18">
        <v>6.8266892012964622</v>
      </c>
      <c r="AG1117" s="17" t="s">
        <v>5930</v>
      </c>
      <c r="AH1117" s="18">
        <v>11.22829503955268</v>
      </c>
      <c r="AI1117" s="18">
        <v>7.7491704179782808</v>
      </c>
      <c r="AJ1117" s="18">
        <v>6.8266892012964622</v>
      </c>
      <c r="AK1117" s="18">
        <v>6.8266892012964622</v>
      </c>
      <c r="AL1117" s="18">
        <v>6.8266892012964622</v>
      </c>
      <c r="AM1117" s="18">
        <v>6.8266892012964622</v>
      </c>
      <c r="AN1117" s="18">
        <v>6.8266892012964622</v>
      </c>
      <c r="AO1117" s="18">
        <v>6.8266892012964622</v>
      </c>
      <c r="AP1117" s="18">
        <v>6.8266892012964622</v>
      </c>
      <c r="AQ1117" s="18">
        <v>6.8266892012964622</v>
      </c>
      <c r="AR1117" s="18">
        <v>6.8266892012964622</v>
      </c>
      <c r="AS1117" s="18">
        <v>6.8266892012964622</v>
      </c>
      <c r="AT1117" s="18">
        <v>6.8266892012964657</v>
      </c>
      <c r="AU1117" s="18">
        <v>6.8266892012964657</v>
      </c>
      <c r="AV1117" s="18">
        <v>6.8266892012964657</v>
      </c>
      <c r="AW1117" s="18">
        <v>6.8266892012964622</v>
      </c>
      <c r="AX1117" s="18">
        <v>6.8266892012964622</v>
      </c>
      <c r="AY1117" s="18">
        <v>6.8266892012964622</v>
      </c>
      <c r="AZ1117" s="18">
        <v>6.8266892012964622</v>
      </c>
      <c r="BA1117" s="18">
        <v>6.8266892012964622</v>
      </c>
      <c r="BC1117" s="17" t="s">
        <v>5931</v>
      </c>
      <c r="BD1117" s="18">
        <v>11.22829503955268</v>
      </c>
      <c r="BE1117" s="18">
        <v>7.7491704179782808</v>
      </c>
      <c r="BF1117" s="18">
        <v>6.8266892012964622</v>
      </c>
      <c r="BG1117" s="18">
        <v>6.8266892012964622</v>
      </c>
      <c r="BH1117" s="18">
        <v>6.8266892012964622</v>
      </c>
      <c r="BI1117" s="18">
        <v>6.8266892012964622</v>
      </c>
      <c r="BJ1117" s="18">
        <v>6.8266892012964622</v>
      </c>
      <c r="BK1117" s="18">
        <v>6.8266892012964622</v>
      </c>
      <c r="BL1117" s="18">
        <v>6.8266892012964622</v>
      </c>
      <c r="BM1117" s="18">
        <v>6.8266892012964622</v>
      </c>
      <c r="BN1117" s="18">
        <v>6.8266892012964622</v>
      </c>
      <c r="BO1117" s="18">
        <v>6.8266892012964622</v>
      </c>
      <c r="BP1117" s="18">
        <v>6.8266892012964657</v>
      </c>
      <c r="BQ1117" s="18">
        <v>6.8266892012964657</v>
      </c>
      <c r="BR1117" s="18">
        <v>6.8266892012964657</v>
      </c>
      <c r="BS1117" s="18">
        <v>6.8266892012964622</v>
      </c>
      <c r="BT1117" s="18">
        <v>6.8266892012964622</v>
      </c>
      <c r="BU1117" s="18">
        <v>6.8266892012964622</v>
      </c>
      <c r="BV1117" s="18">
        <v>6.8266892012964622</v>
      </c>
      <c r="BW1117" s="18">
        <v>6.8266892012964622</v>
      </c>
      <c r="BY1117" s="17" t="s">
        <v>5932</v>
      </c>
      <c r="BZ1117" s="18">
        <v>11.22829503955268</v>
      </c>
      <c r="CA1117" s="18">
        <v>7.7491704179782808</v>
      </c>
      <c r="CB1117" s="18">
        <v>6.8266892012964622</v>
      </c>
      <c r="CC1117" s="18">
        <v>6.8266892012964622</v>
      </c>
      <c r="CD1117" s="18">
        <v>6.8266892012964622</v>
      </c>
      <c r="CE1117" s="18">
        <v>6.8266892012964622</v>
      </c>
      <c r="CF1117" s="18">
        <v>6.8266892012964622</v>
      </c>
      <c r="CG1117" s="18">
        <v>6.8266892012964622</v>
      </c>
      <c r="CH1117" s="18">
        <v>6.8266892012964622</v>
      </c>
      <c r="CI1117" s="18">
        <v>6.8266892012964622</v>
      </c>
      <c r="CJ1117" s="18">
        <v>6.8266892012964622</v>
      </c>
      <c r="CK1117" s="18">
        <v>6.8266892012964622</v>
      </c>
      <c r="CL1117" s="18">
        <v>6.8266892012964657</v>
      </c>
      <c r="CM1117" s="18">
        <v>6.8266892012964657</v>
      </c>
      <c r="CN1117" s="18">
        <v>6.8266892012964657</v>
      </c>
      <c r="CO1117" s="18">
        <v>6.8266892012964622</v>
      </c>
      <c r="CP1117" s="18">
        <v>6.8266892012964622</v>
      </c>
      <c r="CQ1117" s="18">
        <v>6.8266892012964622</v>
      </c>
      <c r="CR1117" s="18">
        <v>6.8266892012964622</v>
      </c>
      <c r="CS1117" s="18">
        <v>6.8266892012964622</v>
      </c>
      <c r="CU1117" s="17" t="s">
        <v>5933</v>
      </c>
      <c r="CV1117" s="18">
        <v>11.22829503955268</v>
      </c>
      <c r="CW1117" s="18">
        <v>7.7491704179782808</v>
      </c>
      <c r="CX1117" s="18">
        <v>6.8266892012964622</v>
      </c>
      <c r="CY1117" s="18">
        <v>6.8266892012964622</v>
      </c>
      <c r="CZ1117" s="18">
        <v>6.8266892012964622</v>
      </c>
      <c r="DA1117" s="18">
        <v>6.8266892012964622</v>
      </c>
      <c r="DB1117" s="18">
        <v>6.8266892012964622</v>
      </c>
      <c r="DC1117" s="18">
        <v>6.8266892012964622</v>
      </c>
      <c r="DD1117" s="18">
        <v>6.8266892012964622</v>
      </c>
      <c r="DE1117" s="18">
        <v>6.8266892012964622</v>
      </c>
      <c r="DF1117" s="18">
        <v>6.8266892012964622</v>
      </c>
      <c r="DG1117" s="18">
        <v>6.8266892012964622</v>
      </c>
      <c r="DH1117" s="18">
        <v>6.8266892012964657</v>
      </c>
      <c r="DI1117" s="18">
        <v>6.8266892012964657</v>
      </c>
      <c r="DJ1117" s="18">
        <v>6.8266892012964657</v>
      </c>
      <c r="DK1117" s="18">
        <v>6.8266892012964622</v>
      </c>
      <c r="DL1117" s="18">
        <v>6.8266892012964622</v>
      </c>
      <c r="DM1117" s="18">
        <v>6.8266892012964622</v>
      </c>
      <c r="DN1117" s="18">
        <v>6.8266892012964622</v>
      </c>
      <c r="DO1117" s="18">
        <v>6.8266892012964622</v>
      </c>
    </row>
    <row r="1118" spans="1:119" x14ac:dyDescent="0.45">
      <c r="A1118" s="16" t="s">
        <v>5934</v>
      </c>
      <c r="B1118" s="3" t="s">
        <v>89</v>
      </c>
      <c r="C1118" s="16"/>
      <c r="H1118" s="3" t="s">
        <v>5935</v>
      </c>
      <c r="I1118" s="3" t="s">
        <v>651</v>
      </c>
      <c r="K1118" s="17" t="s">
        <v>5936</v>
      </c>
      <c r="L1118" s="18">
        <v>4.9564885072313949</v>
      </c>
      <c r="M1118" s="18">
        <v>2.7348469350648341</v>
      </c>
      <c r="N1118" s="18">
        <v>1.797160127284108</v>
      </c>
      <c r="O1118" s="18">
        <v>1.797160127284108</v>
      </c>
      <c r="P1118" s="18">
        <v>1.797160127284108</v>
      </c>
      <c r="Q1118" s="18">
        <v>1.797160127284108</v>
      </c>
      <c r="R1118" s="18">
        <v>1.797160127284108</v>
      </c>
      <c r="S1118" s="18">
        <v>1.797160127284108</v>
      </c>
      <c r="T1118" s="18">
        <v>1.797160127284108</v>
      </c>
      <c r="U1118" s="18">
        <v>1.797160127284108</v>
      </c>
      <c r="V1118" s="18">
        <v>1.797160127284108</v>
      </c>
      <c r="W1118" s="18">
        <v>1.797160127284108</v>
      </c>
      <c r="X1118" s="18">
        <v>1.797160127284108</v>
      </c>
      <c r="Y1118" s="18">
        <v>1.797160127284108</v>
      </c>
      <c r="Z1118" s="18">
        <v>1.797160127284108</v>
      </c>
      <c r="AA1118" s="18">
        <v>1.797160127284108</v>
      </c>
      <c r="AB1118" s="18">
        <v>1.797160127284108</v>
      </c>
      <c r="AC1118" s="18">
        <v>1.797160127284108</v>
      </c>
      <c r="AD1118" s="18">
        <v>1.797160127284108</v>
      </c>
      <c r="AE1118" s="18">
        <v>1.797160127284108</v>
      </c>
      <c r="AG1118" s="17" t="s">
        <v>5937</v>
      </c>
      <c r="AH1118" s="18">
        <v>4.9564885072313949</v>
      </c>
      <c r="AI1118" s="18">
        <v>2.7348469350648341</v>
      </c>
      <c r="AJ1118" s="18">
        <v>1.797160127284108</v>
      </c>
      <c r="AK1118" s="18">
        <v>1.797160127284108</v>
      </c>
      <c r="AL1118" s="18">
        <v>1.797160127284108</v>
      </c>
      <c r="AM1118" s="18">
        <v>1.797160127284108</v>
      </c>
      <c r="AN1118" s="18">
        <v>1.797160127284108</v>
      </c>
      <c r="AO1118" s="18">
        <v>1.797160127284108</v>
      </c>
      <c r="AP1118" s="18">
        <v>1.797160127284108</v>
      </c>
      <c r="AQ1118" s="18">
        <v>1.797160127284108</v>
      </c>
      <c r="AR1118" s="18">
        <v>1.797160127284108</v>
      </c>
      <c r="AS1118" s="18">
        <v>1.797160127284108</v>
      </c>
      <c r="AT1118" s="18">
        <v>1.797160127284108</v>
      </c>
      <c r="AU1118" s="18">
        <v>1.797160127284108</v>
      </c>
      <c r="AV1118" s="18">
        <v>1.797160127284108</v>
      </c>
      <c r="AW1118" s="18">
        <v>1.797160127284108</v>
      </c>
      <c r="AX1118" s="18">
        <v>1.797160127284108</v>
      </c>
      <c r="AY1118" s="18">
        <v>1.797160127284108</v>
      </c>
      <c r="AZ1118" s="18">
        <v>1.797160127284108</v>
      </c>
      <c r="BA1118" s="18">
        <v>1.797160127284108</v>
      </c>
      <c r="BC1118" s="17" t="s">
        <v>5938</v>
      </c>
      <c r="BD1118" s="18">
        <v>4.9564885072313949</v>
      </c>
      <c r="BE1118" s="18">
        <v>2.7348469350648341</v>
      </c>
      <c r="BF1118" s="18">
        <v>1.797160127284108</v>
      </c>
      <c r="BG1118" s="18">
        <v>1.797160127284108</v>
      </c>
      <c r="BH1118" s="18">
        <v>1.797160127284108</v>
      </c>
      <c r="BI1118" s="18">
        <v>1.797160127284108</v>
      </c>
      <c r="BJ1118" s="18">
        <v>1.797160127284108</v>
      </c>
      <c r="BK1118" s="18">
        <v>1.797160127284108</v>
      </c>
      <c r="BL1118" s="18">
        <v>1.797160127284108</v>
      </c>
      <c r="BM1118" s="18">
        <v>1.797160127284108</v>
      </c>
      <c r="BN1118" s="18">
        <v>1.797160127284108</v>
      </c>
      <c r="BO1118" s="18">
        <v>1.797160127284108</v>
      </c>
      <c r="BP1118" s="18">
        <v>1.797160127284108</v>
      </c>
      <c r="BQ1118" s="18">
        <v>1.797160127284108</v>
      </c>
      <c r="BR1118" s="18">
        <v>1.797160127284108</v>
      </c>
      <c r="BS1118" s="18">
        <v>1.797160127284108</v>
      </c>
      <c r="BT1118" s="18">
        <v>1.797160127284108</v>
      </c>
      <c r="BU1118" s="18">
        <v>1.797160127284108</v>
      </c>
      <c r="BV1118" s="18">
        <v>1.797160127284108</v>
      </c>
      <c r="BW1118" s="18">
        <v>1.797160127284108</v>
      </c>
      <c r="BY1118" s="17" t="s">
        <v>5939</v>
      </c>
      <c r="BZ1118" s="18">
        <v>4.9564885072313949</v>
      </c>
      <c r="CA1118" s="18">
        <v>2.7348469350648341</v>
      </c>
      <c r="CB1118" s="18">
        <v>1.797160127284108</v>
      </c>
      <c r="CC1118" s="18">
        <v>1.797160127284108</v>
      </c>
      <c r="CD1118" s="18">
        <v>1.797160127284108</v>
      </c>
      <c r="CE1118" s="18">
        <v>1.797160127284108</v>
      </c>
      <c r="CF1118" s="18">
        <v>1.797160127284108</v>
      </c>
      <c r="CG1118" s="18">
        <v>1.797160127284108</v>
      </c>
      <c r="CH1118" s="18">
        <v>1.797160127284108</v>
      </c>
      <c r="CI1118" s="18">
        <v>1.797160127284108</v>
      </c>
      <c r="CJ1118" s="18">
        <v>1.797160127284108</v>
      </c>
      <c r="CK1118" s="18">
        <v>1.797160127284108</v>
      </c>
      <c r="CL1118" s="18">
        <v>1.797160127284108</v>
      </c>
      <c r="CM1118" s="18">
        <v>1.797160127284108</v>
      </c>
      <c r="CN1118" s="18">
        <v>1.797160127284108</v>
      </c>
      <c r="CO1118" s="18">
        <v>1.797160127284108</v>
      </c>
      <c r="CP1118" s="18">
        <v>1.797160127284108</v>
      </c>
      <c r="CQ1118" s="18">
        <v>1.797160127284108</v>
      </c>
      <c r="CR1118" s="18">
        <v>1.797160127284108</v>
      </c>
      <c r="CS1118" s="18">
        <v>1.797160127284108</v>
      </c>
      <c r="CU1118" s="17" t="s">
        <v>5940</v>
      </c>
      <c r="CV1118" s="18">
        <v>4.9564885072313949</v>
      </c>
      <c r="CW1118" s="18">
        <v>2.7348469350648341</v>
      </c>
      <c r="CX1118" s="18">
        <v>1.797160127284108</v>
      </c>
      <c r="CY1118" s="18">
        <v>1.797160127284108</v>
      </c>
      <c r="CZ1118" s="18">
        <v>1.797160127284108</v>
      </c>
      <c r="DA1118" s="18">
        <v>1.797160127284108</v>
      </c>
      <c r="DB1118" s="18">
        <v>1.797160127284108</v>
      </c>
      <c r="DC1118" s="18">
        <v>1.797160127284108</v>
      </c>
      <c r="DD1118" s="18">
        <v>1.797160127284108</v>
      </c>
      <c r="DE1118" s="18">
        <v>1.797160127284108</v>
      </c>
      <c r="DF1118" s="18">
        <v>1.797160127284108</v>
      </c>
      <c r="DG1118" s="18">
        <v>1.797160127284108</v>
      </c>
      <c r="DH1118" s="18">
        <v>1.797160127284108</v>
      </c>
      <c r="DI1118" s="18">
        <v>1.797160127284108</v>
      </c>
      <c r="DJ1118" s="18">
        <v>1.797160127284108</v>
      </c>
      <c r="DK1118" s="18">
        <v>1.797160127284108</v>
      </c>
      <c r="DL1118" s="18">
        <v>1.797160127284108</v>
      </c>
      <c r="DM1118" s="18">
        <v>1.797160127284108</v>
      </c>
      <c r="DN1118" s="18">
        <v>1.797160127284108</v>
      </c>
      <c r="DO1118" s="18">
        <v>1.797160127284108</v>
      </c>
    </row>
    <row r="1119" spans="1:119" x14ac:dyDescent="0.45">
      <c r="A1119" s="16" t="s">
        <v>5941</v>
      </c>
      <c r="B1119" s="3" t="s">
        <v>89</v>
      </c>
      <c r="C1119" s="16"/>
      <c r="H1119" s="3" t="s">
        <v>5942</v>
      </c>
      <c r="I1119" s="3" t="s">
        <v>651</v>
      </c>
      <c r="K1119" s="17" t="s">
        <v>5943</v>
      </c>
      <c r="L1119" s="18">
        <v>18.10713099918123</v>
      </c>
      <c r="M1119" s="18">
        <v>11.328675363861979</v>
      </c>
      <c r="N1119" s="18">
        <v>9.1450407589110867</v>
      </c>
      <c r="O1119" s="18">
        <v>9.1450407589110867</v>
      </c>
      <c r="P1119" s="18">
        <v>9.1450407589110867</v>
      </c>
      <c r="Q1119" s="18">
        <v>9.1450407589110867</v>
      </c>
      <c r="R1119" s="18">
        <v>9.1450407589110867</v>
      </c>
      <c r="S1119" s="18">
        <v>9.1450407589110867</v>
      </c>
      <c r="T1119" s="18">
        <v>9.1450407589110867</v>
      </c>
      <c r="U1119" s="18">
        <v>9.1450407589110867</v>
      </c>
      <c r="V1119" s="18">
        <v>9.1450407589110867</v>
      </c>
      <c r="W1119" s="18">
        <v>9.1450407589110867</v>
      </c>
      <c r="X1119" s="18">
        <v>9.1450407589110903</v>
      </c>
      <c r="Y1119" s="18">
        <v>9.1450407589110903</v>
      </c>
      <c r="Z1119" s="18">
        <v>9.1450407589110903</v>
      </c>
      <c r="AA1119" s="18">
        <v>9.1450407589110903</v>
      </c>
      <c r="AB1119" s="18">
        <v>9.1450407589110903</v>
      </c>
      <c r="AC1119" s="18">
        <v>9.1450407589110903</v>
      </c>
      <c r="AD1119" s="18">
        <v>9.1450407589110903</v>
      </c>
      <c r="AE1119" s="18">
        <v>9.1450407589110938</v>
      </c>
      <c r="AG1119" s="17" t="s">
        <v>5944</v>
      </c>
      <c r="AH1119" s="18">
        <v>18.10713099918123</v>
      </c>
      <c r="AI1119" s="18">
        <v>11.328675363861979</v>
      </c>
      <c r="AJ1119" s="18">
        <v>9.1450407589110867</v>
      </c>
      <c r="AK1119" s="18">
        <v>9.1450407589110867</v>
      </c>
      <c r="AL1119" s="18">
        <v>9.1450407589110867</v>
      </c>
      <c r="AM1119" s="18">
        <v>10.462698254380481</v>
      </c>
      <c r="AN1119" s="18">
        <v>10.462698254380481</v>
      </c>
      <c r="AO1119" s="18">
        <v>10.462698254380481</v>
      </c>
      <c r="AP1119" s="18">
        <v>10.462698254380481</v>
      </c>
      <c r="AQ1119" s="18">
        <v>10.462698254380481</v>
      </c>
      <c r="AR1119" s="18">
        <v>10.462698254380481</v>
      </c>
      <c r="AS1119" s="18">
        <v>10.462698254380481</v>
      </c>
      <c r="AT1119" s="18">
        <v>10.462698254380481</v>
      </c>
      <c r="AU1119" s="18">
        <v>10.462698254380481</v>
      </c>
      <c r="AV1119" s="18">
        <v>10.462698254380481</v>
      </c>
      <c r="AW1119" s="18">
        <v>10.462698254380481</v>
      </c>
      <c r="AX1119" s="18">
        <v>10.462698254380481</v>
      </c>
      <c r="AY1119" s="18">
        <v>10.462698254380481</v>
      </c>
      <c r="AZ1119" s="18">
        <v>10.462698254380481</v>
      </c>
      <c r="BA1119" s="18">
        <v>10.46269825438049</v>
      </c>
      <c r="BC1119" s="17" t="s">
        <v>5945</v>
      </c>
      <c r="BD1119" s="18">
        <v>18.10713099918123</v>
      </c>
      <c r="BE1119" s="18">
        <v>11.328675363861979</v>
      </c>
      <c r="BF1119" s="18">
        <v>9.1450407589110867</v>
      </c>
      <c r="BG1119" s="18">
        <v>9.1450407589110867</v>
      </c>
      <c r="BH1119" s="18">
        <v>9.1450407589110867</v>
      </c>
      <c r="BI1119" s="18">
        <v>9.8038695066457819</v>
      </c>
      <c r="BJ1119" s="18">
        <v>10.68230783695871</v>
      </c>
      <c r="BK1119" s="18">
        <v>11.56074616727164</v>
      </c>
      <c r="BL1119" s="18">
        <v>12.43918449758457</v>
      </c>
      <c r="BM1119" s="18">
        <v>13.317622827897489</v>
      </c>
      <c r="BN1119" s="18">
        <v>14.196061158210419</v>
      </c>
      <c r="BO1119" s="18">
        <v>15.074499488523349</v>
      </c>
      <c r="BP1119" s="18">
        <v>15.952937818836279</v>
      </c>
      <c r="BQ1119" s="18">
        <v>16.831376149149211</v>
      </c>
      <c r="BR1119" s="18">
        <v>17.709814479462139</v>
      </c>
      <c r="BS1119" s="18">
        <v>18.588252809775071</v>
      </c>
      <c r="BT1119" s="18">
        <v>19.466691140087999</v>
      </c>
      <c r="BU1119" s="18">
        <v>20.345129470400931</v>
      </c>
      <c r="BV1119" s="18">
        <v>21.223567800713852</v>
      </c>
      <c r="BW1119" s="18">
        <v>22.102006131026791</v>
      </c>
      <c r="BY1119" s="17" t="s">
        <v>5946</v>
      </c>
      <c r="BZ1119" s="18">
        <v>18.10713099918123</v>
      </c>
      <c r="CA1119" s="18">
        <v>11.328675363861979</v>
      </c>
      <c r="CB1119" s="18">
        <v>9.1450407589110867</v>
      </c>
      <c r="CC1119" s="18">
        <v>9.1450407589110867</v>
      </c>
      <c r="CD1119" s="18">
        <v>9.1450407589110867</v>
      </c>
      <c r="CE1119" s="18">
        <v>10.79211262824783</v>
      </c>
      <c r="CF1119" s="18">
        <v>10.79211262824783</v>
      </c>
      <c r="CG1119" s="18">
        <v>10.79211262824783</v>
      </c>
      <c r="CH1119" s="18">
        <v>10.79211262824783</v>
      </c>
      <c r="CI1119" s="18">
        <v>10.79211262824783</v>
      </c>
      <c r="CJ1119" s="18">
        <v>10.79211262824783</v>
      </c>
      <c r="CK1119" s="18">
        <v>10.79211262824783</v>
      </c>
      <c r="CL1119" s="18">
        <v>10.79211262824783</v>
      </c>
      <c r="CM1119" s="18">
        <v>10.79211262824783</v>
      </c>
      <c r="CN1119" s="18">
        <v>10.79211262824783</v>
      </c>
      <c r="CO1119" s="18">
        <v>10.79211262824783</v>
      </c>
      <c r="CP1119" s="18">
        <v>10.79211262824783</v>
      </c>
      <c r="CQ1119" s="18">
        <v>10.79211262824783</v>
      </c>
      <c r="CR1119" s="18">
        <v>10.79211262824783</v>
      </c>
      <c r="CS1119" s="18">
        <v>10.79211262824783</v>
      </c>
      <c r="CU1119" s="17" t="s">
        <v>5947</v>
      </c>
      <c r="CV1119" s="18">
        <v>18.10713099918123</v>
      </c>
      <c r="CW1119" s="18">
        <v>11.328675363861979</v>
      </c>
      <c r="CX1119" s="18">
        <v>9.1450407589110867</v>
      </c>
      <c r="CY1119" s="18">
        <v>9.1450407589110867</v>
      </c>
      <c r="CZ1119" s="18">
        <v>9.1450407589110867</v>
      </c>
      <c r="DA1119" s="18">
        <v>12.43918449758457</v>
      </c>
      <c r="DB1119" s="18">
        <v>12.43918449758457</v>
      </c>
      <c r="DC1119" s="18">
        <v>12.43918449758457</v>
      </c>
      <c r="DD1119" s="18">
        <v>12.43918449758457</v>
      </c>
      <c r="DE1119" s="18">
        <v>12.43918449758457</v>
      </c>
      <c r="DF1119" s="18">
        <v>12.43918449758457</v>
      </c>
      <c r="DG1119" s="18">
        <v>12.43918449758457</v>
      </c>
      <c r="DH1119" s="18">
        <v>12.43918449758457</v>
      </c>
      <c r="DI1119" s="18">
        <v>12.43918449758457</v>
      </c>
      <c r="DJ1119" s="18">
        <v>12.43918449758457</v>
      </c>
      <c r="DK1119" s="18">
        <v>12.43918449758457</v>
      </c>
      <c r="DL1119" s="18">
        <v>12.43918449758457</v>
      </c>
      <c r="DM1119" s="18">
        <v>12.43918449758457</v>
      </c>
      <c r="DN1119" s="18">
        <v>12.43918449758457</v>
      </c>
      <c r="DO1119" s="18">
        <v>12.43918449758457</v>
      </c>
    </row>
    <row r="1120" spans="1:119" x14ac:dyDescent="0.45">
      <c r="A1120" s="16" t="s">
        <v>5948</v>
      </c>
      <c r="B1120" s="3" t="s">
        <v>89</v>
      </c>
      <c r="C1120" s="16"/>
      <c r="H1120" s="3" t="s">
        <v>5949</v>
      </c>
      <c r="I1120" s="3" t="s">
        <v>224</v>
      </c>
      <c r="K1120" s="17" t="s">
        <v>5950</v>
      </c>
      <c r="L1120" s="20">
        <v>0</v>
      </c>
      <c r="M1120" s="20">
        <v>0</v>
      </c>
      <c r="N1120" s="20">
        <v>0</v>
      </c>
      <c r="O1120" s="20">
        <v>0</v>
      </c>
      <c r="P1120" s="20">
        <v>0</v>
      </c>
      <c r="Q1120" s="20">
        <v>0</v>
      </c>
      <c r="R1120" s="20">
        <v>0</v>
      </c>
      <c r="S1120" s="20">
        <v>0</v>
      </c>
      <c r="T1120" s="20">
        <v>0</v>
      </c>
      <c r="U1120" s="20">
        <v>0</v>
      </c>
      <c r="V1120" s="20">
        <v>0</v>
      </c>
      <c r="W1120" s="20">
        <v>0</v>
      </c>
      <c r="X1120" s="20">
        <v>0</v>
      </c>
      <c r="Y1120" s="20">
        <v>0</v>
      </c>
      <c r="Z1120" s="20">
        <v>0</v>
      </c>
      <c r="AA1120" s="20">
        <v>0</v>
      </c>
      <c r="AB1120" s="20">
        <v>0</v>
      </c>
      <c r="AC1120" s="20">
        <v>0</v>
      </c>
      <c r="AD1120" s="20">
        <v>0</v>
      </c>
      <c r="AE1120" s="20">
        <v>0</v>
      </c>
      <c r="AG1120" s="17" t="s">
        <v>5951</v>
      </c>
      <c r="AH1120" s="20">
        <v>0</v>
      </c>
      <c r="AI1120" s="20">
        <v>0</v>
      </c>
      <c r="AJ1120" s="20">
        <v>0</v>
      </c>
      <c r="AK1120" s="20">
        <v>0</v>
      </c>
      <c r="AL1120" s="20">
        <v>0</v>
      </c>
      <c r="AM1120" s="20">
        <v>846.96939917658653</v>
      </c>
      <c r="AN1120" s="20">
        <v>789.81428038163187</v>
      </c>
      <c r="AO1120" s="20">
        <v>826.1025824348128</v>
      </c>
      <c r="AP1120" s="20">
        <v>830.45135230169421</v>
      </c>
      <c r="AQ1120" s="20">
        <v>826.90187283088449</v>
      </c>
      <c r="AR1120" s="20">
        <v>810.47495808272788</v>
      </c>
      <c r="AS1120" s="20">
        <v>819.73292863705842</v>
      </c>
      <c r="AT1120" s="20">
        <v>817.03664997561384</v>
      </c>
      <c r="AU1120" s="20">
        <v>820.63937552471293</v>
      </c>
      <c r="AV1120" s="20">
        <v>824.20819537997716</v>
      </c>
      <c r="AW1120" s="20">
        <v>828.51193206762957</v>
      </c>
      <c r="AX1120" s="20">
        <v>832.48489996526735</v>
      </c>
      <c r="AY1120" s="20">
        <v>836.61271718617343</v>
      </c>
      <c r="AZ1120" s="20">
        <v>840.38027647634578</v>
      </c>
      <c r="BA1120" s="20">
        <v>844.43370040569698</v>
      </c>
      <c r="BC1120" s="17" t="s">
        <v>5952</v>
      </c>
      <c r="BD1120" s="20">
        <v>0</v>
      </c>
      <c r="BE1120" s="20">
        <v>0</v>
      </c>
      <c r="BF1120" s="20">
        <v>0</v>
      </c>
      <c r="BG1120" s="20">
        <v>0</v>
      </c>
      <c r="BH1120" s="20">
        <v>0</v>
      </c>
      <c r="BI1120" s="20">
        <v>422.98847145902238</v>
      </c>
      <c r="BJ1120" s="20">
        <v>961.92063346618045</v>
      </c>
      <c r="BK1120" s="20">
        <v>1426.6060226542379</v>
      </c>
      <c r="BL1120" s="20">
        <v>1896.5573479633899</v>
      </c>
      <c r="BM1120" s="20">
        <v>2374.4273387596968</v>
      </c>
      <c r="BN1120" s="20">
        <v>2733.6025096777898</v>
      </c>
      <c r="BO1120" s="20">
        <v>3155.04642597779</v>
      </c>
      <c r="BP1120" s="20">
        <v>3467.77704770738</v>
      </c>
      <c r="BQ1120" s="20">
        <v>3820.476936734186</v>
      </c>
      <c r="BR1120" s="20">
        <v>4085.7941654494098</v>
      </c>
      <c r="BS1120" s="20">
        <v>4391.8824706751629</v>
      </c>
      <c r="BT1120" s="20">
        <v>4597.7438218029038</v>
      </c>
      <c r="BU1120" s="20">
        <v>4873.3959853380939</v>
      </c>
      <c r="BV1120" s="20">
        <v>5005.5414861903928</v>
      </c>
      <c r="BW1120" s="20">
        <v>5280.7283748312866</v>
      </c>
      <c r="BY1120" s="17" t="s">
        <v>5953</v>
      </c>
      <c r="BZ1120" s="20">
        <v>0</v>
      </c>
      <c r="CA1120" s="20">
        <v>0</v>
      </c>
      <c r="CB1120" s="20">
        <v>0</v>
      </c>
      <c r="CC1120" s="20">
        <v>0</v>
      </c>
      <c r="CD1120" s="20">
        <v>0</v>
      </c>
      <c r="CE1120" s="20">
        <v>0</v>
      </c>
      <c r="CF1120" s="20">
        <v>0</v>
      </c>
      <c r="CG1120" s="20">
        <v>0</v>
      </c>
      <c r="CH1120" s="20">
        <v>0</v>
      </c>
      <c r="CI1120" s="20">
        <v>0</v>
      </c>
      <c r="CJ1120" s="20">
        <v>0</v>
      </c>
      <c r="CK1120" s="20">
        <v>0</v>
      </c>
      <c r="CL1120" s="20">
        <v>0</v>
      </c>
      <c r="CM1120" s="20">
        <v>0</v>
      </c>
      <c r="CN1120" s="20">
        <v>0</v>
      </c>
      <c r="CO1120" s="20">
        <v>0</v>
      </c>
      <c r="CP1120" s="20">
        <v>0</v>
      </c>
      <c r="CQ1120" s="20">
        <v>0</v>
      </c>
      <c r="CR1120" s="20">
        <v>0</v>
      </c>
      <c r="CS1120" s="20">
        <v>0</v>
      </c>
      <c r="CU1120" s="17" t="s">
        <v>5954</v>
      </c>
      <c r="CV1120" s="20">
        <v>0</v>
      </c>
      <c r="CW1120" s="20">
        <v>0</v>
      </c>
      <c r="CX1120" s="20">
        <v>0</v>
      </c>
      <c r="CY1120" s="20">
        <v>0</v>
      </c>
      <c r="CZ1120" s="20">
        <v>0</v>
      </c>
      <c r="DA1120" s="20">
        <v>2116.0258826382119</v>
      </c>
      <c r="DB1120" s="20">
        <v>1760.951814779271</v>
      </c>
      <c r="DC1120" s="20">
        <v>1852.7092293702699</v>
      </c>
      <c r="DD1120" s="20">
        <v>1820.404553277456</v>
      </c>
      <c r="DE1120" s="20">
        <v>1891.475484005902</v>
      </c>
      <c r="DF1120" s="20">
        <v>1796.1476327344569</v>
      </c>
      <c r="DG1120" s="20">
        <v>1789.252022012196</v>
      </c>
      <c r="DH1120" s="20">
        <v>1718.383761355738</v>
      </c>
      <c r="DI1120" s="20">
        <v>1683.6771245614671</v>
      </c>
      <c r="DJ1120" s="20">
        <v>1633.501105163338</v>
      </c>
      <c r="DK1120" s="20">
        <v>1601.793972421749</v>
      </c>
      <c r="DL1120" s="20">
        <v>1556.438587337535</v>
      </c>
      <c r="DM1120" s="20">
        <v>1528.006675581619</v>
      </c>
      <c r="DN1120" s="20">
        <v>1488.0482816466299</v>
      </c>
      <c r="DO1120" s="20">
        <v>1463.236710470366</v>
      </c>
    </row>
    <row r="1121" spans="1:230" x14ac:dyDescent="0.45">
      <c r="A1121" s="16" t="s">
        <v>5955</v>
      </c>
      <c r="B1121" s="3" t="s">
        <v>89</v>
      </c>
      <c r="C1121" s="16"/>
      <c r="H1121" s="3" t="s">
        <v>5956</v>
      </c>
      <c r="I1121" s="3" t="s">
        <v>224</v>
      </c>
      <c r="K1121" s="17" t="s">
        <v>5957</v>
      </c>
      <c r="L1121" s="20">
        <v>0</v>
      </c>
      <c r="M1121" s="20">
        <v>0</v>
      </c>
      <c r="N1121" s="20">
        <v>0</v>
      </c>
      <c r="O1121" s="20">
        <v>0</v>
      </c>
      <c r="P1121" s="20">
        <v>0</v>
      </c>
      <c r="Q1121" s="20">
        <v>0</v>
      </c>
      <c r="R1121" s="20">
        <v>0</v>
      </c>
      <c r="S1121" s="20">
        <v>0</v>
      </c>
      <c r="T1121" s="20">
        <v>0</v>
      </c>
      <c r="U1121" s="20">
        <v>0</v>
      </c>
      <c r="V1121" s="20">
        <v>0</v>
      </c>
      <c r="W1121" s="20">
        <v>0</v>
      </c>
      <c r="X1121" s="20">
        <v>0</v>
      </c>
      <c r="Y1121" s="20">
        <v>0</v>
      </c>
      <c r="Z1121" s="20">
        <v>0</v>
      </c>
      <c r="AA1121" s="20">
        <v>0</v>
      </c>
      <c r="AB1121" s="20">
        <v>0</v>
      </c>
      <c r="AC1121" s="20">
        <v>0</v>
      </c>
      <c r="AD1121" s="20">
        <v>0</v>
      </c>
      <c r="AE1121" s="20">
        <v>0</v>
      </c>
      <c r="AG1121" s="17" t="s">
        <v>5958</v>
      </c>
      <c r="AH1121" s="20">
        <v>0</v>
      </c>
      <c r="AI1121" s="20">
        <v>0</v>
      </c>
      <c r="AJ1121" s="20">
        <v>0</v>
      </c>
      <c r="AK1121" s="20">
        <v>0</v>
      </c>
      <c r="AL1121" s="20">
        <v>0</v>
      </c>
      <c r="AM1121" s="20">
        <v>1252.107264304494</v>
      </c>
      <c r="AN1121" s="20">
        <v>1165.475417568601</v>
      </c>
      <c r="AO1121" s="20">
        <v>1228.393364271735</v>
      </c>
      <c r="AP1121" s="20">
        <v>1240.4486474883231</v>
      </c>
      <c r="AQ1121" s="20">
        <v>1244.96237722315</v>
      </c>
      <c r="AR1121" s="20">
        <v>1228.3587230971391</v>
      </c>
      <c r="AS1121" s="20">
        <v>1254.1607009043851</v>
      </c>
      <c r="AT1121" s="20">
        <v>1263.2656928571209</v>
      </c>
      <c r="AU1121" s="20">
        <v>1282.430839201136</v>
      </c>
      <c r="AV1121" s="20">
        <v>1301.736187814932</v>
      </c>
      <c r="AW1121" s="20">
        <v>1322.3257076108671</v>
      </c>
      <c r="AX1121" s="20">
        <v>1342.362939939484</v>
      </c>
      <c r="AY1121" s="20">
        <v>1362.678894046606</v>
      </c>
      <c r="AZ1121" s="20">
        <v>1382.366419573694</v>
      </c>
      <c r="BA1121" s="20">
        <v>1402.586867083679</v>
      </c>
      <c r="BC1121" s="17" t="s">
        <v>5959</v>
      </c>
      <c r="BD1121" s="20">
        <v>0</v>
      </c>
      <c r="BE1121" s="20">
        <v>0</v>
      </c>
      <c r="BF1121" s="20">
        <v>0</v>
      </c>
      <c r="BG1121" s="20">
        <v>0</v>
      </c>
      <c r="BH1121" s="20">
        <v>0</v>
      </c>
      <c r="BI1121" s="20">
        <v>625.3023885005266</v>
      </c>
      <c r="BJ1121" s="20">
        <v>1425.748795068311</v>
      </c>
      <c r="BK1121" s="20">
        <v>2117.952502816539</v>
      </c>
      <c r="BL1121" s="20">
        <v>2815.5127353364678</v>
      </c>
      <c r="BM1121" s="20">
        <v>3533.899417682137</v>
      </c>
      <c r="BN1121" s="20">
        <v>4077.5369586974812</v>
      </c>
      <c r="BO1121" s="20">
        <v>4724.1205603338567</v>
      </c>
      <c r="BP1121" s="20">
        <v>5215.4513151194642</v>
      </c>
      <c r="BQ1121" s="20">
        <v>5776.4524007187347</v>
      </c>
      <c r="BR1121" s="20">
        <v>6213.0091932108407</v>
      </c>
      <c r="BS1121" s="20">
        <v>6723.037132424316</v>
      </c>
      <c r="BT1121" s="20">
        <v>7085.3857613052569</v>
      </c>
      <c r="BU1121" s="20">
        <v>7567.8312970683937</v>
      </c>
      <c r="BV1121" s="20">
        <v>7829.8230864170564</v>
      </c>
      <c r="BW1121" s="20">
        <v>8330.2211798634362</v>
      </c>
      <c r="BY1121" s="17" t="s">
        <v>5960</v>
      </c>
      <c r="BZ1121" s="20">
        <v>0</v>
      </c>
      <c r="CA1121" s="20">
        <v>0</v>
      </c>
      <c r="CB1121" s="20">
        <v>0</v>
      </c>
      <c r="CC1121" s="20">
        <v>0</v>
      </c>
      <c r="CD1121" s="20">
        <v>0</v>
      </c>
      <c r="CE1121" s="20">
        <v>0</v>
      </c>
      <c r="CF1121" s="20">
        <v>0</v>
      </c>
      <c r="CG1121" s="20">
        <v>0</v>
      </c>
      <c r="CH1121" s="20">
        <v>0</v>
      </c>
      <c r="CI1121" s="20">
        <v>0</v>
      </c>
      <c r="CJ1121" s="20">
        <v>0</v>
      </c>
      <c r="CK1121" s="20">
        <v>0</v>
      </c>
      <c r="CL1121" s="20">
        <v>0</v>
      </c>
      <c r="CM1121" s="20">
        <v>0</v>
      </c>
      <c r="CN1121" s="20">
        <v>0</v>
      </c>
      <c r="CO1121" s="20">
        <v>0</v>
      </c>
      <c r="CP1121" s="20">
        <v>0</v>
      </c>
      <c r="CQ1121" s="20">
        <v>0</v>
      </c>
      <c r="CR1121" s="20">
        <v>0</v>
      </c>
      <c r="CS1121" s="20">
        <v>0</v>
      </c>
      <c r="CU1121" s="17" t="s">
        <v>5961</v>
      </c>
      <c r="CV1121" s="20">
        <v>0</v>
      </c>
      <c r="CW1121" s="20">
        <v>0</v>
      </c>
      <c r="CX1121" s="20">
        <v>0</v>
      </c>
      <c r="CY1121" s="20">
        <v>0</v>
      </c>
      <c r="CZ1121" s="20">
        <v>0</v>
      </c>
      <c r="DA1121" s="20">
        <v>3128.1517150332238</v>
      </c>
      <c r="DB1121" s="20">
        <v>2564.5793433690142</v>
      </c>
      <c r="DC1121" s="20">
        <v>2720.2564345955002</v>
      </c>
      <c r="DD1121" s="20">
        <v>2681.501566897562</v>
      </c>
      <c r="DE1121" s="20">
        <v>2809.5748460791001</v>
      </c>
      <c r="DF1121" s="20">
        <v>2688.7593094514118</v>
      </c>
      <c r="DG1121" s="20">
        <v>2706.264203238522</v>
      </c>
      <c r="DH1121" s="20">
        <v>2629.892481356711</v>
      </c>
      <c r="DI1121" s="20">
        <v>2608.0337939970709</v>
      </c>
      <c r="DJ1121" s="20">
        <v>2561.0944731366922</v>
      </c>
      <c r="DK1121" s="20">
        <v>2541.9417622629012</v>
      </c>
      <c r="DL1121" s="20">
        <v>2498.9446018278941</v>
      </c>
      <c r="DM1121" s="20">
        <v>2481.515741418285</v>
      </c>
      <c r="DN1121" s="20">
        <v>2443.2278499439249</v>
      </c>
      <c r="DO1121" s="20">
        <v>2428.4134502919542</v>
      </c>
    </row>
    <row r="1122" spans="1:230" ht="15.4" x14ac:dyDescent="0.45">
      <c r="A1122" s="5"/>
      <c r="B1122" s="15" t="s">
        <v>5962</v>
      </c>
      <c r="C1122" s="5"/>
      <c r="D1122" s="5"/>
      <c r="E1122" s="5"/>
      <c r="F1122" s="5"/>
      <c r="G1122" s="5"/>
      <c r="H1122" s="5"/>
      <c r="I1122" s="5"/>
      <c r="J1122" s="5"/>
      <c r="K1122" s="5"/>
      <c r="L1122" s="5"/>
      <c r="M1122" s="5"/>
      <c r="N1122" s="5"/>
      <c r="O1122" s="5"/>
      <c r="P1122" s="5"/>
      <c r="Q1122" s="5"/>
      <c r="R1122" s="5"/>
      <c r="S1122" s="5"/>
      <c r="T1122" s="5"/>
      <c r="U1122" s="5"/>
      <c r="V1122" s="5"/>
      <c r="W1122" s="5"/>
      <c r="X1122" s="5"/>
      <c r="Y1122" s="5"/>
      <c r="Z1122" s="5"/>
      <c r="AA1122" s="5"/>
      <c r="AB1122" s="5"/>
      <c r="AC1122" s="5"/>
      <c r="AD1122" s="5"/>
      <c r="AE1122" s="5"/>
      <c r="AF1122" s="5"/>
      <c r="AG1122" s="5"/>
      <c r="AH1122" s="5"/>
      <c r="AI1122" s="5"/>
      <c r="AJ1122" s="5"/>
      <c r="AK1122" s="5"/>
      <c r="AL1122" s="5"/>
      <c r="AM1122" s="5"/>
      <c r="AN1122" s="5"/>
      <c r="AO1122" s="5"/>
      <c r="AP1122" s="5"/>
      <c r="AQ1122" s="5"/>
      <c r="AR1122" s="5"/>
      <c r="AS1122" s="5"/>
      <c r="AT1122" s="5"/>
      <c r="AU1122" s="5"/>
      <c r="AV1122" s="5"/>
      <c r="AW1122" s="5"/>
      <c r="AX1122" s="5"/>
      <c r="AY1122" s="5"/>
      <c r="AZ1122" s="5"/>
      <c r="BA1122" s="5"/>
      <c r="BB1122" s="5"/>
      <c r="BC1122" s="5"/>
      <c r="BD1122" s="5"/>
      <c r="BE1122" s="5"/>
      <c r="BF1122" s="5"/>
      <c r="BG1122" s="5"/>
      <c r="BH1122" s="5"/>
      <c r="BI1122" s="5"/>
      <c r="BJ1122" s="5"/>
      <c r="BK1122" s="5"/>
      <c r="BL1122" s="5"/>
      <c r="BM1122" s="5"/>
      <c r="BN1122" s="5"/>
      <c r="BO1122" s="5"/>
      <c r="BP1122" s="5"/>
      <c r="BQ1122" s="5"/>
      <c r="BR1122" s="5"/>
      <c r="BS1122" s="5"/>
      <c r="BT1122" s="5"/>
      <c r="BU1122" s="5"/>
      <c r="BV1122" s="5"/>
      <c r="BW1122" s="5"/>
      <c r="BX1122" s="5"/>
      <c r="BY1122" s="5"/>
      <c r="BZ1122" s="5"/>
      <c r="CA1122" s="5"/>
      <c r="CB1122" s="5"/>
      <c r="CC1122" s="5"/>
      <c r="CD1122" s="5"/>
      <c r="CE1122" s="5"/>
      <c r="CF1122" s="5"/>
      <c r="CG1122" s="5"/>
      <c r="CH1122" s="5"/>
      <c r="CI1122" s="5"/>
      <c r="CJ1122" s="5"/>
      <c r="CK1122" s="5"/>
      <c r="CL1122" s="5"/>
      <c r="CM1122" s="5"/>
      <c r="CN1122" s="5"/>
      <c r="CO1122" s="5"/>
      <c r="CP1122" s="5"/>
      <c r="CQ1122" s="5"/>
      <c r="CR1122" s="5"/>
      <c r="CS1122" s="5"/>
      <c r="CT1122" s="5"/>
      <c r="CU1122" s="5"/>
      <c r="CV1122" s="5"/>
      <c r="CW1122" s="5"/>
      <c r="CX1122" s="5"/>
      <c r="CY1122" s="5"/>
      <c r="CZ1122" s="5"/>
      <c r="DA1122" s="5"/>
      <c r="DB1122" s="5"/>
      <c r="DC1122" s="5"/>
      <c r="DD1122" s="5"/>
      <c r="DE1122" s="5"/>
      <c r="DF1122" s="5"/>
      <c r="DG1122" s="5"/>
      <c r="DH1122" s="5"/>
      <c r="DI1122" s="5"/>
      <c r="DJ1122" s="5"/>
      <c r="DK1122" s="5"/>
      <c r="DL1122" s="5"/>
      <c r="DM1122" s="5"/>
      <c r="DN1122" s="5"/>
      <c r="DO1122" s="5"/>
      <c r="DP1122" s="5"/>
      <c r="DQ1122" s="5"/>
      <c r="DR1122" s="5"/>
      <c r="DS1122" s="5"/>
      <c r="DT1122" s="5"/>
      <c r="DU1122" s="5"/>
      <c r="DV1122" s="5"/>
      <c r="DW1122" s="5"/>
      <c r="DX1122" s="5"/>
      <c r="DY1122" s="5"/>
      <c r="DZ1122" s="5"/>
      <c r="EA1122" s="5"/>
      <c r="EB1122" s="5"/>
      <c r="EC1122" s="5"/>
      <c r="ED1122" s="5"/>
      <c r="EE1122" s="5"/>
      <c r="EF1122" s="5"/>
      <c r="EG1122" s="5"/>
      <c r="EH1122" s="5"/>
      <c r="EI1122" s="5"/>
      <c r="EJ1122" s="5"/>
      <c r="EK1122" s="5"/>
      <c r="EL1122" s="5"/>
      <c r="EM1122" s="5"/>
      <c r="EN1122" s="5"/>
      <c r="EO1122" s="5"/>
      <c r="EP1122" s="5"/>
      <c r="EQ1122" s="5"/>
      <c r="ER1122" s="5"/>
      <c r="ES1122" s="5"/>
      <c r="ET1122" s="5"/>
      <c r="EU1122" s="5"/>
      <c r="EV1122" s="5"/>
      <c r="EW1122" s="5"/>
      <c r="EX1122" s="5"/>
      <c r="EY1122" s="5"/>
      <c r="EZ1122" s="5"/>
      <c r="FA1122" s="5"/>
      <c r="FB1122" s="5"/>
      <c r="FC1122" s="5"/>
      <c r="FD1122" s="5"/>
      <c r="FE1122" s="5"/>
      <c r="FF1122" s="5"/>
      <c r="FG1122" s="5"/>
      <c r="FH1122" s="5"/>
      <c r="FI1122" s="5"/>
      <c r="FJ1122" s="5"/>
      <c r="FK1122" s="5"/>
      <c r="FL1122" s="5"/>
      <c r="FM1122" s="5"/>
      <c r="FN1122" s="5"/>
      <c r="FO1122" s="5"/>
      <c r="FP1122" s="5"/>
      <c r="FQ1122" s="5"/>
      <c r="FR1122" s="5"/>
      <c r="FS1122" s="5"/>
      <c r="FT1122" s="5"/>
      <c r="FU1122" s="5"/>
      <c r="FV1122" s="5"/>
      <c r="FW1122" s="5"/>
      <c r="FX1122" s="5"/>
      <c r="FY1122" s="5"/>
      <c r="FZ1122" s="5"/>
      <c r="GA1122" s="5"/>
      <c r="GB1122" s="5"/>
      <c r="GC1122" s="5"/>
      <c r="GD1122" s="5"/>
      <c r="GE1122" s="5"/>
      <c r="GF1122" s="5"/>
      <c r="GG1122" s="5"/>
      <c r="GH1122" s="5"/>
      <c r="GI1122" s="5"/>
      <c r="GJ1122" s="5"/>
      <c r="GK1122" s="5"/>
      <c r="GL1122" s="5"/>
      <c r="GM1122" s="5"/>
      <c r="GN1122" s="5"/>
      <c r="GO1122" s="5"/>
      <c r="GP1122" s="5"/>
      <c r="GQ1122" s="5"/>
      <c r="GR1122" s="5"/>
      <c r="GS1122" s="5"/>
      <c r="GT1122" s="5"/>
      <c r="GU1122" s="5"/>
      <c r="GV1122" s="5"/>
      <c r="GW1122" s="5"/>
      <c r="GX1122" s="5"/>
      <c r="GY1122" s="5"/>
      <c r="GZ1122" s="5"/>
      <c r="HA1122" s="5"/>
      <c r="HB1122" s="5"/>
      <c r="HC1122" s="5"/>
      <c r="HD1122" s="5"/>
      <c r="HE1122" s="5"/>
      <c r="HF1122" s="5"/>
      <c r="HG1122" s="5"/>
      <c r="HH1122" s="5"/>
      <c r="HI1122" s="5"/>
      <c r="HJ1122" s="5"/>
      <c r="HK1122" s="5"/>
      <c r="HL1122" s="5"/>
      <c r="HM1122" s="5"/>
      <c r="HN1122" s="5"/>
      <c r="HO1122" s="5"/>
      <c r="HP1122" s="5"/>
      <c r="HQ1122" s="5"/>
      <c r="HR1122" s="5"/>
      <c r="HS1122" s="5"/>
      <c r="HT1122" s="5"/>
      <c r="HU1122" s="5"/>
      <c r="HV1122" s="5"/>
    </row>
    <row r="1123" spans="1:230" x14ac:dyDescent="0.45">
      <c r="A1123" s="16" t="s">
        <v>2694</v>
      </c>
      <c r="B1123" s="3" t="s">
        <v>89</v>
      </c>
      <c r="C1123" s="16"/>
      <c r="H1123" s="3" t="s">
        <v>5963</v>
      </c>
      <c r="I1123" s="3" t="s">
        <v>2363</v>
      </c>
      <c r="K1123" s="17" t="s">
        <v>5964</v>
      </c>
      <c r="L1123" s="20">
        <v>81113.708079860284</v>
      </c>
      <c r="M1123" s="20">
        <v>78855.812320874102</v>
      </c>
      <c r="N1123" s="20">
        <v>92610.017710384302</v>
      </c>
      <c r="O1123" s="20">
        <v>98351.325875190203</v>
      </c>
      <c r="P1123" s="20">
        <v>100747.7846068245</v>
      </c>
      <c r="Q1123" s="20">
        <v>103071.74442992891</v>
      </c>
      <c r="R1123" s="20">
        <v>105765.9991156515</v>
      </c>
      <c r="S1123" s="20">
        <v>108426.1821833525</v>
      </c>
      <c r="T1123" s="20">
        <v>110448.27535375521</v>
      </c>
      <c r="U1123" s="20">
        <v>111668.5185031631</v>
      </c>
      <c r="V1123" s="20">
        <v>112729.34928644171</v>
      </c>
      <c r="W1123" s="20">
        <v>115054.5081334649</v>
      </c>
      <c r="X1123" s="20">
        <v>117127.1524537572</v>
      </c>
      <c r="Y1123" s="20">
        <v>119413.7093001336</v>
      </c>
      <c r="Z1123" s="20">
        <v>121717.6985175705</v>
      </c>
      <c r="AA1123" s="20">
        <v>124063.2988462041</v>
      </c>
      <c r="AB1123" s="20">
        <v>126443.902295104</v>
      </c>
      <c r="AC1123" s="20">
        <v>128860.3410138458</v>
      </c>
      <c r="AD1123" s="20">
        <v>131317.32651250111</v>
      </c>
      <c r="AE1123" s="20">
        <v>133816.2152374016</v>
      </c>
      <c r="AG1123" s="17" t="s">
        <v>5965</v>
      </c>
      <c r="AH1123" s="20">
        <v>81113.708079860284</v>
      </c>
      <c r="AI1123" s="20">
        <v>78833.344805517045</v>
      </c>
      <c r="AJ1123" s="20">
        <v>92588.365406364785</v>
      </c>
      <c r="AK1123" s="20">
        <v>98330.461121614484</v>
      </c>
      <c r="AL1123" s="20">
        <v>100726.8980677494</v>
      </c>
      <c r="AM1123" s="20">
        <v>94748.898279973655</v>
      </c>
      <c r="AN1123" s="20">
        <v>92876.205862372299</v>
      </c>
      <c r="AO1123" s="20">
        <v>96681.650975408149</v>
      </c>
      <c r="AP1123" s="20">
        <v>98016.178635389806</v>
      </c>
      <c r="AQ1123" s="20">
        <v>99612.144204939017</v>
      </c>
      <c r="AR1123" s="20">
        <v>100456.0353775007</v>
      </c>
      <c r="AS1123" s="20">
        <v>102829.5458492359</v>
      </c>
      <c r="AT1123" s="20">
        <v>104624.31194407849</v>
      </c>
      <c r="AU1123" s="20">
        <v>106777.17868739839</v>
      </c>
      <c r="AV1123" s="20">
        <v>108958.6080123376</v>
      </c>
      <c r="AW1123" s="20">
        <v>111224.32153629239</v>
      </c>
      <c r="AX1123" s="20">
        <v>113464.2718127722</v>
      </c>
      <c r="AY1123" s="20">
        <v>115716.5267136219</v>
      </c>
      <c r="AZ1123" s="20">
        <v>117932.5310166955</v>
      </c>
      <c r="BA1123" s="20">
        <v>120171.4231916385</v>
      </c>
      <c r="BC1123" s="17" t="s">
        <v>5966</v>
      </c>
      <c r="BD1123" s="20">
        <v>81113.708079860284</v>
      </c>
      <c r="BE1123" s="20">
        <v>78777.801430585416</v>
      </c>
      <c r="BF1123" s="20">
        <v>92534.839049682007</v>
      </c>
      <c r="BG1123" s="20">
        <v>98278.883247160207</v>
      </c>
      <c r="BH1123" s="20">
        <v>100675.3767478112</v>
      </c>
      <c r="BI1123" s="20">
        <v>97641.886432438754</v>
      </c>
      <c r="BJ1123" s="20">
        <v>92296.989108198002</v>
      </c>
      <c r="BK1123" s="20">
        <v>87028.699251567712</v>
      </c>
      <c r="BL1123" s="20">
        <v>83688.363725265212</v>
      </c>
      <c r="BM1123" s="20">
        <v>81893.339677457188</v>
      </c>
      <c r="BN1123" s="20">
        <v>78838.327497859194</v>
      </c>
      <c r="BO1123" s="20">
        <v>77350.894634927434</v>
      </c>
      <c r="BP1123" s="20">
        <v>75088.34806650161</v>
      </c>
      <c r="BQ1123" s="20">
        <v>73716.033405941518</v>
      </c>
      <c r="BR1123" s="20">
        <v>71915.893443576293</v>
      </c>
      <c r="BS1123" s="20">
        <v>70805.513979130832</v>
      </c>
      <c r="BT1123" s="20">
        <v>69218.635716280536</v>
      </c>
      <c r="BU1123" s="20">
        <v>68377.34577491376</v>
      </c>
      <c r="BV1123" s="20">
        <v>66813.751151487508</v>
      </c>
      <c r="BW1123" s="20">
        <v>66304.070060910104</v>
      </c>
      <c r="BY1123" s="17" t="s">
        <v>5967</v>
      </c>
      <c r="BZ1123" s="20">
        <v>81113.708079860284</v>
      </c>
      <c r="CA1123" s="20">
        <v>78723.564549850504</v>
      </c>
      <c r="CB1123" s="20">
        <v>92482.505199082574</v>
      </c>
      <c r="CC1123" s="20">
        <v>98228.388438418435</v>
      </c>
      <c r="CD1123" s="20">
        <v>100624.78793196251</v>
      </c>
      <c r="CE1123" s="20">
        <v>93461.427388359734</v>
      </c>
      <c r="CF1123" s="20">
        <v>95731.122188442707</v>
      </c>
      <c r="CG1123" s="20">
        <v>98023.606119896256</v>
      </c>
      <c r="CH1123" s="20">
        <v>99554.892611543299</v>
      </c>
      <c r="CI1123" s="20">
        <v>99951.713722348271</v>
      </c>
      <c r="CJ1123" s="20">
        <v>99634.583276052086</v>
      </c>
      <c r="CK1123" s="20">
        <v>101135.343001382</v>
      </c>
      <c r="CL1123" s="20">
        <v>100758.1876194801</v>
      </c>
      <c r="CM1123" s="20">
        <v>100927.4833112144</v>
      </c>
      <c r="CN1123" s="20">
        <v>101292.157087723</v>
      </c>
      <c r="CO1123" s="20">
        <v>101412.8265464853</v>
      </c>
      <c r="CP1123" s="20">
        <v>101751.08533559721</v>
      </c>
      <c r="CQ1123" s="20">
        <v>102185.6194797627</v>
      </c>
      <c r="CR1123" s="20">
        <v>102534.1606618919</v>
      </c>
      <c r="CS1123" s="20">
        <v>103068.72181899509</v>
      </c>
      <c r="CU1123" s="17" t="s">
        <v>5968</v>
      </c>
      <c r="CV1123" s="20">
        <v>81113.708079860284</v>
      </c>
      <c r="CW1123" s="20">
        <v>78802.125907105728</v>
      </c>
      <c r="CX1123" s="20">
        <v>92558.279920364352</v>
      </c>
      <c r="CY1123" s="20">
        <v>98301.470552002284</v>
      </c>
      <c r="CZ1123" s="20">
        <v>100697.9206934984</v>
      </c>
      <c r="DA1123" s="20">
        <v>86727.353778751654</v>
      </c>
      <c r="DB1123" s="20">
        <v>79792.669938063074</v>
      </c>
      <c r="DC1123" s="20">
        <v>83367.594420003661</v>
      </c>
      <c r="DD1123" s="20">
        <v>83982.136544186113</v>
      </c>
      <c r="DE1123" s="20">
        <v>87038.666322039469</v>
      </c>
      <c r="DF1123" s="20">
        <v>86471.040251331273</v>
      </c>
      <c r="DG1123" s="20">
        <v>87960.826971452509</v>
      </c>
      <c r="DH1123" s="20">
        <v>88142.883160320693</v>
      </c>
      <c r="DI1123" s="20">
        <v>89101.98041169066</v>
      </c>
      <c r="DJ1123" s="20">
        <v>89744.798179089412</v>
      </c>
      <c r="DK1123" s="20">
        <v>90845.076826391567</v>
      </c>
      <c r="DL1123" s="20">
        <v>91595.291053110152</v>
      </c>
      <c r="DM1123" s="20">
        <v>92705.168459792942</v>
      </c>
      <c r="DN1123" s="20">
        <v>93496.204238824808</v>
      </c>
      <c r="DO1123" s="20">
        <v>94617.628049377352</v>
      </c>
    </row>
    <row r="1124" spans="1:230" x14ac:dyDescent="0.45">
      <c r="A1124" s="16" t="s">
        <v>5969</v>
      </c>
      <c r="B1124" s="3" t="s">
        <v>89</v>
      </c>
      <c r="C1124" s="16"/>
      <c r="H1124" s="3" t="s">
        <v>5970</v>
      </c>
      <c r="I1124" s="3" t="s">
        <v>2363</v>
      </c>
      <c r="K1124" s="17" t="s">
        <v>5971</v>
      </c>
      <c r="L1124" s="20">
        <v>95.817106428539162</v>
      </c>
      <c r="M1124" s="20">
        <v>83.157474995928325</v>
      </c>
      <c r="N1124" s="20">
        <v>95.315290789085125</v>
      </c>
      <c r="O1124" s="20">
        <v>98.414002149286702</v>
      </c>
      <c r="P1124" s="20">
        <v>101.4598991041145</v>
      </c>
      <c r="Q1124" s="20">
        <v>105.0492271672851</v>
      </c>
      <c r="R1124" s="20">
        <v>109.30992738730529</v>
      </c>
      <c r="S1124" s="20">
        <v>113.4274087998178</v>
      </c>
      <c r="T1124" s="20">
        <v>117.3158817399094</v>
      </c>
      <c r="U1124" s="20">
        <v>121.26261346326081</v>
      </c>
      <c r="V1124" s="20">
        <v>125.28112372707599</v>
      </c>
      <c r="W1124" s="20">
        <v>129.37084371961581</v>
      </c>
      <c r="X1124" s="20">
        <v>133.53116251670011</v>
      </c>
      <c r="Y1124" s="20">
        <v>137.76142673827431</v>
      </c>
      <c r="Z1124" s="20">
        <v>142.0609400479722</v>
      </c>
      <c r="AA1124" s="20">
        <v>146.42896249089421</v>
      </c>
      <c r="AB1124" s="20">
        <v>150.86470966516711</v>
      </c>
      <c r="AC1124" s="20">
        <v>155.36735172316881</v>
      </c>
      <c r="AD1124" s="20">
        <v>159.93601219857209</v>
      </c>
      <c r="AE1124" s="20">
        <v>164.56976665561251</v>
      </c>
      <c r="AG1124" s="17" t="s">
        <v>5972</v>
      </c>
      <c r="AH1124" s="20">
        <v>95.817106428539162</v>
      </c>
      <c r="AI1124" s="20">
        <v>83.157474995928325</v>
      </c>
      <c r="AJ1124" s="20">
        <v>95.315290789085125</v>
      </c>
      <c r="AK1124" s="20">
        <v>98.414002149286702</v>
      </c>
      <c r="AL1124" s="20">
        <v>101.4598991041145</v>
      </c>
      <c r="AM1124" s="20">
        <v>105.04923214657791</v>
      </c>
      <c r="AN1124" s="20">
        <v>109.309915982156</v>
      </c>
      <c r="AO1124" s="20">
        <v>113.4801011248915</v>
      </c>
      <c r="AP1124" s="20">
        <v>117.2479623231268</v>
      </c>
      <c r="AQ1124" s="20">
        <v>121.2141462405404</v>
      </c>
      <c r="AR1124" s="20">
        <v>125.1792148007132</v>
      </c>
      <c r="AS1124" s="20">
        <v>129.33571860699141</v>
      </c>
      <c r="AT1124" s="20">
        <v>133.62489524838441</v>
      </c>
      <c r="AU1124" s="20">
        <v>137.96018112896809</v>
      </c>
      <c r="AV1124" s="20">
        <v>142.39499427168181</v>
      </c>
      <c r="AW1124" s="20">
        <v>146.96587362659599</v>
      </c>
      <c r="AX1124" s="20">
        <v>151.5521788323716</v>
      </c>
      <c r="AY1124" s="20">
        <v>156.17788569662139</v>
      </c>
      <c r="AZ1124" s="20">
        <v>160.79647689275831</v>
      </c>
      <c r="BA1124" s="20">
        <v>165.45915467516531</v>
      </c>
      <c r="BC1124" s="17" t="s">
        <v>5973</v>
      </c>
      <c r="BD1124" s="20">
        <v>95.817106428539162</v>
      </c>
      <c r="BE1124" s="20">
        <v>83.157474995928325</v>
      </c>
      <c r="BF1124" s="20">
        <v>95.315290789085125</v>
      </c>
      <c r="BG1124" s="20">
        <v>98.414002149286702</v>
      </c>
      <c r="BH1124" s="20">
        <v>101.4598991041145</v>
      </c>
      <c r="BI1124" s="20">
        <v>102.8713597574591</v>
      </c>
      <c r="BJ1124" s="20">
        <v>104.3631345752855</v>
      </c>
      <c r="BK1124" s="20">
        <v>105.8667456212162</v>
      </c>
      <c r="BL1124" s="20">
        <v>107.1934193146778</v>
      </c>
      <c r="BM1124" s="20">
        <v>110.7686000721306</v>
      </c>
      <c r="BN1124" s="20">
        <v>114.3835875420671</v>
      </c>
      <c r="BO1124" s="20">
        <v>118.1061018160607</v>
      </c>
      <c r="BP1124" s="20">
        <v>121.97331881871411</v>
      </c>
      <c r="BQ1124" s="20">
        <v>125.9631406351829</v>
      </c>
      <c r="BR1124" s="20">
        <v>130.07572866980189</v>
      </c>
      <c r="BS1124" s="20">
        <v>134.33619959464269</v>
      </c>
      <c r="BT1124" s="20">
        <v>138.71462344222141</v>
      </c>
      <c r="BU1124" s="20">
        <v>143.19074770282219</v>
      </c>
      <c r="BV1124" s="20">
        <v>147.71364096509379</v>
      </c>
      <c r="BW1124" s="20">
        <v>152.26887671715059</v>
      </c>
      <c r="BY1124" s="17" t="s">
        <v>5974</v>
      </c>
      <c r="BZ1124" s="20">
        <v>95.817106428539162</v>
      </c>
      <c r="CA1124" s="20">
        <v>83.157474995928325</v>
      </c>
      <c r="CB1124" s="20">
        <v>95.315290789085125</v>
      </c>
      <c r="CC1124" s="20">
        <v>98.414002149286702</v>
      </c>
      <c r="CD1124" s="20">
        <v>101.4598991041145</v>
      </c>
      <c r="CE1124" s="20">
        <v>105.04925351220299</v>
      </c>
      <c r="CF1124" s="20">
        <v>109.3098614451025</v>
      </c>
      <c r="CG1124" s="20">
        <v>113.4722268587567</v>
      </c>
      <c r="CH1124" s="20">
        <v>117.2473618148708</v>
      </c>
      <c r="CI1124" s="20">
        <v>121.2383079118417</v>
      </c>
      <c r="CJ1124" s="20">
        <v>125.1977133166663</v>
      </c>
      <c r="CK1124" s="20">
        <v>129.36348806781291</v>
      </c>
      <c r="CL1124" s="20">
        <v>133.60961631891459</v>
      </c>
      <c r="CM1124" s="20">
        <v>137.90984473249989</v>
      </c>
      <c r="CN1124" s="20">
        <v>142.30724428952851</v>
      </c>
      <c r="CO1124" s="20">
        <v>146.82361265467719</v>
      </c>
      <c r="CP1124" s="20">
        <v>151.35817768401981</v>
      </c>
      <c r="CQ1124" s="20">
        <v>155.95094843101251</v>
      </c>
      <c r="CR1124" s="20">
        <v>160.55189847918811</v>
      </c>
      <c r="CS1124" s="20">
        <v>165.22614407685961</v>
      </c>
      <c r="CU1124" s="17" t="s">
        <v>5975</v>
      </c>
      <c r="CV1124" s="20">
        <v>95.817106428539162</v>
      </c>
      <c r="CW1124" s="20">
        <v>83.157474995928325</v>
      </c>
      <c r="CX1124" s="20">
        <v>95.315290789085125</v>
      </c>
      <c r="CY1124" s="20">
        <v>98.414002149286702</v>
      </c>
      <c r="CZ1124" s="20">
        <v>101.4598991041145</v>
      </c>
      <c r="DA1124" s="20">
        <v>105.049238480832</v>
      </c>
      <c r="DB1124" s="20">
        <v>109.3099013815432</v>
      </c>
      <c r="DC1124" s="20">
        <v>113.5402190387632</v>
      </c>
      <c r="DD1124" s="20">
        <v>117.16629206974051</v>
      </c>
      <c r="DE1124" s="20">
        <v>121.166956153287</v>
      </c>
      <c r="DF1124" s="20">
        <v>125.0620432776584</v>
      </c>
      <c r="DG1124" s="20">
        <v>129.30368215649969</v>
      </c>
      <c r="DH1124" s="20">
        <v>133.7287538475816</v>
      </c>
      <c r="DI1124" s="20">
        <v>138.17992440705899</v>
      </c>
      <c r="DJ1124" s="20">
        <v>142.76251740559019</v>
      </c>
      <c r="DK1124" s="20">
        <v>147.5581703932734</v>
      </c>
      <c r="DL1124" s="20">
        <v>152.3060195306582</v>
      </c>
      <c r="DM1124" s="20">
        <v>157.0701119921176</v>
      </c>
      <c r="DN1124" s="20">
        <v>161.74510031256861</v>
      </c>
      <c r="DO1124" s="20">
        <v>166.446343752795</v>
      </c>
    </row>
    <row r="1125" spans="1:230" x14ac:dyDescent="0.45">
      <c r="A1125" s="16" t="s">
        <v>5976</v>
      </c>
      <c r="B1125" s="3" t="s">
        <v>89</v>
      </c>
      <c r="C1125" s="16"/>
      <c r="H1125" s="3" t="s">
        <v>5977</v>
      </c>
      <c r="I1125" s="3" t="s">
        <v>92</v>
      </c>
      <c r="K1125" s="17" t="s">
        <v>5978</v>
      </c>
      <c r="L1125" s="22">
        <v>0</v>
      </c>
      <c r="M1125" s="22">
        <v>0</v>
      </c>
      <c r="N1125" s="22">
        <v>0</v>
      </c>
      <c r="O1125" s="22">
        <v>0</v>
      </c>
      <c r="P1125" s="22">
        <v>0</v>
      </c>
      <c r="Q1125" s="22">
        <v>0</v>
      </c>
      <c r="R1125" s="22">
        <v>0</v>
      </c>
      <c r="S1125" s="22">
        <v>0</v>
      </c>
      <c r="T1125" s="22">
        <v>0</v>
      </c>
      <c r="U1125" s="22">
        <v>0</v>
      </c>
      <c r="V1125" s="22">
        <v>0</v>
      </c>
      <c r="W1125" s="22">
        <v>0</v>
      </c>
      <c r="X1125" s="22">
        <v>0</v>
      </c>
      <c r="Y1125" s="22">
        <v>0</v>
      </c>
      <c r="Z1125" s="22">
        <v>0</v>
      </c>
      <c r="AA1125" s="22">
        <v>0</v>
      </c>
      <c r="AB1125" s="22">
        <v>0</v>
      </c>
      <c r="AC1125" s="22">
        <v>0</v>
      </c>
      <c r="AD1125" s="22">
        <v>0</v>
      </c>
      <c r="AE1125" s="22">
        <v>0</v>
      </c>
      <c r="AG1125" s="17" t="s">
        <v>5979</v>
      </c>
      <c r="AH1125" s="22">
        <v>0</v>
      </c>
      <c r="AI1125" s="22">
        <v>-2.8491895138471612E-4</v>
      </c>
      <c r="AJ1125" s="22">
        <v>-2.3380088412494621E-4</v>
      </c>
      <c r="AK1125" s="22">
        <v>-2.1214511741507461E-4</v>
      </c>
      <c r="AL1125" s="22">
        <v>-2.073151201944512E-4</v>
      </c>
      <c r="AM1125" s="22">
        <v>-8.0748086645737738E-2</v>
      </c>
      <c r="AN1125" s="22">
        <v>-0.121870859832607</v>
      </c>
      <c r="AO1125" s="22">
        <v>-0.1083182214060066</v>
      </c>
      <c r="AP1125" s="22">
        <v>-0.1125603516989884</v>
      </c>
      <c r="AQ1125" s="22">
        <v>-0.1079657405670927</v>
      </c>
      <c r="AR1125" s="22">
        <v>-0.10887416619211419</v>
      </c>
      <c r="AS1125" s="22">
        <v>-0.10625365735385039</v>
      </c>
      <c r="AT1125" s="22">
        <v>-0.10674587615040849</v>
      </c>
      <c r="AU1125" s="22">
        <v>-0.1058214394879452</v>
      </c>
      <c r="AV1125" s="22">
        <v>-0.1048252691320077</v>
      </c>
      <c r="AW1125" s="22">
        <v>-0.103487311955389</v>
      </c>
      <c r="AX1125" s="22">
        <v>-0.1026512963198415</v>
      </c>
      <c r="AY1125" s="22">
        <v>-0.1020004618706669</v>
      </c>
      <c r="AZ1125" s="22">
        <v>-0.1019271093257557</v>
      </c>
      <c r="BA1125" s="22">
        <v>-0.10196665644410879</v>
      </c>
      <c r="BC1125" s="17" t="s">
        <v>5980</v>
      </c>
      <c r="BD1125" s="22">
        <v>0</v>
      </c>
      <c r="BE1125" s="22">
        <v>-9.8928522822450127E-4</v>
      </c>
      <c r="BF1125" s="22">
        <v>-8.1177676628241269E-4</v>
      </c>
      <c r="BG1125" s="22">
        <v>-7.365699179483487E-4</v>
      </c>
      <c r="BH1125" s="22">
        <v>-7.1870423052855514E-4</v>
      </c>
      <c r="BI1125" s="22">
        <v>-5.2680373535169078E-2</v>
      </c>
      <c r="BJ1125" s="22">
        <v>-0.1273472582878511</v>
      </c>
      <c r="BK1125" s="22">
        <v>-0.19734608837928941</v>
      </c>
      <c r="BL1125" s="22">
        <v>-0.24228455847572611</v>
      </c>
      <c r="BM1125" s="22">
        <v>-0.26663897063219771</v>
      </c>
      <c r="BN1125" s="22">
        <v>-0.30064062289995541</v>
      </c>
      <c r="BO1125" s="22">
        <v>-0.32770218316696231</v>
      </c>
      <c r="BP1125" s="22">
        <v>-0.35891596018995592</v>
      </c>
      <c r="BQ1125" s="22">
        <v>-0.38268366473179249</v>
      </c>
      <c r="BR1125" s="22">
        <v>-0.4091582874186952</v>
      </c>
      <c r="BS1125" s="22">
        <v>-0.42927912897991422</v>
      </c>
      <c r="BT1125" s="22">
        <v>-0.45257434751789738</v>
      </c>
      <c r="BU1125" s="22">
        <v>-0.46936857968141832</v>
      </c>
      <c r="BV1125" s="22">
        <v>-0.4912038424333367</v>
      </c>
      <c r="BW1125" s="22">
        <v>-0.50451393395575472</v>
      </c>
      <c r="BY1125" s="17" t="s">
        <v>5981</v>
      </c>
      <c r="BZ1125" s="22">
        <v>0</v>
      </c>
      <c r="CA1125" s="22">
        <v>-1.677083364324039E-3</v>
      </c>
      <c r="CB1125" s="22">
        <v>-1.37687600601144E-3</v>
      </c>
      <c r="CC1125" s="22">
        <v>-1.2499825058563949E-3</v>
      </c>
      <c r="CD1125" s="22">
        <v>-1.220837513618789E-3</v>
      </c>
      <c r="CE1125" s="22">
        <v>-9.3239103448981786E-2</v>
      </c>
      <c r="CF1125" s="22">
        <v>-9.4878098927009602E-2</v>
      </c>
      <c r="CG1125" s="22">
        <v>-9.5941550776593276E-2</v>
      </c>
      <c r="CH1125" s="22">
        <v>-9.862881703966353E-2</v>
      </c>
      <c r="CI1125" s="22">
        <v>-0.1049248699442803</v>
      </c>
      <c r="CJ1125" s="22">
        <v>-0.1161611070522212</v>
      </c>
      <c r="CK1125" s="22">
        <v>-0.1209788765159597</v>
      </c>
      <c r="CL1125" s="22">
        <v>-0.1397538016707075</v>
      </c>
      <c r="CM1125" s="22">
        <v>-0.1548082384950964</v>
      </c>
      <c r="CN1125" s="22">
        <v>-0.16781077590699731</v>
      </c>
      <c r="CO1125" s="22">
        <v>-0.18257190087938621</v>
      </c>
      <c r="CP1125" s="22">
        <v>-0.19528673594616591</v>
      </c>
      <c r="CQ1125" s="22">
        <v>-0.20700489634135691</v>
      </c>
      <c r="CR1125" s="22">
        <v>-0.2191878757741014</v>
      </c>
      <c r="CS1125" s="22">
        <v>-0.2297740476657314</v>
      </c>
      <c r="CU1125" s="17" t="s">
        <v>5982</v>
      </c>
      <c r="CV1125" s="22">
        <v>0</v>
      </c>
      <c r="CW1125" s="22">
        <v>-6.8081745895809398E-4</v>
      </c>
      <c r="CX1125" s="22">
        <v>-5.5866299671536446E-4</v>
      </c>
      <c r="CY1125" s="22">
        <v>-5.069105347007552E-4</v>
      </c>
      <c r="CZ1125" s="22">
        <v>-4.9493806261535767E-4</v>
      </c>
      <c r="DA1125" s="22">
        <v>-0.15857295073033931</v>
      </c>
      <c r="DB1125" s="22">
        <v>-0.24557352452358039</v>
      </c>
      <c r="DC1125" s="22">
        <v>-0.23111196261594741</v>
      </c>
      <c r="DD1125" s="22">
        <v>-0.23962473587569019</v>
      </c>
      <c r="DE1125" s="22">
        <v>-0.22056218271066241</v>
      </c>
      <c r="DF1125" s="22">
        <v>-0.23293232154111759</v>
      </c>
      <c r="DG1125" s="22">
        <v>-0.23548561113818611</v>
      </c>
      <c r="DH1125" s="22">
        <v>-0.24745986465332859</v>
      </c>
      <c r="DI1125" s="22">
        <v>-0.25383793088830042</v>
      </c>
      <c r="DJ1125" s="22">
        <v>-0.26268078289260172</v>
      </c>
      <c r="DK1125" s="22">
        <v>-0.2677522065650676</v>
      </c>
      <c r="DL1125" s="22">
        <v>-0.27560531278654798</v>
      </c>
      <c r="DM1125" s="22">
        <v>-0.28057641528488608</v>
      </c>
      <c r="DN1125" s="22">
        <v>-0.28801319123775981</v>
      </c>
      <c r="DO1125" s="22">
        <v>-0.2929285297636206</v>
      </c>
    </row>
    <row r="1126" spans="1:230" x14ac:dyDescent="0.45">
      <c r="A1126" s="16" t="s">
        <v>5983</v>
      </c>
      <c r="B1126" s="3" t="s">
        <v>89</v>
      </c>
      <c r="C1126" s="16"/>
      <c r="H1126" s="3" t="s">
        <v>5984</v>
      </c>
      <c r="I1126" s="3" t="s">
        <v>2363</v>
      </c>
      <c r="K1126" s="17" t="s">
        <v>5985</v>
      </c>
      <c r="L1126" s="20">
        <v>43.293249150090787</v>
      </c>
      <c r="M1126" s="20">
        <v>40.533742718883083</v>
      </c>
      <c r="N1126" s="20">
        <v>46.142505901264229</v>
      </c>
      <c r="O1126" s="20">
        <v>51.327060346285514</v>
      </c>
      <c r="P1126" s="20">
        <v>54.048364937108573</v>
      </c>
      <c r="Q1126" s="20">
        <v>56.740817686071033</v>
      </c>
      <c r="R1126" s="20">
        <v>59.800145950119742</v>
      </c>
      <c r="S1126" s="20">
        <v>62.918551870679458</v>
      </c>
      <c r="T1126" s="20">
        <v>65.593185964882409</v>
      </c>
      <c r="U1126" s="20">
        <v>68.357727337154969</v>
      </c>
      <c r="V1126" s="20">
        <v>71.149349436218742</v>
      </c>
      <c r="W1126" s="20">
        <v>75.070386278176059</v>
      </c>
      <c r="X1126" s="20">
        <v>79.081433389450922</v>
      </c>
      <c r="Y1126" s="20">
        <v>83.278180666810286</v>
      </c>
      <c r="Z1126" s="20">
        <v>87.603697153419631</v>
      </c>
      <c r="AA1126" s="20">
        <v>92.059272134486747</v>
      </c>
      <c r="AB1126" s="20">
        <v>96.643796589186024</v>
      </c>
      <c r="AC1126" s="20">
        <v>101.3583300877138</v>
      </c>
      <c r="AD1126" s="20">
        <v>106.2064746575405</v>
      </c>
      <c r="AE1126" s="20">
        <v>111.1900197855317</v>
      </c>
      <c r="AG1126" s="17" t="s">
        <v>5986</v>
      </c>
      <c r="AH1126" s="20">
        <v>43.293249150090787</v>
      </c>
      <c r="AI1126" s="20">
        <v>40.533742718883083</v>
      </c>
      <c r="AJ1126" s="20">
        <v>46.142505901264229</v>
      </c>
      <c r="AK1126" s="20">
        <v>51.327060346285514</v>
      </c>
      <c r="AL1126" s="20">
        <v>54.047744826094338</v>
      </c>
      <c r="AM1126" s="20">
        <v>56.739176374869487</v>
      </c>
      <c r="AN1126" s="20">
        <v>56.16323097627933</v>
      </c>
      <c r="AO1126" s="20">
        <v>59.21708815981269</v>
      </c>
      <c r="AP1126" s="20">
        <v>61.362650001338928</v>
      </c>
      <c r="AQ1126" s="20">
        <v>64.570115030329077</v>
      </c>
      <c r="AR1126" s="20">
        <v>67.364118742138302</v>
      </c>
      <c r="AS1126" s="20">
        <v>71.285075592525132</v>
      </c>
      <c r="AT1126" s="20">
        <v>75.272180612069079</v>
      </c>
      <c r="AU1126" s="20">
        <v>79.454259058929878</v>
      </c>
      <c r="AV1126" s="20">
        <v>83.790687430157092</v>
      </c>
      <c r="AW1126" s="20">
        <v>88.310225701887731</v>
      </c>
      <c r="AX1126" s="20">
        <v>92.913127445257032</v>
      </c>
      <c r="AY1126" s="20">
        <v>97.6227902433303</v>
      </c>
      <c r="AZ1126" s="20">
        <v>102.3949145182079</v>
      </c>
      <c r="BA1126" s="20">
        <v>107.2794238884876</v>
      </c>
      <c r="BC1126" s="17" t="s">
        <v>5987</v>
      </c>
      <c r="BD1126" s="20">
        <v>43.293249150090787</v>
      </c>
      <c r="BE1126" s="20">
        <v>40.533742718883083</v>
      </c>
      <c r="BF1126" s="20">
        <v>46.142505901264229</v>
      </c>
      <c r="BG1126" s="20">
        <v>51.327060346285514</v>
      </c>
      <c r="BH1126" s="20">
        <v>54.046298068599711</v>
      </c>
      <c r="BI1126" s="20">
        <v>56.735281016787297</v>
      </c>
      <c r="BJ1126" s="20">
        <v>57.869873893299477</v>
      </c>
      <c r="BK1126" s="20">
        <v>58.633522815034581</v>
      </c>
      <c r="BL1126" s="20">
        <v>59.172276361656067</v>
      </c>
      <c r="BM1126" s="20">
        <v>60.374437774818453</v>
      </c>
      <c r="BN1126" s="20">
        <v>61.541989218725327</v>
      </c>
      <c r="BO1126" s="20">
        <v>63.247702338117037</v>
      </c>
      <c r="BP1126" s="20">
        <v>65.100867798571969</v>
      </c>
      <c r="BQ1126" s="20">
        <v>67.378988638230851</v>
      </c>
      <c r="BR1126" s="20">
        <v>69.802728376010649</v>
      </c>
      <c r="BS1126" s="20">
        <v>72.647176973278334</v>
      </c>
      <c r="BT1126" s="20">
        <v>75.591949186702678</v>
      </c>
      <c r="BU1126" s="20">
        <v>78.964043315065339</v>
      </c>
      <c r="BV1126" s="20">
        <v>82.298077627648325</v>
      </c>
      <c r="BW1126" s="20">
        <v>86.128227037690507</v>
      </c>
      <c r="BY1126" s="17" t="s">
        <v>5988</v>
      </c>
      <c r="BZ1126" s="20">
        <v>43.293249150090787</v>
      </c>
      <c r="CA1126" s="20">
        <v>40.533742718883083</v>
      </c>
      <c r="CB1126" s="20">
        <v>46.142505901264229</v>
      </c>
      <c r="CC1126" s="20">
        <v>51.327060346285514</v>
      </c>
      <c r="CD1126" s="20">
        <v>54.044815420555878</v>
      </c>
      <c r="CE1126" s="20">
        <v>56.731339711903424</v>
      </c>
      <c r="CF1126" s="20">
        <v>59.786084631102497</v>
      </c>
      <c r="CG1126" s="20">
        <v>62.936834006338977</v>
      </c>
      <c r="CH1126" s="20">
        <v>65.511102958568429</v>
      </c>
      <c r="CI1126" s="20">
        <v>68.310607637850325</v>
      </c>
      <c r="CJ1126" s="20">
        <v>71.042759100560971</v>
      </c>
      <c r="CK1126" s="20">
        <v>75.07255284382353</v>
      </c>
      <c r="CL1126" s="20">
        <v>79.22778490850655</v>
      </c>
      <c r="CM1126" s="20">
        <v>83.543112682805329</v>
      </c>
      <c r="CN1126" s="20">
        <v>88.152808831861407</v>
      </c>
      <c r="CO1126" s="20">
        <v>92.918986478480363</v>
      </c>
      <c r="CP1126" s="20">
        <v>97.787654322343116</v>
      </c>
      <c r="CQ1126" s="20">
        <v>102.8093443182356</v>
      </c>
      <c r="CR1126" s="20">
        <v>107.8972787365575</v>
      </c>
      <c r="CS1126" s="20">
        <v>113.1306132306073</v>
      </c>
      <c r="CU1126" s="17" t="s">
        <v>5989</v>
      </c>
      <c r="CV1126" s="20">
        <v>43.293249150090787</v>
      </c>
      <c r="CW1126" s="20">
        <v>40.533742718883083</v>
      </c>
      <c r="CX1126" s="20">
        <v>46.142505901264229</v>
      </c>
      <c r="CY1126" s="20">
        <v>51.327060346285514</v>
      </c>
      <c r="CZ1126" s="20">
        <v>54.046917129146699</v>
      </c>
      <c r="DA1126" s="20">
        <v>56.736959594097158</v>
      </c>
      <c r="DB1126" s="20">
        <v>51.983120240669187</v>
      </c>
      <c r="DC1126" s="20">
        <v>55.01462425837132</v>
      </c>
      <c r="DD1126" s="20">
        <v>56.662103150880696</v>
      </c>
      <c r="DE1126" s="20">
        <v>59.794390626242233</v>
      </c>
      <c r="DF1126" s="20">
        <v>62.811866720402058</v>
      </c>
      <c r="DG1126" s="20">
        <v>66.714412080093553</v>
      </c>
      <c r="DH1126" s="20">
        <v>70.866315773011422</v>
      </c>
      <c r="DI1126" s="20">
        <v>75.371241355926927</v>
      </c>
      <c r="DJ1126" s="20">
        <v>80.044789945079586</v>
      </c>
      <c r="DK1126" s="20">
        <v>85.045069982156576</v>
      </c>
      <c r="DL1126" s="20">
        <v>90.05480548608098</v>
      </c>
      <c r="DM1126" s="20">
        <v>95.215601203362255</v>
      </c>
      <c r="DN1126" s="20">
        <v>100.31913568896201</v>
      </c>
      <c r="DO1126" s="20">
        <v>105.5601274130396</v>
      </c>
    </row>
    <row r="1127" spans="1:230" x14ac:dyDescent="0.45">
      <c r="A1127" s="16" t="s">
        <v>5990</v>
      </c>
      <c r="B1127" s="3" t="s">
        <v>89</v>
      </c>
      <c r="C1127" s="16"/>
      <c r="H1127" s="3" t="s">
        <v>5991</v>
      </c>
      <c r="I1127" s="3" t="s">
        <v>2363</v>
      </c>
      <c r="K1127" s="17" t="s">
        <v>5992</v>
      </c>
      <c r="L1127" s="20">
        <v>10743.02294556901</v>
      </c>
      <c r="M1127" s="20">
        <v>10609.535828145399</v>
      </c>
      <c r="N1127" s="20">
        <v>12134.712587333879</v>
      </c>
      <c r="O1127" s="20">
        <v>13800.10826674411</v>
      </c>
      <c r="P1127" s="20">
        <v>14493.842402276739</v>
      </c>
      <c r="Q1127" s="20">
        <v>15083.32712930295</v>
      </c>
      <c r="R1127" s="20">
        <v>15702.78875384156</v>
      </c>
      <c r="S1127" s="20">
        <v>16357.58123040463</v>
      </c>
      <c r="T1127" s="20">
        <v>16867.75464521832</v>
      </c>
      <c r="U1127" s="20">
        <v>17397.947449246229</v>
      </c>
      <c r="V1127" s="20">
        <v>17921.31086501728</v>
      </c>
      <c r="W1127" s="20">
        <v>18851.052904651191</v>
      </c>
      <c r="X1127" s="20">
        <v>19795.21291186802</v>
      </c>
      <c r="Y1127" s="20">
        <v>20789.255058605191</v>
      </c>
      <c r="Z1127" s="20">
        <v>21810.979733863878</v>
      </c>
      <c r="AA1127" s="20">
        <v>22860.838913551641</v>
      </c>
      <c r="AB1127" s="20">
        <v>23938.407004331599</v>
      </c>
      <c r="AC1127" s="20">
        <v>25044.110265059629</v>
      </c>
      <c r="AD1127" s="20">
        <v>26179.367651188491</v>
      </c>
      <c r="AE1127" s="20">
        <v>27344.94378680479</v>
      </c>
      <c r="AG1127" s="17" t="s">
        <v>5993</v>
      </c>
      <c r="AH1127" s="20">
        <v>10743.02294556901</v>
      </c>
      <c r="AI1127" s="20">
        <v>10609.535828145399</v>
      </c>
      <c r="AJ1127" s="20">
        <v>12134.712587333879</v>
      </c>
      <c r="AK1127" s="20">
        <v>13800.10826674411</v>
      </c>
      <c r="AL1127" s="20">
        <v>14493.593671200209</v>
      </c>
      <c r="AM1127" s="20">
        <v>15082.67330041302</v>
      </c>
      <c r="AN1127" s="20">
        <v>14304.048398381659</v>
      </c>
      <c r="AO1127" s="20">
        <v>14938.152805710301</v>
      </c>
      <c r="AP1127" s="20">
        <v>15282.38406112974</v>
      </c>
      <c r="AQ1127" s="20">
        <v>15986.694633537019</v>
      </c>
      <c r="AR1127" s="20">
        <v>16531.16916968318</v>
      </c>
      <c r="AS1127" s="20">
        <v>17452.935058129089</v>
      </c>
      <c r="AT1127" s="20">
        <v>18370.979628500041</v>
      </c>
      <c r="AU1127" s="20">
        <v>19343.947037822221</v>
      </c>
      <c r="AV1127" s="20">
        <v>20348.589057256559</v>
      </c>
      <c r="AW1127" s="20">
        <v>21388.93926127291</v>
      </c>
      <c r="AX1127" s="20">
        <v>22447.646117268028</v>
      </c>
      <c r="AY1127" s="20">
        <v>23529.659524401981</v>
      </c>
      <c r="AZ1127" s="20">
        <v>24626.97068170712</v>
      </c>
      <c r="BA1127" s="20">
        <v>25749.52136271929</v>
      </c>
      <c r="BC1127" s="17" t="s">
        <v>5994</v>
      </c>
      <c r="BD1127" s="20">
        <v>10743.02294556901</v>
      </c>
      <c r="BE1127" s="20">
        <v>10609.535828145399</v>
      </c>
      <c r="BF1127" s="20">
        <v>12134.712587333879</v>
      </c>
      <c r="BG1127" s="20">
        <v>13800.10826674411</v>
      </c>
      <c r="BH1127" s="20">
        <v>14493.013382904341</v>
      </c>
      <c r="BI1127" s="20">
        <v>15081.121796878349</v>
      </c>
      <c r="BJ1127" s="20">
        <v>14954.584681327189</v>
      </c>
      <c r="BK1127" s="20">
        <v>14723.066993615599</v>
      </c>
      <c r="BL1127" s="20">
        <v>14470.31845080154</v>
      </c>
      <c r="BM1127" s="20">
        <v>14465.212610731651</v>
      </c>
      <c r="BN1127" s="20">
        <v>14450.46430579066</v>
      </c>
      <c r="BO1127" s="20">
        <v>14613.84975141237</v>
      </c>
      <c r="BP1127" s="20">
        <v>14810.250388031651</v>
      </c>
      <c r="BQ1127" s="20">
        <v>15133.44843270863</v>
      </c>
      <c r="BR1127" s="20">
        <v>15486.956423549311</v>
      </c>
      <c r="BS1127" s="20">
        <v>15956.358303355109</v>
      </c>
      <c r="BT1127" s="20">
        <v>16438.340721510081</v>
      </c>
      <c r="BU1127" s="20">
        <v>17040.546990681451</v>
      </c>
      <c r="BV1127" s="20">
        <v>17618.109610077521</v>
      </c>
      <c r="BW1127" s="20">
        <v>18343.96119064599</v>
      </c>
      <c r="BY1127" s="17" t="s">
        <v>5995</v>
      </c>
      <c r="BZ1127" s="20">
        <v>10743.02294556901</v>
      </c>
      <c r="CA1127" s="20">
        <v>10609.535828145399</v>
      </c>
      <c r="CB1127" s="20">
        <v>12134.712587333879</v>
      </c>
      <c r="CC1127" s="20">
        <v>13800.10826674411</v>
      </c>
      <c r="CD1127" s="20">
        <v>14492.418703602731</v>
      </c>
      <c r="CE1127" s="20">
        <v>15079.552117852159</v>
      </c>
      <c r="CF1127" s="20">
        <v>15697.266444731329</v>
      </c>
      <c r="CG1127" s="20">
        <v>16357.55837059765</v>
      </c>
      <c r="CH1127" s="20">
        <v>16847.024610315959</v>
      </c>
      <c r="CI1127" s="20">
        <v>17383.852013210359</v>
      </c>
      <c r="CJ1127" s="20">
        <v>17894.23800318233</v>
      </c>
      <c r="CK1127" s="20">
        <v>18853.043109244041</v>
      </c>
      <c r="CL1127" s="20">
        <v>19837.631914976821</v>
      </c>
      <c r="CM1127" s="20">
        <v>20864.417311330129</v>
      </c>
      <c r="CN1127" s="20">
        <v>21976.285260299032</v>
      </c>
      <c r="CO1127" s="20">
        <v>23116.63073477316</v>
      </c>
      <c r="CP1127" s="20">
        <v>24282.57666218423</v>
      </c>
      <c r="CQ1127" s="20">
        <v>25486.32694761638</v>
      </c>
      <c r="CR1127" s="20">
        <v>26704.41633790074</v>
      </c>
      <c r="CS1127" s="20">
        <v>27954.87535929781</v>
      </c>
      <c r="CU1127" s="17" t="s">
        <v>5996</v>
      </c>
      <c r="CV1127" s="20">
        <v>10743.02294556901</v>
      </c>
      <c r="CW1127" s="20">
        <v>10609.535828145399</v>
      </c>
      <c r="CX1127" s="20">
        <v>12134.712587333879</v>
      </c>
      <c r="CY1127" s="20">
        <v>13800.10826674411</v>
      </c>
      <c r="CZ1127" s="20">
        <v>14493.26168255716</v>
      </c>
      <c r="DA1127" s="20">
        <v>15081.790325480681</v>
      </c>
      <c r="DB1127" s="20">
        <v>12754.960113723921</v>
      </c>
      <c r="DC1127" s="20">
        <v>13384.402477838399</v>
      </c>
      <c r="DD1127" s="20">
        <v>13586.9015800819</v>
      </c>
      <c r="DE1127" s="20">
        <v>14266.20012555107</v>
      </c>
      <c r="DF1127" s="20">
        <v>14910.51154461616</v>
      </c>
      <c r="DG1127" s="20">
        <v>15814.37397593143</v>
      </c>
      <c r="DH1127" s="20">
        <v>16773.394822035221</v>
      </c>
      <c r="DI1127" s="20">
        <v>17844.019486652909</v>
      </c>
      <c r="DJ1127" s="20">
        <v>18946.664732714591</v>
      </c>
      <c r="DK1127" s="20">
        <v>20124.007997521581</v>
      </c>
      <c r="DL1127" s="20">
        <v>21301.880479737611</v>
      </c>
      <c r="DM1127" s="20">
        <v>22521.59081161127</v>
      </c>
      <c r="DN1127" s="20">
        <v>23726.521978130389</v>
      </c>
      <c r="DO1127" s="20">
        <v>24968.41106346903</v>
      </c>
    </row>
    <row r="1128" spans="1:230" x14ac:dyDescent="0.45">
      <c r="A1128" s="16" t="s">
        <v>5997</v>
      </c>
      <c r="B1128" s="3" t="s">
        <v>89</v>
      </c>
      <c r="C1128" s="16"/>
      <c r="H1128" s="3" t="s">
        <v>5998</v>
      </c>
      <c r="I1128" s="3" t="s">
        <v>2363</v>
      </c>
      <c r="K1128" s="17" t="s">
        <v>5999</v>
      </c>
      <c r="L1128" s="20">
        <v>3605.9044358323072</v>
      </c>
      <c r="M1128" s="20">
        <v>3374.152995096691</v>
      </c>
      <c r="N1128" s="20">
        <v>3713.7980360068491</v>
      </c>
      <c r="O1128" s="20">
        <v>4145.2638290440018</v>
      </c>
      <c r="P1128" s="20">
        <v>4321.21317775224</v>
      </c>
      <c r="Q1128" s="20">
        <v>4471.5109623868066</v>
      </c>
      <c r="R1128" s="20">
        <v>4629.6893243046816</v>
      </c>
      <c r="S1128" s="20">
        <v>4794.8358147040826</v>
      </c>
      <c r="T1128" s="20">
        <v>4923.9969107589059</v>
      </c>
      <c r="U1128" s="20">
        <v>5059.1257642912251</v>
      </c>
      <c r="V1128" s="20">
        <v>5192.3098416898438</v>
      </c>
      <c r="W1128" s="20">
        <v>5413.5794806296681</v>
      </c>
      <c r="X1128" s="20">
        <v>5639.1886216613802</v>
      </c>
      <c r="Y1128" s="20">
        <v>5875.3741343008096</v>
      </c>
      <c r="Z1128" s="20">
        <v>6115.7490687414765</v>
      </c>
      <c r="AA1128" s="20">
        <v>6360.3364966411254</v>
      </c>
      <c r="AB1128" s="20">
        <v>6608.9623564472458</v>
      </c>
      <c r="AC1128" s="20">
        <v>6861.6463047917096</v>
      </c>
      <c r="AD1128" s="20">
        <v>7118.6231911068744</v>
      </c>
      <c r="AE1128" s="20">
        <v>7379.9765594872561</v>
      </c>
      <c r="AG1128" s="17" t="s">
        <v>6000</v>
      </c>
      <c r="AH1128" s="20">
        <v>3605.9044358323072</v>
      </c>
      <c r="AI1128" s="20">
        <v>3374.152995096691</v>
      </c>
      <c r="AJ1128" s="20">
        <v>3713.7980360068491</v>
      </c>
      <c r="AK1128" s="20">
        <v>4145.2638290440018</v>
      </c>
      <c r="AL1128" s="20">
        <v>4321.1501236743798</v>
      </c>
      <c r="AM1128" s="20">
        <v>4471.3494586279621</v>
      </c>
      <c r="AN1128" s="20">
        <v>4310.8280724879396</v>
      </c>
      <c r="AO1128" s="20">
        <v>4473.9282568526623</v>
      </c>
      <c r="AP1128" s="20">
        <v>4566.208678076554</v>
      </c>
      <c r="AQ1128" s="20">
        <v>4742.7832998669883</v>
      </c>
      <c r="AR1128" s="20">
        <v>4881.786695533372</v>
      </c>
      <c r="AS1128" s="20">
        <v>5106.3374853955074</v>
      </c>
      <c r="AT1128" s="20">
        <v>5331.1816268983448</v>
      </c>
      <c r="AU1128" s="20">
        <v>5566.5353871547732</v>
      </c>
      <c r="AV1128" s="20">
        <v>5807.2479964272479</v>
      </c>
      <c r="AW1128" s="20">
        <v>6054.0749702115136</v>
      </c>
      <c r="AX1128" s="20">
        <v>6302.652835759347</v>
      </c>
      <c r="AY1128" s="20">
        <v>6554.1341538306851</v>
      </c>
      <c r="AZ1128" s="20">
        <v>6806.5707975010764</v>
      </c>
      <c r="BA1128" s="20">
        <v>7062.2948206884639</v>
      </c>
      <c r="BC1128" s="17" t="s">
        <v>6001</v>
      </c>
      <c r="BD1128" s="20">
        <v>3605.9044358323072</v>
      </c>
      <c r="BE1128" s="20">
        <v>3374.152995096691</v>
      </c>
      <c r="BF1128" s="20">
        <v>3713.7980360068491</v>
      </c>
      <c r="BG1128" s="20">
        <v>4145.2638290440018</v>
      </c>
      <c r="BH1128" s="20">
        <v>4321.0030564845611</v>
      </c>
      <c r="BI1128" s="20">
        <v>4470.9663551632948</v>
      </c>
      <c r="BJ1128" s="20">
        <v>4460.5427980911954</v>
      </c>
      <c r="BK1128" s="20">
        <v>4424.0895209862074</v>
      </c>
      <c r="BL1128" s="20">
        <v>4377.8960934195647</v>
      </c>
      <c r="BM1128" s="20">
        <v>4390.2403395516603</v>
      </c>
      <c r="BN1128" s="20">
        <v>4399.6345902661733</v>
      </c>
      <c r="BO1128" s="20">
        <v>4451.3667046809969</v>
      </c>
      <c r="BP1128" s="20">
        <v>4511.7840396026704</v>
      </c>
      <c r="BQ1128" s="20">
        <v>4602.0547088759267</v>
      </c>
      <c r="BR1128" s="20">
        <v>4699.8949605242278</v>
      </c>
      <c r="BS1128" s="20">
        <v>4825.1624640988184</v>
      </c>
      <c r="BT1128" s="20">
        <v>4953.2142707169851</v>
      </c>
      <c r="BU1128" s="20">
        <v>5109.142203261913</v>
      </c>
      <c r="BV1128" s="20">
        <v>5258.5388870942515</v>
      </c>
      <c r="BW1128" s="20">
        <v>5441.5834935768862</v>
      </c>
      <c r="BY1128" s="17" t="s">
        <v>6002</v>
      </c>
      <c r="BZ1128" s="20">
        <v>3605.9044358323072</v>
      </c>
      <c r="CA1128" s="20">
        <v>3374.152995096691</v>
      </c>
      <c r="CB1128" s="20">
        <v>3713.7980360068491</v>
      </c>
      <c r="CC1128" s="20">
        <v>4145.2638290440018</v>
      </c>
      <c r="CD1128" s="20">
        <v>4320.8523200117388</v>
      </c>
      <c r="CE1128" s="20">
        <v>4470.5787171008569</v>
      </c>
      <c r="CF1128" s="20">
        <v>4628.3442674633552</v>
      </c>
      <c r="CG1128" s="20">
        <v>4794.9412006216517</v>
      </c>
      <c r="CH1128" s="20">
        <v>4919.0309581035017</v>
      </c>
      <c r="CI1128" s="20">
        <v>5055.8867784264194</v>
      </c>
      <c r="CJ1128" s="20">
        <v>5185.9136163773601</v>
      </c>
      <c r="CK1128" s="20">
        <v>5413.9703110392984</v>
      </c>
      <c r="CL1128" s="20">
        <v>5649.2193694261796</v>
      </c>
      <c r="CM1128" s="20">
        <v>5892.9955214951278</v>
      </c>
      <c r="CN1128" s="20">
        <v>6153.911958567629</v>
      </c>
      <c r="CO1128" s="20">
        <v>6418.8573471019799</v>
      </c>
      <c r="CP1128" s="20">
        <v>6686.8409108695987</v>
      </c>
      <c r="CQ1128" s="20">
        <v>6960.6116594301066</v>
      </c>
      <c r="CR1128" s="20">
        <v>7234.7907755173446</v>
      </c>
      <c r="CS1128" s="20">
        <v>7513.4856534485452</v>
      </c>
      <c r="CU1128" s="17" t="s">
        <v>6003</v>
      </c>
      <c r="CV1128" s="20">
        <v>3605.9044358323072</v>
      </c>
      <c r="CW1128" s="20">
        <v>3374.152995096691</v>
      </c>
      <c r="CX1128" s="20">
        <v>3713.7980360068491</v>
      </c>
      <c r="CY1128" s="20">
        <v>4145.2638290440018</v>
      </c>
      <c r="CZ1128" s="20">
        <v>4321.0659784903946</v>
      </c>
      <c r="DA1128" s="20">
        <v>4471.1314071326678</v>
      </c>
      <c r="DB1128" s="20">
        <v>3943.537662062146</v>
      </c>
      <c r="DC1128" s="20">
        <v>4108.9469102556723</v>
      </c>
      <c r="DD1128" s="20">
        <v>4167.7401979130846</v>
      </c>
      <c r="DE1128" s="20">
        <v>4342.5483874152596</v>
      </c>
      <c r="DF1128" s="20">
        <v>4507.1794374401343</v>
      </c>
      <c r="DG1128" s="20">
        <v>4733.323233148466</v>
      </c>
      <c r="DH1128" s="20">
        <v>4973.0168885371186</v>
      </c>
      <c r="DI1128" s="20">
        <v>5235.4336988312143</v>
      </c>
      <c r="DJ1128" s="20">
        <v>5503.1707428011814</v>
      </c>
      <c r="DK1128" s="20">
        <v>5785.2873093513044</v>
      </c>
      <c r="DL1128" s="20">
        <v>6064.3077200551143</v>
      </c>
      <c r="DM1128" s="20">
        <v>6349.3560047586116</v>
      </c>
      <c r="DN1128" s="20">
        <v>6627.9185113054154</v>
      </c>
      <c r="DO1128" s="20">
        <v>6911.4694182855928</v>
      </c>
    </row>
    <row r="1129" spans="1:230" x14ac:dyDescent="0.45">
      <c r="A1129" s="16" t="s">
        <v>6004</v>
      </c>
      <c r="B1129" s="3" t="s">
        <v>89</v>
      </c>
      <c r="C1129" s="16"/>
      <c r="H1129" s="3" t="s">
        <v>6005</v>
      </c>
      <c r="I1129" s="3" t="s">
        <v>2363</v>
      </c>
      <c r="K1129" s="17" t="s">
        <v>6006</v>
      </c>
      <c r="L1129" s="20">
        <v>0</v>
      </c>
      <c r="M1129" s="20">
        <v>0</v>
      </c>
      <c r="N1129" s="20">
        <v>0</v>
      </c>
      <c r="O1129" s="20">
        <v>0</v>
      </c>
      <c r="P1129" s="20">
        <v>0</v>
      </c>
      <c r="Q1129" s="20">
        <v>0</v>
      </c>
      <c r="R1129" s="20">
        <v>0</v>
      </c>
      <c r="S1129" s="20">
        <v>0</v>
      </c>
      <c r="T1129" s="20">
        <v>0</v>
      </c>
      <c r="U1129" s="20">
        <v>0</v>
      </c>
      <c r="V1129" s="20">
        <v>0</v>
      </c>
      <c r="W1129" s="20">
        <v>0</v>
      </c>
      <c r="X1129" s="20">
        <v>0</v>
      </c>
      <c r="Y1129" s="20">
        <v>0</v>
      </c>
      <c r="Z1129" s="20">
        <v>0</v>
      </c>
      <c r="AA1129" s="20">
        <v>0</v>
      </c>
      <c r="AB1129" s="20">
        <v>0</v>
      </c>
      <c r="AC1129" s="20">
        <v>0</v>
      </c>
      <c r="AD1129" s="20">
        <v>0</v>
      </c>
      <c r="AE1129" s="20">
        <v>0</v>
      </c>
      <c r="AG1129" s="17" t="s">
        <v>6007</v>
      </c>
      <c r="AH1129" s="20">
        <v>0</v>
      </c>
      <c r="AI1129" s="20">
        <v>0</v>
      </c>
      <c r="AJ1129" s="20">
        <v>0</v>
      </c>
      <c r="AK1129" s="20">
        <v>0</v>
      </c>
      <c r="AL1129" s="20">
        <v>0</v>
      </c>
      <c r="AM1129" s="20">
        <v>0</v>
      </c>
      <c r="AN1129" s="20">
        <v>0</v>
      </c>
      <c r="AO1129" s="20">
        <v>0</v>
      </c>
      <c r="AP1129" s="20">
        <v>0</v>
      </c>
      <c r="AQ1129" s="20">
        <v>0</v>
      </c>
      <c r="AR1129" s="20">
        <v>0</v>
      </c>
      <c r="AS1129" s="20">
        <v>0</v>
      </c>
      <c r="AT1129" s="20">
        <v>0</v>
      </c>
      <c r="AU1129" s="20">
        <v>0</v>
      </c>
      <c r="AV1129" s="20">
        <v>0</v>
      </c>
      <c r="AW1129" s="20">
        <v>0</v>
      </c>
      <c r="AX1129" s="20">
        <v>0</v>
      </c>
      <c r="AY1129" s="20">
        <v>0</v>
      </c>
      <c r="AZ1129" s="20">
        <v>0</v>
      </c>
      <c r="BA1129" s="20">
        <v>0</v>
      </c>
      <c r="BC1129" s="17" t="s">
        <v>6008</v>
      </c>
      <c r="BD1129" s="20">
        <v>0</v>
      </c>
      <c r="BE1129" s="20">
        <v>0</v>
      </c>
      <c r="BF1129" s="20">
        <v>0</v>
      </c>
      <c r="BG1129" s="20">
        <v>0</v>
      </c>
      <c r="BH1129" s="20">
        <v>0</v>
      </c>
      <c r="BI1129" s="20">
        <v>0</v>
      </c>
      <c r="BJ1129" s="20">
        <v>0</v>
      </c>
      <c r="BK1129" s="20">
        <v>0</v>
      </c>
      <c r="BL1129" s="20">
        <v>0</v>
      </c>
      <c r="BM1129" s="20">
        <v>0</v>
      </c>
      <c r="BN1129" s="20">
        <v>0</v>
      </c>
      <c r="BO1129" s="20">
        <v>0</v>
      </c>
      <c r="BP1129" s="20">
        <v>0</v>
      </c>
      <c r="BQ1129" s="20">
        <v>0</v>
      </c>
      <c r="BR1129" s="20">
        <v>0</v>
      </c>
      <c r="BS1129" s="20">
        <v>0</v>
      </c>
      <c r="BT1129" s="20">
        <v>0</v>
      </c>
      <c r="BU1129" s="20">
        <v>0</v>
      </c>
      <c r="BV1129" s="20">
        <v>0</v>
      </c>
      <c r="BW1129" s="20">
        <v>0</v>
      </c>
      <c r="BY1129" s="17" t="s">
        <v>6009</v>
      </c>
      <c r="BZ1129" s="20">
        <v>0</v>
      </c>
      <c r="CA1129" s="20">
        <v>0</v>
      </c>
      <c r="CB1129" s="20">
        <v>0</v>
      </c>
      <c r="CC1129" s="20">
        <v>0</v>
      </c>
      <c r="CD1129" s="20">
        <v>0</v>
      </c>
      <c r="CE1129" s="20">
        <v>0</v>
      </c>
      <c r="CF1129" s="20">
        <v>0</v>
      </c>
      <c r="CG1129" s="20">
        <v>0</v>
      </c>
      <c r="CH1129" s="20">
        <v>0</v>
      </c>
      <c r="CI1129" s="20">
        <v>0</v>
      </c>
      <c r="CJ1129" s="20">
        <v>0</v>
      </c>
      <c r="CK1129" s="20">
        <v>0</v>
      </c>
      <c r="CL1129" s="20">
        <v>0</v>
      </c>
      <c r="CM1129" s="20">
        <v>0</v>
      </c>
      <c r="CN1129" s="20">
        <v>0</v>
      </c>
      <c r="CO1129" s="20">
        <v>0</v>
      </c>
      <c r="CP1129" s="20">
        <v>0</v>
      </c>
      <c r="CQ1129" s="20">
        <v>0</v>
      </c>
      <c r="CR1129" s="20">
        <v>0</v>
      </c>
      <c r="CS1129" s="20">
        <v>0</v>
      </c>
      <c r="CU1129" s="17" t="s">
        <v>6010</v>
      </c>
      <c r="CV1129" s="20">
        <v>0</v>
      </c>
      <c r="CW1129" s="20">
        <v>0</v>
      </c>
      <c r="CX1129" s="20">
        <v>0</v>
      </c>
      <c r="CY1129" s="20">
        <v>0</v>
      </c>
      <c r="CZ1129" s="20">
        <v>0</v>
      </c>
      <c r="DA1129" s="20">
        <v>0</v>
      </c>
      <c r="DB1129" s="20">
        <v>0</v>
      </c>
      <c r="DC1129" s="20">
        <v>0</v>
      </c>
      <c r="DD1129" s="20">
        <v>0</v>
      </c>
      <c r="DE1129" s="20">
        <v>0</v>
      </c>
      <c r="DF1129" s="20">
        <v>0</v>
      </c>
      <c r="DG1129" s="20">
        <v>0</v>
      </c>
      <c r="DH1129" s="20">
        <v>0</v>
      </c>
      <c r="DI1129" s="20">
        <v>0</v>
      </c>
      <c r="DJ1129" s="20">
        <v>0</v>
      </c>
      <c r="DK1129" s="20">
        <v>0</v>
      </c>
      <c r="DL1129" s="20">
        <v>0</v>
      </c>
      <c r="DM1129" s="20">
        <v>0</v>
      </c>
      <c r="DN1129" s="20">
        <v>0</v>
      </c>
      <c r="DO1129" s="20">
        <v>0</v>
      </c>
    </row>
    <row r="1130" spans="1:230" ht="15.4" x14ac:dyDescent="0.45">
      <c r="A1130" s="5"/>
      <c r="B1130" s="15" t="s">
        <v>6011</v>
      </c>
      <c r="C1130" s="5"/>
      <c r="D1130" s="5"/>
      <c r="E1130" s="5"/>
      <c r="F1130" s="5"/>
      <c r="G1130" s="5"/>
      <c r="H1130" s="5"/>
      <c r="I1130" s="5"/>
      <c r="J1130" s="5"/>
      <c r="K1130" s="5"/>
      <c r="L1130" s="5"/>
      <c r="M1130" s="5"/>
      <c r="N1130" s="5"/>
      <c r="O1130" s="5"/>
      <c r="P1130" s="5"/>
      <c r="Q1130" s="5"/>
      <c r="R1130" s="5"/>
      <c r="S1130" s="5"/>
      <c r="T1130" s="5"/>
      <c r="U1130" s="5"/>
      <c r="V1130" s="5"/>
      <c r="W1130" s="5"/>
      <c r="X1130" s="5"/>
      <c r="Y1130" s="5"/>
      <c r="Z1130" s="5"/>
      <c r="AA1130" s="5"/>
      <c r="AB1130" s="5"/>
      <c r="AC1130" s="5"/>
      <c r="AD1130" s="5"/>
      <c r="AE1130" s="5"/>
      <c r="AF1130" s="5"/>
      <c r="AG1130" s="5"/>
      <c r="AH1130" s="5"/>
      <c r="AI1130" s="5"/>
      <c r="AJ1130" s="5"/>
      <c r="AK1130" s="5"/>
      <c r="AL1130" s="5"/>
      <c r="AM1130" s="5"/>
      <c r="AN1130" s="5"/>
      <c r="AO1130" s="5"/>
      <c r="AP1130" s="5"/>
      <c r="AQ1130" s="5"/>
      <c r="AR1130" s="5"/>
      <c r="AS1130" s="5"/>
      <c r="AT1130" s="5"/>
      <c r="AU1130" s="5"/>
      <c r="AV1130" s="5"/>
      <c r="AW1130" s="5"/>
      <c r="AX1130" s="5"/>
      <c r="AY1130" s="5"/>
      <c r="AZ1130" s="5"/>
      <c r="BA1130" s="5"/>
      <c r="BB1130" s="5"/>
      <c r="BC1130" s="5"/>
      <c r="BD1130" s="5"/>
      <c r="BE1130" s="5"/>
      <c r="BF1130" s="5"/>
      <c r="BG1130" s="5"/>
      <c r="BH1130" s="5"/>
      <c r="BI1130" s="5"/>
      <c r="BJ1130" s="5"/>
      <c r="BK1130" s="5"/>
      <c r="BL1130" s="5"/>
      <c r="BM1130" s="5"/>
      <c r="BN1130" s="5"/>
      <c r="BO1130" s="5"/>
      <c r="BP1130" s="5"/>
      <c r="BQ1130" s="5"/>
      <c r="BR1130" s="5"/>
      <c r="BS1130" s="5"/>
      <c r="BT1130" s="5"/>
      <c r="BU1130" s="5"/>
      <c r="BV1130" s="5"/>
      <c r="BW1130" s="5"/>
      <c r="BX1130" s="5"/>
      <c r="BY1130" s="5"/>
      <c r="BZ1130" s="5"/>
      <c r="CA1130" s="5"/>
      <c r="CB1130" s="5"/>
      <c r="CC1130" s="5"/>
      <c r="CD1130" s="5"/>
      <c r="CE1130" s="5"/>
      <c r="CF1130" s="5"/>
      <c r="CG1130" s="5"/>
      <c r="CH1130" s="5"/>
      <c r="CI1130" s="5"/>
      <c r="CJ1130" s="5"/>
      <c r="CK1130" s="5"/>
      <c r="CL1130" s="5"/>
      <c r="CM1130" s="5"/>
      <c r="CN1130" s="5"/>
      <c r="CO1130" s="5"/>
      <c r="CP1130" s="5"/>
      <c r="CQ1130" s="5"/>
      <c r="CR1130" s="5"/>
      <c r="CS1130" s="5"/>
      <c r="CT1130" s="5"/>
      <c r="CU1130" s="5"/>
      <c r="CV1130" s="5"/>
      <c r="CW1130" s="5"/>
      <c r="CX1130" s="5"/>
      <c r="CY1130" s="5"/>
      <c r="CZ1130" s="5"/>
      <c r="DA1130" s="5"/>
      <c r="DB1130" s="5"/>
      <c r="DC1130" s="5"/>
      <c r="DD1130" s="5"/>
      <c r="DE1130" s="5"/>
      <c r="DF1130" s="5"/>
      <c r="DG1130" s="5"/>
      <c r="DH1130" s="5"/>
      <c r="DI1130" s="5"/>
      <c r="DJ1130" s="5"/>
      <c r="DK1130" s="5"/>
      <c r="DL1130" s="5"/>
      <c r="DM1130" s="5"/>
      <c r="DN1130" s="5"/>
      <c r="DO1130" s="5"/>
      <c r="DP1130" s="5"/>
      <c r="DQ1130" s="5"/>
      <c r="DR1130" s="5"/>
      <c r="DS1130" s="5"/>
      <c r="DT1130" s="5"/>
      <c r="DU1130" s="5"/>
      <c r="DV1130" s="5"/>
      <c r="DW1130" s="5"/>
      <c r="DX1130" s="5"/>
      <c r="DY1130" s="5"/>
      <c r="DZ1130" s="5"/>
      <c r="EA1130" s="5"/>
      <c r="EB1130" s="5"/>
      <c r="EC1130" s="5"/>
      <c r="ED1130" s="5"/>
      <c r="EE1130" s="5"/>
      <c r="EF1130" s="5"/>
      <c r="EG1130" s="5"/>
      <c r="EH1130" s="5"/>
      <c r="EI1130" s="5"/>
      <c r="EJ1130" s="5"/>
      <c r="EK1130" s="5"/>
      <c r="EL1130" s="5"/>
      <c r="EM1130" s="5"/>
      <c r="EN1130" s="5"/>
      <c r="EO1130" s="5"/>
      <c r="EP1130" s="5"/>
      <c r="EQ1130" s="5"/>
      <c r="ER1130" s="5"/>
      <c r="ES1130" s="5"/>
      <c r="ET1130" s="5"/>
      <c r="EU1130" s="5"/>
      <c r="EV1130" s="5"/>
      <c r="EW1130" s="5"/>
      <c r="EX1130" s="5"/>
      <c r="EY1130" s="5"/>
      <c r="EZ1130" s="5"/>
      <c r="FA1130" s="5"/>
      <c r="FB1130" s="5"/>
      <c r="FC1130" s="5"/>
      <c r="FD1130" s="5"/>
      <c r="FE1130" s="5"/>
      <c r="FF1130" s="5"/>
      <c r="FG1130" s="5"/>
      <c r="FH1130" s="5"/>
      <c r="FI1130" s="5"/>
      <c r="FJ1130" s="5"/>
      <c r="FK1130" s="5"/>
      <c r="FL1130" s="5"/>
      <c r="FM1130" s="5"/>
      <c r="FN1130" s="5"/>
      <c r="FO1130" s="5"/>
      <c r="FP1130" s="5"/>
      <c r="FQ1130" s="5"/>
      <c r="FR1130" s="5"/>
      <c r="FS1130" s="5"/>
      <c r="FT1130" s="5"/>
      <c r="FU1130" s="5"/>
      <c r="FV1130" s="5"/>
      <c r="FW1130" s="5"/>
      <c r="FX1130" s="5"/>
      <c r="FY1130" s="5"/>
      <c r="FZ1130" s="5"/>
      <c r="GA1130" s="5"/>
      <c r="GB1130" s="5"/>
      <c r="GC1130" s="5"/>
      <c r="GD1130" s="5"/>
      <c r="GE1130" s="5"/>
      <c r="GF1130" s="5"/>
      <c r="GG1130" s="5"/>
      <c r="GH1130" s="5"/>
      <c r="GI1130" s="5"/>
      <c r="GJ1130" s="5"/>
      <c r="GK1130" s="5"/>
      <c r="GL1130" s="5"/>
      <c r="GM1130" s="5"/>
      <c r="GN1130" s="5"/>
      <c r="GO1130" s="5"/>
      <c r="GP1130" s="5"/>
      <c r="GQ1130" s="5"/>
      <c r="GR1130" s="5"/>
      <c r="GS1130" s="5"/>
      <c r="GT1130" s="5"/>
      <c r="GU1130" s="5"/>
      <c r="GV1130" s="5"/>
      <c r="GW1130" s="5"/>
      <c r="GX1130" s="5"/>
      <c r="GY1130" s="5"/>
      <c r="GZ1130" s="5"/>
      <c r="HA1130" s="5"/>
      <c r="HB1130" s="5"/>
      <c r="HC1130" s="5"/>
      <c r="HD1130" s="5"/>
      <c r="HE1130" s="5"/>
      <c r="HF1130" s="5"/>
      <c r="HG1130" s="5"/>
      <c r="HH1130" s="5"/>
      <c r="HI1130" s="5"/>
      <c r="HJ1130" s="5"/>
      <c r="HK1130" s="5"/>
      <c r="HL1130" s="5"/>
      <c r="HM1130" s="5"/>
      <c r="HN1130" s="5"/>
      <c r="HO1130" s="5"/>
      <c r="HP1130" s="5"/>
      <c r="HQ1130" s="5"/>
      <c r="HR1130" s="5"/>
      <c r="HS1130" s="5"/>
      <c r="HT1130" s="5"/>
      <c r="HU1130" s="5"/>
      <c r="HV1130" s="5"/>
    </row>
    <row r="1131" spans="1:230" x14ac:dyDescent="0.45">
      <c r="A1131" s="16" t="s">
        <v>6012</v>
      </c>
      <c r="B1131" s="3" t="s">
        <v>89</v>
      </c>
      <c r="C1131" s="16"/>
      <c r="H1131" s="3" t="s">
        <v>6013</v>
      </c>
      <c r="I1131" s="3" t="s">
        <v>289</v>
      </c>
      <c r="K1131" s="17" t="s">
        <v>6014</v>
      </c>
      <c r="L1131" s="19">
        <v>195.89452498193151</v>
      </c>
      <c r="M1131" s="19">
        <v>193.11676127664549</v>
      </c>
      <c r="N1131" s="19">
        <v>229.11083549616981</v>
      </c>
      <c r="O1131" s="19">
        <v>241.51526002583711</v>
      </c>
      <c r="P1131" s="19">
        <v>245.73122749265889</v>
      </c>
      <c r="Q1131" s="19">
        <v>249.88317782784651</v>
      </c>
      <c r="R1131" s="19">
        <v>254.96185160714009</v>
      </c>
      <c r="S1131" s="19">
        <v>259.85119156930921</v>
      </c>
      <c r="T1131" s="19">
        <v>263.12655712892928</v>
      </c>
      <c r="U1131" s="19">
        <v>267.30145138949263</v>
      </c>
      <c r="V1131" s="19">
        <v>271.059382999631</v>
      </c>
      <c r="W1131" s="19">
        <v>277.7405028228178</v>
      </c>
      <c r="X1131" s="19">
        <v>283.79446575882781</v>
      </c>
      <c r="Y1131" s="19">
        <v>290.33634061939819</v>
      </c>
      <c r="Z1131" s="19">
        <v>296.89906452229161</v>
      </c>
      <c r="AA1131" s="19">
        <v>303.54111905443222</v>
      </c>
      <c r="AB1131" s="19">
        <v>310.24803765244081</v>
      </c>
      <c r="AC1131" s="19">
        <v>317.02246736042781</v>
      </c>
      <c r="AD1131" s="19">
        <v>323.87624340442272</v>
      </c>
      <c r="AE1131" s="19">
        <v>330.81317341128698</v>
      </c>
      <c r="AG1131" s="17" t="s">
        <v>6015</v>
      </c>
      <c r="AH1131" s="19">
        <v>195.89452498193151</v>
      </c>
      <c r="AI1131" s="19">
        <v>193.06728153727369</v>
      </c>
      <c r="AJ1131" s="19">
        <v>229.06314109979471</v>
      </c>
      <c r="AK1131" s="19">
        <v>241.46931973065341</v>
      </c>
      <c r="AL1131" s="19">
        <v>245.6851555215739</v>
      </c>
      <c r="AM1131" s="19">
        <v>228.20239971137741</v>
      </c>
      <c r="AN1131" s="19">
        <v>222.57920207551069</v>
      </c>
      <c r="AO1131" s="19">
        <v>232.6167801426576</v>
      </c>
      <c r="AP1131" s="19">
        <v>234.38597576702551</v>
      </c>
      <c r="AQ1131" s="19">
        <v>239.27701321152941</v>
      </c>
      <c r="AR1131" s="19">
        <v>242.3633547040757</v>
      </c>
      <c r="AS1131" s="19">
        <v>249.01922394323759</v>
      </c>
      <c r="AT1131" s="19">
        <v>254.3047661017622</v>
      </c>
      <c r="AU1131" s="19">
        <v>260.40891173822581</v>
      </c>
      <c r="AV1131" s="19">
        <v>266.56564073830651</v>
      </c>
      <c r="AW1131" s="19">
        <v>272.91130043478859</v>
      </c>
      <c r="AX1131" s="19">
        <v>279.17426280387679</v>
      </c>
      <c r="AY1131" s="19">
        <v>285.44768603450132</v>
      </c>
      <c r="AZ1131" s="19">
        <v>291.61302910136618</v>
      </c>
      <c r="BA1131" s="19">
        <v>297.81580474504091</v>
      </c>
      <c r="BC1131" s="17" t="s">
        <v>6016</v>
      </c>
      <c r="BD1131" s="19">
        <v>195.89452498193151</v>
      </c>
      <c r="BE1131" s="19">
        <v>192.94371423015539</v>
      </c>
      <c r="BF1131" s="19">
        <v>228.94404062868071</v>
      </c>
      <c r="BG1131" s="19">
        <v>241.35460644513651</v>
      </c>
      <c r="BH1131" s="19">
        <v>245.57041931316459</v>
      </c>
      <c r="BI1131" s="19">
        <v>235.66096578703079</v>
      </c>
      <c r="BJ1131" s="19">
        <v>220.19574579604659</v>
      </c>
      <c r="BK1131" s="19">
        <v>207.5772602822627</v>
      </c>
      <c r="BL1131" s="19">
        <v>199.56443628048109</v>
      </c>
      <c r="BM1131" s="19">
        <v>195.49234272096439</v>
      </c>
      <c r="BN1131" s="19">
        <v>188.51443640820031</v>
      </c>
      <c r="BO1131" s="19">
        <v>185.22592519428071</v>
      </c>
      <c r="BP1131" s="19">
        <v>180.1643678587119</v>
      </c>
      <c r="BQ1131" s="19">
        <v>177.20024299520111</v>
      </c>
      <c r="BR1131" s="19">
        <v>173.25735414946081</v>
      </c>
      <c r="BS1131" s="19">
        <v>170.9372761361351</v>
      </c>
      <c r="BT1131" s="19">
        <v>167.51665187255381</v>
      </c>
      <c r="BU1131" s="19">
        <v>165.8383210809794</v>
      </c>
      <c r="BV1131" s="19">
        <v>162.4756986015085</v>
      </c>
      <c r="BW1131" s="19">
        <v>161.5650219769289</v>
      </c>
      <c r="BY1131" s="17" t="s">
        <v>6017</v>
      </c>
      <c r="BZ1131" s="19">
        <v>195.89452498193151</v>
      </c>
      <c r="CA1131" s="19">
        <v>192.82396911555699</v>
      </c>
      <c r="CB1131" s="19">
        <v>228.82846683903821</v>
      </c>
      <c r="CC1131" s="19">
        <v>241.24313026849461</v>
      </c>
      <c r="CD1131" s="19">
        <v>245.45853257469241</v>
      </c>
      <c r="CE1131" s="19">
        <v>224.9239362813818</v>
      </c>
      <c r="CF1131" s="19">
        <v>228.84282249169101</v>
      </c>
      <c r="CG1131" s="19">
        <v>232.71908919609959</v>
      </c>
      <c r="CH1131" s="19">
        <v>234.68055643020281</v>
      </c>
      <c r="CI1131" s="19">
        <v>236.814597068735</v>
      </c>
      <c r="CJ1131" s="19">
        <v>237.2371586553015</v>
      </c>
      <c r="CK1131" s="19">
        <v>241.89080407427349</v>
      </c>
      <c r="CL1131" s="19">
        <v>242.15059079850391</v>
      </c>
      <c r="CM1131" s="19">
        <v>243.66053364442121</v>
      </c>
      <c r="CN1131" s="19">
        <v>245.6383349907438</v>
      </c>
      <c r="CO1131" s="19">
        <v>247.03207533677559</v>
      </c>
      <c r="CP1131" s="19">
        <v>248.9056722303871</v>
      </c>
      <c r="CQ1131" s="19">
        <v>250.982603782323</v>
      </c>
      <c r="CR1131" s="19">
        <v>252.8326491842993</v>
      </c>
      <c r="CS1131" s="19">
        <v>255.09865867379369</v>
      </c>
      <c r="CU1131" s="17" t="s">
        <v>6018</v>
      </c>
      <c r="CV1131" s="19">
        <v>195.89452498193151</v>
      </c>
      <c r="CW1131" s="19">
        <v>192.9980359302958</v>
      </c>
      <c r="CX1131" s="19">
        <v>228.99639729633361</v>
      </c>
      <c r="CY1131" s="19">
        <v>241.4050333633954</v>
      </c>
      <c r="CZ1131" s="19">
        <v>245.6208054121918</v>
      </c>
      <c r="DA1131" s="19">
        <v>206.9529265600051</v>
      </c>
      <c r="DB1131" s="19">
        <v>189.46806198293669</v>
      </c>
      <c r="DC1131" s="19">
        <v>198.906515454942</v>
      </c>
      <c r="DD1131" s="19">
        <v>201.33786324039559</v>
      </c>
      <c r="DE1131" s="19">
        <v>209.48195901503169</v>
      </c>
      <c r="DF1131" s="19">
        <v>209.1250766555543</v>
      </c>
      <c r="DG1131" s="19">
        <v>213.58196703744451</v>
      </c>
      <c r="DH1131" s="19">
        <v>214.98619533129491</v>
      </c>
      <c r="DI1131" s="19">
        <v>218.18030590721531</v>
      </c>
      <c r="DJ1131" s="19">
        <v>220.6290234930845</v>
      </c>
      <c r="DK1131" s="19">
        <v>224.1459649654314</v>
      </c>
      <c r="DL1131" s="19">
        <v>226.81873815246681</v>
      </c>
      <c r="DM1131" s="19">
        <v>230.3103334051699</v>
      </c>
      <c r="DN1131" s="19">
        <v>233.0277935025245</v>
      </c>
      <c r="DO1131" s="19">
        <v>236.49871651379061</v>
      </c>
    </row>
    <row r="1132" spans="1:230" x14ac:dyDescent="0.45">
      <c r="A1132" s="16" t="s">
        <v>6019</v>
      </c>
      <c r="B1132" s="3" t="s">
        <v>89</v>
      </c>
      <c r="C1132" s="16"/>
      <c r="H1132" s="3" t="s">
        <v>6020</v>
      </c>
      <c r="I1132" s="3" t="s">
        <v>6021</v>
      </c>
      <c r="K1132" s="17" t="s">
        <v>6022</v>
      </c>
      <c r="L1132" s="23">
        <v>8.2611303578991088E-2</v>
      </c>
      <c r="M1132" s="23">
        <v>8.0532504911558195E-2</v>
      </c>
      <c r="N1132" s="23">
        <v>7.915111994616772E-2</v>
      </c>
      <c r="O1132" s="23">
        <v>7.9160120063987566E-2</v>
      </c>
      <c r="P1132" s="23">
        <v>7.969185967321292E-2</v>
      </c>
      <c r="Q1132" s="23">
        <v>7.986181557884911E-2</v>
      </c>
      <c r="R1132" s="23">
        <v>8.0658165219030992E-2</v>
      </c>
      <c r="S1132" s="23">
        <v>8.1330262373609047E-2</v>
      </c>
      <c r="T1132" s="23">
        <v>8.2085549780437778E-2</v>
      </c>
      <c r="U1132" s="23">
        <v>8.0843325108568301E-2</v>
      </c>
      <c r="V1132" s="23">
        <v>7.9680532886906477E-2</v>
      </c>
      <c r="W1132" s="23">
        <v>7.8465987202634646E-2</v>
      </c>
      <c r="X1132" s="23">
        <v>7.7333680368800214E-2</v>
      </c>
      <c r="Y1132" s="23">
        <v>7.6274789420611638E-2</v>
      </c>
      <c r="Z1132" s="23">
        <v>7.5284852840411642E-2</v>
      </c>
      <c r="AA1132" s="23">
        <v>7.435662120311988E-2</v>
      </c>
      <c r="AB1132" s="23">
        <v>7.3480562586008255E-2</v>
      </c>
      <c r="AC1132" s="23">
        <v>7.2650677468648547E-2</v>
      </c>
      <c r="AD1132" s="23">
        <v>7.1860199151607657E-2</v>
      </c>
      <c r="AE1132" s="23">
        <v>7.1104186355945953E-2</v>
      </c>
      <c r="AG1132" s="17" t="s">
        <v>6023</v>
      </c>
      <c r="AH1132" s="23">
        <v>8.2611303578991088E-2</v>
      </c>
      <c r="AI1132" s="23">
        <v>8.0522021338204103E-2</v>
      </c>
      <c r="AJ1132" s="23">
        <v>7.9142353071498819E-2</v>
      </c>
      <c r="AK1132" s="23">
        <v>7.9153892232776066E-2</v>
      </c>
      <c r="AL1132" s="23">
        <v>7.9687333326312851E-2</v>
      </c>
      <c r="AM1132" s="23">
        <v>7.9859007206784544E-2</v>
      </c>
      <c r="AN1132" s="23">
        <v>8.1454866513867269E-2</v>
      </c>
      <c r="AO1132" s="23">
        <v>8.0845958981056426E-2</v>
      </c>
      <c r="AP1132" s="23">
        <v>8.1620912935166212E-2</v>
      </c>
      <c r="AQ1132" s="23">
        <v>8.0225251919214979E-2</v>
      </c>
      <c r="AR1132" s="23">
        <v>7.9005359518422649E-2</v>
      </c>
      <c r="AS1132" s="23">
        <v>7.779147793396686E-2</v>
      </c>
      <c r="AT1132" s="23">
        <v>7.6622880226423939E-2</v>
      </c>
      <c r="AU1132" s="23">
        <v>7.5557122432535206E-2</v>
      </c>
      <c r="AV1132" s="23">
        <v>7.4566011690301442E-2</v>
      </c>
      <c r="AW1132" s="23">
        <v>7.3641530408062914E-2</v>
      </c>
      <c r="AX1132" s="23">
        <v>7.2774065734285104E-2</v>
      </c>
      <c r="AY1132" s="23">
        <v>7.1956757828839188E-2</v>
      </c>
      <c r="AZ1132" s="23">
        <v>7.1181524276221833E-2</v>
      </c>
      <c r="BA1132" s="23">
        <v>7.0443091811904432E-2</v>
      </c>
      <c r="BC1132" s="17" t="s">
        <v>6024</v>
      </c>
      <c r="BD1132" s="23">
        <v>8.2611303578991088E-2</v>
      </c>
      <c r="BE1132" s="23">
        <v>8.0497679880248488E-2</v>
      </c>
      <c r="BF1132" s="23">
        <v>7.9122015956324829E-2</v>
      </c>
      <c r="BG1132" s="23">
        <v>7.9139646758858095E-2</v>
      </c>
      <c r="BH1132" s="23">
        <v>7.9677198287767009E-2</v>
      </c>
      <c r="BI1132" s="23">
        <v>7.9853035036649089E-2</v>
      </c>
      <c r="BJ1132" s="23">
        <v>8.1059887971079575E-2</v>
      </c>
      <c r="BK1132" s="23">
        <v>8.0323706475760051E-2</v>
      </c>
      <c r="BL1132" s="23">
        <v>8.0050770255567574E-2</v>
      </c>
      <c r="BM1132" s="23">
        <v>7.9608899174473974E-2</v>
      </c>
      <c r="BN1132" s="23">
        <v>7.8681312832243319E-2</v>
      </c>
      <c r="BO1132" s="23">
        <v>7.7961421721766261E-2</v>
      </c>
      <c r="BP1132" s="23">
        <v>7.6973918870633332E-2</v>
      </c>
      <c r="BQ1132" s="23">
        <v>7.6060815034764653E-2</v>
      </c>
      <c r="BR1132" s="23">
        <v>7.5085886801449925E-2</v>
      </c>
      <c r="BS1132" s="23">
        <v>7.4175008016231406E-2</v>
      </c>
      <c r="BT1132" s="23">
        <v>7.322461812754423E-2</v>
      </c>
      <c r="BU1132" s="23">
        <v>7.2356010884306474E-2</v>
      </c>
      <c r="BV1132" s="23">
        <v>7.1437386760333274E-2</v>
      </c>
      <c r="BW1132" s="23">
        <v>7.063704077691689E-2</v>
      </c>
      <c r="BY1132" s="17" t="s">
        <v>6025</v>
      </c>
      <c r="BZ1132" s="23">
        <v>8.2611303578991088E-2</v>
      </c>
      <c r="CA1132" s="23">
        <v>8.0472476807443974E-2</v>
      </c>
      <c r="CB1132" s="23">
        <v>7.910091759636953E-2</v>
      </c>
      <c r="CC1132" s="23">
        <v>7.9124661553048051E-2</v>
      </c>
      <c r="CD1132" s="23">
        <v>7.9666312726529603E-2</v>
      </c>
      <c r="CE1132" s="23">
        <v>7.9846298865508272E-2</v>
      </c>
      <c r="CF1132" s="23">
        <v>8.0649592291770503E-2</v>
      </c>
      <c r="CG1132" s="23">
        <v>8.1324201333157181E-2</v>
      </c>
      <c r="CH1132" s="23">
        <v>8.2096005962619081E-2</v>
      </c>
      <c r="CI1132" s="23">
        <v>8.07676207349943E-2</v>
      </c>
      <c r="CJ1132" s="23">
        <v>7.9479287190834955E-2</v>
      </c>
      <c r="CK1132" s="23">
        <v>7.8183793781891817E-2</v>
      </c>
      <c r="CL1132" s="23">
        <v>7.6766738242751778E-2</v>
      </c>
      <c r="CM1132" s="23">
        <v>7.5501444179683158E-2</v>
      </c>
      <c r="CN1132" s="23">
        <v>7.43138194716184E-2</v>
      </c>
      <c r="CO1132" s="23">
        <v>7.3181621079283291E-2</v>
      </c>
      <c r="CP1132" s="23">
        <v>7.2145404368604546E-2</v>
      </c>
      <c r="CQ1132" s="23">
        <v>7.1178242964463595E-2</v>
      </c>
      <c r="CR1132" s="23">
        <v>7.0261871671288098E-2</v>
      </c>
      <c r="CS1132" s="23">
        <v>6.9406791747756658E-2</v>
      </c>
      <c r="CU1132" s="17" t="s">
        <v>6026</v>
      </c>
      <c r="CV1132" s="23">
        <v>8.2611303578991088E-2</v>
      </c>
      <c r="CW1132" s="23">
        <v>8.050807448639806E-2</v>
      </c>
      <c r="CX1132" s="23">
        <v>7.9130697268645842E-2</v>
      </c>
      <c r="CY1132" s="23">
        <v>7.9145691560715326E-2</v>
      </c>
      <c r="CZ1132" s="23">
        <v>7.9681459157561946E-2</v>
      </c>
      <c r="DA1132" s="23">
        <v>7.9855487039629039E-2</v>
      </c>
      <c r="DB1132" s="23">
        <v>8.2547731099608487E-2</v>
      </c>
      <c r="DC1132" s="23">
        <v>8.1821637920091769E-2</v>
      </c>
      <c r="DD1132" s="23">
        <v>8.0858755534604934E-2</v>
      </c>
      <c r="DE1132" s="23">
        <v>8.0015061551909544E-2</v>
      </c>
      <c r="DF1132" s="23">
        <v>7.8433145586116651E-2</v>
      </c>
      <c r="DG1132" s="23">
        <v>7.7069251063045296E-2</v>
      </c>
      <c r="DH1132" s="23">
        <v>7.5626712240073932E-2</v>
      </c>
      <c r="DI1132" s="23">
        <v>7.4363833110100974E-2</v>
      </c>
      <c r="DJ1132" s="23">
        <v>7.3166143101421166E-2</v>
      </c>
      <c r="DK1132" s="23">
        <v>7.2095621928290166E-2</v>
      </c>
      <c r="DL1132" s="23">
        <v>7.1081622684408652E-2</v>
      </c>
      <c r="DM1132" s="23">
        <v>7.0174382945567437E-2</v>
      </c>
      <c r="DN1132" s="23">
        <v>6.9307887741397844E-2</v>
      </c>
      <c r="DO1132" s="23">
        <v>6.8521868637143796E-2</v>
      </c>
    </row>
    <row r="1133" spans="1:230" x14ac:dyDescent="0.45">
      <c r="A1133" s="16" t="s">
        <v>6027</v>
      </c>
      <c r="B1133" s="3" t="s">
        <v>89</v>
      </c>
      <c r="C1133" s="16"/>
      <c r="H1133" s="3" t="s">
        <v>6028</v>
      </c>
      <c r="I1133" s="3" t="s">
        <v>175</v>
      </c>
      <c r="K1133" s="17" t="s">
        <v>6029</v>
      </c>
      <c r="L1133" s="22">
        <v>0.79218714275898894</v>
      </c>
      <c r="M1133" s="22">
        <v>0.76754158690500518</v>
      </c>
      <c r="N1133" s="22">
        <v>0.79942593488660862</v>
      </c>
      <c r="O1133" s="22">
        <v>0.78021681884206462</v>
      </c>
      <c r="P1133" s="22">
        <v>0.74758183575681336</v>
      </c>
      <c r="Q1133" s="22">
        <v>0.71372214490748886</v>
      </c>
      <c r="R1133" s="22">
        <v>0.68057964005909422</v>
      </c>
      <c r="S1133" s="22">
        <v>0.64812248504938275</v>
      </c>
      <c r="T1133" s="22">
        <v>0.61233223470541354</v>
      </c>
      <c r="U1133" s="22">
        <v>0.59090593350221066</v>
      </c>
      <c r="V1133" s="22">
        <v>0.5677770757567544</v>
      </c>
      <c r="W1133" s="22">
        <v>0.55505913682508023</v>
      </c>
      <c r="X1133" s="22">
        <v>0.53852402122718734</v>
      </c>
      <c r="Y1133" s="22">
        <v>0.52511051989936774</v>
      </c>
      <c r="Z1133" s="22">
        <v>0.51214395417181735</v>
      </c>
      <c r="AA1133" s="22">
        <v>0.49995316083401159</v>
      </c>
      <c r="AB1133" s="22">
        <v>0.48840851515045708</v>
      </c>
      <c r="AC1133" s="22">
        <v>0.47747577601897279</v>
      </c>
      <c r="AD1133" s="22">
        <v>0.46715417294879519</v>
      </c>
      <c r="AE1133" s="22">
        <v>0.45741248254693362</v>
      </c>
      <c r="AG1133" s="17" t="s">
        <v>6030</v>
      </c>
      <c r="AH1133" s="22">
        <v>0.79218714275898894</v>
      </c>
      <c r="AI1133" s="22">
        <v>0.76694039628135757</v>
      </c>
      <c r="AJ1133" s="22">
        <v>0.79891499692130274</v>
      </c>
      <c r="AK1133" s="22">
        <v>0.77978224650255878</v>
      </c>
      <c r="AL1133" s="22">
        <v>0.7471785925407245</v>
      </c>
      <c r="AM1133" s="22">
        <v>0.7133406400117287</v>
      </c>
      <c r="AN1133" s="22">
        <v>0.65075951853007408</v>
      </c>
      <c r="AO1133" s="22">
        <v>0.67451522427430177</v>
      </c>
      <c r="AP1133" s="22">
        <v>0.63539350842439291</v>
      </c>
      <c r="AQ1133" s="22">
        <v>0.61562060892544979</v>
      </c>
      <c r="AR1133" s="22">
        <v>0.589071039280744</v>
      </c>
      <c r="AS1133" s="22">
        <v>0.57836030174390263</v>
      </c>
      <c r="AT1133" s="22">
        <v>0.55810185953028357</v>
      </c>
      <c r="AU1133" s="22">
        <v>0.54383085823083011</v>
      </c>
      <c r="AV1133" s="22">
        <v>0.53001498092490018</v>
      </c>
      <c r="AW1133" s="22">
        <v>0.51717467163594311</v>
      </c>
      <c r="AX1133" s="22">
        <v>0.50475589066455651</v>
      </c>
      <c r="AY1133" s="22">
        <v>0.49301095468141232</v>
      </c>
      <c r="AZ1133" s="22">
        <v>0.48165091599198778</v>
      </c>
      <c r="BA1133" s="22">
        <v>0.47094533061422528</v>
      </c>
      <c r="BC1133" s="17" t="s">
        <v>6031</v>
      </c>
      <c r="BD1133" s="22">
        <v>0.79218714275898894</v>
      </c>
      <c r="BE1133" s="22">
        <v>0.76543576023629911</v>
      </c>
      <c r="BF1133" s="22">
        <v>0.7976361507681391</v>
      </c>
      <c r="BG1133" s="22">
        <v>0.77869445607232879</v>
      </c>
      <c r="BH1133" s="22">
        <v>0.74616979837039599</v>
      </c>
      <c r="BI1133" s="22">
        <v>0.71238694987186113</v>
      </c>
      <c r="BJ1133" s="22">
        <v>0.6642456050311123</v>
      </c>
      <c r="BK1133" s="22">
        <v>0.62972980456343419</v>
      </c>
      <c r="BL1133" s="22">
        <v>0.62440746378885736</v>
      </c>
      <c r="BM1133" s="22">
        <v>0.62207849335622134</v>
      </c>
      <c r="BN1133" s="22">
        <v>0.58824144458387517</v>
      </c>
      <c r="BO1133" s="22">
        <v>0.57610313558083448</v>
      </c>
      <c r="BP1133" s="22">
        <v>0.5431889210877775</v>
      </c>
      <c r="BQ1133" s="22">
        <v>0.52203150612596017</v>
      </c>
      <c r="BR1133" s="22">
        <v>0.48992112428609819</v>
      </c>
      <c r="BS1133" s="22">
        <v>0.4671164269865109</v>
      </c>
      <c r="BT1133" s="22">
        <v>0.43475326499021327</v>
      </c>
      <c r="BU1133" s="22">
        <v>0.41358010737502832</v>
      </c>
      <c r="BV1133" s="22">
        <v>0.38089514644186218</v>
      </c>
      <c r="BW1133" s="22">
        <v>0.364469916060285</v>
      </c>
      <c r="BY1133" s="17" t="s">
        <v>6032</v>
      </c>
      <c r="BZ1133" s="22">
        <v>0.79218714275898894</v>
      </c>
      <c r="CA1133" s="22">
        <v>0.76398004132414432</v>
      </c>
      <c r="CB1133" s="22">
        <v>0.79639730732020042</v>
      </c>
      <c r="CC1133" s="22">
        <v>0.77763926973815323</v>
      </c>
      <c r="CD1133" s="22">
        <v>0.74518923360322598</v>
      </c>
      <c r="CE1133" s="22">
        <v>0.71145780270300829</v>
      </c>
      <c r="CF1133" s="22">
        <v>0.67843838915482557</v>
      </c>
      <c r="CG1133" s="22">
        <v>0.64624317661872244</v>
      </c>
      <c r="CH1133" s="22">
        <v>0.61011533811198593</v>
      </c>
      <c r="CI1133" s="22">
        <v>0.58060287419157053</v>
      </c>
      <c r="CJ1133" s="22">
        <v>0.54158083552000624</v>
      </c>
      <c r="CK1133" s="22">
        <v>0.52182804083792678</v>
      </c>
      <c r="CL1133" s="22">
        <v>0.47347362358601219</v>
      </c>
      <c r="CM1133" s="22">
        <v>0.43656891686352312</v>
      </c>
      <c r="CN1133" s="22">
        <v>0.40316250476416071</v>
      </c>
      <c r="CO1133" s="22">
        <v>0.36862240504833088</v>
      </c>
      <c r="CP1133" s="22">
        <v>0.33967241939795412</v>
      </c>
      <c r="CQ1133" s="22">
        <v>0.31383099016173233</v>
      </c>
      <c r="CR1133" s="22">
        <v>0.2891269785454178</v>
      </c>
      <c r="CS1133" s="22">
        <v>0.26806138779521571</v>
      </c>
      <c r="CU1133" s="17" t="s">
        <v>6033</v>
      </c>
      <c r="CV1133" s="22">
        <v>0.79218714275898894</v>
      </c>
      <c r="CW1133" s="22">
        <v>0.76609775385655621</v>
      </c>
      <c r="CX1133" s="22">
        <v>0.79819881870085596</v>
      </c>
      <c r="CY1133" s="22">
        <v>0.77917307671305314</v>
      </c>
      <c r="CZ1133" s="22">
        <v>0.74661356562362713</v>
      </c>
      <c r="DA1133" s="22">
        <v>0.71280635748507903</v>
      </c>
      <c r="DB1133" s="22">
        <v>0.61013294128552598</v>
      </c>
      <c r="DC1133" s="22">
        <v>0.63831213946834053</v>
      </c>
      <c r="DD1133" s="22">
        <v>0.62231617227075509</v>
      </c>
      <c r="DE1133" s="22">
        <v>0.63700549287824282</v>
      </c>
      <c r="DF1133" s="22">
        <v>0.5784354461362945</v>
      </c>
      <c r="DG1133" s="22">
        <v>0.55399641502634367</v>
      </c>
      <c r="DH1133" s="22">
        <v>0.50538891682753295</v>
      </c>
      <c r="DI1133" s="22">
        <v>0.47249375799735932</v>
      </c>
      <c r="DJ1133" s="22">
        <v>0.43670619976148523</v>
      </c>
      <c r="DK1133" s="22">
        <v>0.40932602796178508</v>
      </c>
      <c r="DL1133" s="22">
        <v>0.38010818444369082</v>
      </c>
      <c r="DM1133" s="22">
        <v>0.35820426220351248</v>
      </c>
      <c r="DN1133" s="22">
        <v>0.33496925398152788</v>
      </c>
      <c r="DO1133" s="22">
        <v>0.31755527380050519</v>
      </c>
    </row>
    <row r="1134" spans="1:230" x14ac:dyDescent="0.45">
      <c r="A1134" s="16" t="s">
        <v>6034</v>
      </c>
      <c r="B1134" s="3" t="s">
        <v>89</v>
      </c>
      <c r="C1134" s="16"/>
      <c r="H1134" s="3" t="s">
        <v>6035</v>
      </c>
      <c r="I1134" s="3" t="s">
        <v>224</v>
      </c>
      <c r="K1134" s="17" t="s">
        <v>6036</v>
      </c>
      <c r="L1134" s="20">
        <v>2716.3427906172492</v>
      </c>
      <c r="M1134" s="20">
        <v>0</v>
      </c>
      <c r="N1134" s="20">
        <v>12052.011589156249</v>
      </c>
      <c r="O1134" s="20">
        <v>12906.246324368271</v>
      </c>
      <c r="P1134" s="20">
        <v>13821.04354549964</v>
      </c>
      <c r="Q1134" s="20">
        <v>14794.68555801062</v>
      </c>
      <c r="R1134" s="20">
        <v>15833.48446123334</v>
      </c>
      <c r="S1134" s="20">
        <v>16940.984581186869</v>
      </c>
      <c r="T1134" s="20">
        <v>6813.3452469347794</v>
      </c>
      <c r="U1134" s="20">
        <v>7853.4017844926966</v>
      </c>
      <c r="V1134" s="20">
        <v>7622.0189904180734</v>
      </c>
      <c r="W1134" s="20">
        <v>14293.34398235236</v>
      </c>
      <c r="X1134" s="20">
        <v>11291.12604655309</v>
      </c>
      <c r="Y1134" s="20">
        <v>12063.084438740139</v>
      </c>
      <c r="Z1134" s="20">
        <v>12174.21024936524</v>
      </c>
      <c r="AA1134" s="20">
        <v>12477.12171314696</v>
      </c>
      <c r="AB1134" s="20">
        <v>12771.043188730129</v>
      </c>
      <c r="AC1134" s="20">
        <v>13066.89639902194</v>
      </c>
      <c r="AD1134" s="20">
        <v>13378.741764611799</v>
      </c>
      <c r="AE1134" s="20">
        <v>13697.978637046121</v>
      </c>
      <c r="AG1134" s="17" t="s">
        <v>6037</v>
      </c>
      <c r="AH1134" s="20">
        <v>2714.1298254903281</v>
      </c>
      <c r="AI1134" s="20">
        <v>0</v>
      </c>
      <c r="AJ1134" s="20">
        <v>12051.986526067731</v>
      </c>
      <c r="AK1134" s="20">
        <v>12906.19566043253</v>
      </c>
      <c r="AL1134" s="20">
        <v>13820.966635535009</v>
      </c>
      <c r="AM1134" s="20">
        <v>14794.58168900296</v>
      </c>
      <c r="AN1134" s="20">
        <v>0</v>
      </c>
      <c r="AO1134" s="20">
        <v>15212.93837185777</v>
      </c>
      <c r="AP1134" s="20">
        <v>6892.0453976534354</v>
      </c>
      <c r="AQ1134" s="20">
        <v>11705.45276964094</v>
      </c>
      <c r="AR1134" s="20">
        <v>6254.9164668548128</v>
      </c>
      <c r="AS1134" s="20">
        <v>13935.204644493129</v>
      </c>
      <c r="AT1134" s="20">
        <v>10648.773931057911</v>
      </c>
      <c r="AU1134" s="20">
        <v>11644.36857794724</v>
      </c>
      <c r="AV1134" s="20">
        <v>11792.294872945729</v>
      </c>
      <c r="AW1134" s="20">
        <v>12189.951299238939</v>
      </c>
      <c r="AX1134" s="20">
        <v>12267.736331511171</v>
      </c>
      <c r="AY1134" s="20">
        <v>12567.35264819148</v>
      </c>
      <c r="AZ1134" s="20">
        <v>12689.64207651134</v>
      </c>
      <c r="BA1134" s="20">
        <v>13047.54685864679</v>
      </c>
      <c r="BC1134" s="17" t="s">
        <v>6038</v>
      </c>
      <c r="BD1134" s="20">
        <v>2710.5617460494768</v>
      </c>
      <c r="BE1134" s="20">
        <v>0</v>
      </c>
      <c r="BF1134" s="20">
        <v>12051.92504722897</v>
      </c>
      <c r="BG1134" s="20">
        <v>12906.071391385291</v>
      </c>
      <c r="BH1134" s="20">
        <v>13820.778001291221</v>
      </c>
      <c r="BI1134" s="20">
        <v>14794.32694809291</v>
      </c>
      <c r="BJ1134" s="20">
        <v>5461.4502558355907</v>
      </c>
      <c r="BK1134" s="20">
        <v>1080.9663298529381</v>
      </c>
      <c r="BL1134" s="20">
        <v>1466.6000226199119</v>
      </c>
      <c r="BM1134" s="20">
        <v>4832.4735334283587</v>
      </c>
      <c r="BN1134" s="20">
        <v>3083.3426804738629</v>
      </c>
      <c r="BO1134" s="20">
        <v>5869.9909892737023</v>
      </c>
      <c r="BP1134" s="20">
        <v>4774.3165895483389</v>
      </c>
      <c r="BQ1134" s="20">
        <v>7091.8266906750468</v>
      </c>
      <c r="BR1134" s="20">
        <v>6288.817459292095</v>
      </c>
      <c r="BS1134" s="20">
        <v>8570.1469716208594</v>
      </c>
      <c r="BT1134" s="20">
        <v>7420.5094019036296</v>
      </c>
      <c r="BU1134" s="20">
        <v>10003.487015004141</v>
      </c>
      <c r="BV1134" s="20">
        <v>7882.5685829837221</v>
      </c>
      <c r="BW1134" s="20">
        <v>11568.7570693206</v>
      </c>
      <c r="BY1134" s="17" t="s">
        <v>6039</v>
      </c>
      <c r="BZ1134" s="20">
        <v>2701.5841239362339</v>
      </c>
      <c r="CA1134" s="20">
        <v>0</v>
      </c>
      <c r="CB1134" s="20">
        <v>12051.88717979198</v>
      </c>
      <c r="CC1134" s="20">
        <v>12905.99483086185</v>
      </c>
      <c r="CD1134" s="20">
        <v>13820.661759921741</v>
      </c>
      <c r="CE1134" s="20">
        <v>14794.169935785791</v>
      </c>
      <c r="CF1134" s="20">
        <v>15832.83094034092</v>
      </c>
      <c r="CG1134" s="20">
        <v>16940.188642936861</v>
      </c>
      <c r="CH1134" s="20">
        <v>6914.2334335617907</v>
      </c>
      <c r="CI1134" s="20">
        <v>9242.4901783325622</v>
      </c>
      <c r="CJ1134" s="20">
        <v>7941.7731018811137</v>
      </c>
      <c r="CK1134" s="20">
        <v>17457.31762251235</v>
      </c>
      <c r="CL1134" s="20">
        <v>13668.612175361381</v>
      </c>
      <c r="CM1134" s="20">
        <v>14144.899020063</v>
      </c>
      <c r="CN1134" s="20">
        <v>15435.21658914368</v>
      </c>
      <c r="CO1134" s="20">
        <v>14833.267445529689</v>
      </c>
      <c r="CP1134" s="20">
        <v>14884.12256510414</v>
      </c>
      <c r="CQ1134" s="20">
        <v>15262.026075384019</v>
      </c>
      <c r="CR1134" s="20">
        <v>14931.261995398279</v>
      </c>
      <c r="CS1134" s="20">
        <v>15336.24016130274</v>
      </c>
      <c r="CU1134" s="17" t="s">
        <v>6040</v>
      </c>
      <c r="CV1134" s="20">
        <v>2711.8079722457128</v>
      </c>
      <c r="CW1134" s="20">
        <v>0</v>
      </c>
      <c r="CX1134" s="20">
        <v>12051.95189105047</v>
      </c>
      <c r="CY1134" s="20">
        <v>12906.12565032262</v>
      </c>
      <c r="CZ1134" s="20">
        <v>13820.8603617628</v>
      </c>
      <c r="DA1134" s="20">
        <v>14794.43816922417</v>
      </c>
      <c r="DB1134" s="20">
        <v>0</v>
      </c>
      <c r="DC1134" s="20">
        <v>3282.3917992780948</v>
      </c>
      <c r="DD1134" s="20">
        <v>1489.0019506741839</v>
      </c>
      <c r="DE1134" s="20">
        <v>14244.895086174631</v>
      </c>
      <c r="DF1134" s="20">
        <v>8350.2505742223675</v>
      </c>
      <c r="DG1134" s="20">
        <v>14622.846706144501</v>
      </c>
      <c r="DH1134" s="20">
        <v>12681.703096456909</v>
      </c>
      <c r="DI1134" s="20">
        <v>14403.55877851345</v>
      </c>
      <c r="DJ1134" s="20">
        <v>13647.48502099982</v>
      </c>
      <c r="DK1134" s="20">
        <v>14836.14472574685</v>
      </c>
      <c r="DL1134" s="20">
        <v>13785.729436982459</v>
      </c>
      <c r="DM1134" s="20">
        <v>14608.4933185422</v>
      </c>
      <c r="DN1134" s="20">
        <v>13634.25992902699</v>
      </c>
      <c r="DO1134" s="20">
        <v>14545.941348132659</v>
      </c>
    </row>
    <row r="1135" spans="1:230" x14ac:dyDescent="0.45">
      <c r="A1135" s="16" t="s">
        <v>6041</v>
      </c>
      <c r="B1135" s="3" t="s">
        <v>89</v>
      </c>
      <c r="C1135" s="16"/>
      <c r="H1135" s="3" t="s">
        <v>6042</v>
      </c>
      <c r="I1135" s="3" t="s">
        <v>2725</v>
      </c>
      <c r="K1135" s="17" t="s">
        <v>6043</v>
      </c>
      <c r="L1135" s="20">
        <v>24192.484884399881</v>
      </c>
      <c r="M1135" s="20">
        <v>23573.901564728279</v>
      </c>
      <c r="N1135" s="20">
        <v>26717.986434678049</v>
      </c>
      <c r="O1135" s="20">
        <v>30251.40341301123</v>
      </c>
      <c r="P1135" s="20">
        <v>31717.865066752569</v>
      </c>
      <c r="Q1135" s="20">
        <v>32965.922250881478</v>
      </c>
      <c r="R1135" s="20">
        <v>34278.232342247429</v>
      </c>
      <c r="S1135" s="20">
        <v>35661.743863061558</v>
      </c>
      <c r="T1135" s="20">
        <v>36740.92385438177</v>
      </c>
      <c r="U1135" s="20">
        <v>37863.937855073287</v>
      </c>
      <c r="V1135" s="20">
        <v>38972.248517430147</v>
      </c>
      <c r="W1135" s="20">
        <v>40913.623165403587</v>
      </c>
      <c r="X1135" s="20">
        <v>42886.679329757462</v>
      </c>
      <c r="Y1135" s="20">
        <v>44961.674882251697</v>
      </c>
      <c r="Z1135" s="20">
        <v>47090.46178101845</v>
      </c>
      <c r="AA1135" s="20">
        <v>49273.840720568383</v>
      </c>
      <c r="AB1135" s="20">
        <v>51510.801851748249</v>
      </c>
      <c r="AC1135" s="20">
        <v>53802.096513605124</v>
      </c>
      <c r="AD1135" s="20">
        <v>56150.510710655501</v>
      </c>
      <c r="AE1135" s="20">
        <v>58557.473172250036</v>
      </c>
      <c r="AG1135" s="17" t="s">
        <v>6044</v>
      </c>
      <c r="AH1135" s="20">
        <v>24192.484884399881</v>
      </c>
      <c r="AI1135" s="20">
        <v>23573.901564728279</v>
      </c>
      <c r="AJ1135" s="20">
        <v>26717.986434678049</v>
      </c>
      <c r="AK1135" s="20">
        <v>30251.40341301123</v>
      </c>
      <c r="AL1135" s="20">
        <v>31717.3399316914</v>
      </c>
      <c r="AM1135" s="20">
        <v>32964.548965223548</v>
      </c>
      <c r="AN1135" s="20">
        <v>31384.93060647518</v>
      </c>
      <c r="AO1135" s="20">
        <v>32730.118463515821</v>
      </c>
      <c r="AP1135" s="20">
        <v>33467.475740331764</v>
      </c>
      <c r="AQ1135" s="20">
        <v>34953.584023673968</v>
      </c>
      <c r="AR1135" s="20">
        <v>36107.167188701133</v>
      </c>
      <c r="AS1135" s="20">
        <v>38040.649680135954</v>
      </c>
      <c r="AT1135" s="20">
        <v>39968.481150810992</v>
      </c>
      <c r="AU1135" s="20">
        <v>42006.628512023177</v>
      </c>
      <c r="AV1135" s="20">
        <v>44107.286414970571</v>
      </c>
      <c r="AW1135" s="20">
        <v>46278.553384883053</v>
      </c>
      <c r="AX1135" s="20">
        <v>48483.760094194702</v>
      </c>
      <c r="AY1135" s="20">
        <v>50733.20375268651</v>
      </c>
      <c r="AZ1135" s="20">
        <v>53010.072879308813</v>
      </c>
      <c r="BA1135" s="20">
        <v>55335.082982056563</v>
      </c>
      <c r="BC1135" s="17" t="s">
        <v>6045</v>
      </c>
      <c r="BD1135" s="20">
        <v>24192.484884399881</v>
      </c>
      <c r="BE1135" s="20">
        <v>23573.901564728279</v>
      </c>
      <c r="BF1135" s="20">
        <v>26717.986434678049</v>
      </c>
      <c r="BG1135" s="20">
        <v>30251.40341301123</v>
      </c>
      <c r="BH1135" s="20">
        <v>31716.114857555549</v>
      </c>
      <c r="BI1135" s="20">
        <v>32961.290455631162</v>
      </c>
      <c r="BJ1135" s="20">
        <v>32732.974724130701</v>
      </c>
      <c r="BK1135" s="20">
        <v>32283.814784415459</v>
      </c>
      <c r="BL1135" s="20">
        <v>31782.216351621119</v>
      </c>
      <c r="BM1135" s="20">
        <v>31796.40445409017</v>
      </c>
      <c r="BN1135" s="20">
        <v>31789.367186674281</v>
      </c>
      <c r="BO1135" s="20">
        <v>32153.8344841861</v>
      </c>
      <c r="BP1135" s="20">
        <v>32588.64560420554</v>
      </c>
      <c r="BQ1135" s="20">
        <v>33287.491826382051</v>
      </c>
      <c r="BR1135" s="20">
        <v>34050.256107363231</v>
      </c>
      <c r="BS1135" s="20">
        <v>35054.642068321482</v>
      </c>
      <c r="BT1135" s="20">
        <v>36085.024071191299</v>
      </c>
      <c r="BU1135" s="20">
        <v>37365.071815351781</v>
      </c>
      <c r="BV1135" s="20">
        <v>38592.652393996759</v>
      </c>
      <c r="BW1135" s="20">
        <v>40126.892221557253</v>
      </c>
      <c r="BY1135" s="17" t="s">
        <v>6046</v>
      </c>
      <c r="BZ1135" s="20">
        <v>24192.484884399881</v>
      </c>
      <c r="CA1135" s="20">
        <v>23573.901564728279</v>
      </c>
      <c r="CB1135" s="20">
        <v>26717.986434678049</v>
      </c>
      <c r="CC1135" s="20">
        <v>30251.40341301123</v>
      </c>
      <c r="CD1135" s="20">
        <v>31714.859364795961</v>
      </c>
      <c r="CE1135" s="20">
        <v>32957.993694467114</v>
      </c>
      <c r="CF1135" s="20">
        <v>34266.665063680754</v>
      </c>
      <c r="CG1135" s="20">
        <v>35661.913315853883</v>
      </c>
      <c r="CH1135" s="20">
        <v>36697.592418706947</v>
      </c>
      <c r="CI1135" s="20">
        <v>37834.720495694273</v>
      </c>
      <c r="CJ1135" s="20">
        <v>38915.809758544739</v>
      </c>
      <c r="CK1135" s="20">
        <v>40917.629188476298</v>
      </c>
      <c r="CL1135" s="20">
        <v>42975.090315440357</v>
      </c>
      <c r="CM1135" s="20">
        <v>45118.084113866753</v>
      </c>
      <c r="CN1135" s="20">
        <v>47433.403366443948</v>
      </c>
      <c r="CO1135" s="20">
        <v>49803.627150380147</v>
      </c>
      <c r="CP1135" s="20">
        <v>52222.163080823419</v>
      </c>
      <c r="CQ1135" s="20">
        <v>54714.231077921359</v>
      </c>
      <c r="CR1135" s="20">
        <v>57231.200070424988</v>
      </c>
      <c r="CS1135" s="20">
        <v>59810.41566987626</v>
      </c>
      <c r="CU1135" s="17" t="s">
        <v>6047</v>
      </c>
      <c r="CV1135" s="20">
        <v>24192.484884399881</v>
      </c>
      <c r="CW1135" s="20">
        <v>23573.901564728279</v>
      </c>
      <c r="CX1135" s="20">
        <v>26717.986434678049</v>
      </c>
      <c r="CY1135" s="20">
        <v>30251.40341301123</v>
      </c>
      <c r="CZ1135" s="20">
        <v>31716.639043647421</v>
      </c>
      <c r="DA1135" s="20">
        <v>32962.694477627207</v>
      </c>
      <c r="DB1135" s="20">
        <v>28156.583079565389</v>
      </c>
      <c r="DC1135" s="20">
        <v>29497.778140892631</v>
      </c>
      <c r="DD1135" s="20">
        <v>29939.764750505012</v>
      </c>
      <c r="DE1135" s="20">
        <v>31380.733633988919</v>
      </c>
      <c r="DF1135" s="20">
        <v>32745.59102499548</v>
      </c>
      <c r="DG1135" s="20">
        <v>34651.625648862981</v>
      </c>
      <c r="DH1135" s="20">
        <v>36673.574038371808</v>
      </c>
      <c r="DI1135" s="20">
        <v>38921.911658173267</v>
      </c>
      <c r="DJ1135" s="20">
        <v>41233.300459455517</v>
      </c>
      <c r="DK1135" s="20">
        <v>43694.972637653147</v>
      </c>
      <c r="DL1135" s="20">
        <v>46152.34583588846</v>
      </c>
      <c r="DM1135" s="20">
        <v>48690.432452004738</v>
      </c>
      <c r="DN1135" s="20">
        <v>51192.677683446163</v>
      </c>
      <c r="DO1135" s="20">
        <v>53765.663292816811</v>
      </c>
    </row>
    <row r="1136" spans="1:230" x14ac:dyDescent="0.45">
      <c r="A1136" s="16" t="s">
        <v>6048</v>
      </c>
      <c r="B1136" s="3" t="s">
        <v>89</v>
      </c>
      <c r="C1136" s="16"/>
      <c r="H1136" s="3" t="s">
        <v>6049</v>
      </c>
      <c r="I1136" s="3" t="s">
        <v>4743</v>
      </c>
      <c r="K1136" s="17" t="s">
        <v>6050</v>
      </c>
      <c r="L1136" s="20">
        <v>73809.135318917455</v>
      </c>
      <c r="M1136" s="20">
        <v>73566.489409647693</v>
      </c>
      <c r="N1136" s="20">
        <v>71264.545689768842</v>
      </c>
      <c r="O1136" s="20">
        <v>78332.655996079819</v>
      </c>
      <c r="P1136" s="20">
        <v>85907.747107158371</v>
      </c>
      <c r="Q1136" s="20">
        <v>94029.539025121048</v>
      </c>
      <c r="R1136" s="20">
        <v>102740.7590629748</v>
      </c>
      <c r="S1136" s="20">
        <v>112087.3725197645</v>
      </c>
      <c r="T1136" s="20">
        <v>122118.83096159869</v>
      </c>
      <c r="U1136" s="20">
        <v>123745.39291389041</v>
      </c>
      <c r="V1136" s="20">
        <v>126071.8945746984</v>
      </c>
      <c r="W1136" s="20">
        <v>128209.1545631865</v>
      </c>
      <c r="X1136" s="20">
        <v>134893.55890259609</v>
      </c>
      <c r="Y1136" s="20">
        <v>139422.2301138909</v>
      </c>
      <c r="Z1136" s="20">
        <v>144430.05649008579</v>
      </c>
      <c r="AA1136" s="20">
        <v>149454.28409247281</v>
      </c>
      <c r="AB1136" s="20">
        <v>154638.05045100281</v>
      </c>
      <c r="AC1136" s="20">
        <v>159973.82024523971</v>
      </c>
      <c r="AD1136" s="20">
        <v>165469.67975528591</v>
      </c>
      <c r="AE1136" s="20">
        <v>171139.3763244813</v>
      </c>
      <c r="AG1136" s="17" t="s">
        <v>6051</v>
      </c>
      <c r="AH1136" s="20">
        <v>73809.135318917455</v>
      </c>
      <c r="AI1136" s="20">
        <v>73564.361757244493</v>
      </c>
      <c r="AJ1136" s="20">
        <v>71262.32499028687</v>
      </c>
      <c r="AK1136" s="20">
        <v>78330.332336058826</v>
      </c>
      <c r="AL1136" s="20">
        <v>85905.309921823515</v>
      </c>
      <c r="AM1136" s="20">
        <v>94026.977044727275</v>
      </c>
      <c r="AN1136" s="20">
        <v>102738.0602551874</v>
      </c>
      <c r="AO1136" s="20">
        <v>99487.601646331095</v>
      </c>
      <c r="AP1136" s="20">
        <v>108543.7089045977</v>
      </c>
      <c r="AQ1136" s="20">
        <v>110585.5837136906</v>
      </c>
      <c r="AR1136" s="20">
        <v>115890.3220765134</v>
      </c>
      <c r="AS1136" s="20">
        <v>117358.74598622639</v>
      </c>
      <c r="AT1136" s="20">
        <v>123860.3396773311</v>
      </c>
      <c r="AU1136" s="20">
        <v>128238.1851689911</v>
      </c>
      <c r="AV1136" s="20">
        <v>133245.37595244011</v>
      </c>
      <c r="AW1136" s="20">
        <v>138289.52705656469</v>
      </c>
      <c r="AX1136" s="20">
        <v>143553.2521958974</v>
      </c>
      <c r="AY1136" s="20">
        <v>148814.16598490669</v>
      </c>
      <c r="AZ1136" s="20">
        <v>154234.44881737229</v>
      </c>
      <c r="BA1136" s="20">
        <v>159694.01724615731</v>
      </c>
      <c r="BC1136" s="17" t="s">
        <v>6052</v>
      </c>
      <c r="BD1136" s="20">
        <v>73809.135318917455</v>
      </c>
      <c r="BE1136" s="20">
        <v>73560.48683887902</v>
      </c>
      <c r="BF1136" s="20">
        <v>71258.182805940014</v>
      </c>
      <c r="BG1136" s="20">
        <v>78325.899751174875</v>
      </c>
      <c r="BH1136" s="20">
        <v>85900.562172268037</v>
      </c>
      <c r="BI1136" s="20">
        <v>94021.887606321994</v>
      </c>
      <c r="BJ1136" s="20">
        <v>102732.60070350461</v>
      </c>
      <c r="BK1136" s="20">
        <v>104275.6792696511</v>
      </c>
      <c r="BL1136" s="20">
        <v>101983.8083929772</v>
      </c>
      <c r="BM1136" s="20">
        <v>99950.68294865721</v>
      </c>
      <c r="BN1136" s="20">
        <v>100752.17076000549</v>
      </c>
      <c r="BO1136" s="20">
        <v>100135.9890338143</v>
      </c>
      <c r="BP1136" s="20">
        <v>101357.106008656</v>
      </c>
      <c r="BQ1136" s="20">
        <v>102144.3695941491</v>
      </c>
      <c r="BR1136" s="20">
        <v>103787.78915150629</v>
      </c>
      <c r="BS1136" s="20">
        <v>105217.73287367509</v>
      </c>
      <c r="BT1136" s="20">
        <v>107392.1514868716</v>
      </c>
      <c r="BU1136" s="20">
        <v>109266.6738058631</v>
      </c>
      <c r="BV1136" s="20">
        <v>111988.9152934835</v>
      </c>
      <c r="BW1136" s="20">
        <v>114132.416189797</v>
      </c>
      <c r="BY1136" s="17" t="s">
        <v>6053</v>
      </c>
      <c r="BZ1136" s="20">
        <v>73809.135318917455</v>
      </c>
      <c r="CA1136" s="20">
        <v>73551.470984449974</v>
      </c>
      <c r="CB1136" s="20">
        <v>71249.209907378754</v>
      </c>
      <c r="CC1136" s="20">
        <v>78316.948913252287</v>
      </c>
      <c r="CD1136" s="20">
        <v>85891.61170017159</v>
      </c>
      <c r="CE1136" s="20">
        <v>94012.914918292707</v>
      </c>
      <c r="CF1136" s="20">
        <v>102723.5822376593</v>
      </c>
      <c r="CG1136" s="20">
        <v>112069.57500229809</v>
      </c>
      <c r="CH1136" s="20">
        <v>122100.3404885435</v>
      </c>
      <c r="CI1136" s="20">
        <v>123177.9638562426</v>
      </c>
      <c r="CJ1136" s="20">
        <v>125006.6726769167</v>
      </c>
      <c r="CK1136" s="20">
        <v>126520.8008442811</v>
      </c>
      <c r="CL1136" s="20">
        <v>131987.65221730329</v>
      </c>
      <c r="CM1136" s="20">
        <v>135455.94484046669</v>
      </c>
      <c r="CN1136" s="20">
        <v>139206.6689183581</v>
      </c>
      <c r="CO1136" s="20">
        <v>143488.48625582611</v>
      </c>
      <c r="CP1136" s="20">
        <v>147745.59892050421</v>
      </c>
      <c r="CQ1136" s="20">
        <v>152162.40512613891</v>
      </c>
      <c r="CR1136" s="20">
        <v>156836.7359386048</v>
      </c>
      <c r="CS1136" s="20">
        <v>161556.37382161719</v>
      </c>
      <c r="CU1136" s="17" t="s">
        <v>6054</v>
      </c>
      <c r="CV1136" s="20">
        <v>73809.135318917455</v>
      </c>
      <c r="CW1136" s="20">
        <v>73561.953526422833</v>
      </c>
      <c r="CX1136" s="20">
        <v>71259.77273064341</v>
      </c>
      <c r="CY1136" s="20">
        <v>78327.622816195071</v>
      </c>
      <c r="CZ1136" s="20">
        <v>85902.428997643758</v>
      </c>
      <c r="DA1136" s="20">
        <v>94023.909585746427</v>
      </c>
      <c r="DB1136" s="20">
        <v>102734.7900653542</v>
      </c>
      <c r="DC1136" s="20">
        <v>99484.256091320305</v>
      </c>
      <c r="DD1136" s="20">
        <v>99416.850187134929</v>
      </c>
      <c r="DE1136" s="20">
        <v>97492.090287356696</v>
      </c>
      <c r="DF1136" s="20">
        <v>102273.214730323</v>
      </c>
      <c r="DG1136" s="20">
        <v>104627.7191124597</v>
      </c>
      <c r="DH1136" s="20">
        <v>109227.1510821939</v>
      </c>
      <c r="DI1136" s="20">
        <v>113258.635862832</v>
      </c>
      <c r="DJ1136" s="20">
        <v>117982.46276986381</v>
      </c>
      <c r="DK1136" s="20">
        <v>122574.7491114588</v>
      </c>
      <c r="DL1136" s="20">
        <v>127678.48483179401</v>
      </c>
      <c r="DM1136" s="20">
        <v>132548.5722772014</v>
      </c>
      <c r="DN1136" s="20">
        <v>137797.80298946641</v>
      </c>
      <c r="DO1136" s="20">
        <v>142829.42323585841</v>
      </c>
    </row>
    <row r="1137" spans="1:230" x14ac:dyDescent="0.45">
      <c r="A1137" s="16" t="s">
        <v>6055</v>
      </c>
      <c r="B1137" s="3" t="s">
        <v>89</v>
      </c>
      <c r="C1137" s="16"/>
      <c r="H1137" s="3" t="s">
        <v>6056</v>
      </c>
      <c r="I1137" s="3" t="s">
        <v>4743</v>
      </c>
      <c r="K1137" s="17" t="s">
        <v>6057</v>
      </c>
      <c r="L1137" s="20">
        <v>1642.5</v>
      </c>
      <c r="M1137" s="20">
        <v>2315.9215580469759</v>
      </c>
      <c r="N1137" s="20">
        <v>2238.7241727787441</v>
      </c>
      <c r="O1137" s="20">
        <v>3320.167987770978</v>
      </c>
      <c r="P1137" s="20">
        <v>4457.2318283466739</v>
      </c>
      <c r="Q1137" s="20">
        <v>5655.0422746547238</v>
      </c>
      <c r="R1137" s="20">
        <v>6919.08970593289</v>
      </c>
      <c r="S1137" s="20">
        <v>8255.2569883286906</v>
      </c>
      <c r="T1137" s="20">
        <v>9669.8503279724828</v>
      </c>
      <c r="U1137" s="20">
        <v>10999.782879326909</v>
      </c>
      <c r="V1137" s="20">
        <v>12499.41875804124</v>
      </c>
      <c r="W1137" s="20">
        <v>14006.679377383891</v>
      </c>
      <c r="X1137" s="20">
        <v>15517.52435548661</v>
      </c>
      <c r="Y1137" s="20">
        <v>17117.96758159329</v>
      </c>
      <c r="Z1137" s="20">
        <v>18763.8276310041</v>
      </c>
      <c r="AA1137" s="20">
        <v>20462.416012111411</v>
      </c>
      <c r="AB1137" s="20">
        <v>22212.01430503462</v>
      </c>
      <c r="AC1137" s="20">
        <v>24013.655566200319</v>
      </c>
      <c r="AD1137" s="20">
        <v>25868.19106291213</v>
      </c>
      <c r="AE1137" s="20">
        <v>27776.57578674467</v>
      </c>
      <c r="AG1137" s="17" t="s">
        <v>6058</v>
      </c>
      <c r="AH1137" s="20">
        <v>1642.5</v>
      </c>
      <c r="AI1137" s="20">
        <v>2335.374382651808</v>
      </c>
      <c r="AJ1137" s="20">
        <v>2257.5285698967482</v>
      </c>
      <c r="AK1137" s="20">
        <v>3338.343167519155</v>
      </c>
      <c r="AL1137" s="20">
        <v>4474.7962707367942</v>
      </c>
      <c r="AM1137" s="20">
        <v>5672.0137434037661</v>
      </c>
      <c r="AN1137" s="20">
        <v>6935.4852611513688</v>
      </c>
      <c r="AO1137" s="20">
        <v>6704.3024191129898</v>
      </c>
      <c r="AP1137" s="20">
        <v>7998.2312886015134</v>
      </c>
      <c r="AQ1137" s="20">
        <v>9368.2144003977191</v>
      </c>
      <c r="AR1137" s="20">
        <v>10743.197176650179</v>
      </c>
      <c r="AS1137" s="20">
        <v>11988.603616298829</v>
      </c>
      <c r="AT1137" s="20">
        <v>13427.967348833359</v>
      </c>
      <c r="AU1137" s="20">
        <v>14956.36065421089</v>
      </c>
      <c r="AV1137" s="20">
        <v>16528.291104619359</v>
      </c>
      <c r="AW1137" s="20">
        <v>18154.05922309688</v>
      </c>
      <c r="AX1137" s="20">
        <v>19832.343118986861</v>
      </c>
      <c r="AY1137" s="20">
        <v>21565.308341063501</v>
      </c>
      <c r="AZ1137" s="20">
        <v>23350.818094546259</v>
      </c>
      <c r="BA1137" s="20">
        <v>25189.86340303452</v>
      </c>
      <c r="BC1137" s="17" t="s">
        <v>6059</v>
      </c>
      <c r="BD1137" s="20">
        <v>1642.5</v>
      </c>
      <c r="BE1137" s="20">
        <v>2383.653817171009</v>
      </c>
      <c r="BF1137" s="20">
        <v>2304.198689931975</v>
      </c>
      <c r="BG1137" s="20">
        <v>3383.4517196373708</v>
      </c>
      <c r="BH1137" s="20">
        <v>4518.389190502683</v>
      </c>
      <c r="BI1137" s="20">
        <v>5714.1351899316687</v>
      </c>
      <c r="BJ1137" s="20">
        <v>6976.177648885272</v>
      </c>
      <c r="BK1137" s="20">
        <v>8310.3970257445508</v>
      </c>
      <c r="BL1137" s="20">
        <v>8396.2344432966092</v>
      </c>
      <c r="BM1137" s="20">
        <v>8500.0125442263288</v>
      </c>
      <c r="BN1137" s="20">
        <v>9657.6359981074293</v>
      </c>
      <c r="BO1137" s="20">
        <v>10154.13516801522</v>
      </c>
      <c r="BP1137" s="20">
        <v>11382.662379445421</v>
      </c>
      <c r="BQ1137" s="20">
        <v>12434.499831575111</v>
      </c>
      <c r="BR1137" s="20">
        <v>13648.49731912638</v>
      </c>
      <c r="BS1137" s="20">
        <v>14869.95118246733</v>
      </c>
      <c r="BT1137" s="20">
        <v>16091.57158560055</v>
      </c>
      <c r="BU1137" s="20">
        <v>17334.50351670276</v>
      </c>
      <c r="BV1137" s="20">
        <v>18588.120668850501</v>
      </c>
      <c r="BW1137" s="20">
        <v>19876.117196305109</v>
      </c>
      <c r="BY1137" s="17" t="s">
        <v>6060</v>
      </c>
      <c r="BZ1137" s="20">
        <v>1642.5</v>
      </c>
      <c r="CA1137" s="20">
        <v>2446.8595523174799</v>
      </c>
      <c r="CB1137" s="20">
        <v>2365.2975672402308</v>
      </c>
      <c r="CC1137" s="20">
        <v>3442.5103353349168</v>
      </c>
      <c r="CD1137" s="20">
        <v>4575.4717840415951</v>
      </c>
      <c r="CE1137" s="20">
        <v>5769.3037066333054</v>
      </c>
      <c r="CF1137" s="20">
        <v>7029.4917994916996</v>
      </c>
      <c r="CG1137" s="20">
        <v>8361.9143428947882</v>
      </c>
      <c r="CH1137" s="20">
        <v>9772.8730469923794</v>
      </c>
      <c r="CI1137" s="20">
        <v>11269.12622925998</v>
      </c>
      <c r="CJ1137" s="20">
        <v>12755.37561003946</v>
      </c>
      <c r="CK1137" s="20">
        <v>14253.404537434049</v>
      </c>
      <c r="CL1137" s="20">
        <v>15751.824126737791</v>
      </c>
      <c r="CM1137" s="20">
        <v>17347.943932659451</v>
      </c>
      <c r="CN1137" s="20">
        <v>18995.06809637406</v>
      </c>
      <c r="CO1137" s="20">
        <v>20697.331536897811</v>
      </c>
      <c r="CP1137" s="20">
        <v>22466.093186829679</v>
      </c>
      <c r="CQ1137" s="20">
        <v>24295.446277546809</v>
      </c>
      <c r="CR1137" s="20">
        <v>26185.397712736529</v>
      </c>
      <c r="CS1137" s="20">
        <v>28138.91802998502</v>
      </c>
      <c r="CU1137" s="17" t="s">
        <v>6061</v>
      </c>
      <c r="CV1137" s="20">
        <v>1642.5</v>
      </c>
      <c r="CW1137" s="20">
        <v>2362.4790829151548</v>
      </c>
      <c r="CX1137" s="20">
        <v>2283.7297801513168</v>
      </c>
      <c r="CY1137" s="20">
        <v>3363.6676817956318</v>
      </c>
      <c r="CZ1137" s="20">
        <v>4499.2698661757913</v>
      </c>
      <c r="DA1137" s="20">
        <v>5695.6611996079919</v>
      </c>
      <c r="DB1137" s="20">
        <v>6958.3303779794278</v>
      </c>
      <c r="DC1137" s="20">
        <v>6726.3860320467802</v>
      </c>
      <c r="DD1137" s="20">
        <v>7533.6166140281439</v>
      </c>
      <c r="DE1137" s="20">
        <v>7649.5694525982972</v>
      </c>
      <c r="DF1137" s="20">
        <v>8892.8544053436308</v>
      </c>
      <c r="DG1137" s="20">
        <v>10218.088884758319</v>
      </c>
      <c r="DH1137" s="20">
        <v>11562.19676074726</v>
      </c>
      <c r="DI1137" s="20">
        <v>12984.70179716183</v>
      </c>
      <c r="DJ1137" s="20">
        <v>14465.54226064298</v>
      </c>
      <c r="DK1137" s="20">
        <v>16020.014472843661</v>
      </c>
      <c r="DL1137" s="20">
        <v>17639.712117544659</v>
      </c>
      <c r="DM1137" s="20">
        <v>19334.678234748229</v>
      </c>
      <c r="DN1137" s="20">
        <v>21093.659950014651</v>
      </c>
      <c r="DO1137" s="20">
        <v>22923.19438090469</v>
      </c>
    </row>
    <row r="1138" spans="1:230" x14ac:dyDescent="0.45">
      <c r="A1138" s="16" t="s">
        <v>6062</v>
      </c>
      <c r="B1138" s="3" t="s">
        <v>89</v>
      </c>
      <c r="C1138" s="16"/>
      <c r="H1138" s="3" t="s">
        <v>6063</v>
      </c>
      <c r="I1138" s="3" t="s">
        <v>4743</v>
      </c>
      <c r="K1138" s="17" t="s">
        <v>6064</v>
      </c>
      <c r="L1138" s="20">
        <v>1724</v>
      </c>
      <c r="M1138" s="20">
        <v>2455.5017066352038</v>
      </c>
      <c r="N1138" s="20">
        <v>2357.281638369795</v>
      </c>
      <c r="O1138" s="20">
        <v>3719.7447897577922</v>
      </c>
      <c r="P1138" s="20">
        <v>5143.2199142245827</v>
      </c>
      <c r="Q1138" s="20">
        <v>6634.06272183482</v>
      </c>
      <c r="R1138" s="20">
        <v>8199.0484477867285</v>
      </c>
      <c r="S1138" s="20">
        <v>9845.4065014637654</v>
      </c>
      <c r="T1138" s="20">
        <v>11580.857662924211</v>
      </c>
      <c r="U1138" s="20">
        <v>13413.654025445319</v>
      </c>
      <c r="V1138" s="20">
        <v>15228.815585103979</v>
      </c>
      <c r="W1138" s="20">
        <v>17043.967984257579</v>
      </c>
      <c r="X1138" s="20">
        <v>18854.340590966269</v>
      </c>
      <c r="Y1138" s="20">
        <v>20768.66074624726</v>
      </c>
      <c r="Z1138" s="20">
        <v>22730.861202706888</v>
      </c>
      <c r="AA1138" s="20">
        <v>24750.14758598859</v>
      </c>
      <c r="AB1138" s="20">
        <v>26824.28584358938</v>
      </c>
      <c r="AC1138" s="20">
        <v>28954.526225162688</v>
      </c>
      <c r="AD1138" s="20">
        <v>31141.883290583759</v>
      </c>
      <c r="AE1138" s="20">
        <v>33387.49747557252</v>
      </c>
      <c r="AG1138" s="17" t="s">
        <v>6065</v>
      </c>
      <c r="AH1138" s="20">
        <v>1724</v>
      </c>
      <c r="AI1138" s="20">
        <v>2476.8857349043419</v>
      </c>
      <c r="AJ1138" s="20">
        <v>2377.8103055081692</v>
      </c>
      <c r="AK1138" s="20">
        <v>3739.449280777359</v>
      </c>
      <c r="AL1138" s="20">
        <v>5162.1300536206954</v>
      </c>
      <c r="AM1138" s="20">
        <v>6652.2070147426384</v>
      </c>
      <c r="AN1138" s="20">
        <v>8216.4541186574825</v>
      </c>
      <c r="AO1138" s="20">
        <v>7887.7959539111826</v>
      </c>
      <c r="AP1138" s="20">
        <v>9484.3579923076377</v>
      </c>
      <c r="AQ1138" s="20">
        <v>11167.242123227499</v>
      </c>
      <c r="AR1138" s="20">
        <v>12846.654524854541</v>
      </c>
      <c r="AS1138" s="20">
        <v>14600.80503353028</v>
      </c>
      <c r="AT1138" s="20">
        <v>16334.065549416449</v>
      </c>
      <c r="AU1138" s="20">
        <v>18170.639076743551</v>
      </c>
      <c r="AV1138" s="20">
        <v>20052.807876165789</v>
      </c>
      <c r="AW1138" s="20">
        <v>21993.556461848661</v>
      </c>
      <c r="AX1138" s="20">
        <v>23991.137286657849</v>
      </c>
      <c r="AY1138" s="20">
        <v>26048.211683667461</v>
      </c>
      <c r="AZ1138" s="20">
        <v>28162.004134708179</v>
      </c>
      <c r="BA1138" s="20">
        <v>30333.701735763869</v>
      </c>
      <c r="BC1138" s="17" t="s">
        <v>6066</v>
      </c>
      <c r="BD1138" s="20">
        <v>1724</v>
      </c>
      <c r="BE1138" s="20">
        <v>2529.9581710954421</v>
      </c>
      <c r="BF1138" s="20">
        <v>2428.7598442516241</v>
      </c>
      <c r="BG1138" s="20">
        <v>3788.353406882145</v>
      </c>
      <c r="BH1138" s="20">
        <v>5209.0628759757192</v>
      </c>
      <c r="BI1138" s="20">
        <v>6697.239368824452</v>
      </c>
      <c r="BJ1138" s="20">
        <v>8259.653662896073</v>
      </c>
      <c r="BK1138" s="20">
        <v>9903.5308363643144</v>
      </c>
      <c r="BL1138" s="20">
        <v>10069.674552935279</v>
      </c>
      <c r="BM1138" s="20">
        <v>10302.41879526776</v>
      </c>
      <c r="BN1138" s="20">
        <v>11834.201315209</v>
      </c>
      <c r="BO1138" s="20">
        <v>12752.616992538749</v>
      </c>
      <c r="BP1138" s="20">
        <v>14217.07774274658</v>
      </c>
      <c r="BQ1138" s="20">
        <v>15668.943867698879</v>
      </c>
      <c r="BR1138" s="20">
        <v>17094.22519264619</v>
      </c>
      <c r="BS1138" s="20">
        <v>18522.882702482191</v>
      </c>
      <c r="BT1138" s="20">
        <v>19945.908661598882</v>
      </c>
      <c r="BU1138" s="20">
        <v>21390.180002225388</v>
      </c>
      <c r="BV1138" s="20">
        <v>22842.351913388829</v>
      </c>
      <c r="BW1138" s="20">
        <v>24332.414049239491</v>
      </c>
      <c r="BY1138" s="17" t="s">
        <v>6067</v>
      </c>
      <c r="BZ1138" s="20">
        <v>1724</v>
      </c>
      <c r="CA1138" s="20">
        <v>2561.2150413942691</v>
      </c>
      <c r="CB1138" s="20">
        <v>2458.7664397384979</v>
      </c>
      <c r="CC1138" s="20">
        <v>3817.155161425163</v>
      </c>
      <c r="CD1138" s="20">
        <v>5236.7032335798849</v>
      </c>
      <c r="CE1138" s="20">
        <v>6723.7598431724709</v>
      </c>
      <c r="CF1138" s="20">
        <v>8285.0938932409554</v>
      </c>
      <c r="CG1138" s="20">
        <v>9927.9286398126114</v>
      </c>
      <c r="CH1138" s="20">
        <v>11659.97887637142</v>
      </c>
      <c r="CI1138" s="20">
        <v>13489.49086445686</v>
      </c>
      <c r="CJ1138" s="20">
        <v>15296.06396899171</v>
      </c>
      <c r="CK1138" s="20">
        <v>17107.644622862961</v>
      </c>
      <c r="CL1138" s="20">
        <v>18910.17623549643</v>
      </c>
      <c r="CM1138" s="20">
        <v>20826.65637406856</v>
      </c>
      <c r="CN1138" s="20">
        <v>22797.78963656304</v>
      </c>
      <c r="CO1138" s="20">
        <v>24828.742628134569</v>
      </c>
      <c r="CP1138" s="20">
        <v>26933.751906250091</v>
      </c>
      <c r="CQ1138" s="20">
        <v>29105.20526850591</v>
      </c>
      <c r="CR1138" s="20">
        <v>31342.998681415669</v>
      </c>
      <c r="CS1138" s="20">
        <v>33650.76702042191</v>
      </c>
      <c r="CU1138" s="17" t="s">
        <v>6068</v>
      </c>
      <c r="CV1138" s="20">
        <v>1724</v>
      </c>
      <c r="CW1138" s="20">
        <v>2506.6812884258579</v>
      </c>
      <c r="CX1138" s="20">
        <v>2406.4140368888238</v>
      </c>
      <c r="CY1138" s="20">
        <v>3766.9046764884279</v>
      </c>
      <c r="CZ1138" s="20">
        <v>5188.4787047307564</v>
      </c>
      <c r="DA1138" s="20">
        <v>6677.4886744066516</v>
      </c>
      <c r="DB1138" s="20">
        <v>8240.7067561554904</v>
      </c>
      <c r="DC1138" s="20">
        <v>7911.078485909271</v>
      </c>
      <c r="DD1138" s="20">
        <v>9200.5187331380057</v>
      </c>
      <c r="DE1138" s="20">
        <v>9441.7792515663896</v>
      </c>
      <c r="DF1138" s="20">
        <v>10952.07003761628</v>
      </c>
      <c r="DG1138" s="20">
        <v>12557.43517600108</v>
      </c>
      <c r="DH1138" s="20">
        <v>14178.03196995379</v>
      </c>
      <c r="DI1138" s="20">
        <v>15889.04943920322</v>
      </c>
      <c r="DJ1138" s="20">
        <v>17664.88401140707</v>
      </c>
      <c r="DK1138" s="20">
        <v>19524.668078160299</v>
      </c>
      <c r="DL1138" s="20">
        <v>21457.543674569639</v>
      </c>
      <c r="DM1138" s="20">
        <v>23475.981987750001</v>
      </c>
      <c r="DN1138" s="20">
        <v>25565.542340211789</v>
      </c>
      <c r="DO1138" s="20">
        <v>27734.30608963321</v>
      </c>
    </row>
    <row r="1139" spans="1:230" x14ac:dyDescent="0.45">
      <c r="A1139" s="16" t="s">
        <v>6069</v>
      </c>
      <c r="B1139" s="3" t="s">
        <v>89</v>
      </c>
      <c r="C1139" s="16"/>
      <c r="H1139" s="3" t="s">
        <v>6070</v>
      </c>
      <c r="I1139" s="3" t="s">
        <v>4743</v>
      </c>
      <c r="K1139" s="17" t="s">
        <v>6071</v>
      </c>
      <c r="L1139" s="20">
        <v>2060.5117665088351</v>
      </c>
      <c r="M1139" s="20">
        <v>0</v>
      </c>
      <c r="N1139" s="20">
        <v>9294.7318428383987</v>
      </c>
      <c r="O1139" s="20">
        <v>10031.73946884155</v>
      </c>
      <c r="P1139" s="20">
        <v>10824.870636967369</v>
      </c>
      <c r="Q1139" s="20">
        <v>11678.424190160191</v>
      </c>
      <c r="R1139" s="20">
        <v>12597.02711767564</v>
      </c>
      <c r="S1139" s="20">
        <v>13585.65965189722</v>
      </c>
      <c r="T1139" s="20">
        <v>5506.735741600909</v>
      </c>
      <c r="U1139" s="20">
        <v>6264.070728422188</v>
      </c>
      <c r="V1139" s="20">
        <v>6153.0586704833286</v>
      </c>
      <c r="W1139" s="20">
        <v>10772.11075468009</v>
      </c>
      <c r="X1139" s="20">
        <v>8827.4715218848069</v>
      </c>
      <c r="Y1139" s="20">
        <v>9451.8624180687402</v>
      </c>
      <c r="Z1139" s="20">
        <v>9628.3724071788947</v>
      </c>
      <c r="AA1139" s="20">
        <v>9948.7543306417792</v>
      </c>
      <c r="AB1139" s="20">
        <v>10266.84376642612</v>
      </c>
      <c r="AC1139" s="20">
        <v>10598.076091461089</v>
      </c>
      <c r="AD1139" s="20">
        <v>10948.47188742515</v>
      </c>
      <c r="AE1139" s="20">
        <v>11304.687546966121</v>
      </c>
      <c r="AG1139" s="17" t="s">
        <v>6072</v>
      </c>
      <c r="AH1139" s="20">
        <v>2058.3841141056391</v>
      </c>
      <c r="AI1139" s="20">
        <v>0</v>
      </c>
      <c r="AJ1139" s="20">
        <v>9294.7125137259791</v>
      </c>
      <c r="AK1139" s="20">
        <v>10031.700088886209</v>
      </c>
      <c r="AL1139" s="20">
        <v>10824.810399806909</v>
      </c>
      <c r="AM1139" s="20">
        <v>11678.342199480019</v>
      </c>
      <c r="AN1139" s="20">
        <v>0</v>
      </c>
      <c r="AO1139" s="20">
        <v>12199.869614122939</v>
      </c>
      <c r="AP1139" s="20">
        <v>5480.0109354209171</v>
      </c>
      <c r="AQ1139" s="20">
        <v>8812.4430887852795</v>
      </c>
      <c r="AR1139" s="20">
        <v>5145.2989076664644</v>
      </c>
      <c r="AS1139" s="20">
        <v>10229.71163975393</v>
      </c>
      <c r="AT1139" s="20">
        <v>8305.7966676028282</v>
      </c>
      <c r="AU1139" s="20">
        <v>9075.4464445375161</v>
      </c>
      <c r="AV1139" s="20">
        <v>9272.1218356954814</v>
      </c>
      <c r="AW1139" s="20">
        <v>9652.7364896514337</v>
      </c>
      <c r="AX1139" s="20">
        <v>9818.0257677494537</v>
      </c>
      <c r="AY1139" s="20">
        <v>10145.75223092858</v>
      </c>
      <c r="AZ1139" s="20">
        <v>10358.74304315165</v>
      </c>
      <c r="BA1139" s="20">
        <v>10733.86188033787</v>
      </c>
      <c r="BC1139" s="17" t="s">
        <v>6073</v>
      </c>
      <c r="BD1139" s="20">
        <v>2054.5091957401619</v>
      </c>
      <c r="BE1139" s="20">
        <v>0</v>
      </c>
      <c r="BF1139" s="20">
        <v>9294.6651001206974</v>
      </c>
      <c r="BG1139" s="20">
        <v>10031.60349730764</v>
      </c>
      <c r="BH1139" s="20">
        <v>10824.662658337171</v>
      </c>
      <c r="BI1139" s="20">
        <v>11678.14111562498</v>
      </c>
      <c r="BJ1139" s="20">
        <v>4793.6809102131028</v>
      </c>
      <c r="BK1139" s="20">
        <v>1024.926133559406</v>
      </c>
      <c r="BL1139" s="20">
        <v>1212.1104064458341</v>
      </c>
      <c r="BM1139" s="20">
        <v>3980.5919034085659</v>
      </c>
      <c r="BN1139" s="20">
        <v>2591.864527266931</v>
      </c>
      <c r="BO1139" s="20">
        <v>4410.4963024159306</v>
      </c>
      <c r="BP1139" s="20">
        <v>4009.5082888532788</v>
      </c>
      <c r="BQ1139" s="20">
        <v>4892.7041182770763</v>
      </c>
      <c r="BR1139" s="20">
        <v>4713.9430542880546</v>
      </c>
      <c r="BS1139" s="20">
        <v>5494.3518521483811</v>
      </c>
      <c r="BT1139" s="20">
        <v>5232.8447660104821</v>
      </c>
      <c r="BU1139" s="20">
        <v>6121.1120894813994</v>
      </c>
      <c r="BV1139" s="20">
        <v>5586.0011440436383</v>
      </c>
      <c r="BW1139" s="20">
        <v>6820.8182479111001</v>
      </c>
      <c r="BY1139" s="17" t="s">
        <v>6074</v>
      </c>
      <c r="BZ1139" s="20">
        <v>2045.493341311106</v>
      </c>
      <c r="CA1139" s="20">
        <v>0</v>
      </c>
      <c r="CB1139" s="20">
        <v>9294.6358960604648</v>
      </c>
      <c r="CC1139" s="20">
        <v>10031.543988508151</v>
      </c>
      <c r="CD1139" s="20">
        <v>10824.57161616781</v>
      </c>
      <c r="CE1139" s="20">
        <v>11678.01717542237</v>
      </c>
      <c r="CF1139" s="20">
        <v>12596.507180297111</v>
      </c>
      <c r="CG1139" s="20">
        <v>13585.021356872699</v>
      </c>
      <c r="CH1139" s="20">
        <v>4957.8043974107559</v>
      </c>
      <c r="CI1139" s="20">
        <v>5734.2875797316929</v>
      </c>
      <c r="CJ1139" s="20">
        <v>5446.784383318648</v>
      </c>
      <c r="CK1139" s="20">
        <v>9430.0866286060682</v>
      </c>
      <c r="CL1139" s="20">
        <v>7520.2814382287106</v>
      </c>
      <c r="CM1139" s="20">
        <v>7844.6315125471956</v>
      </c>
      <c r="CN1139" s="20">
        <v>8424.3350287784997</v>
      </c>
      <c r="CO1139" s="20">
        <v>8455.1870662847468</v>
      </c>
      <c r="CP1139" s="20">
        <v>8678.2448343041651</v>
      </c>
      <c r="CQ1139" s="20">
        <v>9006.3555768225851</v>
      </c>
      <c r="CR1139" s="20">
        <v>9129.3852431201667</v>
      </c>
      <c r="CS1139" s="20">
        <v>9472.1400899692635</v>
      </c>
      <c r="CU1139" s="17" t="s">
        <v>6075</v>
      </c>
      <c r="CV1139" s="20">
        <v>2055.9758832839789</v>
      </c>
      <c r="CW1139" s="20">
        <v>0</v>
      </c>
      <c r="CX1139" s="20">
        <v>9294.685802566979</v>
      </c>
      <c r="CY1139" s="20">
        <v>10031.645671578101</v>
      </c>
      <c r="CZ1139" s="20">
        <v>10824.72716442512</v>
      </c>
      <c r="DA1139" s="20">
        <v>11678.22890982275</v>
      </c>
      <c r="DB1139" s="20">
        <v>0</v>
      </c>
      <c r="DC1139" s="20">
        <v>3076.4221890986369</v>
      </c>
      <c r="DD1139" s="20">
        <v>1229.1050966485179</v>
      </c>
      <c r="DE1139" s="20">
        <v>7872.7403408763939</v>
      </c>
      <c r="DF1139" s="20">
        <v>5535.4617116123027</v>
      </c>
      <c r="DG1139" s="20">
        <v>7834.9696820422814</v>
      </c>
      <c r="DH1139" s="20">
        <v>7340.4502655065526</v>
      </c>
      <c r="DI1139" s="20">
        <v>8107.3377396020715</v>
      </c>
      <c r="DJ1139" s="20">
        <v>8059.7221944241992</v>
      </c>
      <c r="DK1139" s="20">
        <v>8660.5946962907492</v>
      </c>
      <c r="DL1139" s="20">
        <v>8524.7728982146546</v>
      </c>
      <c r="DM1139" s="20">
        <v>9006.5612256792883</v>
      </c>
      <c r="DN1139" s="20">
        <v>8898.8864764635564</v>
      </c>
      <c r="DO1139" s="20">
        <v>9409.8087373688704</v>
      </c>
    </row>
    <row r="1140" spans="1:230" x14ac:dyDescent="0.45">
      <c r="A1140" s="16" t="s">
        <v>6076</v>
      </c>
      <c r="B1140" s="3" t="s">
        <v>89</v>
      </c>
      <c r="C1140" s="16"/>
      <c r="H1140" s="3" t="s">
        <v>6077</v>
      </c>
      <c r="I1140" s="3" t="s">
        <v>175</v>
      </c>
      <c r="K1140" s="17" t="s">
        <v>6078</v>
      </c>
      <c r="L1140" s="22">
        <v>0</v>
      </c>
      <c r="M1140" s="22">
        <v>0</v>
      </c>
      <c r="N1140" s="22">
        <v>0</v>
      </c>
      <c r="O1140" s="22">
        <v>0</v>
      </c>
      <c r="P1140" s="22">
        <v>0</v>
      </c>
      <c r="Q1140" s="22">
        <v>0</v>
      </c>
      <c r="R1140" s="22">
        <v>0</v>
      </c>
      <c r="S1140" s="22">
        <v>0</v>
      </c>
      <c r="T1140" s="22">
        <v>0</v>
      </c>
      <c r="U1140" s="22">
        <v>0</v>
      </c>
      <c r="V1140" s="22">
        <v>0</v>
      </c>
      <c r="W1140" s="22">
        <v>0</v>
      </c>
      <c r="X1140" s="22">
        <v>0</v>
      </c>
      <c r="Y1140" s="22">
        <v>0</v>
      </c>
      <c r="Z1140" s="22">
        <v>0</v>
      </c>
      <c r="AA1140" s="22">
        <v>0</v>
      </c>
      <c r="AB1140" s="22">
        <v>0</v>
      </c>
      <c r="AC1140" s="22">
        <v>0</v>
      </c>
      <c r="AD1140" s="22">
        <v>0</v>
      </c>
      <c r="AE1140" s="22">
        <v>0</v>
      </c>
      <c r="AG1140" s="17" t="s">
        <v>6079</v>
      </c>
      <c r="AH1140" s="22">
        <v>0</v>
      </c>
      <c r="AI1140" s="22">
        <v>0</v>
      </c>
      <c r="AJ1140" s="22">
        <v>0</v>
      </c>
      <c r="AK1140" s="22">
        <v>0</v>
      </c>
      <c r="AL1140" s="22">
        <v>0</v>
      </c>
      <c r="AM1140" s="22">
        <v>0</v>
      </c>
      <c r="AN1140" s="22">
        <v>0</v>
      </c>
      <c r="AO1140" s="22">
        <v>0</v>
      </c>
      <c r="AP1140" s="22">
        <v>0</v>
      </c>
      <c r="AQ1140" s="22">
        <v>0</v>
      </c>
      <c r="AR1140" s="22">
        <v>0</v>
      </c>
      <c r="AS1140" s="22">
        <v>0</v>
      </c>
      <c r="AT1140" s="22">
        <v>0</v>
      </c>
      <c r="AU1140" s="22">
        <v>0</v>
      </c>
      <c r="AV1140" s="22">
        <v>0</v>
      </c>
      <c r="AW1140" s="22">
        <v>0</v>
      </c>
      <c r="AX1140" s="22">
        <v>0</v>
      </c>
      <c r="AY1140" s="22">
        <v>0</v>
      </c>
      <c r="AZ1140" s="22">
        <v>0</v>
      </c>
      <c r="BA1140" s="22">
        <v>0</v>
      </c>
      <c r="BC1140" s="17" t="s">
        <v>6080</v>
      </c>
      <c r="BD1140" s="22">
        <v>0</v>
      </c>
      <c r="BE1140" s="22">
        <v>0</v>
      </c>
      <c r="BF1140" s="22">
        <v>0</v>
      </c>
      <c r="BG1140" s="22">
        <v>0</v>
      </c>
      <c r="BH1140" s="22">
        <v>0</v>
      </c>
      <c r="BI1140" s="22">
        <v>0</v>
      </c>
      <c r="BJ1140" s="22">
        <v>0</v>
      </c>
      <c r="BK1140" s="22">
        <v>0</v>
      </c>
      <c r="BL1140" s="22">
        <v>0</v>
      </c>
      <c r="BM1140" s="22">
        <v>0</v>
      </c>
      <c r="BN1140" s="22">
        <v>0</v>
      </c>
      <c r="BO1140" s="22">
        <v>0</v>
      </c>
      <c r="BP1140" s="22">
        <v>0</v>
      </c>
      <c r="BQ1140" s="22">
        <v>0</v>
      </c>
      <c r="BR1140" s="22">
        <v>0</v>
      </c>
      <c r="BS1140" s="22">
        <v>0</v>
      </c>
      <c r="BT1140" s="22">
        <v>0</v>
      </c>
      <c r="BU1140" s="22">
        <v>0</v>
      </c>
      <c r="BV1140" s="22">
        <v>0</v>
      </c>
      <c r="BW1140" s="22">
        <v>0</v>
      </c>
      <c r="BY1140" s="17" t="s">
        <v>6081</v>
      </c>
      <c r="BZ1140" s="22">
        <v>0</v>
      </c>
      <c r="CA1140" s="22">
        <v>0</v>
      </c>
      <c r="CB1140" s="22">
        <v>0</v>
      </c>
      <c r="CC1140" s="22">
        <v>0</v>
      </c>
      <c r="CD1140" s="22">
        <v>0</v>
      </c>
      <c r="CE1140" s="22">
        <v>0</v>
      </c>
      <c r="CF1140" s="22">
        <v>0</v>
      </c>
      <c r="CG1140" s="22">
        <v>0</v>
      </c>
      <c r="CH1140" s="22">
        <v>0</v>
      </c>
      <c r="CI1140" s="22">
        <v>0</v>
      </c>
      <c r="CJ1140" s="22">
        <v>0</v>
      </c>
      <c r="CK1140" s="22">
        <v>0</v>
      </c>
      <c r="CL1140" s="22">
        <v>0</v>
      </c>
      <c r="CM1140" s="22">
        <v>0</v>
      </c>
      <c r="CN1140" s="22">
        <v>0</v>
      </c>
      <c r="CO1140" s="22">
        <v>0</v>
      </c>
      <c r="CP1140" s="22">
        <v>0</v>
      </c>
      <c r="CQ1140" s="22">
        <v>0</v>
      </c>
      <c r="CR1140" s="22">
        <v>0</v>
      </c>
      <c r="CS1140" s="22">
        <v>0</v>
      </c>
      <c r="CU1140" s="17" t="s">
        <v>6082</v>
      </c>
      <c r="CV1140" s="22">
        <v>0</v>
      </c>
      <c r="CW1140" s="22">
        <v>0</v>
      </c>
      <c r="CX1140" s="22">
        <v>0</v>
      </c>
      <c r="CY1140" s="22">
        <v>0</v>
      </c>
      <c r="CZ1140" s="22">
        <v>0</v>
      </c>
      <c r="DA1140" s="22">
        <v>0</v>
      </c>
      <c r="DB1140" s="22">
        <v>0</v>
      </c>
      <c r="DC1140" s="22">
        <v>0</v>
      </c>
      <c r="DD1140" s="22">
        <v>0</v>
      </c>
      <c r="DE1140" s="22">
        <v>0</v>
      </c>
      <c r="DF1140" s="22">
        <v>0</v>
      </c>
      <c r="DG1140" s="22">
        <v>0</v>
      </c>
      <c r="DH1140" s="22">
        <v>0</v>
      </c>
      <c r="DI1140" s="22">
        <v>0</v>
      </c>
      <c r="DJ1140" s="22">
        <v>0</v>
      </c>
      <c r="DK1140" s="22">
        <v>0</v>
      </c>
      <c r="DL1140" s="22">
        <v>0</v>
      </c>
      <c r="DM1140" s="22">
        <v>0</v>
      </c>
      <c r="DN1140" s="22">
        <v>0</v>
      </c>
      <c r="DO1140" s="22">
        <v>0</v>
      </c>
    </row>
    <row r="1141" spans="1:230" x14ac:dyDescent="0.45">
      <c r="A1141" s="16" t="s">
        <v>6083</v>
      </c>
      <c r="B1141" s="3" t="s">
        <v>89</v>
      </c>
      <c r="C1141" s="16"/>
      <c r="H1141" s="3" t="s">
        <v>6084</v>
      </c>
      <c r="I1141" s="3" t="s">
        <v>175</v>
      </c>
      <c r="K1141" s="17" t="s">
        <v>6085</v>
      </c>
      <c r="L1141" s="22">
        <v>8.6354020379364682E-2</v>
      </c>
      <c r="M1141" s="22">
        <v>8.623548814952979E-2</v>
      </c>
      <c r="N1141" s="22">
        <v>7.3913648369721585E-2</v>
      </c>
      <c r="O1141" s="22">
        <v>7.8917153919669608E-2</v>
      </c>
      <c r="P1141" s="22">
        <v>8.9075468468158323E-2</v>
      </c>
      <c r="Q1141" s="22">
        <v>9.9821776598074702E-2</v>
      </c>
      <c r="R1141" s="22">
        <v>0.11044668332792081</v>
      </c>
      <c r="S1141" s="22">
        <v>0.12095077707371139</v>
      </c>
      <c r="T1141" s="22">
        <v>0.13270014460455609</v>
      </c>
      <c r="U1141" s="22">
        <v>0.12522953780374371</v>
      </c>
      <c r="V1141" s="22">
        <v>0.1183574343036434</v>
      </c>
      <c r="W1141" s="22">
        <v>0.1096786254399181</v>
      </c>
      <c r="X1141" s="22">
        <v>0.10190625984566561</v>
      </c>
      <c r="Y1141" s="22">
        <v>9.4624267706078874E-2</v>
      </c>
      <c r="Z1141" s="22">
        <v>8.7959672842496686E-2</v>
      </c>
      <c r="AA1141" s="22">
        <v>8.1840986911747307E-2</v>
      </c>
      <c r="AB1141" s="22">
        <v>7.6218761278420977E-2</v>
      </c>
      <c r="AC1141" s="22">
        <v>7.1044915928879529E-2</v>
      </c>
      <c r="AD1141" s="22">
        <v>6.6273536637014102E-2</v>
      </c>
      <c r="AE1141" s="22">
        <v>6.1866921031787411E-2</v>
      </c>
      <c r="AG1141" s="17" t="s">
        <v>6086</v>
      </c>
      <c r="AH1141" s="22">
        <v>8.6354020379364682E-2</v>
      </c>
      <c r="AI1141" s="22">
        <v>8.6209932810458231E-2</v>
      </c>
      <c r="AJ1141" s="22">
        <v>7.3891744529589895E-2</v>
      </c>
      <c r="AK1141" s="22">
        <v>7.8898328975740589E-2</v>
      </c>
      <c r="AL1141" s="22">
        <v>8.9059438741039151E-2</v>
      </c>
      <c r="AM1141" s="22">
        <v>9.9809481888260415E-2</v>
      </c>
      <c r="AN1141" s="22">
        <v>0.1206115796868726</v>
      </c>
      <c r="AO1141" s="22">
        <v>0.1123501027200461</v>
      </c>
      <c r="AP1141" s="22">
        <v>0.1251273908283782</v>
      </c>
      <c r="AQ1141" s="22">
        <v>0.1164754476337764</v>
      </c>
      <c r="AR1141" s="22">
        <v>0.1096812144966731</v>
      </c>
      <c r="AS1141" s="22">
        <v>0.1012157402165348</v>
      </c>
      <c r="AT1141" s="22">
        <v>9.3741021596149374E-2</v>
      </c>
      <c r="AU1141" s="22">
        <v>8.6762910189784756E-2</v>
      </c>
      <c r="AV1141" s="22">
        <v>8.0388684773360503E-2</v>
      </c>
      <c r="AW1141" s="22">
        <v>7.4538781584802843E-2</v>
      </c>
      <c r="AX1141" s="22">
        <v>6.9219674164789483E-2</v>
      </c>
      <c r="AY1141" s="22">
        <v>6.4355805228321433E-2</v>
      </c>
      <c r="AZ1141" s="22">
        <v>5.9919662435062387E-2</v>
      </c>
      <c r="BA1141" s="22">
        <v>5.5841534016543452E-2</v>
      </c>
      <c r="BC1141" s="17" t="s">
        <v>6087</v>
      </c>
      <c r="BD1141" s="22">
        <v>8.6354020379364682E-2</v>
      </c>
      <c r="BE1141" s="22">
        <v>8.6159065154539652E-2</v>
      </c>
      <c r="BF1141" s="22">
        <v>7.3848145147089289E-2</v>
      </c>
      <c r="BG1141" s="22">
        <v>7.8860843197501723E-2</v>
      </c>
      <c r="BH1141" s="22">
        <v>8.9027992062475178E-2</v>
      </c>
      <c r="BI1141" s="22">
        <v>9.9786513085123221E-2</v>
      </c>
      <c r="BJ1141" s="22">
        <v>0.1156119954542652</v>
      </c>
      <c r="BK1141" s="22">
        <v>0.11390864730288421</v>
      </c>
      <c r="BL1141" s="22">
        <v>0.1124065841937983</v>
      </c>
      <c r="BM1141" s="22">
        <v>0.1091500674514604</v>
      </c>
      <c r="BN1141" s="22">
        <v>0.1060641711986947</v>
      </c>
      <c r="BO1141" s="22">
        <v>0.1018710657496604</v>
      </c>
      <c r="BP1141" s="22">
        <v>9.7647176381206083E-2</v>
      </c>
      <c r="BQ1141" s="22">
        <v>9.2870913447711326E-2</v>
      </c>
      <c r="BR1141" s="22">
        <v>8.8201753527411567E-2</v>
      </c>
      <c r="BS1141" s="22">
        <v>8.3230605948062766E-2</v>
      </c>
      <c r="BT1141" s="22">
        <v>7.8547503516325973E-2</v>
      </c>
      <c r="BU1141" s="22">
        <v>7.3691775739120946E-2</v>
      </c>
      <c r="BV1141" s="22">
        <v>6.9311449861688232E-2</v>
      </c>
      <c r="BW1141" s="22">
        <v>6.4758110971492325E-2</v>
      </c>
      <c r="BY1141" s="17" t="s">
        <v>6088</v>
      </c>
      <c r="BZ1141" s="22">
        <v>8.6354020379364682E-2</v>
      </c>
      <c r="CA1141" s="22">
        <v>8.6100343247066932E-2</v>
      </c>
      <c r="CB1141" s="22">
        <v>7.3797813775241403E-2</v>
      </c>
      <c r="CC1141" s="22">
        <v>7.8817611984857275E-2</v>
      </c>
      <c r="CD1141" s="22">
        <v>8.8991363571338536E-2</v>
      </c>
      <c r="CE1141" s="22">
        <v>9.9758820910284041E-2</v>
      </c>
      <c r="CF1141" s="22">
        <v>0.1104021091530737</v>
      </c>
      <c r="CG1141" s="22">
        <v>0.1208730593715566</v>
      </c>
      <c r="CH1141" s="22">
        <v>0.13278313148661511</v>
      </c>
      <c r="CI1141" s="22">
        <v>0.1251125345602232</v>
      </c>
      <c r="CJ1141" s="22">
        <v>0.1181615429153383</v>
      </c>
      <c r="CK1141" s="22">
        <v>0.1091698303196299</v>
      </c>
      <c r="CL1141" s="22">
        <v>0.100973444646446</v>
      </c>
      <c r="CM1141" s="22">
        <v>9.3429536296345372E-2</v>
      </c>
      <c r="CN1141" s="22">
        <v>8.6329938010903218E-2</v>
      </c>
      <c r="CO1141" s="22">
        <v>7.9872194183098669E-2</v>
      </c>
      <c r="CP1141" s="22">
        <v>7.3996742980628513E-2</v>
      </c>
      <c r="CQ1141" s="22">
        <v>6.8608517230944882E-2</v>
      </c>
      <c r="CR1141" s="22">
        <v>6.3717151721597948E-2</v>
      </c>
      <c r="CS1141" s="22">
        <v>5.9227480501347261E-2</v>
      </c>
      <c r="CU1141" s="17" t="s">
        <v>6089</v>
      </c>
      <c r="CV1141" s="22">
        <v>8.6354020379364682E-2</v>
      </c>
      <c r="CW1141" s="22">
        <v>8.6179295297468581E-2</v>
      </c>
      <c r="CX1141" s="22">
        <v>7.386548468679624E-2</v>
      </c>
      <c r="CY1141" s="22">
        <v>7.8875754426401851E-2</v>
      </c>
      <c r="CZ1141" s="22">
        <v>8.90404037829087E-2</v>
      </c>
      <c r="DA1141" s="22">
        <v>9.9795338112649429E-2</v>
      </c>
      <c r="DB1141" s="22">
        <v>0.1344178598926184</v>
      </c>
      <c r="DC1141" s="22">
        <v>0.1246403025692896</v>
      </c>
      <c r="DD1141" s="22">
        <v>0.1193344643885465</v>
      </c>
      <c r="DE1141" s="22">
        <v>0.11061441413577031</v>
      </c>
      <c r="DF1141" s="22">
        <v>0.1030540906835333</v>
      </c>
      <c r="DG1141" s="22">
        <v>9.4653421965846307E-2</v>
      </c>
      <c r="DH1141" s="22">
        <v>8.6953109638187323E-2</v>
      </c>
      <c r="DI1141" s="22">
        <v>7.9650506155277287E-2</v>
      </c>
      <c r="DJ1141" s="22">
        <v>7.3099037428572988E-2</v>
      </c>
      <c r="DK1141" s="22">
        <v>6.7063811038593171E-2</v>
      </c>
      <c r="DL1141" s="22">
        <v>6.1730476206150429E-2</v>
      </c>
      <c r="DM1141" s="22">
        <v>5.6884862854293471E-2</v>
      </c>
      <c r="DN1141" s="22">
        <v>5.2599494169040882E-2</v>
      </c>
      <c r="DO1141" s="22">
        <v>4.8686117384568912E-2</v>
      </c>
    </row>
    <row r="1142" spans="1:230" x14ac:dyDescent="0.45">
      <c r="A1142" s="16" t="s">
        <v>6090</v>
      </c>
      <c r="B1142" s="3" t="s">
        <v>89</v>
      </c>
      <c r="C1142" s="16"/>
      <c r="H1142" s="3" t="s">
        <v>6091</v>
      </c>
      <c r="I1142" s="3" t="s">
        <v>175</v>
      </c>
      <c r="K1142" s="17" t="s">
        <v>6092</v>
      </c>
      <c r="L1142" s="22">
        <v>2.7540517707007439E-2</v>
      </c>
      <c r="M1142" s="22">
        <v>3.9851032654006642E-2</v>
      </c>
      <c r="N1142" s="22">
        <v>3.3989444247877892E-2</v>
      </c>
      <c r="O1142" s="22">
        <v>4.452067403028781E-2</v>
      </c>
      <c r="P1142" s="22">
        <v>5.7004412733560522E-2</v>
      </c>
      <c r="Q1142" s="22">
        <v>6.9585351581256075E-2</v>
      </c>
      <c r="R1142" s="22">
        <v>8.1879982867255618E-2</v>
      </c>
      <c r="S1142" s="22">
        <v>9.3902081903505116E-2</v>
      </c>
      <c r="T1142" s="22">
        <v>0.1067620439084004</v>
      </c>
      <c r="U1142" s="22">
        <v>0.1178434732616217</v>
      </c>
      <c r="V1142" s="22">
        <v>0.1301012756458873</v>
      </c>
      <c r="W1142" s="22">
        <v>0.13887192215147651</v>
      </c>
      <c r="X1142" s="22">
        <v>0.14677335281234069</v>
      </c>
      <c r="Y1142" s="22">
        <v>0.15443897787500871</v>
      </c>
      <c r="Z1142" s="22">
        <v>0.16163510344629781</v>
      </c>
      <c r="AA1142" s="22">
        <v>0.16845646951437759</v>
      </c>
      <c r="AB1142" s="22">
        <v>0.1749189388628952</v>
      </c>
      <c r="AC1142" s="22">
        <v>0.18105323037191889</v>
      </c>
      <c r="AD1142" s="22">
        <v>0.18687859026799081</v>
      </c>
      <c r="AE1142" s="22">
        <v>0.19241706152262039</v>
      </c>
      <c r="AG1142" s="17" t="s">
        <v>6093</v>
      </c>
      <c r="AH1142" s="22">
        <v>2.7540517707007439E-2</v>
      </c>
      <c r="AI1142" s="22">
        <v>4.0185765557997369E-2</v>
      </c>
      <c r="AJ1142" s="22">
        <v>3.427494212887143E-2</v>
      </c>
      <c r="AK1142" s="22">
        <v>4.4764387979699678E-2</v>
      </c>
      <c r="AL1142" s="22">
        <v>5.7229995360118302E-2</v>
      </c>
      <c r="AM1142" s="22">
        <v>6.9797093262276164E-2</v>
      </c>
      <c r="AN1142" s="22">
        <v>8.9640213120243104E-2</v>
      </c>
      <c r="AO1142" s="22">
        <v>8.3090853329755826E-2</v>
      </c>
      <c r="AP1142" s="22">
        <v>9.694338977671009E-2</v>
      </c>
      <c r="AQ1142" s="22">
        <v>0.108720717026138</v>
      </c>
      <c r="AR1142" s="22">
        <v>0.12069445827638089</v>
      </c>
      <c r="AS1142" s="22">
        <v>0.12784032785384081</v>
      </c>
      <c r="AT1142" s="22">
        <v>0.13628241838611099</v>
      </c>
      <c r="AU1142" s="22">
        <v>0.14442929888011599</v>
      </c>
      <c r="AV1142" s="22">
        <v>0.15200742897463271</v>
      </c>
      <c r="AW1142" s="22">
        <v>0.15912600990855949</v>
      </c>
      <c r="AX1142" s="22">
        <v>0.16593000793435059</v>
      </c>
      <c r="AY1142" s="22">
        <v>0.1724291088288934</v>
      </c>
      <c r="AZ1142" s="22">
        <v>0.1786861532102256</v>
      </c>
      <c r="BA1142" s="22">
        <v>0.18465983658960619</v>
      </c>
      <c r="BC1142" s="17" t="s">
        <v>6094</v>
      </c>
      <c r="BD1142" s="22">
        <v>2.7540517707007439E-2</v>
      </c>
      <c r="BE1142" s="22">
        <v>4.1016530017551921E-2</v>
      </c>
      <c r="BF1142" s="22">
        <v>3.4983511528472892E-2</v>
      </c>
      <c r="BG1142" s="22">
        <v>4.5369255911753198E-2</v>
      </c>
      <c r="BH1142" s="22">
        <v>5.7789755112746283E-2</v>
      </c>
      <c r="BI1142" s="22">
        <v>7.0322370963554662E-2</v>
      </c>
      <c r="BJ1142" s="22">
        <v>8.645283835567949E-2</v>
      </c>
      <c r="BK1142" s="22">
        <v>0.1044201049749527</v>
      </c>
      <c r="BL1142" s="22">
        <v>0.1071636696558292</v>
      </c>
      <c r="BM1142" s="22">
        <v>0.10843981151246659</v>
      </c>
      <c r="BN1142" s="22">
        <v>0.1232355903373145</v>
      </c>
      <c r="BO1142" s="22">
        <v>0.12810243011637959</v>
      </c>
      <c r="BP1142" s="22">
        <v>0.1416852833580397</v>
      </c>
      <c r="BQ1142" s="22">
        <v>0.15152854322089429</v>
      </c>
      <c r="BR1142" s="22">
        <v>0.16259667339278169</v>
      </c>
      <c r="BS1142" s="22">
        <v>0.17207239588418571</v>
      </c>
      <c r="BT1142" s="22">
        <v>0.1808917091813706</v>
      </c>
      <c r="BU1142" s="22">
        <v>0.18818837237849231</v>
      </c>
      <c r="BV1142" s="22">
        <v>0.19537907779966951</v>
      </c>
      <c r="BW1142" s="22">
        <v>0.20092927785327269</v>
      </c>
      <c r="BY1142" s="17" t="s">
        <v>6095</v>
      </c>
      <c r="BZ1142" s="22">
        <v>2.7540517707007439E-2</v>
      </c>
      <c r="CA1142" s="22">
        <v>4.2104137586336181E-2</v>
      </c>
      <c r="CB1142" s="22">
        <v>3.5911145628791399E-2</v>
      </c>
      <c r="CC1142" s="22">
        <v>4.6161182521441309E-2</v>
      </c>
      <c r="CD1142" s="22">
        <v>5.8522152510651987E-2</v>
      </c>
      <c r="CE1142" s="22">
        <v>7.1008417708667435E-2</v>
      </c>
      <c r="CF1142" s="22">
        <v>8.3214553837433716E-2</v>
      </c>
      <c r="CG1142" s="22">
        <v>9.5114838412497377E-2</v>
      </c>
      <c r="CH1142" s="22">
        <v>0.1080268927354644</v>
      </c>
      <c r="CI1142" s="22">
        <v>0.1208222484899327</v>
      </c>
      <c r="CJ1142" s="22">
        <v>0.13295797139299001</v>
      </c>
      <c r="CK1142" s="22">
        <v>0.1413042906103622</v>
      </c>
      <c r="CL1142" s="22">
        <v>0.1486829797168624</v>
      </c>
      <c r="CM1142" s="22">
        <v>0.15597125272374271</v>
      </c>
      <c r="CN1142" s="22">
        <v>0.16244403489387521</v>
      </c>
      <c r="CO1142" s="22">
        <v>0.16857787817932399</v>
      </c>
      <c r="CP1142" s="22">
        <v>0.1745098315514193</v>
      </c>
      <c r="CQ1142" s="22">
        <v>0.1801240820875564</v>
      </c>
      <c r="CR1142" s="22">
        <v>0.185598098252056</v>
      </c>
      <c r="CS1142" s="22">
        <v>0.1908436761806391</v>
      </c>
      <c r="CU1142" s="17" t="s">
        <v>6096</v>
      </c>
      <c r="CV1142" s="22">
        <v>2.7540517707007439E-2</v>
      </c>
      <c r="CW1142" s="22">
        <v>4.0652167492690967E-2</v>
      </c>
      <c r="CX1142" s="22">
        <v>3.4672742173201689E-2</v>
      </c>
      <c r="CY1142" s="22">
        <v>4.5103968521777997E-2</v>
      </c>
      <c r="CZ1142" s="22">
        <v>5.7544269768290357E-2</v>
      </c>
      <c r="DA1142" s="22">
        <v>7.0092030738269001E-2</v>
      </c>
      <c r="DB1142" s="22">
        <v>0.100247210063078</v>
      </c>
      <c r="DC1142" s="22">
        <v>9.2499563491935E-2</v>
      </c>
      <c r="DD1142" s="22">
        <v>0.10207099106416891</v>
      </c>
      <c r="DE1142" s="22">
        <v>9.888287832574065E-2</v>
      </c>
      <c r="DF1142" s="22">
        <v>0.1101629478427989</v>
      </c>
      <c r="DG1142" s="22">
        <v>0.1196170980980204</v>
      </c>
      <c r="DH1142" s="22">
        <v>0.12788933213276099</v>
      </c>
      <c r="DI1142" s="22">
        <v>0.13532717554669971</v>
      </c>
      <c r="DJ1142" s="22">
        <v>0.1423094760751675</v>
      </c>
      <c r="DK1142" s="22">
        <v>0.148723169534202</v>
      </c>
      <c r="DL1142" s="22">
        <v>0.15504041165962251</v>
      </c>
      <c r="DM1142" s="22">
        <v>0.16107959061989219</v>
      </c>
      <c r="DN1142" s="22">
        <v>0.1671441935471199</v>
      </c>
      <c r="DO1142" s="22">
        <v>0.1729487108480911</v>
      </c>
    </row>
    <row r="1143" spans="1:230" x14ac:dyDescent="0.45">
      <c r="A1143" s="16" t="s">
        <v>6097</v>
      </c>
      <c r="B1143" s="3" t="s">
        <v>89</v>
      </c>
      <c r="C1143" s="16"/>
      <c r="H1143" s="3" t="s">
        <v>6098</v>
      </c>
      <c r="I1143" s="3" t="s">
        <v>175</v>
      </c>
      <c r="K1143" s="17" t="s">
        <v>6099</v>
      </c>
      <c r="L1143" s="22">
        <v>2.2940400855026011E-2</v>
      </c>
      <c r="M1143" s="22">
        <v>3.3531500942800163E-2</v>
      </c>
      <c r="N1143" s="22">
        <v>2.8402199106460541E-2</v>
      </c>
      <c r="O1143" s="22">
        <v>3.9583285275254898E-2</v>
      </c>
      <c r="P1143" s="22">
        <v>5.220058455590694E-2</v>
      </c>
      <c r="Q1143" s="22">
        <v>6.4782628102486847E-2</v>
      </c>
      <c r="R1143" s="22">
        <v>7.6999739120384977E-2</v>
      </c>
      <c r="S1143" s="22">
        <v>8.887411621900132E-2</v>
      </c>
      <c r="T1143" s="22">
        <v>0.1014693481991588</v>
      </c>
      <c r="U1143" s="22">
        <v>0.11404218802133689</v>
      </c>
      <c r="V1143" s="22">
        <v>0.12579253915536881</v>
      </c>
      <c r="W1143" s="22">
        <v>0.13410562305862661</v>
      </c>
      <c r="X1143" s="22">
        <v>0.14152499452243031</v>
      </c>
      <c r="Y1143" s="22">
        <v>0.14869974733971081</v>
      </c>
      <c r="Z1143" s="22">
        <v>0.15539146463562051</v>
      </c>
      <c r="AA1143" s="22">
        <v>0.1616983532211036</v>
      </c>
      <c r="AB1143" s="22">
        <v>0.16763862004029911</v>
      </c>
      <c r="AC1143" s="22">
        <v>0.17324530867807861</v>
      </c>
      <c r="AD1143" s="22">
        <v>0.17853993871310991</v>
      </c>
      <c r="AE1143" s="22">
        <v>0.18354635287583121</v>
      </c>
      <c r="AG1143" s="17" t="s">
        <v>6100</v>
      </c>
      <c r="AH1143" s="22">
        <v>2.2940400855026011E-2</v>
      </c>
      <c r="AI1143" s="22">
        <v>3.382351400152861E-2</v>
      </c>
      <c r="AJ1143" s="22">
        <v>2.8649543030904608E-2</v>
      </c>
      <c r="AK1143" s="22">
        <v>3.9792968609277939E-2</v>
      </c>
      <c r="AL1143" s="22">
        <v>5.2393378529936148E-2</v>
      </c>
      <c r="AM1143" s="22">
        <v>6.4962516064421147E-2</v>
      </c>
      <c r="AN1143" s="22">
        <v>8.4276692096047545E-2</v>
      </c>
      <c r="AO1143" s="22">
        <v>7.7580452716084033E-2</v>
      </c>
      <c r="AP1143" s="22">
        <v>9.1228219813657113E-2</v>
      </c>
      <c r="AQ1143" s="22">
        <v>0.1028486127586242</v>
      </c>
      <c r="AR1143" s="22">
        <v>0.1145356929006226</v>
      </c>
      <c r="AS1143" s="22">
        <v>0.1235586332320535</v>
      </c>
      <c r="AT1143" s="22">
        <v>0.13155909233645471</v>
      </c>
      <c r="AU1143" s="22">
        <v>0.1392504461379071</v>
      </c>
      <c r="AV1143" s="22">
        <v>0.14635550830979349</v>
      </c>
      <c r="AW1143" s="22">
        <v>0.15298889464696269</v>
      </c>
      <c r="AX1143" s="22">
        <v>0.15929375928908851</v>
      </c>
      <c r="AY1143" s="22">
        <v>0.1652836303864009</v>
      </c>
      <c r="AZ1143" s="22">
        <v>0.1710209741504537</v>
      </c>
      <c r="BA1143" s="22">
        <v>0.1764692605300007</v>
      </c>
      <c r="BC1143" s="17" t="s">
        <v>6101</v>
      </c>
      <c r="BD1143" s="22">
        <v>2.2940400855026011E-2</v>
      </c>
      <c r="BE1143" s="22">
        <v>3.4548253242951153E-2</v>
      </c>
      <c r="BF1143" s="22">
        <v>2.9263419166967279E-2</v>
      </c>
      <c r="BG1143" s="22">
        <v>4.0313376885693281E-2</v>
      </c>
      <c r="BH1143" s="22">
        <v>5.2871768456062888E-2</v>
      </c>
      <c r="BI1143" s="22">
        <v>6.5408747731051195E-2</v>
      </c>
      <c r="BJ1143" s="22">
        <v>8.1230772122464517E-2</v>
      </c>
      <c r="BK1143" s="22">
        <v>9.8752802750022489E-2</v>
      </c>
      <c r="BL1143" s="22">
        <v>0.10199419959371379</v>
      </c>
      <c r="BM1143" s="22">
        <v>0.10430506707736591</v>
      </c>
      <c r="BN1143" s="22">
        <v>0.1198398590202088</v>
      </c>
      <c r="BO1143" s="22">
        <v>0.1276764397394782</v>
      </c>
      <c r="BP1143" s="22">
        <v>0.14043916742036991</v>
      </c>
      <c r="BQ1143" s="22">
        <v>0.15153148217266069</v>
      </c>
      <c r="BR1143" s="22">
        <v>0.16161187070189431</v>
      </c>
      <c r="BS1143" s="22">
        <v>0.17010115353555399</v>
      </c>
      <c r="BT1143" s="22">
        <v>0.1779389591632578</v>
      </c>
      <c r="BU1143" s="22">
        <v>0.1842862094570594</v>
      </c>
      <c r="BV1143" s="22">
        <v>0.19053747671888779</v>
      </c>
      <c r="BW1143" s="22">
        <v>0.19520632786580239</v>
      </c>
      <c r="BY1143" s="17" t="s">
        <v>6102</v>
      </c>
      <c r="BZ1143" s="22">
        <v>2.2940400855026011E-2</v>
      </c>
      <c r="CA1143" s="22">
        <v>3.4975086493794341E-2</v>
      </c>
      <c r="CB1143" s="22">
        <v>2.9624959886435411E-2</v>
      </c>
      <c r="CC1143" s="22">
        <v>4.0619867822825118E-2</v>
      </c>
      <c r="CD1143" s="22">
        <v>5.3154421054894069E-2</v>
      </c>
      <c r="CE1143" s="22">
        <v>6.5674329267524159E-2</v>
      </c>
      <c r="CF1143" s="22">
        <v>7.7834083187841283E-2</v>
      </c>
      <c r="CG1143" s="22">
        <v>8.9618614637149985E-2</v>
      </c>
      <c r="CH1143" s="22">
        <v>0.1022832243220381</v>
      </c>
      <c r="CI1143" s="22">
        <v>0.1147755143474415</v>
      </c>
      <c r="CJ1143" s="22">
        <v>0.12653126175393009</v>
      </c>
      <c r="CK1143" s="22">
        <v>0.13459346600453051</v>
      </c>
      <c r="CL1143" s="22">
        <v>0.14165209353726579</v>
      </c>
      <c r="CM1143" s="22">
        <v>0.148598053715671</v>
      </c>
      <c r="CN1143" s="22">
        <v>0.15472221518070051</v>
      </c>
      <c r="CO1143" s="22">
        <v>0.1604863030428785</v>
      </c>
      <c r="CP1143" s="22">
        <v>0.16602986623935659</v>
      </c>
      <c r="CQ1143" s="22">
        <v>0.17124369315584179</v>
      </c>
      <c r="CR1143" s="22">
        <v>0.17629983711126451</v>
      </c>
      <c r="CS1143" s="22">
        <v>0.18111831384444671</v>
      </c>
      <c r="CU1143" s="17" t="s">
        <v>6103</v>
      </c>
      <c r="CV1143" s="22">
        <v>2.2940400855026011E-2</v>
      </c>
      <c r="CW1143" s="22">
        <v>3.4230392004625999E-2</v>
      </c>
      <c r="CX1143" s="22">
        <v>2.8994181049814771E-2</v>
      </c>
      <c r="CY1143" s="22">
        <v>4.0085132406043958E-2</v>
      </c>
      <c r="CZ1143" s="22">
        <v>5.266196961884536E-2</v>
      </c>
      <c r="DA1143" s="22">
        <v>6.5213074282045952E-2</v>
      </c>
      <c r="DB1143" s="22">
        <v>9.4216882336693217E-2</v>
      </c>
      <c r="DC1143" s="22">
        <v>8.6335738368030296E-2</v>
      </c>
      <c r="DD1143" s="22">
        <v>9.8925476223443845E-2</v>
      </c>
      <c r="DE1143" s="22">
        <v>9.6857882250641472E-2</v>
      </c>
      <c r="DF1143" s="22">
        <v>0.10766823612256</v>
      </c>
      <c r="DG1143" s="22">
        <v>0.1166598866834566</v>
      </c>
      <c r="DH1143" s="22">
        <v>0.1244534482594286</v>
      </c>
      <c r="DI1143" s="22">
        <v>0.13141591796957541</v>
      </c>
      <c r="DJ1143" s="22">
        <v>0.13791354145910689</v>
      </c>
      <c r="DK1143" s="22">
        <v>0.14384554204495259</v>
      </c>
      <c r="DL1143" s="22">
        <v>0.1496685131058694</v>
      </c>
      <c r="DM1143" s="22">
        <v>0.15521166404823589</v>
      </c>
      <c r="DN1143" s="22">
        <v>0.16076495492621931</v>
      </c>
      <c r="DO1143" s="22">
        <v>0.16605674305413251</v>
      </c>
    </row>
    <row r="1144" spans="1:230" x14ac:dyDescent="0.45">
      <c r="A1144" s="16" t="s">
        <v>6104</v>
      </c>
      <c r="B1144" s="3" t="s">
        <v>89</v>
      </c>
      <c r="C1144" s="16"/>
      <c r="H1144" s="3" t="s">
        <v>6105</v>
      </c>
      <c r="I1144" s="3" t="s">
        <v>175</v>
      </c>
      <c r="K1144" s="17" t="s">
        <v>6106</v>
      </c>
      <c r="L1144" s="22">
        <v>7.0977918299612849E-2</v>
      </c>
      <c r="M1144" s="22">
        <v>7.2840391348658218E-2</v>
      </c>
      <c r="N1144" s="22">
        <v>6.4268773389331402E-2</v>
      </c>
      <c r="O1144" s="22">
        <v>5.6762067932723072E-2</v>
      </c>
      <c r="P1144" s="22">
        <v>5.4137698485560853E-2</v>
      </c>
      <c r="Q1144" s="22">
        <v>5.2088098810693498E-2</v>
      </c>
      <c r="R1144" s="22">
        <v>5.0093954625344349E-2</v>
      </c>
      <c r="S1144" s="22">
        <v>4.8150539754399389E-2</v>
      </c>
      <c r="T1144" s="22">
        <v>4.6736228582471173E-2</v>
      </c>
      <c r="U1144" s="22">
        <v>5.1978867411087037E-2</v>
      </c>
      <c r="V1144" s="22">
        <v>5.7971675138346092E-2</v>
      </c>
      <c r="W1144" s="22">
        <v>6.2284692524898468E-2</v>
      </c>
      <c r="X1144" s="22">
        <v>7.1271371592376162E-2</v>
      </c>
      <c r="Y1144" s="22">
        <v>7.7126487179833766E-2</v>
      </c>
      <c r="Z1144" s="22">
        <v>8.2869804903767566E-2</v>
      </c>
      <c r="AA1144" s="22">
        <v>8.8051029518759885E-2</v>
      </c>
      <c r="AB1144" s="22">
        <v>9.2815164667927691E-2</v>
      </c>
      <c r="AC1144" s="22">
        <v>9.7180769002150211E-2</v>
      </c>
      <c r="AD1144" s="22">
        <v>0.10115376143309</v>
      </c>
      <c r="AE1144" s="22">
        <v>0.1047571820228274</v>
      </c>
      <c r="AG1144" s="17" t="s">
        <v>6107</v>
      </c>
      <c r="AH1144" s="22">
        <v>7.0977918299612849E-2</v>
      </c>
      <c r="AI1144" s="22">
        <v>7.2840391348658218E-2</v>
      </c>
      <c r="AJ1144" s="22">
        <v>6.4268773389331402E-2</v>
      </c>
      <c r="AK1144" s="22">
        <v>5.6762067932723072E-2</v>
      </c>
      <c r="AL1144" s="22">
        <v>5.4138594828181848E-2</v>
      </c>
      <c r="AM1144" s="22">
        <v>5.2090268773313679E-2</v>
      </c>
      <c r="AN1144" s="22">
        <v>5.4711996566762643E-2</v>
      </c>
      <c r="AO1144" s="22">
        <v>5.2463366959812158E-2</v>
      </c>
      <c r="AP1144" s="22">
        <v>5.1307491156861673E-2</v>
      </c>
      <c r="AQ1144" s="22">
        <v>5.6334613656011431E-2</v>
      </c>
      <c r="AR1144" s="22">
        <v>6.6017595045579414E-2</v>
      </c>
      <c r="AS1144" s="22">
        <v>6.9024996953668205E-2</v>
      </c>
      <c r="AT1144" s="22">
        <v>8.0315608151001514E-2</v>
      </c>
      <c r="AU1144" s="22">
        <v>8.5726486561361975E-2</v>
      </c>
      <c r="AV1144" s="22">
        <v>9.1233397017313214E-2</v>
      </c>
      <c r="AW1144" s="22">
        <v>9.6171642223731688E-2</v>
      </c>
      <c r="AX1144" s="22">
        <v>0.100800667947215</v>
      </c>
      <c r="AY1144" s="22">
        <v>0.104920500874972</v>
      </c>
      <c r="AZ1144" s="22">
        <v>0.1087222942122706</v>
      </c>
      <c r="BA1144" s="22">
        <v>0.1120840382496244</v>
      </c>
      <c r="BC1144" s="17" t="s">
        <v>6108</v>
      </c>
      <c r="BD1144" s="22">
        <v>7.0977918299612849E-2</v>
      </c>
      <c r="BE1144" s="22">
        <v>7.2840391348658218E-2</v>
      </c>
      <c r="BF1144" s="22">
        <v>6.4268773389331402E-2</v>
      </c>
      <c r="BG1144" s="22">
        <v>5.6762067932723072E-2</v>
      </c>
      <c r="BH1144" s="22">
        <v>5.4140685998319588E-2</v>
      </c>
      <c r="BI1144" s="22">
        <v>5.209541834840984E-2</v>
      </c>
      <c r="BJ1144" s="22">
        <v>5.2458789036478451E-2</v>
      </c>
      <c r="BK1144" s="22">
        <v>5.3188640408706418E-2</v>
      </c>
      <c r="BL1144" s="22">
        <v>5.4028082767801307E-2</v>
      </c>
      <c r="BM1144" s="22">
        <v>5.6026560602485703E-2</v>
      </c>
      <c r="BN1144" s="22">
        <v>6.2618934859906855E-2</v>
      </c>
      <c r="BO1144" s="22">
        <v>6.6246928813647327E-2</v>
      </c>
      <c r="BP1144" s="22">
        <v>7.7039451752606902E-2</v>
      </c>
      <c r="BQ1144" s="22">
        <v>8.203755503277349E-2</v>
      </c>
      <c r="BR1144" s="22">
        <v>9.7668578091814201E-2</v>
      </c>
      <c r="BS1144" s="22">
        <v>0.10747941764568671</v>
      </c>
      <c r="BT1144" s="22">
        <v>0.1278685631488323</v>
      </c>
      <c r="BU1144" s="22">
        <v>0.14025353505029911</v>
      </c>
      <c r="BV1144" s="22">
        <v>0.16387684917789219</v>
      </c>
      <c r="BW1144" s="22">
        <v>0.17463636724914761</v>
      </c>
      <c r="BY1144" s="17" t="s">
        <v>6109</v>
      </c>
      <c r="BZ1144" s="22">
        <v>7.0977918299612849E-2</v>
      </c>
      <c r="CA1144" s="22">
        <v>7.2840391348658218E-2</v>
      </c>
      <c r="CB1144" s="22">
        <v>6.4268773389331402E-2</v>
      </c>
      <c r="CC1144" s="22">
        <v>5.6762067932723072E-2</v>
      </c>
      <c r="CD1144" s="22">
        <v>5.4142829259889447E-2</v>
      </c>
      <c r="CE1144" s="22">
        <v>5.2100629410516013E-2</v>
      </c>
      <c r="CF1144" s="22">
        <v>5.0110864666825801E-2</v>
      </c>
      <c r="CG1144" s="22">
        <v>4.8150310960073613E-2</v>
      </c>
      <c r="CH1144" s="22">
        <v>4.6791413343896353E-2</v>
      </c>
      <c r="CI1144" s="22">
        <v>5.8686828410832288E-2</v>
      </c>
      <c r="CJ1144" s="22">
        <v>8.0768388417735495E-2</v>
      </c>
      <c r="CK1144" s="22">
        <v>9.310437222755058E-2</v>
      </c>
      <c r="CL1144" s="22">
        <v>0.13521785851341361</v>
      </c>
      <c r="CM1144" s="22">
        <v>0.1654322404007178</v>
      </c>
      <c r="CN1144" s="22">
        <v>0.19334130715036041</v>
      </c>
      <c r="CO1144" s="22">
        <v>0.22244121954636789</v>
      </c>
      <c r="CP1144" s="22">
        <v>0.24579113983064149</v>
      </c>
      <c r="CQ1144" s="22">
        <v>0.26619271736392458</v>
      </c>
      <c r="CR1144" s="22">
        <v>0.28525793436966368</v>
      </c>
      <c r="CS1144" s="22">
        <v>0.30074914167835121</v>
      </c>
      <c r="CU1144" s="17" t="s">
        <v>6110</v>
      </c>
      <c r="CV1144" s="22">
        <v>7.0977918299612849E-2</v>
      </c>
      <c r="CW1144" s="22">
        <v>7.2840391348658218E-2</v>
      </c>
      <c r="CX1144" s="22">
        <v>6.4268773389331402E-2</v>
      </c>
      <c r="CY1144" s="22">
        <v>5.6762067932723072E-2</v>
      </c>
      <c r="CZ1144" s="22">
        <v>5.4139791206328371E-2</v>
      </c>
      <c r="DA1144" s="22">
        <v>5.2093199381956598E-2</v>
      </c>
      <c r="DB1144" s="22">
        <v>6.0985106422084323E-2</v>
      </c>
      <c r="DC1144" s="22">
        <v>5.8212256102404589E-2</v>
      </c>
      <c r="DD1144" s="22">
        <v>5.7352896053085717E-2</v>
      </c>
      <c r="DE1144" s="22">
        <v>5.6639332409604767E-2</v>
      </c>
      <c r="DF1144" s="22">
        <v>0.1006792792148133</v>
      </c>
      <c r="DG1144" s="22">
        <v>0.1150731782263329</v>
      </c>
      <c r="DH1144" s="22">
        <v>0.15531519314209019</v>
      </c>
      <c r="DI1144" s="22">
        <v>0.18111264233108831</v>
      </c>
      <c r="DJ1144" s="22">
        <v>0.20997174527566739</v>
      </c>
      <c r="DK1144" s="22">
        <v>0.23104144942046709</v>
      </c>
      <c r="DL1144" s="22">
        <v>0.25345241458466689</v>
      </c>
      <c r="DM1144" s="22">
        <v>0.26861962027406588</v>
      </c>
      <c r="DN1144" s="22">
        <v>0.28452210337609202</v>
      </c>
      <c r="DO1144" s="22">
        <v>0.29475315491270232</v>
      </c>
    </row>
    <row r="1145" spans="1:230" x14ac:dyDescent="0.45">
      <c r="A1145" s="16" t="s">
        <v>6111</v>
      </c>
      <c r="B1145" s="3" t="s">
        <v>89</v>
      </c>
      <c r="C1145" s="16"/>
      <c r="H1145" s="3" t="s">
        <v>6112</v>
      </c>
      <c r="I1145" s="3" t="s">
        <v>6021</v>
      </c>
      <c r="K1145" s="17" t="s">
        <v>6113</v>
      </c>
      <c r="L1145" s="23">
        <v>0</v>
      </c>
      <c r="M1145" s="23">
        <v>0</v>
      </c>
      <c r="N1145" s="23">
        <v>0</v>
      </c>
      <c r="O1145" s="23">
        <v>0</v>
      </c>
      <c r="P1145" s="23">
        <v>0</v>
      </c>
      <c r="Q1145" s="23">
        <v>0</v>
      </c>
      <c r="R1145" s="23">
        <v>0</v>
      </c>
      <c r="S1145" s="23">
        <v>0</v>
      </c>
      <c r="T1145" s="23">
        <v>0</v>
      </c>
      <c r="U1145" s="23">
        <v>0</v>
      </c>
      <c r="V1145" s="23">
        <v>0</v>
      </c>
      <c r="W1145" s="23">
        <v>0</v>
      </c>
      <c r="X1145" s="23">
        <v>0</v>
      </c>
      <c r="Y1145" s="23">
        <v>0</v>
      </c>
      <c r="Z1145" s="23">
        <v>0</v>
      </c>
      <c r="AA1145" s="23">
        <v>0</v>
      </c>
      <c r="AB1145" s="23">
        <v>0</v>
      </c>
      <c r="AC1145" s="23">
        <v>0</v>
      </c>
      <c r="AD1145" s="23">
        <v>0</v>
      </c>
      <c r="AE1145" s="23">
        <v>0</v>
      </c>
      <c r="AG1145" s="17" t="s">
        <v>6114</v>
      </c>
      <c r="AH1145" s="23">
        <v>0</v>
      </c>
      <c r="AI1145" s="23">
        <v>0</v>
      </c>
      <c r="AJ1145" s="23">
        <v>0</v>
      </c>
      <c r="AK1145" s="23">
        <v>0</v>
      </c>
      <c r="AL1145" s="23">
        <v>0</v>
      </c>
      <c r="AM1145" s="23">
        <v>9.2035233406452307E-3</v>
      </c>
      <c r="AN1145" s="23">
        <v>9.0045682656768791E-3</v>
      </c>
      <c r="AO1145" s="23">
        <v>9.0725770914543719E-3</v>
      </c>
      <c r="AP1145" s="23">
        <v>8.9435332595362762E-3</v>
      </c>
      <c r="AQ1145" s="23">
        <v>8.5672716732744653E-3</v>
      </c>
      <c r="AR1145" s="23">
        <v>8.1613375055393095E-3</v>
      </c>
      <c r="AS1145" s="23">
        <v>7.8797331045081364E-3</v>
      </c>
      <c r="AT1145" s="23">
        <v>7.5228390263500254E-3</v>
      </c>
      <c r="AU1145" s="23">
        <v>7.2361723474857016E-3</v>
      </c>
      <c r="AV1145" s="23">
        <v>6.9664979649065421E-3</v>
      </c>
      <c r="AW1145" s="23">
        <v>6.7173937935786684E-3</v>
      </c>
      <c r="AX1145" s="23">
        <v>6.4834406488574409E-3</v>
      </c>
      <c r="AY1145" s="23">
        <v>6.265611816343929E-3</v>
      </c>
      <c r="AZ1145" s="23">
        <v>6.0604451869650548E-3</v>
      </c>
      <c r="BA1145" s="23">
        <v>5.8692071462270014E-3</v>
      </c>
      <c r="BC1145" s="17" t="s">
        <v>6115</v>
      </c>
      <c r="BD1145" s="23">
        <v>0</v>
      </c>
      <c r="BE1145" s="23">
        <v>0</v>
      </c>
      <c r="BF1145" s="23">
        <v>0</v>
      </c>
      <c r="BG1145" s="23">
        <v>0</v>
      </c>
      <c r="BH1145" s="23">
        <v>0</v>
      </c>
      <c r="BI1145" s="23">
        <v>4.5967464413229301E-3</v>
      </c>
      <c r="BJ1145" s="23">
        <v>1.05429386477117E-2</v>
      </c>
      <c r="BK1145" s="23">
        <v>1.5869025575387639E-2</v>
      </c>
      <c r="BL1145" s="23">
        <v>2.142893152242387E-2</v>
      </c>
      <c r="BM1145" s="23">
        <v>2.6857120558021759E-2</v>
      </c>
      <c r="BN1145" s="23">
        <v>3.096783512172285E-2</v>
      </c>
      <c r="BO1145" s="23">
        <v>3.5417710886620733E-2</v>
      </c>
      <c r="BP1145" s="23">
        <v>3.8511272327816808E-2</v>
      </c>
      <c r="BQ1145" s="23">
        <v>4.1670065188717832E-2</v>
      </c>
      <c r="BR1145" s="23">
        <v>4.3715891437173117E-2</v>
      </c>
      <c r="BS1145" s="23">
        <v>4.5828299667622502E-2</v>
      </c>
      <c r="BT1145" s="23">
        <v>4.6795613995234103E-2</v>
      </c>
      <c r="BU1145" s="23">
        <v>4.8124957429070088E-2</v>
      </c>
      <c r="BV1145" s="23">
        <v>4.8070267246933633E-2</v>
      </c>
      <c r="BW1145" s="23">
        <v>4.9025931549661277E-2</v>
      </c>
      <c r="BY1145" s="17" t="s">
        <v>6116</v>
      </c>
      <c r="BZ1145" s="23">
        <v>0</v>
      </c>
      <c r="CA1145" s="23">
        <v>0</v>
      </c>
      <c r="CB1145" s="23">
        <v>0</v>
      </c>
      <c r="CC1145" s="23">
        <v>0</v>
      </c>
      <c r="CD1145" s="23">
        <v>0</v>
      </c>
      <c r="CE1145" s="23">
        <v>0</v>
      </c>
      <c r="CF1145" s="23">
        <v>0</v>
      </c>
      <c r="CG1145" s="23">
        <v>0</v>
      </c>
      <c r="CH1145" s="23">
        <v>0</v>
      </c>
      <c r="CI1145" s="23">
        <v>0</v>
      </c>
      <c r="CJ1145" s="23">
        <v>0</v>
      </c>
      <c r="CK1145" s="23">
        <v>0</v>
      </c>
      <c r="CL1145" s="23">
        <v>0</v>
      </c>
      <c r="CM1145" s="23">
        <v>0</v>
      </c>
      <c r="CN1145" s="23">
        <v>0</v>
      </c>
      <c r="CO1145" s="23">
        <v>0</v>
      </c>
      <c r="CP1145" s="23">
        <v>0</v>
      </c>
      <c r="CQ1145" s="23">
        <v>0</v>
      </c>
      <c r="CR1145" s="23">
        <v>0</v>
      </c>
      <c r="CS1145" s="23">
        <v>0</v>
      </c>
      <c r="CU1145" s="17" t="s">
        <v>6117</v>
      </c>
      <c r="CV1145" s="23">
        <v>0</v>
      </c>
      <c r="CW1145" s="23">
        <v>0</v>
      </c>
      <c r="CX1145" s="23">
        <v>0</v>
      </c>
      <c r="CY1145" s="23">
        <v>0</v>
      </c>
      <c r="CZ1145" s="23">
        <v>0</v>
      </c>
      <c r="DA1145" s="23">
        <v>2.2994694360461539E-2</v>
      </c>
      <c r="DB1145" s="23">
        <v>2.2204062960194639E-2</v>
      </c>
      <c r="DC1145" s="23">
        <v>2.240689046885604E-2</v>
      </c>
      <c r="DD1145" s="23">
        <v>2.1733066369156898E-2</v>
      </c>
      <c r="DE1145" s="23">
        <v>2.1652336302425731E-2</v>
      </c>
      <c r="DF1145" s="23">
        <v>1.979582283663851E-2</v>
      </c>
      <c r="DG1145" s="23">
        <v>1.8751193311172271E-2</v>
      </c>
      <c r="DH1145" s="23">
        <v>1.713708085946411E-2</v>
      </c>
      <c r="DI1145" s="23">
        <v>1.5937098397495679E-2</v>
      </c>
      <c r="DJ1145" s="23">
        <v>1.4703304507678649E-2</v>
      </c>
      <c r="DK1145" s="23">
        <v>1.3706719791011729E-2</v>
      </c>
      <c r="DL1145" s="23">
        <v>1.2700214962669969E-2</v>
      </c>
      <c r="DM1145" s="23">
        <v>1.190205546233979E-2</v>
      </c>
      <c r="DN1145" s="23">
        <v>1.109937843132861E-2</v>
      </c>
      <c r="DO1145" s="23">
        <v>1.046168742871418E-2</v>
      </c>
    </row>
    <row r="1146" spans="1:230" x14ac:dyDescent="0.45">
      <c r="A1146" s="16" t="s">
        <v>6118</v>
      </c>
      <c r="B1146" s="3" t="s">
        <v>89</v>
      </c>
      <c r="C1146" s="16"/>
      <c r="H1146" s="3" t="s">
        <v>532</v>
      </c>
      <c r="I1146" s="3" t="s">
        <v>289</v>
      </c>
      <c r="K1146" s="17" t="s">
        <v>6119</v>
      </c>
      <c r="L1146" s="19">
        <v>0</v>
      </c>
      <c r="M1146" s="19">
        <v>0</v>
      </c>
      <c r="N1146" s="19">
        <v>0</v>
      </c>
      <c r="O1146" s="19">
        <v>0</v>
      </c>
      <c r="P1146" s="19">
        <v>0</v>
      </c>
      <c r="Q1146" s="19">
        <v>0</v>
      </c>
      <c r="R1146" s="19">
        <v>0</v>
      </c>
      <c r="S1146" s="19">
        <v>0</v>
      </c>
      <c r="T1146" s="19">
        <v>0</v>
      </c>
      <c r="U1146" s="19">
        <v>0</v>
      </c>
      <c r="V1146" s="19">
        <v>0</v>
      </c>
      <c r="W1146" s="19">
        <v>0</v>
      </c>
      <c r="X1146" s="19">
        <v>0</v>
      </c>
      <c r="Y1146" s="19">
        <v>0</v>
      </c>
      <c r="Z1146" s="19">
        <v>0</v>
      </c>
      <c r="AA1146" s="19">
        <v>0</v>
      </c>
      <c r="AB1146" s="19">
        <v>0</v>
      </c>
      <c r="AC1146" s="19">
        <v>0</v>
      </c>
      <c r="AD1146" s="19">
        <v>0</v>
      </c>
      <c r="AE1146" s="19">
        <v>0</v>
      </c>
      <c r="AG1146" s="17" t="s">
        <v>6120</v>
      </c>
      <c r="AH1146" s="19">
        <v>0</v>
      </c>
      <c r="AI1146" s="19">
        <v>-5.3773310335714093E-2</v>
      </c>
      <c r="AJ1146" s="19">
        <v>-5.1831056069261187E-2</v>
      </c>
      <c r="AK1146" s="19">
        <v>-4.9931462935944637E-2</v>
      </c>
      <c r="AL1146" s="19">
        <v>-4.9948132324857397E-2</v>
      </c>
      <c r="AM1146" s="19">
        <v>-33.359011658934151</v>
      </c>
      <c r="AN1146" s="19">
        <v>-44.596980227511267</v>
      </c>
      <c r="AO1146" s="19">
        <v>-43.552778281700633</v>
      </c>
      <c r="AP1146" s="19">
        <v>-45.803937256504298</v>
      </c>
      <c r="AQ1146" s="19">
        <v>-45.323945164871589</v>
      </c>
      <c r="AR1146" s="19">
        <v>-46.28190400692614</v>
      </c>
      <c r="AS1146" s="19">
        <v>-46.541073117893013</v>
      </c>
      <c r="AT1146" s="19">
        <v>-47.534745531711557</v>
      </c>
      <c r="AU1146" s="19">
        <v>-48.212093687047513</v>
      </c>
      <c r="AV1146" s="19">
        <v>-48.849511312636992</v>
      </c>
      <c r="AW1146" s="19">
        <v>-49.346285651467383</v>
      </c>
      <c r="AX1146" s="19">
        <v>-50.030627753998601</v>
      </c>
      <c r="AY1146" s="19">
        <v>-50.797191468955589</v>
      </c>
      <c r="AZ1146" s="19">
        <v>-51.802803890461291</v>
      </c>
      <c r="BA1146" s="19">
        <v>-52.874593578593931</v>
      </c>
      <c r="BC1146" s="17" t="s">
        <v>6121</v>
      </c>
      <c r="BD1146" s="19">
        <v>0</v>
      </c>
      <c r="BE1146" s="19">
        <v>-0.1861566156656522</v>
      </c>
      <c r="BF1146" s="19">
        <v>-0.179424653714193</v>
      </c>
      <c r="BG1146" s="19">
        <v>-0.17284087277107571</v>
      </c>
      <c r="BH1146" s="19">
        <v>-0.17265384736617759</v>
      </c>
      <c r="BI1146" s="19">
        <v>-21.609768165646301</v>
      </c>
      <c r="BJ1146" s="19">
        <v>-50.156530069303983</v>
      </c>
      <c r="BK1146" s="19">
        <v>-78.017551465766246</v>
      </c>
      <c r="BL1146" s="19">
        <v>-98.80961557914992</v>
      </c>
      <c r="BM1146" s="19">
        <v>-111.28093062659801</v>
      </c>
      <c r="BN1146" s="19">
        <v>-125.9420136003725</v>
      </c>
      <c r="BO1146" s="19">
        <v>-139.56944572170491</v>
      </c>
      <c r="BP1146" s="19">
        <v>-154.1670574657185</v>
      </c>
      <c r="BQ1146" s="19">
        <v>-166.96525512916861</v>
      </c>
      <c r="BR1146" s="19">
        <v>-180.6496733673022</v>
      </c>
      <c r="BS1146" s="19">
        <v>-192.6660485390652</v>
      </c>
      <c r="BT1146" s="19">
        <v>-205.7833488371441</v>
      </c>
      <c r="BU1146" s="19">
        <v>-217.15530475963271</v>
      </c>
      <c r="BV1146" s="19">
        <v>-230.2838078791068</v>
      </c>
      <c r="BW1146" s="19">
        <v>-241.00721442114849</v>
      </c>
      <c r="BY1146" s="17" t="s">
        <v>6122</v>
      </c>
      <c r="BZ1146" s="19">
        <v>0</v>
      </c>
      <c r="CA1146" s="19">
        <v>-0.31583268899481709</v>
      </c>
      <c r="CB1146" s="19">
        <v>-0.30456792656639209</v>
      </c>
      <c r="CC1146" s="19">
        <v>-0.29354662972173168</v>
      </c>
      <c r="CD1146" s="19">
        <v>-0.29349752252801409</v>
      </c>
      <c r="CE1146" s="19">
        <v>-37.839758686413063</v>
      </c>
      <c r="CF1146" s="19">
        <v>-39.838534584175306</v>
      </c>
      <c r="CG1146" s="19">
        <v>-41.634106292886493</v>
      </c>
      <c r="CH1146" s="19">
        <v>-43.783934816475551</v>
      </c>
      <c r="CI1146" s="19">
        <v>-46.603320808490423</v>
      </c>
      <c r="CJ1146" s="19">
        <v>-50.778301397284451</v>
      </c>
      <c r="CK1146" s="19">
        <v>-53.561201736978489</v>
      </c>
      <c r="CL1146" s="19">
        <v>-60.172064533924747</v>
      </c>
      <c r="CM1146" s="19">
        <v>-66.010399581390857</v>
      </c>
      <c r="CN1146" s="19">
        <v>-71.265152966820551</v>
      </c>
      <c r="CO1146" s="19">
        <v>-77.171461048082506</v>
      </c>
      <c r="CP1146" s="19">
        <v>-82.693200828080762</v>
      </c>
      <c r="CQ1146" s="19">
        <v>-88.090135962511454</v>
      </c>
      <c r="CR1146" s="19">
        <v>-93.835637632759585</v>
      </c>
      <c r="CS1146" s="19">
        <v>-99.248404742125899</v>
      </c>
      <c r="CU1146" s="17" t="s">
        <v>6123</v>
      </c>
      <c r="CV1146" s="19">
        <v>0</v>
      </c>
      <c r="CW1146" s="19">
        <v>-0.12827308831015219</v>
      </c>
      <c r="CX1146" s="19">
        <v>-0.1236367422264379</v>
      </c>
      <c r="CY1146" s="19">
        <v>-0.1191023574294832</v>
      </c>
      <c r="CZ1146" s="19">
        <v>-0.11904580792139539</v>
      </c>
      <c r="DA1146" s="19">
        <v>-65.653560214467518</v>
      </c>
      <c r="DB1146" s="19">
        <v>-89.279293823279772</v>
      </c>
      <c r="DC1146" s="19">
        <v>-89.203287884345457</v>
      </c>
      <c r="DD1146" s="19">
        <v>-94.830464050669264</v>
      </c>
      <c r="DE1146" s="19">
        <v>-91.301648761641729</v>
      </c>
      <c r="DF1146" s="19">
        <v>-96.022601566219237</v>
      </c>
      <c r="DG1146" s="19">
        <v>-98.726249934424459</v>
      </c>
      <c r="DH1146" s="19">
        <v>-103.8684653663109</v>
      </c>
      <c r="DI1146" s="19">
        <v>-107.7232664511105</v>
      </c>
      <c r="DJ1146" s="19">
        <v>-112.34175142664419</v>
      </c>
      <c r="DK1146" s="19">
        <v>-115.9103528759852</v>
      </c>
      <c r="DL1146" s="19">
        <v>-120.4691971019294</v>
      </c>
      <c r="DM1146" s="19">
        <v>-124.3107457301047</v>
      </c>
      <c r="DN1146" s="19">
        <v>-129.10378371395831</v>
      </c>
      <c r="DO1146" s="19">
        <v>-133.254080253447</v>
      </c>
    </row>
    <row r="1147" spans="1:230" ht="15.4" x14ac:dyDescent="0.45">
      <c r="A1147" s="5"/>
      <c r="B1147" s="15" t="s">
        <v>6124</v>
      </c>
      <c r="C1147" s="5"/>
      <c r="D1147" s="5"/>
      <c r="E1147" s="5"/>
      <c r="F1147" s="5"/>
      <c r="G1147" s="5"/>
      <c r="H1147" s="5"/>
      <c r="I1147" s="5"/>
      <c r="J1147" s="5"/>
      <c r="K1147" s="5"/>
      <c r="L1147" s="5"/>
      <c r="M1147" s="5"/>
      <c r="N1147" s="5"/>
      <c r="O1147" s="5"/>
      <c r="P1147" s="5"/>
      <c r="Q1147" s="5"/>
      <c r="R1147" s="5"/>
      <c r="S1147" s="5"/>
      <c r="T1147" s="5"/>
      <c r="U1147" s="5"/>
      <c r="V1147" s="5"/>
      <c r="W1147" s="5"/>
      <c r="X1147" s="5"/>
      <c r="Y1147" s="5"/>
      <c r="Z1147" s="5"/>
      <c r="AA1147" s="5"/>
      <c r="AB1147" s="5"/>
      <c r="AC1147" s="5"/>
      <c r="AD1147" s="5"/>
      <c r="AE1147" s="5"/>
      <c r="AF1147" s="5"/>
      <c r="AG1147" s="5"/>
      <c r="AH1147" s="5"/>
      <c r="AI1147" s="5"/>
      <c r="AJ1147" s="5"/>
      <c r="AK1147" s="5"/>
      <c r="AL1147" s="5"/>
      <c r="AM1147" s="5"/>
      <c r="AN1147" s="5"/>
      <c r="AO1147" s="5"/>
      <c r="AP1147" s="5"/>
      <c r="AQ1147" s="5"/>
      <c r="AR1147" s="5"/>
      <c r="AS1147" s="5"/>
      <c r="AT1147" s="5"/>
      <c r="AU1147" s="5"/>
      <c r="AV1147" s="5"/>
      <c r="AW1147" s="5"/>
      <c r="AX1147" s="5"/>
      <c r="AY1147" s="5"/>
      <c r="AZ1147" s="5"/>
      <c r="BA1147" s="5"/>
      <c r="BB1147" s="5"/>
      <c r="BC1147" s="5"/>
      <c r="BD1147" s="5"/>
      <c r="BE1147" s="5"/>
      <c r="BF1147" s="5"/>
      <c r="BG1147" s="5"/>
      <c r="BH1147" s="5"/>
      <c r="BI1147" s="5"/>
      <c r="BJ1147" s="5"/>
      <c r="BK1147" s="5"/>
      <c r="BL1147" s="5"/>
      <c r="BM1147" s="5"/>
      <c r="BN1147" s="5"/>
      <c r="BO1147" s="5"/>
      <c r="BP1147" s="5"/>
      <c r="BQ1147" s="5"/>
      <c r="BR1147" s="5"/>
      <c r="BS1147" s="5"/>
      <c r="BT1147" s="5"/>
      <c r="BU1147" s="5"/>
      <c r="BV1147" s="5"/>
      <c r="BW1147" s="5"/>
      <c r="BX1147" s="5"/>
      <c r="BY1147" s="5"/>
      <c r="BZ1147" s="5"/>
      <c r="CA1147" s="5"/>
      <c r="CB1147" s="5"/>
      <c r="CC1147" s="5"/>
      <c r="CD1147" s="5"/>
      <c r="CE1147" s="5"/>
      <c r="CF1147" s="5"/>
      <c r="CG1147" s="5"/>
      <c r="CH1147" s="5"/>
      <c r="CI1147" s="5"/>
      <c r="CJ1147" s="5"/>
      <c r="CK1147" s="5"/>
      <c r="CL1147" s="5"/>
      <c r="CM1147" s="5"/>
      <c r="CN1147" s="5"/>
      <c r="CO1147" s="5"/>
      <c r="CP1147" s="5"/>
      <c r="CQ1147" s="5"/>
      <c r="CR1147" s="5"/>
      <c r="CS1147" s="5"/>
      <c r="CT1147" s="5"/>
      <c r="CU1147" s="5"/>
      <c r="CV1147" s="5"/>
      <c r="CW1147" s="5"/>
      <c r="CX1147" s="5"/>
      <c r="CY1147" s="5"/>
      <c r="CZ1147" s="5"/>
      <c r="DA1147" s="5"/>
      <c r="DB1147" s="5"/>
      <c r="DC1147" s="5"/>
      <c r="DD1147" s="5"/>
      <c r="DE1147" s="5"/>
      <c r="DF1147" s="5"/>
      <c r="DG1147" s="5"/>
      <c r="DH1147" s="5"/>
      <c r="DI1147" s="5"/>
      <c r="DJ1147" s="5"/>
      <c r="DK1147" s="5"/>
      <c r="DL1147" s="5"/>
      <c r="DM1147" s="5"/>
      <c r="DN1147" s="5"/>
      <c r="DO1147" s="5"/>
      <c r="DP1147" s="5"/>
      <c r="DQ1147" s="5"/>
      <c r="DR1147" s="5"/>
      <c r="DS1147" s="5"/>
      <c r="DT1147" s="5"/>
      <c r="DU1147" s="5"/>
      <c r="DV1147" s="5"/>
      <c r="DW1147" s="5"/>
      <c r="DX1147" s="5"/>
      <c r="DY1147" s="5"/>
      <c r="DZ1147" s="5"/>
      <c r="EA1147" s="5"/>
      <c r="EB1147" s="5"/>
      <c r="EC1147" s="5"/>
      <c r="ED1147" s="5"/>
      <c r="EE1147" s="5"/>
      <c r="EF1147" s="5"/>
      <c r="EG1147" s="5"/>
      <c r="EH1147" s="5"/>
      <c r="EI1147" s="5"/>
      <c r="EJ1147" s="5"/>
      <c r="EK1147" s="5"/>
      <c r="EL1147" s="5"/>
      <c r="EM1147" s="5"/>
      <c r="EN1147" s="5"/>
      <c r="EO1147" s="5"/>
      <c r="EP1147" s="5"/>
      <c r="EQ1147" s="5"/>
      <c r="ER1147" s="5"/>
      <c r="ES1147" s="5"/>
      <c r="ET1147" s="5"/>
      <c r="EU1147" s="5"/>
      <c r="EV1147" s="5"/>
      <c r="EW1147" s="5"/>
      <c r="EX1147" s="5"/>
      <c r="EY1147" s="5"/>
      <c r="EZ1147" s="5"/>
      <c r="FA1147" s="5"/>
      <c r="FB1147" s="5"/>
      <c r="FC1147" s="5"/>
      <c r="FD1147" s="5"/>
      <c r="FE1147" s="5"/>
      <c r="FF1147" s="5"/>
      <c r="FG1147" s="5"/>
      <c r="FH1147" s="5"/>
      <c r="FI1147" s="5"/>
      <c r="FJ1147" s="5"/>
      <c r="FK1147" s="5"/>
      <c r="FL1147" s="5"/>
      <c r="FM1147" s="5"/>
      <c r="FN1147" s="5"/>
      <c r="FO1147" s="5"/>
      <c r="FP1147" s="5"/>
      <c r="FQ1147" s="5"/>
      <c r="FR1147" s="5"/>
      <c r="FS1147" s="5"/>
      <c r="FT1147" s="5"/>
      <c r="FU1147" s="5"/>
      <c r="FV1147" s="5"/>
      <c r="FW1147" s="5"/>
      <c r="FX1147" s="5"/>
      <c r="FY1147" s="5"/>
      <c r="FZ1147" s="5"/>
      <c r="GA1147" s="5"/>
      <c r="GB1147" s="5"/>
      <c r="GC1147" s="5"/>
      <c r="GD1147" s="5"/>
      <c r="GE1147" s="5"/>
      <c r="GF1147" s="5"/>
      <c r="GG1147" s="5"/>
      <c r="GH1147" s="5"/>
      <c r="GI1147" s="5"/>
      <c r="GJ1147" s="5"/>
      <c r="GK1147" s="5"/>
      <c r="GL1147" s="5"/>
      <c r="GM1147" s="5"/>
      <c r="GN1147" s="5"/>
      <c r="GO1147" s="5"/>
      <c r="GP1147" s="5"/>
      <c r="GQ1147" s="5"/>
      <c r="GR1147" s="5"/>
      <c r="GS1147" s="5"/>
      <c r="GT1147" s="5"/>
      <c r="GU1147" s="5"/>
      <c r="GV1147" s="5"/>
      <c r="GW1147" s="5"/>
      <c r="GX1147" s="5"/>
      <c r="GY1147" s="5"/>
      <c r="GZ1147" s="5"/>
      <c r="HA1147" s="5"/>
      <c r="HB1147" s="5"/>
      <c r="HC1147" s="5"/>
      <c r="HD1147" s="5"/>
      <c r="HE1147" s="5"/>
      <c r="HF1147" s="5"/>
      <c r="HG1147" s="5"/>
      <c r="HH1147" s="5"/>
      <c r="HI1147" s="5"/>
      <c r="HJ1147" s="5"/>
      <c r="HK1147" s="5"/>
      <c r="HL1147" s="5"/>
      <c r="HM1147" s="5"/>
      <c r="HN1147" s="5"/>
      <c r="HO1147" s="5"/>
      <c r="HP1147" s="5"/>
      <c r="HQ1147" s="5"/>
      <c r="HR1147" s="5"/>
      <c r="HS1147" s="5"/>
      <c r="HT1147" s="5"/>
      <c r="HU1147" s="5"/>
      <c r="HV1147" s="5"/>
    </row>
    <row r="1148" spans="1:230" x14ac:dyDescent="0.45">
      <c r="A1148" s="16" t="s">
        <v>6125</v>
      </c>
      <c r="B1148" s="3" t="s">
        <v>89</v>
      </c>
      <c r="C1148" s="16"/>
      <c r="H1148" s="3" t="s">
        <v>6126</v>
      </c>
      <c r="I1148" s="3" t="s">
        <v>529</v>
      </c>
      <c r="K1148" s="17" t="s">
        <v>6127</v>
      </c>
      <c r="L1148" s="25">
        <v>1</v>
      </c>
      <c r="M1148" s="25">
        <v>1.021605672840576</v>
      </c>
      <c r="N1148" s="25">
        <v>1.018777240072545</v>
      </c>
      <c r="O1148" s="25">
        <v>1.047103556542448</v>
      </c>
      <c r="P1148" s="25">
        <v>1.075728081117868</v>
      </c>
      <c r="Q1148" s="25">
        <v>1.1115143350194949</v>
      </c>
      <c r="R1148" s="25">
        <v>1.156329852526826</v>
      </c>
      <c r="S1148" s="25">
        <v>1.199640993989102</v>
      </c>
      <c r="T1148" s="25">
        <v>1.2402532840097811</v>
      </c>
      <c r="U1148" s="25">
        <v>1.2817717036092251</v>
      </c>
      <c r="V1148" s="25">
        <v>1.3241584220656071</v>
      </c>
      <c r="W1148" s="25">
        <v>1.367427724870671</v>
      </c>
      <c r="X1148" s="25">
        <v>1.411528852377991</v>
      </c>
      <c r="Y1148" s="25">
        <v>1.4564981616625949</v>
      </c>
      <c r="Z1148" s="25">
        <v>1.5023293427286151</v>
      </c>
      <c r="AA1148" s="25">
        <v>1.5489793742071369</v>
      </c>
      <c r="AB1148" s="25">
        <v>1.596518843811799</v>
      </c>
      <c r="AC1148" s="25">
        <v>1.6449504589744679</v>
      </c>
      <c r="AD1148" s="25">
        <v>1.6943456399154859</v>
      </c>
      <c r="AE1148" s="25">
        <v>1.744792927507324</v>
      </c>
      <c r="AG1148" s="17" t="s">
        <v>6128</v>
      </c>
      <c r="AH1148" s="25">
        <v>1</v>
      </c>
      <c r="AI1148" s="25">
        <v>1.021605672840576</v>
      </c>
      <c r="AJ1148" s="25">
        <v>1.018777240072545</v>
      </c>
      <c r="AK1148" s="25">
        <v>1.047103556542448</v>
      </c>
      <c r="AL1148" s="25">
        <v>1.075728081117868</v>
      </c>
      <c r="AM1148" s="25">
        <v>1.1115143350194949</v>
      </c>
      <c r="AN1148" s="25">
        <v>1.156329852526826</v>
      </c>
      <c r="AO1148" s="25">
        <v>1.199640993989102</v>
      </c>
      <c r="AP1148" s="25">
        <v>1.2402532840097811</v>
      </c>
      <c r="AQ1148" s="25">
        <v>1.2817717036092251</v>
      </c>
      <c r="AR1148" s="25">
        <v>1.3241584220656071</v>
      </c>
      <c r="AS1148" s="25">
        <v>1.367427724870671</v>
      </c>
      <c r="AT1148" s="25">
        <v>1.411528852377991</v>
      </c>
      <c r="AU1148" s="25">
        <v>1.4564981616625949</v>
      </c>
      <c r="AV1148" s="25">
        <v>1.5023293427286151</v>
      </c>
      <c r="AW1148" s="25">
        <v>1.5489793742071369</v>
      </c>
      <c r="AX1148" s="25">
        <v>1.596518843811799</v>
      </c>
      <c r="AY1148" s="25">
        <v>1.6449504589744679</v>
      </c>
      <c r="AZ1148" s="25">
        <v>1.6943456399154859</v>
      </c>
      <c r="BA1148" s="25">
        <v>1.744792927507324</v>
      </c>
      <c r="BC1148" s="17" t="s">
        <v>6129</v>
      </c>
      <c r="BD1148" s="25">
        <v>1</v>
      </c>
      <c r="BE1148" s="25">
        <v>1.021605672840576</v>
      </c>
      <c r="BF1148" s="25">
        <v>1.018777240072545</v>
      </c>
      <c r="BG1148" s="25">
        <v>1.047103556542448</v>
      </c>
      <c r="BH1148" s="25">
        <v>1.075728081117868</v>
      </c>
      <c r="BI1148" s="25">
        <v>1.1115143350194949</v>
      </c>
      <c r="BJ1148" s="25">
        <v>1.156329852526826</v>
      </c>
      <c r="BK1148" s="25">
        <v>1.199640993989102</v>
      </c>
      <c r="BL1148" s="25">
        <v>1.2402532840097811</v>
      </c>
      <c r="BM1148" s="25">
        <v>1.2817717036092251</v>
      </c>
      <c r="BN1148" s="25">
        <v>1.3241584220656071</v>
      </c>
      <c r="BO1148" s="25">
        <v>1.367427724870671</v>
      </c>
      <c r="BP1148" s="25">
        <v>1.411528852377991</v>
      </c>
      <c r="BQ1148" s="25">
        <v>1.4564981616625949</v>
      </c>
      <c r="BR1148" s="25">
        <v>1.5023293427286151</v>
      </c>
      <c r="BS1148" s="25">
        <v>1.5489793742071369</v>
      </c>
      <c r="BT1148" s="25">
        <v>1.596518843811799</v>
      </c>
      <c r="BU1148" s="25">
        <v>1.6449504589744679</v>
      </c>
      <c r="BV1148" s="25">
        <v>1.6943456399154859</v>
      </c>
      <c r="BW1148" s="25">
        <v>1.744792927507324</v>
      </c>
      <c r="BY1148" s="17" t="s">
        <v>6130</v>
      </c>
      <c r="BZ1148" s="25">
        <v>1</v>
      </c>
      <c r="CA1148" s="25">
        <v>1.021605672840576</v>
      </c>
      <c r="CB1148" s="25">
        <v>1.018777240072545</v>
      </c>
      <c r="CC1148" s="25">
        <v>1.047103556542448</v>
      </c>
      <c r="CD1148" s="25">
        <v>1.075728081117868</v>
      </c>
      <c r="CE1148" s="25">
        <v>1.1115143350194949</v>
      </c>
      <c r="CF1148" s="25">
        <v>1.156329852526826</v>
      </c>
      <c r="CG1148" s="25">
        <v>1.199640993989102</v>
      </c>
      <c r="CH1148" s="25">
        <v>1.2402532840097811</v>
      </c>
      <c r="CI1148" s="25">
        <v>1.2817717036092251</v>
      </c>
      <c r="CJ1148" s="25">
        <v>1.3241584220656071</v>
      </c>
      <c r="CK1148" s="25">
        <v>1.367427724870671</v>
      </c>
      <c r="CL1148" s="25">
        <v>1.411528852377991</v>
      </c>
      <c r="CM1148" s="25">
        <v>1.4564981616625949</v>
      </c>
      <c r="CN1148" s="25">
        <v>1.5023293427286151</v>
      </c>
      <c r="CO1148" s="25">
        <v>1.5489793742071369</v>
      </c>
      <c r="CP1148" s="25">
        <v>1.596518843811799</v>
      </c>
      <c r="CQ1148" s="25">
        <v>1.6449504589744679</v>
      </c>
      <c r="CR1148" s="25">
        <v>1.6943456399154859</v>
      </c>
      <c r="CS1148" s="25">
        <v>1.744792927507324</v>
      </c>
      <c r="CU1148" s="17" t="s">
        <v>6131</v>
      </c>
      <c r="CV1148" s="25">
        <v>1</v>
      </c>
      <c r="CW1148" s="25">
        <v>1.021605672840576</v>
      </c>
      <c r="CX1148" s="25">
        <v>1.018777240072545</v>
      </c>
      <c r="CY1148" s="25">
        <v>1.047103556542448</v>
      </c>
      <c r="CZ1148" s="25">
        <v>1.075728081117868</v>
      </c>
      <c r="DA1148" s="25">
        <v>1.1115143350194949</v>
      </c>
      <c r="DB1148" s="25">
        <v>1.156329852526826</v>
      </c>
      <c r="DC1148" s="25">
        <v>1.199640993989102</v>
      </c>
      <c r="DD1148" s="25">
        <v>1.2402532840097811</v>
      </c>
      <c r="DE1148" s="25">
        <v>1.2817717036092251</v>
      </c>
      <c r="DF1148" s="25">
        <v>1.3241584220656071</v>
      </c>
      <c r="DG1148" s="25">
        <v>1.367427724870671</v>
      </c>
      <c r="DH1148" s="25">
        <v>1.411528852377991</v>
      </c>
      <c r="DI1148" s="25">
        <v>1.4564981616625949</v>
      </c>
      <c r="DJ1148" s="25">
        <v>1.5023293427286151</v>
      </c>
      <c r="DK1148" s="25">
        <v>1.5489793742071369</v>
      </c>
      <c r="DL1148" s="25">
        <v>1.596518843811799</v>
      </c>
      <c r="DM1148" s="25">
        <v>1.6449504589744679</v>
      </c>
      <c r="DN1148" s="25">
        <v>1.6943456399154859</v>
      </c>
      <c r="DO1148" s="25">
        <v>1.744792927507324</v>
      </c>
    </row>
    <row r="1149" spans="1:230" x14ac:dyDescent="0.45">
      <c r="A1149" s="16" t="s">
        <v>6132</v>
      </c>
      <c r="B1149" s="3" t="s">
        <v>89</v>
      </c>
      <c r="C1149" s="16"/>
      <c r="H1149" s="3" t="s">
        <v>6126</v>
      </c>
      <c r="I1149" s="3" t="s">
        <v>529</v>
      </c>
      <c r="K1149" s="17" t="s">
        <v>6133</v>
      </c>
      <c r="L1149" s="25">
        <v>1</v>
      </c>
      <c r="M1149" s="25">
        <v>0.94207638049148179</v>
      </c>
      <c r="N1149" s="25">
        <v>1.074826330161591</v>
      </c>
      <c r="O1149" s="25">
        <v>1.0988717033130111</v>
      </c>
      <c r="P1149" s="25">
        <v>1.0862410771098561</v>
      </c>
      <c r="Q1149" s="25">
        <v>1.066414683611858</v>
      </c>
      <c r="R1149" s="25">
        <v>1.042943368371301</v>
      </c>
      <c r="S1149" s="25">
        <v>1.0220586075868201</v>
      </c>
      <c r="T1149" s="25">
        <v>0.99930848412175943</v>
      </c>
      <c r="U1149" s="25">
        <v>0.97198329172904829</v>
      </c>
      <c r="V1149" s="25">
        <v>0.94491597381569847</v>
      </c>
      <c r="W1149" s="25">
        <v>0.92813947782418227</v>
      </c>
      <c r="X1149" s="25">
        <v>0.91081758660170975</v>
      </c>
      <c r="Y1149" s="25">
        <v>0.89497324923178401</v>
      </c>
      <c r="Z1149" s="25">
        <v>0.87961061056704182</v>
      </c>
      <c r="AA1149" s="25">
        <v>0.86479191119277643</v>
      </c>
      <c r="AB1149" s="25">
        <v>0.85046991469387045</v>
      </c>
      <c r="AC1149" s="25">
        <v>0.8366314545148924</v>
      </c>
      <c r="AD1149" s="25">
        <v>0.82328242039215571</v>
      </c>
      <c r="AE1149" s="25">
        <v>0.81041207729275677</v>
      </c>
      <c r="AG1149" s="17" t="s">
        <v>6134</v>
      </c>
      <c r="AH1149" s="25">
        <v>1</v>
      </c>
      <c r="AI1149" s="25">
        <v>0.94194523661436236</v>
      </c>
      <c r="AJ1149" s="25">
        <v>1.0747028858812639</v>
      </c>
      <c r="AK1149" s="25">
        <v>1.098757731788786</v>
      </c>
      <c r="AL1149" s="25">
        <v>1.0861275788064659</v>
      </c>
      <c r="AM1149" s="25">
        <v>0.98410035566346632</v>
      </c>
      <c r="AN1149" s="25">
        <v>0.92209492622251954</v>
      </c>
      <c r="AO1149" s="25">
        <v>0.90888428624789619</v>
      </c>
      <c r="AP1149" s="25">
        <v>0.88491354368182984</v>
      </c>
      <c r="AQ1149" s="25">
        <v>0.86567561444708718</v>
      </c>
      <c r="AR1149" s="25">
        <v>0.84190428175405585</v>
      </c>
      <c r="AS1149" s="25">
        <v>0.82912987206295352</v>
      </c>
      <c r="AT1149" s="25">
        <v>0.81434113091644666</v>
      </c>
      <c r="AU1149" s="25">
        <v>0.80143492421190343</v>
      </c>
      <c r="AV1149" s="25">
        <v>0.78899804859230183</v>
      </c>
      <c r="AW1149" s="25">
        <v>0.77726073077133373</v>
      </c>
      <c r="AX1149" s="25">
        <v>0.76554106463392224</v>
      </c>
      <c r="AY1149" s="25">
        <v>0.75404953785510154</v>
      </c>
      <c r="AZ1149" s="25">
        <v>0.74254278438924903</v>
      </c>
      <c r="BA1149" s="25">
        <v>0.73134402437190871</v>
      </c>
      <c r="BC1149" s="17" t="s">
        <v>6135</v>
      </c>
      <c r="BD1149" s="25">
        <v>1</v>
      </c>
      <c r="BE1149" s="25">
        <v>0.94162227719247227</v>
      </c>
      <c r="BF1149" s="25">
        <v>1.074398906378164</v>
      </c>
      <c r="BG1149" s="25">
        <v>1.098477096019705</v>
      </c>
      <c r="BH1149" s="25">
        <v>1.085849176059418</v>
      </c>
      <c r="BI1149" s="25">
        <v>1.012981027272446</v>
      </c>
      <c r="BJ1149" s="25">
        <v>0.9168755089752072</v>
      </c>
      <c r="BK1149" s="25">
        <v>0.83154988257747287</v>
      </c>
      <c r="BL1149" s="25">
        <v>0.76530465813758375</v>
      </c>
      <c r="BM1149" s="25">
        <v>0.71687146863203732</v>
      </c>
      <c r="BN1149" s="25">
        <v>0.66762521453668067</v>
      </c>
      <c r="BO1149" s="25">
        <v>0.63030097695938392</v>
      </c>
      <c r="BP1149" s="25">
        <v>0.59360203760089203</v>
      </c>
      <c r="BQ1149" s="25">
        <v>0.56402050931988168</v>
      </c>
      <c r="BR1149" s="25">
        <v>0.53549985440219994</v>
      </c>
      <c r="BS1149" s="25">
        <v>0.51222950038521919</v>
      </c>
      <c r="BT1149" s="25">
        <v>0.48919210547953429</v>
      </c>
      <c r="BU1149" s="25">
        <v>0.47078794501789539</v>
      </c>
      <c r="BV1149" s="25">
        <v>0.45126766105318439</v>
      </c>
      <c r="BW1149" s="25">
        <v>0.43681203485211739</v>
      </c>
      <c r="BY1149" s="17" t="s">
        <v>6136</v>
      </c>
      <c r="BZ1149" s="25">
        <v>1</v>
      </c>
      <c r="CA1149" s="25">
        <v>0.94130599555694194</v>
      </c>
      <c r="CB1149" s="25">
        <v>1.0741008335642639</v>
      </c>
      <c r="CC1149" s="25">
        <v>1.0982015570449739</v>
      </c>
      <c r="CD1149" s="25">
        <v>1.085574678315868</v>
      </c>
      <c r="CE1149" s="25">
        <v>0.97181850063289721</v>
      </c>
      <c r="CF1149" s="25">
        <v>0.94930605449741767</v>
      </c>
      <c r="CG1149" s="25">
        <v>0.92977595515717804</v>
      </c>
      <c r="CH1149" s="25">
        <v>0.90709719545955048</v>
      </c>
      <c r="CI1149" s="25">
        <v>0.87925136343114718</v>
      </c>
      <c r="CJ1149" s="25">
        <v>0.84933790040600654</v>
      </c>
      <c r="CK1149" s="25">
        <v>0.83281134779344967</v>
      </c>
      <c r="CL1149" s="25">
        <v>0.81029172630775115</v>
      </c>
      <c r="CM1149" s="25">
        <v>0.79084537578664382</v>
      </c>
      <c r="CN1149" s="25">
        <v>0.77365540355904072</v>
      </c>
      <c r="CO1149" s="25">
        <v>0.7564761201810033</v>
      </c>
      <c r="CP1149" s="25">
        <v>0.74057385530804898</v>
      </c>
      <c r="CQ1149" s="25">
        <v>0.72565419840175571</v>
      </c>
      <c r="CR1149" s="25">
        <v>0.71090221244471752</v>
      </c>
      <c r="CS1149" s="25">
        <v>0.69725859861410733</v>
      </c>
      <c r="CU1149" s="17" t="s">
        <v>6137</v>
      </c>
      <c r="CV1149" s="25">
        <v>1</v>
      </c>
      <c r="CW1149" s="25">
        <v>0.94176350515437046</v>
      </c>
      <c r="CX1149" s="25">
        <v>1.074531831441397</v>
      </c>
      <c r="CY1149" s="25">
        <v>1.098599810389516</v>
      </c>
      <c r="CZ1149" s="25">
        <v>1.085970733312779</v>
      </c>
      <c r="DA1149" s="25">
        <v>0.90480672001058893</v>
      </c>
      <c r="DB1149" s="25">
        <v>0.79946281062577318</v>
      </c>
      <c r="DC1149" s="25">
        <v>0.79028376449077109</v>
      </c>
      <c r="DD1149" s="25">
        <v>0.76376924131513868</v>
      </c>
      <c r="DE1149" s="25">
        <v>0.7548025853951803</v>
      </c>
      <c r="DF1149" s="25">
        <v>0.73092548817476544</v>
      </c>
      <c r="DG1149" s="25">
        <v>0.71898844921997829</v>
      </c>
      <c r="DH1149" s="25">
        <v>0.70325469741814262</v>
      </c>
      <c r="DI1149" s="25">
        <v>0.69161225053468112</v>
      </c>
      <c r="DJ1149" s="25">
        <v>0.67940221799900091</v>
      </c>
      <c r="DK1149" s="25">
        <v>0.66959452684577203</v>
      </c>
      <c r="DL1149" s="25">
        <v>0.65859966777926215</v>
      </c>
      <c r="DM1149" s="25">
        <v>0.64901666078201647</v>
      </c>
      <c r="DN1149" s="25">
        <v>0.63830086907475925</v>
      </c>
      <c r="DO1149" s="25">
        <v>0.62881884315927294</v>
      </c>
    </row>
    <row r="1150" spans="1:230" x14ac:dyDescent="0.45">
      <c r="A1150" s="16" t="s">
        <v>6138</v>
      </c>
      <c r="B1150" s="3" t="s">
        <v>89</v>
      </c>
      <c r="C1150" s="16"/>
      <c r="H1150" s="3" t="s">
        <v>6126</v>
      </c>
      <c r="I1150" s="3" t="s">
        <v>529</v>
      </c>
      <c r="K1150" s="17" t="s">
        <v>6139</v>
      </c>
      <c r="L1150" s="25">
        <v>1</v>
      </c>
      <c r="M1150" s="25">
        <v>1.0490091189118871</v>
      </c>
      <c r="N1150" s="25">
        <v>1.021639067520913</v>
      </c>
      <c r="O1150" s="25">
        <v>1.0045241344443649</v>
      </c>
      <c r="P1150" s="25">
        <v>0.99832545213490376</v>
      </c>
      <c r="Q1150" s="25">
        <v>0.99400762222171846</v>
      </c>
      <c r="R1150" s="25">
        <v>0.98980342338182681</v>
      </c>
      <c r="S1150" s="25">
        <v>0.98552222347453122</v>
      </c>
      <c r="T1150" s="25">
        <v>0.98283472860868093</v>
      </c>
      <c r="U1150" s="25">
        <v>0.97811259283025886</v>
      </c>
      <c r="V1150" s="25">
        <v>0.97341990588650307</v>
      </c>
      <c r="W1150" s="25">
        <v>0.96556818712769021</v>
      </c>
      <c r="X1150" s="25">
        <v>0.95767432230134264</v>
      </c>
      <c r="Y1150" s="25">
        <v>0.94989466039371107</v>
      </c>
      <c r="Z1150" s="25">
        <v>0.94227156852757354</v>
      </c>
      <c r="AA1150" s="25">
        <v>0.93483073495469582</v>
      </c>
      <c r="AB1150" s="25">
        <v>0.92755779714020103</v>
      </c>
      <c r="AC1150" s="25">
        <v>0.92044617433884435</v>
      </c>
      <c r="AD1150" s="25">
        <v>0.9134782433087425</v>
      </c>
      <c r="AE1150" s="25">
        <v>0.90663940568828871</v>
      </c>
      <c r="AG1150" s="17" t="s">
        <v>6140</v>
      </c>
      <c r="AH1150" s="25">
        <v>1</v>
      </c>
      <c r="AI1150" s="25">
        <v>1.048977566241774</v>
      </c>
      <c r="AJ1150" s="25">
        <v>1.021609889910551</v>
      </c>
      <c r="AK1150" s="25">
        <v>1.0044960075607721</v>
      </c>
      <c r="AL1150" s="25">
        <v>0.99830129791816646</v>
      </c>
      <c r="AM1150" s="25">
        <v>0.99355465159907086</v>
      </c>
      <c r="AN1150" s="25">
        <v>1.0046287566976999</v>
      </c>
      <c r="AO1150" s="25">
        <v>1.000313608565653</v>
      </c>
      <c r="AP1150" s="25">
        <v>0.99862014141718325</v>
      </c>
      <c r="AQ1150" s="25">
        <v>0.99107989950959041</v>
      </c>
      <c r="AR1150" s="25">
        <v>0.98519031409735414</v>
      </c>
      <c r="AS1150" s="25">
        <v>0.97630243051790089</v>
      </c>
      <c r="AT1150" s="25">
        <v>0.96720184053831282</v>
      </c>
      <c r="AU1150" s="25">
        <v>0.95839338260787688</v>
      </c>
      <c r="AV1150" s="25">
        <v>0.94973979499981875</v>
      </c>
      <c r="AW1150" s="25">
        <v>0.94126180419343763</v>
      </c>
      <c r="AX1150" s="25">
        <v>0.93305512766392951</v>
      </c>
      <c r="AY1150" s="25">
        <v>0.92508549237004034</v>
      </c>
      <c r="AZ1150" s="25">
        <v>0.91736819507256551</v>
      </c>
      <c r="BA1150" s="25">
        <v>0.90983322657218302</v>
      </c>
      <c r="BC1150" s="17" t="s">
        <v>6141</v>
      </c>
      <c r="BD1150" s="25">
        <v>1</v>
      </c>
      <c r="BE1150" s="25">
        <v>1.0489000056095661</v>
      </c>
      <c r="BF1150" s="25">
        <v>1.0215381611632131</v>
      </c>
      <c r="BG1150" s="25">
        <v>1.0044268607213831</v>
      </c>
      <c r="BH1150" s="25">
        <v>0.99824157572433747</v>
      </c>
      <c r="BI1150" s="25">
        <v>0.99376038758453689</v>
      </c>
      <c r="BJ1150" s="25">
        <v>0.99694266412630783</v>
      </c>
      <c r="BK1150" s="25">
        <v>0.99992527083939187</v>
      </c>
      <c r="BL1150" s="25">
        <v>1.0057342267489779</v>
      </c>
      <c r="BM1150" s="25">
        <v>1.0083237620977501</v>
      </c>
      <c r="BN1150" s="25">
        <v>1.008914989173807</v>
      </c>
      <c r="BO1150" s="25">
        <v>1.0083058643914811</v>
      </c>
      <c r="BP1150" s="25">
        <v>1.0055778940325431</v>
      </c>
      <c r="BQ1150" s="25">
        <v>1.0016051024808259</v>
      </c>
      <c r="BR1150" s="25">
        <v>0.99613792213550556</v>
      </c>
      <c r="BS1150" s="25">
        <v>0.98943803985175294</v>
      </c>
      <c r="BT1150" s="25">
        <v>0.98155779345510796</v>
      </c>
      <c r="BU1150" s="25">
        <v>0.97267351786542122</v>
      </c>
      <c r="BV1150" s="25">
        <v>0.96293142494334083</v>
      </c>
      <c r="BW1150" s="25">
        <v>0.95248378789041754</v>
      </c>
      <c r="BY1150" s="17" t="s">
        <v>6142</v>
      </c>
      <c r="BZ1150" s="25">
        <v>1</v>
      </c>
      <c r="CA1150" s="25">
        <v>1.0488238645488479</v>
      </c>
      <c r="CB1150" s="25">
        <v>1.021467677346936</v>
      </c>
      <c r="CC1150" s="25">
        <v>1.004358836898908</v>
      </c>
      <c r="CD1150" s="25">
        <v>0.99818300795909365</v>
      </c>
      <c r="CE1150" s="25">
        <v>0.99446508010448431</v>
      </c>
      <c r="CF1150" s="25">
        <v>0.98919714095132283</v>
      </c>
      <c r="CG1150" s="25">
        <v>0.983820463261602</v>
      </c>
      <c r="CH1150" s="25">
        <v>0.9805093790894428</v>
      </c>
      <c r="CI1150" s="25">
        <v>0.97402510117792995</v>
      </c>
      <c r="CJ1150" s="25">
        <v>0.96716983278975566</v>
      </c>
      <c r="CK1150" s="25">
        <v>0.95700672410325927</v>
      </c>
      <c r="CL1150" s="25">
        <v>0.9443927158338361</v>
      </c>
      <c r="CM1150" s="25">
        <v>0.93251783031777358</v>
      </c>
      <c r="CN1150" s="25">
        <v>0.92050538105126234</v>
      </c>
      <c r="CO1150" s="25">
        <v>0.90834313548267742</v>
      </c>
      <c r="CP1150" s="25">
        <v>0.89676751844969138</v>
      </c>
      <c r="CQ1150" s="25">
        <v>0.885453313760031</v>
      </c>
      <c r="CR1150" s="25">
        <v>0.8743839150637116</v>
      </c>
      <c r="CS1150" s="25">
        <v>0.86374292231988914</v>
      </c>
      <c r="CU1150" s="17" t="s">
        <v>6143</v>
      </c>
      <c r="CV1150" s="25">
        <v>1</v>
      </c>
      <c r="CW1150" s="25">
        <v>1.048933898930656</v>
      </c>
      <c r="CX1150" s="25">
        <v>1.0215695070115489</v>
      </c>
      <c r="CY1150" s="25">
        <v>1.004457078432357</v>
      </c>
      <c r="CZ1150" s="25">
        <v>0.99826773275560399</v>
      </c>
      <c r="DA1150" s="25">
        <v>0.99252480543067267</v>
      </c>
      <c r="DB1150" s="25">
        <v>1.0256155813246941</v>
      </c>
      <c r="DC1150" s="25">
        <v>1.01974993069307</v>
      </c>
      <c r="DD1150" s="25">
        <v>1.0181784027695491</v>
      </c>
      <c r="DE1150" s="25">
        <v>1.011568516112141</v>
      </c>
      <c r="DF1150" s="25">
        <v>1.001009940471689</v>
      </c>
      <c r="DG1150" s="25">
        <v>0.98940469070878978</v>
      </c>
      <c r="DH1150" s="25">
        <v>0.97563948102851206</v>
      </c>
      <c r="DI1150" s="25">
        <v>0.96208170047492814</v>
      </c>
      <c r="DJ1150" s="25">
        <v>0.9483289582970863</v>
      </c>
      <c r="DK1150" s="25">
        <v>0.93496721057122478</v>
      </c>
      <c r="DL1150" s="25">
        <v>0.92187824595631473</v>
      </c>
      <c r="DM1150" s="25">
        <v>0.90956267387143219</v>
      </c>
      <c r="DN1150" s="25">
        <v>0.89764964134934766</v>
      </c>
      <c r="DO1150" s="25">
        <v>0.88644852358646276</v>
      </c>
    </row>
    <row r="1151" spans="1:230" x14ac:dyDescent="0.45">
      <c r="A1151" s="16" t="s">
        <v>6144</v>
      </c>
      <c r="B1151" s="3" t="s">
        <v>89</v>
      </c>
      <c r="C1151" s="16"/>
      <c r="H1151" s="3" t="s">
        <v>6145</v>
      </c>
      <c r="I1151" s="3" t="s">
        <v>529</v>
      </c>
      <c r="K1151" s="17" t="s">
        <v>6146</v>
      </c>
      <c r="L1151" s="25">
        <v>1</v>
      </c>
      <c r="M1151" s="25">
        <v>1.025407567260985</v>
      </c>
      <c r="N1151" s="25">
        <v>1.1667069892606039</v>
      </c>
      <c r="O1151" s="25">
        <v>1.224340467995173</v>
      </c>
      <c r="P1151" s="25">
        <v>1.253794562694174</v>
      </c>
      <c r="Q1151" s="25">
        <v>1.2847723861455209</v>
      </c>
      <c r="R1151" s="25">
        <v>1.320437519517266</v>
      </c>
      <c r="S1151" s="25">
        <v>1.355738603965003</v>
      </c>
      <c r="T1151" s="25">
        <v>1.385953298732205</v>
      </c>
      <c r="U1151" s="25">
        <v>1.4058234377908301</v>
      </c>
      <c r="V1151" s="25">
        <v>1.4245275338315779</v>
      </c>
      <c r="W1151" s="25">
        <v>1.452939473823565</v>
      </c>
      <c r="X1151" s="25">
        <v>1.479632811278212</v>
      </c>
      <c r="Y1151" s="25">
        <v>1.508075012084781</v>
      </c>
      <c r="Z1151" s="25">
        <v>1.5367951631670571</v>
      </c>
      <c r="AA1151" s="25">
        <v>1.565976270985578</v>
      </c>
      <c r="AB1151" s="25">
        <v>1.595550956474808</v>
      </c>
      <c r="AC1151" s="25">
        <v>1.6255203599531951</v>
      </c>
      <c r="AD1151" s="25">
        <v>1.6559025224630139</v>
      </c>
      <c r="AE1151" s="25">
        <v>1.6866881556526909</v>
      </c>
      <c r="AG1151" s="17" t="s">
        <v>6147</v>
      </c>
      <c r="AH1151" s="25">
        <v>1</v>
      </c>
      <c r="AI1151" s="25">
        <v>1.025233984601003</v>
      </c>
      <c r="AJ1151" s="25">
        <v>1.166539675579551</v>
      </c>
      <c r="AK1151" s="25">
        <v>1.2241792050136511</v>
      </c>
      <c r="AL1151" s="25">
        <v>1.2536332251402029</v>
      </c>
      <c r="AM1151" s="25">
        <v>1.1850632008898601</v>
      </c>
      <c r="AN1151" s="25">
        <v>1.1849210513891051</v>
      </c>
      <c r="AO1151" s="25">
        <v>1.223710009539408</v>
      </c>
      <c r="AP1151" s="25">
        <v>1.247009296654731</v>
      </c>
      <c r="AQ1151" s="25">
        <v>1.268665067302376</v>
      </c>
      <c r="AR1151" s="25">
        <v>1.2845774254784941</v>
      </c>
      <c r="AS1151" s="25">
        <v>1.3123759458266719</v>
      </c>
      <c r="AT1151" s="25">
        <v>1.336066847518619</v>
      </c>
      <c r="AU1151" s="25">
        <v>1.3625407927298321</v>
      </c>
      <c r="AV1151" s="25">
        <v>1.389408665176902</v>
      </c>
      <c r="AW1151" s="25">
        <v>1.4171562546641949</v>
      </c>
      <c r="AX1151" s="25">
        <v>1.4447294933509041</v>
      </c>
      <c r="AY1151" s="25">
        <v>1.47245345782542</v>
      </c>
      <c r="AZ1151" s="25">
        <v>1.4998674461028489</v>
      </c>
      <c r="BA1151" s="25">
        <v>1.5274880094867</v>
      </c>
      <c r="BC1151" s="17" t="s">
        <v>6148</v>
      </c>
      <c r="BD1151" s="25">
        <v>1</v>
      </c>
      <c r="BE1151" s="25">
        <v>1.0248066893800469</v>
      </c>
      <c r="BF1151" s="25">
        <v>1.1661278387421481</v>
      </c>
      <c r="BG1151" s="25">
        <v>1.2237822873869799</v>
      </c>
      <c r="BH1151" s="25">
        <v>1.253236908438901</v>
      </c>
      <c r="BI1151" s="25">
        <v>1.220094179347279</v>
      </c>
      <c r="BJ1151" s="25">
        <v>1.1691997985411451</v>
      </c>
      <c r="BK1151" s="25">
        <v>1.1191533299703189</v>
      </c>
      <c r="BL1151" s="25">
        <v>1.0861407671990591</v>
      </c>
      <c r="BM1151" s="25">
        <v>1.0688688668456729</v>
      </c>
      <c r="BN1151" s="25">
        <v>1.0431931791797671</v>
      </c>
      <c r="BO1151" s="25">
        <v>1.0303661967013951</v>
      </c>
      <c r="BP1151" s="25">
        <v>1.012548426855397</v>
      </c>
      <c r="BQ1151" s="25">
        <v>1.0021410861587861</v>
      </c>
      <c r="BR1151" s="25">
        <v>0.9890728233740419</v>
      </c>
      <c r="BS1151" s="25">
        <v>0.98173385003598257</v>
      </c>
      <c r="BT1151" s="25">
        <v>0.97119415174928569</v>
      </c>
      <c r="BU1151" s="25">
        <v>0.96661215849220006</v>
      </c>
      <c r="BV1151" s="25">
        <v>0.95679145869780091</v>
      </c>
      <c r="BW1151" s="25">
        <v>0.95509481479296343</v>
      </c>
      <c r="BY1151" s="17" t="s">
        <v>6149</v>
      </c>
      <c r="BZ1151" s="25">
        <v>1</v>
      </c>
      <c r="CA1151" s="25">
        <v>1.0243880998139741</v>
      </c>
      <c r="CB1151" s="25">
        <v>1.1657238795181539</v>
      </c>
      <c r="CC1151" s="25">
        <v>1.2233924585385321</v>
      </c>
      <c r="CD1151" s="25">
        <v>1.2528465858445039</v>
      </c>
      <c r="CE1151" s="25">
        <v>1.1713456337346719</v>
      </c>
      <c r="CF1151" s="25">
        <v>1.201150097181132</v>
      </c>
      <c r="CG1151" s="25">
        <v>1.2311980037679431</v>
      </c>
      <c r="CH1151" s="25">
        <v>1.255087789522574</v>
      </c>
      <c r="CI1151" s="25">
        <v>1.2663866662431571</v>
      </c>
      <c r="CJ1151" s="25">
        <v>1.2722154930817311</v>
      </c>
      <c r="CK1151" s="25">
        <v>1.2921500608243119</v>
      </c>
      <c r="CL1151" s="25">
        <v>1.2980718616900371</v>
      </c>
      <c r="CM1151" s="25">
        <v>1.308236215116326</v>
      </c>
      <c r="CN1151" s="25">
        <v>1.320454171973279</v>
      </c>
      <c r="CO1151" s="25">
        <v>1.331023542968061</v>
      </c>
      <c r="CP1151" s="25">
        <v>1.3432566164487161</v>
      </c>
      <c r="CQ1151" s="25">
        <v>1.35629827009241</v>
      </c>
      <c r="CR1151" s="25">
        <v>1.36867313679001</v>
      </c>
      <c r="CS1151" s="25">
        <v>1.382524002560632</v>
      </c>
      <c r="CU1151" s="17" t="s">
        <v>6150</v>
      </c>
      <c r="CV1151" s="25">
        <v>1</v>
      </c>
      <c r="CW1151" s="25">
        <v>1.0249935134006041</v>
      </c>
      <c r="CX1151" s="25">
        <v>1.166307899548181</v>
      </c>
      <c r="CY1151" s="25">
        <v>1.2239558210272501</v>
      </c>
      <c r="CZ1151" s="25">
        <v>1.2534100465773761</v>
      </c>
      <c r="DA1151" s="25">
        <v>1.088447659182032</v>
      </c>
      <c r="DB1151" s="25">
        <v>1.04879607582677</v>
      </c>
      <c r="DC1151" s="25">
        <v>1.0847021095283991</v>
      </c>
      <c r="DD1151" s="25">
        <v>1.097373764421947</v>
      </c>
      <c r="DE1151" s="25">
        <v>1.129046458330091</v>
      </c>
      <c r="DF1151" s="25">
        <v>1.133153985736596</v>
      </c>
      <c r="DG1151" s="25">
        <v>1.1533130529497979</v>
      </c>
      <c r="DH1151" s="25">
        <v>1.1638759949987729</v>
      </c>
      <c r="DI1151" s="25">
        <v>1.180353452358238</v>
      </c>
      <c r="DJ1151" s="25">
        <v>1.1946354858481041</v>
      </c>
      <c r="DK1151" s="25">
        <v>1.2126873608506701</v>
      </c>
      <c r="DL1151" s="25">
        <v>1.228021066683654</v>
      </c>
      <c r="DM1151" s="25">
        <v>1.24608682233125</v>
      </c>
      <c r="DN1151" s="25">
        <v>1.2615951627187101</v>
      </c>
      <c r="DO1151" s="25">
        <v>1.2795974557437091</v>
      </c>
    </row>
    <row r="1152" spans="1:230" x14ac:dyDescent="0.45">
      <c r="A1152" s="16" t="s">
        <v>6151</v>
      </c>
      <c r="B1152" s="3" t="s">
        <v>89</v>
      </c>
      <c r="C1152" s="16"/>
      <c r="H1152" s="3" t="s">
        <v>6152</v>
      </c>
      <c r="I1152" s="3" t="s">
        <v>92</v>
      </c>
      <c r="K1152" s="17" t="s">
        <v>6153</v>
      </c>
      <c r="L1152" s="22">
        <v>0</v>
      </c>
      <c r="M1152" s="22">
        <v>0</v>
      </c>
      <c r="N1152" s="22">
        <v>0</v>
      </c>
      <c r="O1152" s="22">
        <v>0</v>
      </c>
      <c r="P1152" s="22">
        <v>0</v>
      </c>
      <c r="Q1152" s="22">
        <v>0</v>
      </c>
      <c r="R1152" s="22">
        <v>0</v>
      </c>
      <c r="S1152" s="22">
        <v>0</v>
      </c>
      <c r="T1152" s="22">
        <v>0</v>
      </c>
      <c r="U1152" s="22">
        <v>0</v>
      </c>
      <c r="V1152" s="22">
        <v>0</v>
      </c>
      <c r="W1152" s="22">
        <v>0</v>
      </c>
      <c r="X1152" s="22">
        <v>0</v>
      </c>
      <c r="Y1152" s="22">
        <v>0</v>
      </c>
      <c r="Z1152" s="22">
        <v>0</v>
      </c>
      <c r="AA1152" s="22">
        <v>0</v>
      </c>
      <c r="AB1152" s="22">
        <v>0</v>
      </c>
      <c r="AC1152" s="22">
        <v>0</v>
      </c>
      <c r="AD1152" s="22">
        <v>0</v>
      </c>
      <c r="AE1152" s="22">
        <v>0</v>
      </c>
      <c r="AG1152" s="17" t="s">
        <v>6154</v>
      </c>
      <c r="AH1152" s="22">
        <v>0</v>
      </c>
      <c r="AI1152" s="22">
        <v>0</v>
      </c>
      <c r="AJ1152" s="22">
        <v>0</v>
      </c>
      <c r="AK1152" s="22">
        <v>0</v>
      </c>
      <c r="AL1152" s="22">
        <v>0</v>
      </c>
      <c r="AM1152" s="22">
        <v>0.99864858941683654</v>
      </c>
      <c r="AN1152" s="22">
        <v>0.99857850490316236</v>
      </c>
      <c r="AO1152" s="22">
        <v>0.99857829544408949</v>
      </c>
      <c r="AP1152" s="22">
        <v>0.99855775004432545</v>
      </c>
      <c r="AQ1152" s="22">
        <v>0.99853231698014078</v>
      </c>
      <c r="AR1152" s="22">
        <v>0.99849783967388062</v>
      </c>
      <c r="AS1152" s="22">
        <v>0.99848194116748223</v>
      </c>
      <c r="AT1152" s="22">
        <v>0.998457891584001</v>
      </c>
      <c r="AU1152" s="22">
        <v>0.99843874423063983</v>
      </c>
      <c r="AV1152" s="22">
        <v>0.99841966698285156</v>
      </c>
      <c r="AW1152" s="22">
        <v>0.99840100622496208</v>
      </c>
      <c r="AX1152" s="22">
        <v>0.99838257567263811</v>
      </c>
      <c r="AY1152" s="22">
        <v>0.99836459435280411</v>
      </c>
      <c r="AZ1152" s="22">
        <v>0.99834688127348559</v>
      </c>
      <c r="BA1152" s="22">
        <v>0.99832965859786227</v>
      </c>
      <c r="BC1152" s="17" t="s">
        <v>6155</v>
      </c>
      <c r="BD1152" s="22">
        <v>0</v>
      </c>
      <c r="BE1152" s="22">
        <v>0</v>
      </c>
      <c r="BF1152" s="22">
        <v>0</v>
      </c>
      <c r="BG1152" s="22">
        <v>0</v>
      </c>
      <c r="BH1152" s="22">
        <v>0</v>
      </c>
      <c r="BI1152" s="22">
        <v>0.99871789417476786</v>
      </c>
      <c r="BJ1152" s="22">
        <v>0.99862835402100125</v>
      </c>
      <c r="BK1152" s="22">
        <v>0.99852459331364662</v>
      </c>
      <c r="BL1152" s="22">
        <v>0.99844430956035146</v>
      </c>
      <c r="BM1152" s="22">
        <v>0.99835456486891005</v>
      </c>
      <c r="BN1152" s="22">
        <v>0.99823623210806456</v>
      </c>
      <c r="BO1152" s="22">
        <v>0.99814174247376664</v>
      </c>
      <c r="BP1152" s="22">
        <v>0.99802398365821365</v>
      </c>
      <c r="BQ1152" s="22">
        <v>0.99792023859235279</v>
      </c>
      <c r="BR1152" s="22">
        <v>0.99779953824717549</v>
      </c>
      <c r="BS1152" s="22">
        <v>0.99769095764357729</v>
      </c>
      <c r="BT1152" s="22">
        <v>0.99756258855656321</v>
      </c>
      <c r="BU1152" s="22">
        <v>0.99745196540888192</v>
      </c>
      <c r="BV1152" s="22">
        <v>0.99731260207468353</v>
      </c>
      <c r="BW1152" s="22">
        <v>0.99720647110003779</v>
      </c>
      <c r="BY1152" s="17" t="s">
        <v>6156</v>
      </c>
      <c r="BZ1152" s="22">
        <v>0</v>
      </c>
      <c r="CA1152" s="22">
        <v>0</v>
      </c>
      <c r="CB1152" s="22">
        <v>0</v>
      </c>
      <c r="CC1152" s="22">
        <v>0</v>
      </c>
      <c r="CD1152" s="22">
        <v>0</v>
      </c>
      <c r="CE1152" s="22">
        <v>0.99862917233068982</v>
      </c>
      <c r="CF1152" s="22">
        <v>0.99861234214768335</v>
      </c>
      <c r="CG1152" s="22">
        <v>0.99859813937231379</v>
      </c>
      <c r="CH1152" s="22">
        <v>0.99857987434700934</v>
      </c>
      <c r="CI1152" s="22">
        <v>0.99853820998653275</v>
      </c>
      <c r="CJ1152" s="22">
        <v>0.99848781542723031</v>
      </c>
      <c r="CK1152" s="22">
        <v>0.99845960760697594</v>
      </c>
      <c r="CL1152" s="22">
        <v>0.99840576375056322</v>
      </c>
      <c r="CM1152" s="22">
        <v>0.99835891484117356</v>
      </c>
      <c r="CN1152" s="22">
        <v>0.99831430905879004</v>
      </c>
      <c r="CO1152" s="22">
        <v>0.99826518507107487</v>
      </c>
      <c r="CP1152" s="22">
        <v>0.9982194252850195</v>
      </c>
      <c r="CQ1152" s="22">
        <v>0.9981749307617277</v>
      </c>
      <c r="CR1152" s="22">
        <v>0.99812943655220598</v>
      </c>
      <c r="CS1152" s="22">
        <v>0.99808656468800816</v>
      </c>
      <c r="CU1152" s="17" t="s">
        <v>6157</v>
      </c>
      <c r="CV1152" s="22">
        <v>0</v>
      </c>
      <c r="CW1152" s="22">
        <v>0</v>
      </c>
      <c r="CX1152" s="22">
        <v>0</v>
      </c>
      <c r="CY1152" s="22">
        <v>0</v>
      </c>
      <c r="CZ1152" s="22">
        <v>0</v>
      </c>
      <c r="DA1152" s="22">
        <v>0.99851506476277496</v>
      </c>
      <c r="DB1152" s="22">
        <v>0.99834857911766661</v>
      </c>
      <c r="DC1152" s="22">
        <v>0.99835246943481182</v>
      </c>
      <c r="DD1152" s="22">
        <v>0.99831313445509373</v>
      </c>
      <c r="DE1152" s="22">
        <v>0.99831229424545098</v>
      </c>
      <c r="DF1152" s="22">
        <v>0.99825056750458685</v>
      </c>
      <c r="DG1152" s="22">
        <v>0.99822121781540085</v>
      </c>
      <c r="DH1152" s="22">
        <v>0.99816694951651108</v>
      </c>
      <c r="DI1152" s="22">
        <v>0.99812718124565336</v>
      </c>
      <c r="DJ1152" s="22">
        <v>0.99808074976963279</v>
      </c>
      <c r="DK1152" s="22">
        <v>0.9980411385557828</v>
      </c>
      <c r="DL1152" s="22">
        <v>0.99799636801274039</v>
      </c>
      <c r="DM1152" s="22">
        <v>0.99795914291050092</v>
      </c>
      <c r="DN1152" s="22">
        <v>0.99791764474307643</v>
      </c>
      <c r="DO1152" s="22">
        <v>0.99788306376918656</v>
      </c>
    </row>
    <row r="1153" spans="1:230" x14ac:dyDescent="0.45">
      <c r="A1153" s="16" t="s">
        <v>6158</v>
      </c>
      <c r="B1153" s="3" t="s">
        <v>89</v>
      </c>
      <c r="C1153" s="16"/>
      <c r="H1153" s="3" t="s">
        <v>452</v>
      </c>
      <c r="I1153" s="3" t="s">
        <v>348</v>
      </c>
      <c r="K1153" s="17" t="s">
        <v>6159</v>
      </c>
      <c r="L1153" s="19">
        <v>0</v>
      </c>
      <c r="M1153" s="19">
        <v>0</v>
      </c>
      <c r="N1153" s="19">
        <v>0</v>
      </c>
      <c r="O1153" s="19">
        <v>0</v>
      </c>
      <c r="P1153" s="19">
        <v>0</v>
      </c>
      <c r="Q1153" s="19">
        <v>0</v>
      </c>
      <c r="R1153" s="19">
        <v>0</v>
      </c>
      <c r="S1153" s="19">
        <v>0</v>
      </c>
      <c r="T1153" s="19">
        <v>0</v>
      </c>
      <c r="U1153" s="19">
        <v>0</v>
      </c>
      <c r="V1153" s="19">
        <v>0</v>
      </c>
      <c r="W1153" s="19">
        <v>0</v>
      </c>
      <c r="X1153" s="19">
        <v>0</v>
      </c>
      <c r="Y1153" s="19">
        <v>0</v>
      </c>
      <c r="Z1153" s="19">
        <v>0</v>
      </c>
      <c r="AA1153" s="19">
        <v>0</v>
      </c>
      <c r="AB1153" s="19">
        <v>0</v>
      </c>
      <c r="AC1153" s="19">
        <v>0</v>
      </c>
      <c r="AD1153" s="19">
        <v>0</v>
      </c>
      <c r="AE1153" s="19">
        <v>0</v>
      </c>
      <c r="AG1153" s="17" t="s">
        <v>6160</v>
      </c>
      <c r="AH1153" s="19">
        <v>0</v>
      </c>
      <c r="AI1153" s="19">
        <v>-5.342431115184354E-2</v>
      </c>
      <c r="AJ1153" s="19">
        <v>-5.1494879485915128E-2</v>
      </c>
      <c r="AK1153" s="19">
        <v>-4.9632628645213117E-2</v>
      </c>
      <c r="AL1153" s="19">
        <v>-4.9655580141120481E-2</v>
      </c>
      <c r="AM1153" s="19">
        <v>-23.04335638823898</v>
      </c>
      <c r="AN1153" s="19">
        <v>-33.775692119433899</v>
      </c>
      <c r="AO1153" s="19">
        <v>-32.442058709472377</v>
      </c>
      <c r="AP1153" s="19">
        <v>-34.262367799627498</v>
      </c>
      <c r="AQ1153" s="19">
        <v>-33.451506625343818</v>
      </c>
      <c r="AR1153" s="19">
        <v>-34.026040949881633</v>
      </c>
      <c r="AS1153" s="19">
        <v>-33.969064441936148</v>
      </c>
      <c r="AT1153" s="19">
        <v>-34.665317434981603</v>
      </c>
      <c r="AU1153" s="19">
        <v>-35.030192443604513</v>
      </c>
      <c r="AV1153" s="19">
        <v>-35.365918659102483</v>
      </c>
      <c r="AW1153" s="19">
        <v>-35.592875556227682</v>
      </c>
      <c r="AX1153" s="19">
        <v>-35.971375220451357</v>
      </c>
      <c r="AY1153" s="19">
        <v>-36.410737972409443</v>
      </c>
      <c r="AZ1153" s="19">
        <v>-37.041779833246039</v>
      </c>
      <c r="BA1153" s="19">
        <v>-37.721600275016392</v>
      </c>
      <c r="BC1153" s="17" t="s">
        <v>6161</v>
      </c>
      <c r="BD1153" s="19">
        <v>0</v>
      </c>
      <c r="BE1153" s="19">
        <v>-0.18493487125343219</v>
      </c>
      <c r="BF1153" s="19">
        <v>-0.17824774378425451</v>
      </c>
      <c r="BG1153" s="19">
        <v>-0.1717937407699992</v>
      </c>
      <c r="BH1153" s="19">
        <v>-0.17163174277908411</v>
      </c>
      <c r="BI1153" s="19">
        <v>-15.040667655509649</v>
      </c>
      <c r="BJ1153" s="19">
        <v>-36.37095486994798</v>
      </c>
      <c r="BK1153" s="19">
        <v>-58.226996007344553</v>
      </c>
      <c r="BL1153" s="19">
        <v>-73.876135075702678</v>
      </c>
      <c r="BM1153" s="19">
        <v>-82.269162806423992</v>
      </c>
      <c r="BN1153" s="19">
        <v>-93.108819137661669</v>
      </c>
      <c r="BO1153" s="19">
        <v>-103.15323570928101</v>
      </c>
      <c r="BP1153" s="19">
        <v>-114.34590064088771</v>
      </c>
      <c r="BQ1153" s="19">
        <v>-123.901479105555</v>
      </c>
      <c r="BR1153" s="19">
        <v>-134.44433585309531</v>
      </c>
      <c r="BS1153" s="19">
        <v>-143.43624614659009</v>
      </c>
      <c r="BT1153" s="19">
        <v>-153.58437112937511</v>
      </c>
      <c r="BU1153" s="19">
        <v>-162.05553848024701</v>
      </c>
      <c r="BV1153" s="19">
        <v>-172.2833742985375</v>
      </c>
      <c r="BW1153" s="19">
        <v>-180.14392706666561</v>
      </c>
      <c r="BY1153" s="17" t="s">
        <v>6162</v>
      </c>
      <c r="BZ1153" s="19">
        <v>0</v>
      </c>
      <c r="CA1153" s="19">
        <v>-0.31376605303830729</v>
      </c>
      <c r="CB1153" s="19">
        <v>-0.30257607979203271</v>
      </c>
      <c r="CC1153" s="19">
        <v>-0.29177310793534161</v>
      </c>
      <c r="CD1153" s="19">
        <v>-0.29176307234223492</v>
      </c>
      <c r="CE1153" s="19">
        <v>-26.563311273263221</v>
      </c>
      <c r="CF1153" s="19">
        <v>-27.78117552731857</v>
      </c>
      <c r="CG1153" s="19">
        <v>-28.847833817058021</v>
      </c>
      <c r="CH1153" s="19">
        <v>-30.21475419931318</v>
      </c>
      <c r="CI1153" s="19">
        <v>-32.334253506490768</v>
      </c>
      <c r="CJ1153" s="19">
        <v>-35.752967897879671</v>
      </c>
      <c r="CK1153" s="19">
        <v>-37.860484245684688</v>
      </c>
      <c r="CL1153" s="19">
        <v>-43.753823768341192</v>
      </c>
      <c r="CM1153" s="19">
        <v>-48.870185885094877</v>
      </c>
      <c r="CN1153" s="19">
        <v>-53.536456371751633</v>
      </c>
      <c r="CO1153" s="19">
        <v>-58.859943814787407</v>
      </c>
      <c r="CP1153" s="19">
        <v>-63.767184982901767</v>
      </c>
      <c r="CQ1153" s="19">
        <v>-68.535710472774269</v>
      </c>
      <c r="CR1153" s="19">
        <v>-73.60787853983561</v>
      </c>
      <c r="CS1153" s="19">
        <v>-78.343904915832184</v>
      </c>
      <c r="CU1153" s="17" t="s">
        <v>6163</v>
      </c>
      <c r="CV1153" s="19">
        <v>0</v>
      </c>
      <c r="CW1153" s="19">
        <v>-0.12743520737018341</v>
      </c>
      <c r="CX1153" s="19">
        <v>-0.1228296246657976</v>
      </c>
      <c r="CY1153" s="19">
        <v>-0.1183845166340234</v>
      </c>
      <c r="CZ1153" s="19">
        <v>-0.1183442439983082</v>
      </c>
      <c r="DA1153" s="19">
        <v>-45.389147394549013</v>
      </c>
      <c r="DB1153" s="19">
        <v>-68.00364635298024</v>
      </c>
      <c r="DC1153" s="19">
        <v>-67.302786446752918</v>
      </c>
      <c r="DD1153" s="19">
        <v>-72.105307913916846</v>
      </c>
      <c r="DE1153" s="19">
        <v>-67.962282429447583</v>
      </c>
      <c r="DF1153" s="19">
        <v>-71.89584066185239</v>
      </c>
      <c r="DG1153" s="19">
        <v>-73.949674941838424</v>
      </c>
      <c r="DH1153" s="19">
        <v>-78.452620605430923</v>
      </c>
      <c r="DI1153" s="19">
        <v>-81.651668080714046</v>
      </c>
      <c r="DJ1153" s="19">
        <v>-85.621718586156362</v>
      </c>
      <c r="DK1153" s="19">
        <v>-88.607765752013677</v>
      </c>
      <c r="DL1153" s="19">
        <v>-92.508674367281287</v>
      </c>
      <c r="DM1153" s="19">
        <v>-95.666714522575205</v>
      </c>
      <c r="DN1153" s="19">
        <v>-99.684332806618187</v>
      </c>
      <c r="DO1153" s="19">
        <v>-103.0386873046199</v>
      </c>
    </row>
    <row r="1154" spans="1:230" x14ac:dyDescent="0.45">
      <c r="A1154" s="16" t="s">
        <v>6164</v>
      </c>
      <c r="B1154" s="3" t="s">
        <v>89</v>
      </c>
      <c r="C1154" s="16"/>
      <c r="H1154" s="3" t="s">
        <v>6165</v>
      </c>
      <c r="I1154" s="3" t="s">
        <v>348</v>
      </c>
      <c r="K1154" s="17" t="s">
        <v>6166</v>
      </c>
      <c r="L1154" s="19">
        <v>0</v>
      </c>
      <c r="M1154" s="19">
        <v>0</v>
      </c>
      <c r="N1154" s="19">
        <v>0</v>
      </c>
      <c r="O1154" s="19">
        <v>0</v>
      </c>
      <c r="P1154" s="19">
        <v>0</v>
      </c>
      <c r="Q1154" s="19">
        <v>0</v>
      </c>
      <c r="R1154" s="19">
        <v>0</v>
      </c>
      <c r="S1154" s="19">
        <v>0</v>
      </c>
      <c r="T1154" s="19">
        <v>0</v>
      </c>
      <c r="U1154" s="19">
        <v>0</v>
      </c>
      <c r="V1154" s="19">
        <v>0</v>
      </c>
      <c r="W1154" s="19">
        <v>0</v>
      </c>
      <c r="X1154" s="19">
        <v>0</v>
      </c>
      <c r="Y1154" s="19">
        <v>0</v>
      </c>
      <c r="Z1154" s="19">
        <v>0</v>
      </c>
      <c r="AA1154" s="19">
        <v>0</v>
      </c>
      <c r="AB1154" s="19">
        <v>0</v>
      </c>
      <c r="AC1154" s="19">
        <v>0</v>
      </c>
      <c r="AD1154" s="19">
        <v>0</v>
      </c>
      <c r="AE1154" s="19">
        <v>0</v>
      </c>
      <c r="AG1154" s="17" t="s">
        <v>6167</v>
      </c>
      <c r="AH1154" s="19">
        <v>0</v>
      </c>
      <c r="AI1154" s="19">
        <v>0</v>
      </c>
      <c r="AJ1154" s="19">
        <v>0</v>
      </c>
      <c r="AK1154" s="19">
        <v>0</v>
      </c>
      <c r="AL1154" s="19">
        <v>0</v>
      </c>
      <c r="AM1154" s="19">
        <v>0</v>
      </c>
      <c r="AN1154" s="19">
        <v>0</v>
      </c>
      <c r="AO1154" s="19">
        <v>0</v>
      </c>
      <c r="AP1154" s="19">
        <v>0</v>
      </c>
      <c r="AQ1154" s="19">
        <v>0</v>
      </c>
      <c r="AR1154" s="19">
        <v>0</v>
      </c>
      <c r="AS1154" s="19">
        <v>0</v>
      </c>
      <c r="AT1154" s="19">
        <v>0</v>
      </c>
      <c r="AU1154" s="19">
        <v>0</v>
      </c>
      <c r="AV1154" s="19">
        <v>0</v>
      </c>
      <c r="AW1154" s="19">
        <v>0</v>
      </c>
      <c r="AX1154" s="19">
        <v>0</v>
      </c>
      <c r="AY1154" s="19">
        <v>0</v>
      </c>
      <c r="AZ1154" s="19">
        <v>0</v>
      </c>
      <c r="BA1154" s="19">
        <v>0</v>
      </c>
      <c r="BC1154" s="17" t="s">
        <v>6168</v>
      </c>
      <c r="BD1154" s="19">
        <v>0</v>
      </c>
      <c r="BE1154" s="19">
        <v>0</v>
      </c>
      <c r="BF1154" s="19">
        <v>0</v>
      </c>
      <c r="BG1154" s="19">
        <v>0</v>
      </c>
      <c r="BH1154" s="19">
        <v>0</v>
      </c>
      <c r="BI1154" s="19">
        <v>0</v>
      </c>
      <c r="BJ1154" s="19">
        <v>0</v>
      </c>
      <c r="BK1154" s="19">
        <v>0</v>
      </c>
      <c r="BL1154" s="19">
        <v>0</v>
      </c>
      <c r="BM1154" s="19">
        <v>0</v>
      </c>
      <c r="BN1154" s="19">
        <v>0</v>
      </c>
      <c r="BO1154" s="19">
        <v>0</v>
      </c>
      <c r="BP1154" s="19">
        <v>0</v>
      </c>
      <c r="BQ1154" s="19">
        <v>0</v>
      </c>
      <c r="BR1154" s="19">
        <v>0</v>
      </c>
      <c r="BS1154" s="19">
        <v>0</v>
      </c>
      <c r="BT1154" s="19">
        <v>0</v>
      </c>
      <c r="BU1154" s="19">
        <v>0</v>
      </c>
      <c r="BV1154" s="19">
        <v>0</v>
      </c>
      <c r="BW1154" s="19">
        <v>0</v>
      </c>
      <c r="BY1154" s="17" t="s">
        <v>6169</v>
      </c>
      <c r="BZ1154" s="19">
        <v>0</v>
      </c>
      <c r="CA1154" s="19">
        <v>0</v>
      </c>
      <c r="CB1154" s="19">
        <v>0</v>
      </c>
      <c r="CC1154" s="19">
        <v>0</v>
      </c>
      <c r="CD1154" s="19">
        <v>0</v>
      </c>
      <c r="CE1154" s="19">
        <v>119.1639326983334</v>
      </c>
      <c r="CF1154" s="19">
        <v>122.12345057557501</v>
      </c>
      <c r="CG1154" s="19">
        <v>125.3125596250608</v>
      </c>
      <c r="CH1154" s="19">
        <v>127.14101662002361</v>
      </c>
      <c r="CI1154" s="19">
        <v>124.82555589324301</v>
      </c>
      <c r="CJ1154" s="19">
        <v>120.9000689693811</v>
      </c>
      <c r="CK1154" s="19">
        <v>121.0717817403302</v>
      </c>
      <c r="CL1154" s="19">
        <v>116.8463824024391</v>
      </c>
      <c r="CM1154" s="19">
        <v>113.88200051927841</v>
      </c>
      <c r="CN1154" s="19">
        <v>111.3591961285252</v>
      </c>
      <c r="CO1154" s="19">
        <v>108.2058576139667</v>
      </c>
      <c r="CP1154" s="19">
        <v>105.5739889220645</v>
      </c>
      <c r="CQ1154" s="19">
        <v>103.150127058061</v>
      </c>
      <c r="CR1154" s="19">
        <v>100.5482067639069</v>
      </c>
      <c r="CS1154" s="19">
        <v>98.350695325569788</v>
      </c>
      <c r="CU1154" s="17" t="s">
        <v>6170</v>
      </c>
      <c r="CV1154" s="19">
        <v>0</v>
      </c>
      <c r="CW1154" s="19">
        <v>0</v>
      </c>
      <c r="CX1154" s="19">
        <v>0</v>
      </c>
      <c r="CY1154" s="19">
        <v>0</v>
      </c>
      <c r="CZ1154" s="19">
        <v>0</v>
      </c>
      <c r="DA1154" s="19">
        <v>0</v>
      </c>
      <c r="DB1154" s="19">
        <v>0</v>
      </c>
      <c r="DC1154" s="19">
        <v>0</v>
      </c>
      <c r="DD1154" s="19">
        <v>0</v>
      </c>
      <c r="DE1154" s="19">
        <v>0</v>
      </c>
      <c r="DF1154" s="19">
        <v>0</v>
      </c>
      <c r="DG1154" s="19">
        <v>0</v>
      </c>
      <c r="DH1154" s="19">
        <v>0</v>
      </c>
      <c r="DI1154" s="19">
        <v>0</v>
      </c>
      <c r="DJ1154" s="19">
        <v>0</v>
      </c>
      <c r="DK1154" s="19">
        <v>0</v>
      </c>
      <c r="DL1154" s="19">
        <v>0</v>
      </c>
      <c r="DM1154" s="19">
        <v>0</v>
      </c>
      <c r="DN1154" s="19">
        <v>0</v>
      </c>
      <c r="DO1154" s="19">
        <v>0</v>
      </c>
    </row>
    <row r="1155" spans="1:230" x14ac:dyDescent="0.45">
      <c r="A1155" s="16" t="s">
        <v>6171</v>
      </c>
      <c r="B1155" s="3" t="s">
        <v>89</v>
      </c>
      <c r="C1155" s="16"/>
      <c r="H1155" s="3" t="s">
        <v>6172</v>
      </c>
      <c r="I1155" s="3" t="s">
        <v>348</v>
      </c>
      <c r="K1155" s="17" t="s">
        <v>6173</v>
      </c>
      <c r="L1155" s="19">
        <v>0</v>
      </c>
      <c r="M1155" s="19">
        <v>0</v>
      </c>
      <c r="N1155" s="19">
        <v>0</v>
      </c>
      <c r="O1155" s="19">
        <v>0</v>
      </c>
      <c r="P1155" s="19">
        <v>0</v>
      </c>
      <c r="Q1155" s="19">
        <v>0</v>
      </c>
      <c r="R1155" s="19">
        <v>0</v>
      </c>
      <c r="S1155" s="19">
        <v>0</v>
      </c>
      <c r="T1155" s="19">
        <v>0</v>
      </c>
      <c r="U1155" s="19">
        <v>0</v>
      </c>
      <c r="V1155" s="19">
        <v>0</v>
      </c>
      <c r="W1155" s="19">
        <v>0</v>
      </c>
      <c r="X1155" s="19">
        <v>0</v>
      </c>
      <c r="Y1155" s="19">
        <v>0</v>
      </c>
      <c r="Z1155" s="19">
        <v>0</v>
      </c>
      <c r="AA1155" s="19">
        <v>0</v>
      </c>
      <c r="AB1155" s="19">
        <v>0</v>
      </c>
      <c r="AC1155" s="19">
        <v>0</v>
      </c>
      <c r="AD1155" s="19">
        <v>0</v>
      </c>
      <c r="AE1155" s="19">
        <v>0</v>
      </c>
      <c r="AG1155" s="17" t="s">
        <v>6174</v>
      </c>
      <c r="AH1155" s="19">
        <v>0</v>
      </c>
      <c r="AI1155" s="19">
        <v>0</v>
      </c>
      <c r="AJ1155" s="19">
        <v>0</v>
      </c>
      <c r="AK1155" s="19">
        <v>0</v>
      </c>
      <c r="AL1155" s="19">
        <v>0</v>
      </c>
      <c r="AM1155" s="19">
        <v>0</v>
      </c>
      <c r="AN1155" s="19">
        <v>0</v>
      </c>
      <c r="AO1155" s="19">
        <v>0</v>
      </c>
      <c r="AP1155" s="19">
        <v>0</v>
      </c>
      <c r="AQ1155" s="19">
        <v>0</v>
      </c>
      <c r="AR1155" s="19">
        <v>0</v>
      </c>
      <c r="AS1155" s="19">
        <v>0</v>
      </c>
      <c r="AT1155" s="19">
        <v>0</v>
      </c>
      <c r="AU1155" s="19">
        <v>0</v>
      </c>
      <c r="AV1155" s="19">
        <v>0</v>
      </c>
      <c r="AW1155" s="19">
        <v>0</v>
      </c>
      <c r="AX1155" s="19">
        <v>0</v>
      </c>
      <c r="AY1155" s="19">
        <v>0</v>
      </c>
      <c r="AZ1155" s="19">
        <v>0</v>
      </c>
      <c r="BA1155" s="19">
        <v>0</v>
      </c>
      <c r="BC1155" s="17" t="s">
        <v>6175</v>
      </c>
      <c r="BD1155" s="19">
        <v>0</v>
      </c>
      <c r="BE1155" s="19">
        <v>0</v>
      </c>
      <c r="BF1155" s="19">
        <v>0</v>
      </c>
      <c r="BG1155" s="19">
        <v>0</v>
      </c>
      <c r="BH1155" s="19">
        <v>0</v>
      </c>
      <c r="BI1155" s="19">
        <v>0</v>
      </c>
      <c r="BJ1155" s="19">
        <v>0</v>
      </c>
      <c r="BK1155" s="19">
        <v>0</v>
      </c>
      <c r="BL1155" s="19">
        <v>0</v>
      </c>
      <c r="BM1155" s="19">
        <v>0</v>
      </c>
      <c r="BN1155" s="19">
        <v>0</v>
      </c>
      <c r="BO1155" s="19">
        <v>0</v>
      </c>
      <c r="BP1155" s="19">
        <v>0</v>
      </c>
      <c r="BQ1155" s="19">
        <v>0</v>
      </c>
      <c r="BR1155" s="19">
        <v>0</v>
      </c>
      <c r="BS1155" s="19">
        <v>0</v>
      </c>
      <c r="BT1155" s="19">
        <v>0</v>
      </c>
      <c r="BU1155" s="19">
        <v>0</v>
      </c>
      <c r="BV1155" s="19">
        <v>0</v>
      </c>
      <c r="BW1155" s="19">
        <v>0</v>
      </c>
      <c r="BY1155" s="17" t="s">
        <v>6176</v>
      </c>
      <c r="BZ1155" s="19">
        <v>0</v>
      </c>
      <c r="CA1155" s="19">
        <v>0</v>
      </c>
      <c r="CB1155" s="19">
        <v>0</v>
      </c>
      <c r="CC1155" s="19">
        <v>0</v>
      </c>
      <c r="CD1155" s="19">
        <v>0</v>
      </c>
      <c r="CE1155" s="19">
        <v>114.8008742585159</v>
      </c>
      <c r="CF1155" s="19">
        <v>115.7342781321086</v>
      </c>
      <c r="CG1155" s="19">
        <v>116.68060221241601</v>
      </c>
      <c r="CH1155" s="19">
        <v>116.4499342106982</v>
      </c>
      <c r="CI1155" s="19">
        <v>113.29029461509271</v>
      </c>
      <c r="CJ1155" s="19">
        <v>109.8034817495719</v>
      </c>
      <c r="CK1155" s="19">
        <v>108.7983087746231</v>
      </c>
      <c r="CL1155" s="19">
        <v>107.2307756103833</v>
      </c>
      <c r="CM1155" s="19">
        <v>105.9922150310465</v>
      </c>
      <c r="CN1155" s="19">
        <v>105.9922150310465</v>
      </c>
      <c r="CO1155" s="19">
        <v>105.9922150310465</v>
      </c>
      <c r="CP1155" s="19">
        <v>105.9922150310465</v>
      </c>
      <c r="CQ1155" s="19">
        <v>105.9922150310465</v>
      </c>
      <c r="CR1155" s="19">
        <v>105.9922150310465</v>
      </c>
      <c r="CS1155" s="19">
        <v>105.9922150310465</v>
      </c>
      <c r="CU1155" s="17" t="s">
        <v>6177</v>
      </c>
      <c r="CV1155" s="19">
        <v>0</v>
      </c>
      <c r="CW1155" s="19">
        <v>0</v>
      </c>
      <c r="CX1155" s="19">
        <v>0</v>
      </c>
      <c r="CY1155" s="19">
        <v>0</v>
      </c>
      <c r="CZ1155" s="19">
        <v>0</v>
      </c>
      <c r="DA1155" s="19">
        <v>0</v>
      </c>
      <c r="DB1155" s="19">
        <v>0</v>
      </c>
      <c r="DC1155" s="19">
        <v>0</v>
      </c>
      <c r="DD1155" s="19">
        <v>0</v>
      </c>
      <c r="DE1155" s="19">
        <v>0</v>
      </c>
      <c r="DF1155" s="19">
        <v>0</v>
      </c>
      <c r="DG1155" s="19">
        <v>0</v>
      </c>
      <c r="DH1155" s="19">
        <v>0</v>
      </c>
      <c r="DI1155" s="19">
        <v>0</v>
      </c>
      <c r="DJ1155" s="19">
        <v>0</v>
      </c>
      <c r="DK1155" s="19">
        <v>0</v>
      </c>
      <c r="DL1155" s="19">
        <v>0</v>
      </c>
      <c r="DM1155" s="19">
        <v>0</v>
      </c>
      <c r="DN1155" s="19">
        <v>0</v>
      </c>
      <c r="DO1155" s="19">
        <v>0</v>
      </c>
    </row>
    <row r="1156" spans="1:230" x14ac:dyDescent="0.45">
      <c r="A1156" s="16" t="s">
        <v>6178</v>
      </c>
      <c r="B1156" s="3" t="s">
        <v>89</v>
      </c>
      <c r="C1156" s="16"/>
      <c r="H1156" s="3" t="s">
        <v>6179</v>
      </c>
      <c r="I1156" s="3" t="s">
        <v>224</v>
      </c>
      <c r="K1156" s="17" t="s">
        <v>6180</v>
      </c>
      <c r="L1156" s="20">
        <v>0</v>
      </c>
      <c r="M1156" s="20">
        <v>0</v>
      </c>
      <c r="N1156" s="20">
        <v>0</v>
      </c>
      <c r="O1156" s="20">
        <v>0</v>
      </c>
      <c r="P1156" s="20">
        <v>0</v>
      </c>
      <c r="Q1156" s="20">
        <v>0</v>
      </c>
      <c r="R1156" s="20">
        <v>0</v>
      </c>
      <c r="S1156" s="20">
        <v>0</v>
      </c>
      <c r="T1156" s="20">
        <v>0</v>
      </c>
      <c r="U1156" s="20">
        <v>0</v>
      </c>
      <c r="V1156" s="20">
        <v>0</v>
      </c>
      <c r="W1156" s="20">
        <v>0</v>
      </c>
      <c r="X1156" s="20">
        <v>0</v>
      </c>
      <c r="Y1156" s="20">
        <v>0</v>
      </c>
      <c r="Z1156" s="20">
        <v>0</v>
      </c>
      <c r="AA1156" s="20">
        <v>0</v>
      </c>
      <c r="AB1156" s="20">
        <v>0</v>
      </c>
      <c r="AC1156" s="20">
        <v>0</v>
      </c>
      <c r="AD1156" s="20">
        <v>0</v>
      </c>
      <c r="AE1156" s="20">
        <v>0</v>
      </c>
      <c r="AG1156" s="17" t="s">
        <v>6181</v>
      </c>
      <c r="AH1156" s="20">
        <v>0</v>
      </c>
      <c r="AI1156" s="20">
        <v>0</v>
      </c>
      <c r="AJ1156" s="20">
        <v>0</v>
      </c>
      <c r="AK1156" s="20">
        <v>0</v>
      </c>
      <c r="AL1156" s="20">
        <v>0</v>
      </c>
      <c r="AM1156" s="20">
        <v>0</v>
      </c>
      <c r="AN1156" s="20">
        <v>0</v>
      </c>
      <c r="AO1156" s="20">
        <v>0</v>
      </c>
      <c r="AP1156" s="20">
        <v>0</v>
      </c>
      <c r="AQ1156" s="20">
        <v>0</v>
      </c>
      <c r="AR1156" s="20">
        <v>0</v>
      </c>
      <c r="AS1156" s="20">
        <v>0</v>
      </c>
      <c r="AT1156" s="20">
        <v>0</v>
      </c>
      <c r="AU1156" s="20">
        <v>0</v>
      </c>
      <c r="AV1156" s="20">
        <v>0</v>
      </c>
      <c r="AW1156" s="20">
        <v>0</v>
      </c>
      <c r="AX1156" s="20">
        <v>0</v>
      </c>
      <c r="AY1156" s="20">
        <v>0</v>
      </c>
      <c r="AZ1156" s="20">
        <v>0</v>
      </c>
      <c r="BA1156" s="20">
        <v>0</v>
      </c>
      <c r="BC1156" s="17" t="s">
        <v>6182</v>
      </c>
      <c r="BD1156" s="20">
        <v>0</v>
      </c>
      <c r="BE1156" s="20">
        <v>0</v>
      </c>
      <c r="BF1156" s="20">
        <v>0</v>
      </c>
      <c r="BG1156" s="20">
        <v>0</v>
      </c>
      <c r="BH1156" s="20">
        <v>0</v>
      </c>
      <c r="BI1156" s="20">
        <v>0</v>
      </c>
      <c r="BJ1156" s="20">
        <v>0</v>
      </c>
      <c r="BK1156" s="20">
        <v>0</v>
      </c>
      <c r="BL1156" s="20">
        <v>0</v>
      </c>
      <c r="BM1156" s="20">
        <v>0</v>
      </c>
      <c r="BN1156" s="20">
        <v>0</v>
      </c>
      <c r="BO1156" s="20">
        <v>0</v>
      </c>
      <c r="BP1156" s="20">
        <v>0</v>
      </c>
      <c r="BQ1156" s="20">
        <v>0</v>
      </c>
      <c r="BR1156" s="20">
        <v>0</v>
      </c>
      <c r="BS1156" s="20">
        <v>0</v>
      </c>
      <c r="BT1156" s="20">
        <v>0</v>
      </c>
      <c r="BU1156" s="20">
        <v>0</v>
      </c>
      <c r="BV1156" s="20">
        <v>0</v>
      </c>
      <c r="BW1156" s="20">
        <v>0</v>
      </c>
      <c r="BY1156" s="17" t="s">
        <v>6183</v>
      </c>
      <c r="BZ1156" s="20">
        <v>0</v>
      </c>
      <c r="CA1156" s="20">
        <v>0</v>
      </c>
      <c r="CB1156" s="20">
        <v>0</v>
      </c>
      <c r="CC1156" s="20">
        <v>0</v>
      </c>
      <c r="CD1156" s="20">
        <v>0</v>
      </c>
      <c r="CE1156" s="20">
        <v>0</v>
      </c>
      <c r="CF1156" s="20">
        <v>0</v>
      </c>
      <c r="CG1156" s="20">
        <v>0</v>
      </c>
      <c r="CH1156" s="20">
        <v>0</v>
      </c>
      <c r="CI1156" s="20">
        <v>0</v>
      </c>
      <c r="CJ1156" s="20">
        <v>0</v>
      </c>
      <c r="CK1156" s="20">
        <v>0</v>
      </c>
      <c r="CL1156" s="20">
        <v>0</v>
      </c>
      <c r="CM1156" s="20">
        <v>0</v>
      </c>
      <c r="CN1156" s="20">
        <v>0</v>
      </c>
      <c r="CO1156" s="20">
        <v>0</v>
      </c>
      <c r="CP1156" s="20">
        <v>0</v>
      </c>
      <c r="CQ1156" s="20">
        <v>0</v>
      </c>
      <c r="CR1156" s="20">
        <v>0</v>
      </c>
      <c r="CS1156" s="20">
        <v>0</v>
      </c>
      <c r="CU1156" s="17" t="s">
        <v>6184</v>
      </c>
      <c r="CV1156" s="20">
        <v>0</v>
      </c>
      <c r="CW1156" s="20">
        <v>0</v>
      </c>
      <c r="CX1156" s="20">
        <v>0</v>
      </c>
      <c r="CY1156" s="20">
        <v>0</v>
      </c>
      <c r="CZ1156" s="20">
        <v>0</v>
      </c>
      <c r="DA1156" s="20">
        <v>0</v>
      </c>
      <c r="DB1156" s="20">
        <v>0</v>
      </c>
      <c r="DC1156" s="20">
        <v>0</v>
      </c>
      <c r="DD1156" s="20">
        <v>0</v>
      </c>
      <c r="DE1156" s="20">
        <v>0</v>
      </c>
      <c r="DF1156" s="20">
        <v>0</v>
      </c>
      <c r="DG1156" s="20">
        <v>0</v>
      </c>
      <c r="DH1156" s="20">
        <v>0</v>
      </c>
      <c r="DI1156" s="20">
        <v>0</v>
      </c>
      <c r="DJ1156" s="20">
        <v>0</v>
      </c>
      <c r="DK1156" s="20">
        <v>0</v>
      </c>
      <c r="DL1156" s="20">
        <v>0</v>
      </c>
      <c r="DM1156" s="20">
        <v>0</v>
      </c>
      <c r="DN1156" s="20">
        <v>0</v>
      </c>
      <c r="DO1156" s="20">
        <v>0</v>
      </c>
    </row>
    <row r="1157" spans="1:230" x14ac:dyDescent="0.45">
      <c r="A1157" s="16" t="s">
        <v>6185</v>
      </c>
      <c r="B1157" s="3" t="s">
        <v>89</v>
      </c>
      <c r="C1157" s="16"/>
      <c r="H1157" s="3" t="s">
        <v>6186</v>
      </c>
      <c r="I1157" s="3" t="s">
        <v>6187</v>
      </c>
      <c r="K1157" s="17" t="s">
        <v>6188</v>
      </c>
      <c r="L1157" s="19">
        <v>88.128441934478417</v>
      </c>
      <c r="M1157" s="19">
        <v>80.7309584942399</v>
      </c>
      <c r="N1157" s="19">
        <v>93.146474881715449</v>
      </c>
      <c r="O1157" s="19">
        <v>94.390123602388684</v>
      </c>
      <c r="P1157" s="19">
        <v>95.556597567807557</v>
      </c>
      <c r="Q1157" s="19">
        <v>97.0013227603297</v>
      </c>
      <c r="R1157" s="19">
        <v>98.778712234960864</v>
      </c>
      <c r="S1157" s="19">
        <v>100.4595031461113</v>
      </c>
      <c r="T1157" s="19">
        <v>102.004314723454</v>
      </c>
      <c r="U1157" s="19">
        <v>103.12287740040099</v>
      </c>
      <c r="V1157" s="19">
        <v>104.2422986606847</v>
      </c>
      <c r="W1157" s="19">
        <v>105.3681027856658</v>
      </c>
      <c r="X1157" s="19">
        <v>106.496001134449</v>
      </c>
      <c r="Y1157" s="19">
        <v>107.62280928546571</v>
      </c>
      <c r="Z1157" s="19">
        <v>108.74854252811571</v>
      </c>
      <c r="AA1157" s="19">
        <v>109.8722543788458</v>
      </c>
      <c r="AB1157" s="19">
        <v>110.9931994782345</v>
      </c>
      <c r="AC1157" s="19">
        <v>112.1106382423398</v>
      </c>
      <c r="AD1157" s="19">
        <v>113.2238251116045</v>
      </c>
      <c r="AE1157" s="19">
        <v>114.33203897010711</v>
      </c>
      <c r="AG1157" s="17" t="s">
        <v>6189</v>
      </c>
      <c r="AH1157" s="19">
        <v>88.128441934478417</v>
      </c>
      <c r="AI1157" s="19">
        <v>80.730504287856704</v>
      </c>
      <c r="AJ1157" s="19">
        <v>93.146034378155946</v>
      </c>
      <c r="AK1157" s="19">
        <v>94.389695808858193</v>
      </c>
      <c r="AL1157" s="19">
        <v>95.556178222082593</v>
      </c>
      <c r="AM1157" s="19">
        <v>90.483643924027291</v>
      </c>
      <c r="AN1157" s="19">
        <v>92.077505410340208</v>
      </c>
      <c r="AO1157" s="19">
        <v>93.253700510910363</v>
      </c>
      <c r="AP1157" s="19">
        <v>94.570346357579638</v>
      </c>
      <c r="AQ1157" s="19">
        <v>95.571280757511161</v>
      </c>
      <c r="AR1157" s="19">
        <v>96.538963975750121</v>
      </c>
      <c r="AS1157" s="19">
        <v>97.565559757178164</v>
      </c>
      <c r="AT1157" s="19">
        <v>98.617690885969509</v>
      </c>
      <c r="AU1157" s="19">
        <v>99.658355650384692</v>
      </c>
      <c r="AV1157" s="19">
        <v>100.7095503422058</v>
      </c>
      <c r="AW1157" s="19">
        <v>101.7854802327964</v>
      </c>
      <c r="AX1157" s="19">
        <v>102.8352452683467</v>
      </c>
      <c r="AY1157" s="19">
        <v>103.86912264837819</v>
      </c>
      <c r="AZ1157" s="19">
        <v>104.8686832417348</v>
      </c>
      <c r="BA1157" s="19">
        <v>105.85501107767671</v>
      </c>
      <c r="BC1157" s="17" t="s">
        <v>6190</v>
      </c>
      <c r="BD1157" s="19">
        <v>88.128441934478417</v>
      </c>
      <c r="BE1157" s="19">
        <v>80.729554884872812</v>
      </c>
      <c r="BF1157" s="19">
        <v>93.14511390156639</v>
      </c>
      <c r="BG1157" s="19">
        <v>94.388801956469678</v>
      </c>
      <c r="BH1157" s="19">
        <v>95.555301061888173</v>
      </c>
      <c r="BI1157" s="19">
        <v>92.330790627432549</v>
      </c>
      <c r="BJ1157" s="19">
        <v>88.892627077084995</v>
      </c>
      <c r="BK1157" s="19">
        <v>85.793613905381733</v>
      </c>
      <c r="BL1157" s="19">
        <v>83.109649437306359</v>
      </c>
      <c r="BM1157" s="19">
        <v>81.537820221561162</v>
      </c>
      <c r="BN1157" s="19">
        <v>80.122718840190814</v>
      </c>
      <c r="BO1157" s="19">
        <v>78.871168140121625</v>
      </c>
      <c r="BP1157" s="19">
        <v>77.76034558032751</v>
      </c>
      <c r="BQ1157" s="19">
        <v>76.768059539200635</v>
      </c>
      <c r="BR1157" s="19">
        <v>75.872181667733798</v>
      </c>
      <c r="BS1157" s="19">
        <v>75.071251748936035</v>
      </c>
      <c r="BT1157" s="19">
        <v>74.339777680874562</v>
      </c>
      <c r="BU1157" s="19">
        <v>73.668195468611259</v>
      </c>
      <c r="BV1157" s="19">
        <v>73.029873529010231</v>
      </c>
      <c r="BW1157" s="19">
        <v>72.424079266297028</v>
      </c>
      <c r="BY1157" s="17" t="s">
        <v>6191</v>
      </c>
      <c r="BZ1157" s="19">
        <v>88.128441934478417</v>
      </c>
      <c r="CA1157" s="19">
        <v>80.728500265640918</v>
      </c>
      <c r="CB1157" s="19">
        <v>93.144090893948473</v>
      </c>
      <c r="CC1157" s="19">
        <v>94.387808736181796</v>
      </c>
      <c r="CD1157" s="19">
        <v>95.554327990533039</v>
      </c>
      <c r="CE1157" s="19">
        <v>89.125857432932591</v>
      </c>
      <c r="CF1157" s="19">
        <v>90.697320836683616</v>
      </c>
      <c r="CG1157" s="19">
        <v>92.206040636721866</v>
      </c>
      <c r="CH1157" s="19">
        <v>93.525229899355878</v>
      </c>
      <c r="CI1157" s="19">
        <v>94.484983031604358</v>
      </c>
      <c r="CJ1157" s="19">
        <v>95.398382974626216</v>
      </c>
      <c r="CK1157" s="19">
        <v>96.379103682021309</v>
      </c>
      <c r="CL1157" s="19">
        <v>97.356017866579165</v>
      </c>
      <c r="CM1157" s="19">
        <v>98.327781075450915</v>
      </c>
      <c r="CN1157" s="19">
        <v>99.311939114142518</v>
      </c>
      <c r="CO1157" s="19">
        <v>100.3129209961165</v>
      </c>
      <c r="CP1157" s="19">
        <v>101.2914631742898</v>
      </c>
      <c r="CQ1157" s="19">
        <v>102.2632457137999</v>
      </c>
      <c r="CR1157" s="19">
        <v>103.2079686685537</v>
      </c>
      <c r="CS1157" s="19">
        <v>104.15226792716</v>
      </c>
      <c r="CU1157" s="17" t="s">
        <v>6192</v>
      </c>
      <c r="CV1157" s="19">
        <v>88.128441934478417</v>
      </c>
      <c r="CW1157" s="19">
        <v>80.729941820493067</v>
      </c>
      <c r="CX1157" s="19">
        <v>93.145488992165667</v>
      </c>
      <c r="CY1157" s="19">
        <v>94.3891661849635</v>
      </c>
      <c r="CZ1157" s="19">
        <v>95.555658676309633</v>
      </c>
      <c r="DA1157" s="19">
        <v>83.358532679289809</v>
      </c>
      <c r="DB1157" s="19">
        <v>84.752658218812741</v>
      </c>
      <c r="DC1157" s="19">
        <v>85.782988948831033</v>
      </c>
      <c r="DD1157" s="19">
        <v>86.52714496139609</v>
      </c>
      <c r="DE1157" s="19">
        <v>87.405899633063854</v>
      </c>
      <c r="DF1157" s="19">
        <v>88.201809945848282</v>
      </c>
      <c r="DG1157" s="19">
        <v>89.114342885670993</v>
      </c>
      <c r="DH1157" s="19">
        <v>90.063553338433394</v>
      </c>
      <c r="DI1157" s="19">
        <v>90.996185618454774</v>
      </c>
      <c r="DJ1157" s="19">
        <v>91.947383014826073</v>
      </c>
      <c r="DK1157" s="19">
        <v>92.948797336273387</v>
      </c>
      <c r="DL1157" s="19">
        <v>93.900756438821745</v>
      </c>
      <c r="DM1157" s="19">
        <v>94.830361387733603</v>
      </c>
      <c r="DN1157" s="19">
        <v>95.698441236542621</v>
      </c>
      <c r="DO1157" s="19">
        <v>96.549506542404572</v>
      </c>
    </row>
    <row r="1158" spans="1:230" x14ac:dyDescent="0.45">
      <c r="A1158" s="16" t="s">
        <v>6193</v>
      </c>
      <c r="B1158" s="3" t="s">
        <v>89</v>
      </c>
      <c r="C1158" s="16"/>
      <c r="H1158" s="3" t="s">
        <v>6194</v>
      </c>
      <c r="I1158" s="3" t="s">
        <v>6187</v>
      </c>
      <c r="K1158" s="17" t="s">
        <v>6195</v>
      </c>
      <c r="L1158" s="19">
        <v>813.50909471450234</v>
      </c>
      <c r="M1158" s="19">
        <v>801.94842373482277</v>
      </c>
      <c r="N1158" s="19">
        <v>951.52140813841493</v>
      </c>
      <c r="O1158" s="19">
        <v>980.34576104569544</v>
      </c>
      <c r="P1158" s="19">
        <v>997.95238933557687</v>
      </c>
      <c r="Q1158" s="19">
        <v>1017.651261459722</v>
      </c>
      <c r="R1158" s="19">
        <v>1041.4540647459501</v>
      </c>
      <c r="S1158" s="19">
        <v>1063.9182755691279</v>
      </c>
      <c r="T1158" s="19">
        <v>1082.7506824272959</v>
      </c>
      <c r="U1158" s="19">
        <v>1096.823508370127</v>
      </c>
      <c r="V1158" s="19">
        <v>1110.247054910106</v>
      </c>
      <c r="W1158" s="19">
        <v>1127.528806772387</v>
      </c>
      <c r="X1158" s="19">
        <v>1143.8244090031781</v>
      </c>
      <c r="Y1158" s="19">
        <v>1160.587436772304</v>
      </c>
      <c r="Z1158" s="19">
        <v>1177.1917994486159</v>
      </c>
      <c r="AA1158" s="19">
        <v>1193.703732864094</v>
      </c>
      <c r="AB1158" s="19">
        <v>1210.093782747158</v>
      </c>
      <c r="AC1158" s="19">
        <v>1226.355990217274</v>
      </c>
      <c r="AD1158" s="19">
        <v>1242.4964487982461</v>
      </c>
      <c r="AE1158" s="19">
        <v>1258.510963857098</v>
      </c>
      <c r="AG1158" s="17" t="s">
        <v>6196</v>
      </c>
      <c r="AH1158" s="19">
        <v>813.50909471450234</v>
      </c>
      <c r="AI1158" s="19">
        <v>801.87305255741262</v>
      </c>
      <c r="AJ1158" s="19">
        <v>951.4489669068239</v>
      </c>
      <c r="AK1158" s="19">
        <v>980.27613973009454</v>
      </c>
      <c r="AL1158" s="19">
        <v>997.88293656879728</v>
      </c>
      <c r="AM1158" s="19">
        <v>924.53872657103716</v>
      </c>
      <c r="AN1158" s="19">
        <v>932.17045274811437</v>
      </c>
      <c r="AO1158" s="19">
        <v>955.54165294757388</v>
      </c>
      <c r="AP1158" s="19">
        <v>970.38542192871614</v>
      </c>
      <c r="AQ1158" s="19">
        <v>984.71763509802611</v>
      </c>
      <c r="AR1158" s="19">
        <v>996.19868294977664</v>
      </c>
      <c r="AS1158" s="19">
        <v>1012.8967527760529</v>
      </c>
      <c r="AT1158" s="19">
        <v>1027.8230289286321</v>
      </c>
      <c r="AU1158" s="19">
        <v>1043.579968315207</v>
      </c>
      <c r="AV1158" s="19">
        <v>1059.334063613438</v>
      </c>
      <c r="AW1158" s="19">
        <v>1075.38983335021</v>
      </c>
      <c r="AX1158" s="19">
        <v>1090.924746782224</v>
      </c>
      <c r="AY1158" s="19">
        <v>1106.15493145659</v>
      </c>
      <c r="AZ1158" s="19">
        <v>1120.7605461154469</v>
      </c>
      <c r="BA1158" s="19">
        <v>1135.121752196538</v>
      </c>
      <c r="BC1158" s="17" t="s">
        <v>6197</v>
      </c>
      <c r="BD1158" s="19">
        <v>813.50909471450234</v>
      </c>
      <c r="BE1158" s="19">
        <v>801.68750807259039</v>
      </c>
      <c r="BF1158" s="19">
        <v>951.27065287056132</v>
      </c>
      <c r="BG1158" s="19">
        <v>980.10478405478671</v>
      </c>
      <c r="BH1158" s="19">
        <v>997.71233916695428</v>
      </c>
      <c r="BI1158" s="19">
        <v>953.14131036559888</v>
      </c>
      <c r="BJ1158" s="19">
        <v>899.49654462558181</v>
      </c>
      <c r="BK1158" s="19">
        <v>851.89280783690708</v>
      </c>
      <c r="BL1158" s="19">
        <v>814.87111630911352</v>
      </c>
      <c r="BM1158" s="19">
        <v>793.5754485978714</v>
      </c>
      <c r="BN1158" s="19">
        <v>770.00069780225579</v>
      </c>
      <c r="BO1158" s="19">
        <v>753.08126897432544</v>
      </c>
      <c r="BP1158" s="19">
        <v>735.17907779694701</v>
      </c>
      <c r="BQ1158" s="19">
        <v>721.28157886603526</v>
      </c>
      <c r="BR1158" s="19">
        <v>707.02974664415058</v>
      </c>
      <c r="BS1158" s="19">
        <v>695.87283604139895</v>
      </c>
      <c r="BT1158" s="19">
        <v>683.93125138286405</v>
      </c>
      <c r="BU1158" s="19">
        <v>674.88838943286748</v>
      </c>
      <c r="BV1158" s="19">
        <v>663.95730026054684</v>
      </c>
      <c r="BW1158" s="19">
        <v>656.5898320696225</v>
      </c>
      <c r="BY1158" s="17" t="s">
        <v>6198</v>
      </c>
      <c r="BZ1158" s="19">
        <v>813.50909471450234</v>
      </c>
      <c r="CA1158" s="19">
        <v>801.50575048781479</v>
      </c>
      <c r="CB1158" s="19">
        <v>951.09575142201879</v>
      </c>
      <c r="CC1158" s="19">
        <v>979.93648601960501</v>
      </c>
      <c r="CD1158" s="19">
        <v>997.54431522921391</v>
      </c>
      <c r="CE1158" s="19">
        <v>906.68577522872556</v>
      </c>
      <c r="CF1158" s="19">
        <v>927.46091704666628</v>
      </c>
      <c r="CG1158" s="19">
        <v>947.4238259486774</v>
      </c>
      <c r="CH1158" s="19">
        <v>962.86858552437684</v>
      </c>
      <c r="CI1158" s="19">
        <v>973.1747132316832</v>
      </c>
      <c r="CJ1158" s="19">
        <v>980.64328120755147</v>
      </c>
      <c r="CK1158" s="19">
        <v>994.32378185195125</v>
      </c>
      <c r="CL1158" s="19">
        <v>1001.902529439242</v>
      </c>
      <c r="CM1158" s="19">
        <v>1010.993533072305</v>
      </c>
      <c r="CN1158" s="19">
        <v>1020.637195171082</v>
      </c>
      <c r="CO1158" s="19">
        <v>1029.5240973335219</v>
      </c>
      <c r="CP1158" s="19">
        <v>1038.7195994697361</v>
      </c>
      <c r="CQ1158" s="19">
        <v>1047.990775202966</v>
      </c>
      <c r="CR1158" s="19">
        <v>1056.5864287801701</v>
      </c>
      <c r="CS1158" s="19">
        <v>1065.5904631491201</v>
      </c>
      <c r="CU1158" s="17" t="s">
        <v>6199</v>
      </c>
      <c r="CV1158" s="19">
        <v>813.50909471450234</v>
      </c>
      <c r="CW1158" s="19">
        <v>801.7686342044027</v>
      </c>
      <c r="CX1158" s="19">
        <v>951.3486146620761</v>
      </c>
      <c r="CY1158" s="19">
        <v>980.17970067573697</v>
      </c>
      <c r="CZ1158" s="19">
        <v>997.78686615551328</v>
      </c>
      <c r="DA1158" s="19">
        <v>827.47388159439004</v>
      </c>
      <c r="DB1158" s="19">
        <v>817.23781241198662</v>
      </c>
      <c r="DC1158" s="19">
        <v>838.75112419343895</v>
      </c>
      <c r="DD1158" s="19">
        <v>847.91859666022503</v>
      </c>
      <c r="DE1158" s="19">
        <v>865.96226606017581</v>
      </c>
      <c r="DF1158" s="19">
        <v>871.60783607996757</v>
      </c>
      <c r="DG1158" s="19">
        <v>884.71195807710296</v>
      </c>
      <c r="DH1158" s="19">
        <v>893.89935505522499</v>
      </c>
      <c r="DI1158" s="19">
        <v>905.21752395798785</v>
      </c>
      <c r="DJ1158" s="19">
        <v>915.56870325489501</v>
      </c>
      <c r="DK1158" s="19">
        <v>927.65673420195174</v>
      </c>
      <c r="DL1158" s="19">
        <v>938.03694118615522</v>
      </c>
      <c r="DM1158" s="19">
        <v>949.16422357988824</v>
      </c>
      <c r="DN1158" s="19">
        <v>958.58245342751604</v>
      </c>
      <c r="DO1158" s="19">
        <v>968.70539674717998</v>
      </c>
    </row>
    <row r="1159" spans="1:230" x14ac:dyDescent="0.45">
      <c r="A1159" s="16" t="s">
        <v>6200</v>
      </c>
      <c r="B1159" s="3" t="s">
        <v>89</v>
      </c>
      <c r="C1159" s="16"/>
      <c r="H1159" s="3" t="s">
        <v>6201</v>
      </c>
      <c r="I1159" s="3" t="s">
        <v>6187</v>
      </c>
      <c r="K1159" s="17" t="s">
        <v>6202</v>
      </c>
      <c r="L1159" s="19">
        <v>302.60945107911903</v>
      </c>
      <c r="M1159" s="19">
        <v>285.48552861320422</v>
      </c>
      <c r="N1159" s="19">
        <v>302.90653353412017</v>
      </c>
      <c r="O1159" s="19">
        <v>334.85752618178509</v>
      </c>
      <c r="P1159" s="19">
        <v>367.58595819426489</v>
      </c>
      <c r="Q1159" s="19">
        <v>402.51612939285252</v>
      </c>
      <c r="R1159" s="19">
        <v>439.88211501837787</v>
      </c>
      <c r="S1159" s="19">
        <v>478.5939879500288</v>
      </c>
      <c r="T1159" s="19">
        <v>518.6464061661502</v>
      </c>
      <c r="U1159" s="19">
        <v>510.53225539557837</v>
      </c>
      <c r="V1159" s="19">
        <v>502.86736667761238</v>
      </c>
      <c r="W1159" s="19">
        <v>495.62988256639647</v>
      </c>
      <c r="X1159" s="19">
        <v>489.06699870607702</v>
      </c>
      <c r="Y1159" s="19">
        <v>482.68980205424879</v>
      </c>
      <c r="Z1159" s="19">
        <v>476.65534193092481</v>
      </c>
      <c r="AA1159" s="19">
        <v>470.91731568543861</v>
      </c>
      <c r="AB1159" s="19">
        <v>465.46430077218918</v>
      </c>
      <c r="AC1159" s="19">
        <v>460.28175729949118</v>
      </c>
      <c r="AD1159" s="19">
        <v>455.35243179371508</v>
      </c>
      <c r="AE1159" s="19">
        <v>450.66263198539701</v>
      </c>
      <c r="AG1159" s="17" t="s">
        <v>6203</v>
      </c>
      <c r="AH1159" s="19">
        <v>302.60945107911903</v>
      </c>
      <c r="AI1159" s="19">
        <v>285.44090430254721</v>
      </c>
      <c r="AJ1159" s="19">
        <v>302.86352496724538</v>
      </c>
      <c r="AK1159" s="19">
        <v>334.81600762552972</v>
      </c>
      <c r="AL1159" s="19">
        <v>367.54577955192468</v>
      </c>
      <c r="AM1159" s="19">
        <v>375.04925400710471</v>
      </c>
      <c r="AN1159" s="19">
        <v>411.4851742399967</v>
      </c>
      <c r="AO1159" s="19">
        <v>405.5083780169291</v>
      </c>
      <c r="AP1159" s="19">
        <v>441.55156936229201</v>
      </c>
      <c r="AQ1159" s="19">
        <v>434.40355950366649</v>
      </c>
      <c r="AR1159" s="19">
        <v>427.63390036983242</v>
      </c>
      <c r="AS1159" s="19">
        <v>421.23249160078819</v>
      </c>
      <c r="AT1159" s="19">
        <v>415.40895693139322</v>
      </c>
      <c r="AU1159" s="19">
        <v>409.77248906263509</v>
      </c>
      <c r="AV1159" s="19">
        <v>404.47105359342322</v>
      </c>
      <c r="AW1159" s="19">
        <v>399.50656970883739</v>
      </c>
      <c r="AX1159" s="19">
        <v>394.7379395373278</v>
      </c>
      <c r="AY1159" s="19">
        <v>390.17435272254971</v>
      </c>
      <c r="AZ1159" s="19">
        <v>385.75979182274762</v>
      </c>
      <c r="BA1159" s="19">
        <v>381.53586798942251</v>
      </c>
      <c r="BC1159" s="17" t="s">
        <v>6204</v>
      </c>
      <c r="BD1159" s="19">
        <v>302.60945107911903</v>
      </c>
      <c r="BE1159" s="19">
        <v>285.35170247806627</v>
      </c>
      <c r="BF1159" s="19">
        <v>302.77755302342729</v>
      </c>
      <c r="BG1159" s="19">
        <v>334.73298251627659</v>
      </c>
      <c r="BH1159" s="19">
        <v>367.46536091835361</v>
      </c>
      <c r="BI1159" s="19">
        <v>384.73228541159239</v>
      </c>
      <c r="BJ1159" s="19">
        <v>403.66864529939289</v>
      </c>
      <c r="BK1159" s="19">
        <v>383.70441838998011</v>
      </c>
      <c r="BL1159" s="19">
        <v>366.07451971480089</v>
      </c>
      <c r="BM1159" s="19">
        <v>351.62141817156652</v>
      </c>
      <c r="BN1159" s="19">
        <v>338.31210569679661</v>
      </c>
      <c r="BO1159" s="19">
        <v>326.07022825988048</v>
      </c>
      <c r="BP1159" s="19">
        <v>314.69128486365179</v>
      </c>
      <c r="BQ1159" s="19">
        <v>304.08272465758211</v>
      </c>
      <c r="BR1159" s="19">
        <v>294.10828883096849</v>
      </c>
      <c r="BS1159" s="19">
        <v>284.74410608132462</v>
      </c>
      <c r="BT1159" s="19">
        <v>275.87158722551482</v>
      </c>
      <c r="BU1159" s="19">
        <v>267.47083878861997</v>
      </c>
      <c r="BV1159" s="19">
        <v>259.425837748155</v>
      </c>
      <c r="BW1159" s="19">
        <v>251.75989952547391</v>
      </c>
      <c r="BY1159" s="17" t="s">
        <v>6205</v>
      </c>
      <c r="BZ1159" s="19">
        <v>302.60945107911903</v>
      </c>
      <c r="CA1159" s="19">
        <v>285.24907218498129</v>
      </c>
      <c r="CB1159" s="19">
        <v>302.67863648015009</v>
      </c>
      <c r="CC1159" s="19">
        <v>334.63754576494421</v>
      </c>
      <c r="CD1159" s="19">
        <v>367.37311059893028</v>
      </c>
      <c r="CE1159" s="19">
        <v>369.87711719853701</v>
      </c>
      <c r="CF1159" s="19">
        <v>406.23874020450751</v>
      </c>
      <c r="CG1159" s="19">
        <v>444.06321526542212</v>
      </c>
      <c r="CH1159" s="19">
        <v>483.13396199175378</v>
      </c>
      <c r="CI1159" s="19">
        <v>473.8393868581785</v>
      </c>
      <c r="CJ1159" s="19">
        <v>464.8212602448387</v>
      </c>
      <c r="CK1159" s="19">
        <v>456.41472081331989</v>
      </c>
      <c r="CL1159" s="19">
        <v>448.33849084129781</v>
      </c>
      <c r="CM1159" s="19">
        <v>440.63360239128349</v>
      </c>
      <c r="CN1159" s="19">
        <v>433.34258523410898</v>
      </c>
      <c r="CO1159" s="19">
        <v>426.4300543063606</v>
      </c>
      <c r="CP1159" s="19">
        <v>419.79613981780659</v>
      </c>
      <c r="CQ1159" s="19">
        <v>413.46466396891202</v>
      </c>
      <c r="CR1159" s="19">
        <v>407.36786779291612</v>
      </c>
      <c r="CS1159" s="19">
        <v>401.56759460281961</v>
      </c>
      <c r="CU1159" s="17" t="s">
        <v>6206</v>
      </c>
      <c r="CV1159" s="19">
        <v>302.60945107911903</v>
      </c>
      <c r="CW1159" s="19">
        <v>285.3872561460484</v>
      </c>
      <c r="CX1159" s="19">
        <v>302.81181932189179</v>
      </c>
      <c r="CY1159" s="19">
        <v>334.76608078136098</v>
      </c>
      <c r="CZ1159" s="19">
        <v>367.49743509225311</v>
      </c>
      <c r="DA1159" s="19">
        <v>349.75902928275087</v>
      </c>
      <c r="DB1159" s="19">
        <v>385.31906665253382</v>
      </c>
      <c r="DC1159" s="19">
        <v>378.72836291282738</v>
      </c>
      <c r="DD1159" s="19">
        <v>371.80792091596282</v>
      </c>
      <c r="DE1159" s="19">
        <v>365.51208154289611</v>
      </c>
      <c r="DF1159" s="19">
        <v>359.37146518709108</v>
      </c>
      <c r="DG1159" s="19">
        <v>353.78271494256899</v>
      </c>
      <c r="DH1159" s="19">
        <v>348.58404522881858</v>
      </c>
      <c r="DI1159" s="19">
        <v>343.60712878577942</v>
      </c>
      <c r="DJ1159" s="19">
        <v>338.92901655826341</v>
      </c>
      <c r="DK1159" s="19">
        <v>334.6117512895861</v>
      </c>
      <c r="DL1159" s="19">
        <v>330.40471071465089</v>
      </c>
      <c r="DM1159" s="19">
        <v>326.36385147063868</v>
      </c>
      <c r="DN1159" s="19">
        <v>322.38312087824261</v>
      </c>
      <c r="DO1159" s="19">
        <v>318.56428253309451</v>
      </c>
    </row>
    <row r="1160" spans="1:230" x14ac:dyDescent="0.45">
      <c r="A1160" s="16" t="s">
        <v>6207</v>
      </c>
      <c r="B1160" s="3" t="s">
        <v>89</v>
      </c>
      <c r="C1160" s="16"/>
      <c r="H1160" s="3" t="s">
        <v>6208</v>
      </c>
      <c r="I1160" s="3" t="s">
        <v>6187</v>
      </c>
      <c r="K1160" s="17" t="s">
        <v>6209</v>
      </c>
      <c r="L1160" s="19">
        <v>30.29395380080388</v>
      </c>
      <c r="M1160" s="19">
        <v>28.650831206815301</v>
      </c>
      <c r="N1160" s="19">
        <v>33.397716634930099</v>
      </c>
      <c r="O1160" s="19">
        <v>33.924344640933917</v>
      </c>
      <c r="P1160" s="19">
        <v>34.427107505419343</v>
      </c>
      <c r="Q1160" s="19">
        <v>35.045144881108669</v>
      </c>
      <c r="R1160" s="19">
        <v>35.802863552717668</v>
      </c>
      <c r="S1160" s="19">
        <v>36.514199131108839</v>
      </c>
      <c r="T1160" s="19">
        <v>37.162188980979458</v>
      </c>
      <c r="U1160" s="19">
        <v>37.768465304479591</v>
      </c>
      <c r="V1160" s="19">
        <v>38.376931981411353</v>
      </c>
      <c r="W1160" s="19">
        <v>38.987699119474357</v>
      </c>
      <c r="X1160" s="19">
        <v>39.600335032366488</v>
      </c>
      <c r="Y1160" s="19">
        <v>40.21426196765298</v>
      </c>
      <c r="Z1160" s="19">
        <v>40.829301378494712</v>
      </c>
      <c r="AA1160" s="19">
        <v>41.445153376679592</v>
      </c>
      <c r="AB1160" s="19">
        <v>42.061542628950782</v>
      </c>
      <c r="AC1160" s="19">
        <v>42.678194203967777</v>
      </c>
      <c r="AD1160" s="19">
        <v>43.294832724045271</v>
      </c>
      <c r="AE1160" s="19">
        <v>43.911186094655832</v>
      </c>
      <c r="AG1160" s="17" t="s">
        <v>6210</v>
      </c>
      <c r="AH1160" s="19">
        <v>30.29395380080388</v>
      </c>
      <c r="AI1160" s="19">
        <v>28.650789705055651</v>
      </c>
      <c r="AJ1160" s="19">
        <v>33.397676367543397</v>
      </c>
      <c r="AK1160" s="19">
        <v>33.924305514446267</v>
      </c>
      <c r="AL1160" s="19">
        <v>34.427069207406213</v>
      </c>
      <c r="AM1160" s="19">
        <v>32.165600216232853</v>
      </c>
      <c r="AN1160" s="19">
        <v>32.847013592919772</v>
      </c>
      <c r="AO1160" s="19">
        <v>33.461605896163668</v>
      </c>
      <c r="AP1160" s="19">
        <v>34.017866902716463</v>
      </c>
      <c r="AQ1160" s="19">
        <v>34.564909710628577</v>
      </c>
      <c r="AR1160" s="19">
        <v>35.099673471866311</v>
      </c>
      <c r="AS1160" s="19">
        <v>35.659770880646043</v>
      </c>
      <c r="AT1160" s="19">
        <v>36.232841132959521</v>
      </c>
      <c r="AU1160" s="19">
        <v>36.802171188397693</v>
      </c>
      <c r="AV1160" s="19">
        <v>37.377669083870813</v>
      </c>
      <c r="AW1160" s="19">
        <v>37.965680602837502</v>
      </c>
      <c r="AX1160" s="19">
        <v>38.54393635679984</v>
      </c>
      <c r="AY1160" s="19">
        <v>39.116960827405357</v>
      </c>
      <c r="AZ1160" s="19">
        <v>39.676658236521767</v>
      </c>
      <c r="BA1160" s="19">
        <v>40.232309514089437</v>
      </c>
      <c r="BC1160" s="17" t="s">
        <v>6211</v>
      </c>
      <c r="BD1160" s="19">
        <v>30.29395380080388</v>
      </c>
      <c r="BE1160" s="19">
        <v>28.6507040604629</v>
      </c>
      <c r="BF1160" s="19">
        <v>33.397593290578868</v>
      </c>
      <c r="BG1160" s="19">
        <v>33.924224788918544</v>
      </c>
      <c r="BH1160" s="19">
        <v>34.42699010606043</v>
      </c>
      <c r="BI1160" s="19">
        <v>32.968923444566357</v>
      </c>
      <c r="BJ1160" s="19">
        <v>31.413755006967659</v>
      </c>
      <c r="BK1160" s="19">
        <v>30.13877896325025</v>
      </c>
      <c r="BL1160" s="19">
        <v>29.047633148159711</v>
      </c>
      <c r="BM1160" s="19">
        <v>28.452543163123689</v>
      </c>
      <c r="BN1160" s="19">
        <v>27.928008748125311</v>
      </c>
      <c r="BO1160" s="19">
        <v>27.472517472901998</v>
      </c>
      <c r="BP1160" s="19">
        <v>27.07969620436268</v>
      </c>
      <c r="BQ1160" s="19">
        <v>26.737257788883891</v>
      </c>
      <c r="BR1160" s="19">
        <v>26.43755623998041</v>
      </c>
      <c r="BS1160" s="19">
        <v>26.17828792631159</v>
      </c>
      <c r="BT1160" s="19">
        <v>25.95007087641228</v>
      </c>
      <c r="BU1160" s="19">
        <v>25.746803940055461</v>
      </c>
      <c r="BV1160" s="19">
        <v>25.558996769410061</v>
      </c>
      <c r="BW1160" s="19">
        <v>25.38353163742622</v>
      </c>
      <c r="BY1160" s="17" t="s">
        <v>6212</v>
      </c>
      <c r="BZ1160" s="19">
        <v>30.29395380080388</v>
      </c>
      <c r="CA1160" s="19">
        <v>28.650607964116741</v>
      </c>
      <c r="CB1160" s="19">
        <v>33.397500038978208</v>
      </c>
      <c r="CC1160" s="19">
        <v>33.924134211996552</v>
      </c>
      <c r="CD1160" s="19">
        <v>34.426901510551097</v>
      </c>
      <c r="CE1160" s="19">
        <v>31.560752688824358</v>
      </c>
      <c r="CF1160" s="19">
        <v>32.22753989549954</v>
      </c>
      <c r="CG1160" s="19">
        <v>32.862253054265047</v>
      </c>
      <c r="CH1160" s="19">
        <v>33.409991362924387</v>
      </c>
      <c r="CI1160" s="19">
        <v>33.946509315173593</v>
      </c>
      <c r="CJ1160" s="19">
        <v>34.46506803232333</v>
      </c>
      <c r="CK1160" s="19">
        <v>35.011508553867202</v>
      </c>
      <c r="CL1160" s="19">
        <v>35.560431848379707</v>
      </c>
      <c r="CM1160" s="19">
        <v>36.107537219287899</v>
      </c>
      <c r="CN1160" s="19">
        <v>36.660497407921767</v>
      </c>
      <c r="CO1160" s="19">
        <v>37.222779447016372</v>
      </c>
      <c r="CP1160" s="19">
        <v>37.776346936613628</v>
      </c>
      <c r="CQ1160" s="19">
        <v>38.328355969774897</v>
      </c>
      <c r="CR1160" s="19">
        <v>38.870116448248517</v>
      </c>
      <c r="CS1160" s="19">
        <v>39.413050430028498</v>
      </c>
      <c r="CU1160" s="17" t="s">
        <v>6213</v>
      </c>
      <c r="CV1160" s="19">
        <v>30.29395380080388</v>
      </c>
      <c r="CW1160" s="19">
        <v>28.650738748340022</v>
      </c>
      <c r="CX1160" s="19">
        <v>33.397626934462707</v>
      </c>
      <c r="CY1160" s="19">
        <v>33.92425748101126</v>
      </c>
      <c r="CZ1160" s="19">
        <v>34.427022157287581</v>
      </c>
      <c r="DA1160" s="19">
        <v>29.020132605042281</v>
      </c>
      <c r="DB1160" s="19">
        <v>29.618285867747581</v>
      </c>
      <c r="DC1160" s="19">
        <v>30.16545206662747</v>
      </c>
      <c r="DD1160" s="19">
        <v>30.592870883250971</v>
      </c>
      <c r="DE1160" s="19">
        <v>31.076767159868648</v>
      </c>
      <c r="DF1160" s="19">
        <v>31.530863238898579</v>
      </c>
      <c r="DG1160" s="19">
        <v>32.034438953304942</v>
      </c>
      <c r="DH1160" s="19">
        <v>32.557413221882541</v>
      </c>
      <c r="DI1160" s="19">
        <v>33.073418186394619</v>
      </c>
      <c r="DJ1160" s="19">
        <v>33.599609821484549</v>
      </c>
      <c r="DK1160" s="19">
        <v>34.148938850189211</v>
      </c>
      <c r="DL1160" s="19">
        <v>34.678607501451999</v>
      </c>
      <c r="DM1160" s="19">
        <v>35.199532607006901</v>
      </c>
      <c r="DN1160" s="19">
        <v>35.695331577238619</v>
      </c>
      <c r="DO1160" s="19">
        <v>36.184753072202412</v>
      </c>
    </row>
    <row r="1161" spans="1:230" x14ac:dyDescent="0.45">
      <c r="A1161" s="16" t="s">
        <v>6214</v>
      </c>
      <c r="B1161" s="3" t="s">
        <v>89</v>
      </c>
      <c r="C1161" s="16"/>
      <c r="H1161" s="3" t="s">
        <v>6215</v>
      </c>
      <c r="I1161" s="3" t="s">
        <v>289</v>
      </c>
      <c r="K1161" s="17" t="s">
        <v>6216</v>
      </c>
      <c r="L1161" s="24">
        <v>-18.039923509549261</v>
      </c>
      <c r="M1161" s="24">
        <v>-16.760803435836358</v>
      </c>
      <c r="N1161" s="24">
        <v>-16.77776973902608</v>
      </c>
      <c r="O1161" s="24">
        <v>-19.488581278970649</v>
      </c>
      <c r="P1161" s="24">
        <v>-22.206824426837208</v>
      </c>
      <c r="Q1161" s="24">
        <v>-25.072163199275909</v>
      </c>
      <c r="R1161" s="24">
        <v>-28.107002512171089</v>
      </c>
      <c r="S1161" s="24">
        <v>-31.27452201307733</v>
      </c>
      <c r="T1161" s="24">
        <v>-34.56695739624476</v>
      </c>
      <c r="U1161" s="24">
        <v>-33.741890402341483</v>
      </c>
      <c r="V1161" s="24">
        <v>-32.95335217476773</v>
      </c>
      <c r="W1161" s="24">
        <v>-32.229705583602453</v>
      </c>
      <c r="X1161" s="24">
        <v>-31.55973180563613</v>
      </c>
      <c r="Y1161" s="24">
        <v>-30.911820367791911</v>
      </c>
      <c r="Z1161" s="24">
        <v>-30.295296081051109</v>
      </c>
      <c r="AA1161" s="24">
        <v>-29.706844420297049</v>
      </c>
      <c r="AB1161" s="24">
        <v>-29.145469077069482</v>
      </c>
      <c r="AC1161" s="24">
        <v>-28.610062811962539</v>
      </c>
      <c r="AD1161" s="24">
        <v>-28.09936528986286</v>
      </c>
      <c r="AE1161" s="24">
        <v>-27.612346495863381</v>
      </c>
      <c r="AG1161" s="17" t="s">
        <v>6217</v>
      </c>
      <c r="AH1161" s="24">
        <v>-18.039923509549261</v>
      </c>
      <c r="AI1161" s="24">
        <v>-16.75650986487237</v>
      </c>
      <c r="AJ1161" s="24">
        <v>-16.773633079331859</v>
      </c>
      <c r="AK1161" s="24">
        <v>-19.484590111218349</v>
      </c>
      <c r="AL1161" s="24">
        <v>-22.202948265597371</v>
      </c>
      <c r="AM1161" s="24">
        <v>-23.447494136057479</v>
      </c>
      <c r="AN1161" s="24">
        <v>-26.325297587892269</v>
      </c>
      <c r="AO1161" s="24">
        <v>-25.726964840182799</v>
      </c>
      <c r="AP1161" s="24">
        <v>-28.688620736797478</v>
      </c>
      <c r="AQ1161" s="24">
        <v>-27.96950898523745</v>
      </c>
      <c r="AR1161" s="24">
        <v>-27.272821396605451</v>
      </c>
      <c r="AS1161" s="24">
        <v>-26.633575311042161</v>
      </c>
      <c r="AT1161" s="24">
        <v>-26.028843449533859</v>
      </c>
      <c r="AU1161" s="24">
        <v>-25.450951662069759</v>
      </c>
      <c r="AV1161" s="24">
        <v>-24.902185378235689</v>
      </c>
      <c r="AW1161" s="24">
        <v>-24.381807440958479</v>
      </c>
      <c r="AX1161" s="24">
        <v>-23.882950509520551</v>
      </c>
      <c r="AY1161" s="24">
        <v>-23.40568598041563</v>
      </c>
      <c r="AZ1161" s="24">
        <v>-22.946894197374661</v>
      </c>
      <c r="BA1161" s="24">
        <v>-22.508281316570379</v>
      </c>
      <c r="BC1161" s="17" t="s">
        <v>6218</v>
      </c>
      <c r="BD1161" s="24">
        <v>-18.039923509549261</v>
      </c>
      <c r="BE1161" s="24">
        <v>-16.74769386666074</v>
      </c>
      <c r="BF1161" s="24">
        <v>-16.76513995280094</v>
      </c>
      <c r="BG1161" s="24">
        <v>-19.47639398690011</v>
      </c>
      <c r="BH1161" s="24">
        <v>-22.194978758965402</v>
      </c>
      <c r="BI1161" s="24">
        <v>-24.083508735235519</v>
      </c>
      <c r="BJ1161" s="24">
        <v>-26.099469210440709</v>
      </c>
      <c r="BK1161" s="24">
        <v>-24.71354914273531</v>
      </c>
      <c r="BL1161" s="24">
        <v>-23.51627268999216</v>
      </c>
      <c r="BM1161" s="24">
        <v>-22.465178102227039</v>
      </c>
      <c r="BN1161" s="24">
        <v>-21.463603426016039</v>
      </c>
      <c r="BO1161" s="24">
        <v>-20.5654408861148</v>
      </c>
      <c r="BP1161" s="24">
        <v>-19.704810093314538</v>
      </c>
      <c r="BQ1161" s="24">
        <v>-18.91322478984932</v>
      </c>
      <c r="BR1161" s="24">
        <v>-18.153410882252121</v>
      </c>
      <c r="BS1161" s="24">
        <v>-17.447637982714831</v>
      </c>
      <c r="BT1161" s="24">
        <v>-16.764233013662011</v>
      </c>
      <c r="BU1161" s="24">
        <v>-16.129179243535429</v>
      </c>
      <c r="BV1161" s="24">
        <v>-15.50490076913921</v>
      </c>
      <c r="BW1161" s="24">
        <v>-14.93146620338625</v>
      </c>
      <c r="BY1161" s="17" t="s">
        <v>6219</v>
      </c>
      <c r="BZ1161" s="24">
        <v>-18.039923509549261</v>
      </c>
      <c r="CA1161" s="24">
        <v>-16.737762907930001</v>
      </c>
      <c r="CB1161" s="24">
        <v>-16.755570469591301</v>
      </c>
      <c r="CC1161" s="24">
        <v>-19.467164406591309</v>
      </c>
      <c r="CD1161" s="24">
        <v>-22.186021822275801</v>
      </c>
      <c r="CE1161" s="24">
        <v>-23.168374906076838</v>
      </c>
      <c r="CF1161" s="24">
        <v>-26.13476353145056</v>
      </c>
      <c r="CG1161" s="24">
        <v>-29.239914864226289</v>
      </c>
      <c r="CH1161" s="24">
        <v>-32.467328315914067</v>
      </c>
      <c r="CI1161" s="24">
        <v>-31.542296839870541</v>
      </c>
      <c r="CJ1161" s="24">
        <v>-30.633784671772169</v>
      </c>
      <c r="CK1161" s="24">
        <v>-29.808840993063441</v>
      </c>
      <c r="CL1161" s="24">
        <v>-28.973175341105222</v>
      </c>
      <c r="CM1161" s="24">
        <v>-28.18361469281129</v>
      </c>
      <c r="CN1161" s="24">
        <v>-27.43345969639066</v>
      </c>
      <c r="CO1161" s="24">
        <v>-26.709551343180902</v>
      </c>
      <c r="CP1161" s="24">
        <v>-26.019194479682849</v>
      </c>
      <c r="CQ1161" s="24">
        <v>-25.359451346356781</v>
      </c>
      <c r="CR1161" s="24">
        <v>-24.723606738835549</v>
      </c>
      <c r="CS1161" s="24">
        <v>-24.118839721654791</v>
      </c>
      <c r="CU1161" s="17" t="s">
        <v>6220</v>
      </c>
      <c r="CV1161" s="24">
        <v>-18.039923509549261</v>
      </c>
      <c r="CW1161" s="24">
        <v>-16.751255693875841</v>
      </c>
      <c r="CX1161" s="24">
        <v>-16.7685711966359</v>
      </c>
      <c r="CY1161" s="24">
        <v>-19.479705583982859</v>
      </c>
      <c r="CZ1161" s="24">
        <v>-22.198200699382969</v>
      </c>
      <c r="DA1161" s="24">
        <v>-22.12118041697288</v>
      </c>
      <c r="DB1161" s="24">
        <v>-24.83827021521185</v>
      </c>
      <c r="DC1161" s="24">
        <v>-24.20108026044938</v>
      </c>
      <c r="DD1161" s="24">
        <v>-23.514883344776859</v>
      </c>
      <c r="DE1161" s="24">
        <v>-22.916632131772801</v>
      </c>
      <c r="DF1161" s="24">
        <v>-22.265804783037979</v>
      </c>
      <c r="DG1161" s="24">
        <v>-21.691000538265499</v>
      </c>
      <c r="DH1161" s="24">
        <v>-21.116854352680161</v>
      </c>
      <c r="DI1161" s="24">
        <v>-20.58254310833069</v>
      </c>
      <c r="DJ1161" s="24">
        <v>-20.065570409596319</v>
      </c>
      <c r="DK1161" s="24">
        <v>-19.58332012608896</v>
      </c>
      <c r="DL1161" s="24">
        <v>-19.111804993856779</v>
      </c>
      <c r="DM1161" s="24">
        <v>-18.66703461177838</v>
      </c>
      <c r="DN1161" s="24">
        <v>-18.231145954128159</v>
      </c>
      <c r="DO1161" s="24">
        <v>-17.820112332966019</v>
      </c>
    </row>
    <row r="1162" spans="1:230" x14ac:dyDescent="0.45">
      <c r="A1162" s="16" t="s">
        <v>6221</v>
      </c>
      <c r="B1162" s="3" t="s">
        <v>89</v>
      </c>
      <c r="C1162" s="16"/>
      <c r="H1162" s="3" t="s">
        <v>580</v>
      </c>
      <c r="I1162" s="3" t="s">
        <v>289</v>
      </c>
      <c r="K1162" s="17" t="s">
        <v>6222</v>
      </c>
      <c r="L1162" s="19">
        <v>390.75078480076098</v>
      </c>
      <c r="M1162" s="19">
        <v>390.75078480076098</v>
      </c>
      <c r="N1162" s="19">
        <v>390.75078480076098</v>
      </c>
      <c r="O1162" s="19">
        <v>390.75078480076098</v>
      </c>
      <c r="P1162" s="19">
        <v>390.75078480076098</v>
      </c>
      <c r="Q1162" s="19">
        <v>390.75078480076098</v>
      </c>
      <c r="R1162" s="19">
        <v>390.75078480076098</v>
      </c>
      <c r="S1162" s="19">
        <v>390.75078480076098</v>
      </c>
      <c r="T1162" s="19">
        <v>390.75078480076098</v>
      </c>
      <c r="U1162" s="19">
        <v>390.75078480076098</v>
      </c>
      <c r="V1162" s="19">
        <v>390.75078480076098</v>
      </c>
      <c r="W1162" s="19">
        <v>390.75078480076098</v>
      </c>
      <c r="X1162" s="19">
        <v>390.75078480076098</v>
      </c>
      <c r="Y1162" s="19">
        <v>390.75078480076098</v>
      </c>
      <c r="Z1162" s="19">
        <v>390.75078480076098</v>
      </c>
      <c r="AA1162" s="19">
        <v>390.75078480076098</v>
      </c>
      <c r="AB1162" s="19">
        <v>390.75078480076098</v>
      </c>
      <c r="AC1162" s="19">
        <v>390.75078480076098</v>
      </c>
      <c r="AD1162" s="19">
        <v>390.75078480076098</v>
      </c>
      <c r="AE1162" s="19">
        <v>390.75078480076098</v>
      </c>
      <c r="AG1162" s="17" t="s">
        <v>6223</v>
      </c>
      <c r="AH1162" s="19">
        <v>390.75078480076098</v>
      </c>
      <c r="AI1162" s="19">
        <v>390.75078480076098</v>
      </c>
      <c r="AJ1162" s="19">
        <v>390.75078480076098</v>
      </c>
      <c r="AK1162" s="19">
        <v>390.75078480076098</v>
      </c>
      <c r="AL1162" s="19">
        <v>390.75078480076098</v>
      </c>
      <c r="AM1162" s="19">
        <v>390.75078480076098</v>
      </c>
      <c r="AN1162" s="19">
        <v>390.75078480076098</v>
      </c>
      <c r="AO1162" s="19">
        <v>390.75078480076098</v>
      </c>
      <c r="AP1162" s="19">
        <v>390.75078480076098</v>
      </c>
      <c r="AQ1162" s="19">
        <v>390.75078480076098</v>
      </c>
      <c r="AR1162" s="19">
        <v>390.75078480076098</v>
      </c>
      <c r="AS1162" s="19">
        <v>390.75078480076098</v>
      </c>
      <c r="AT1162" s="19">
        <v>390.75078480076098</v>
      </c>
      <c r="AU1162" s="19">
        <v>390.75078480076098</v>
      </c>
      <c r="AV1162" s="19">
        <v>390.75078480076098</v>
      </c>
      <c r="AW1162" s="19">
        <v>390.75078480076098</v>
      </c>
      <c r="AX1162" s="19">
        <v>390.75078480076098</v>
      </c>
      <c r="AY1162" s="19">
        <v>390.75078480076098</v>
      </c>
      <c r="AZ1162" s="19">
        <v>390.75078480076098</v>
      </c>
      <c r="BA1162" s="19">
        <v>390.75078480076098</v>
      </c>
      <c r="BC1162" s="17" t="s">
        <v>6224</v>
      </c>
      <c r="BD1162" s="19">
        <v>390.75078480076098</v>
      </c>
      <c r="BE1162" s="19">
        <v>390.75078480076098</v>
      </c>
      <c r="BF1162" s="19">
        <v>390.75078480076098</v>
      </c>
      <c r="BG1162" s="19">
        <v>390.75078480076098</v>
      </c>
      <c r="BH1162" s="19">
        <v>390.75078480076098</v>
      </c>
      <c r="BI1162" s="19">
        <v>390.75078480076098</v>
      </c>
      <c r="BJ1162" s="19">
        <v>390.75078480076098</v>
      </c>
      <c r="BK1162" s="19">
        <v>390.75078480076098</v>
      </c>
      <c r="BL1162" s="19">
        <v>390.75078480076098</v>
      </c>
      <c r="BM1162" s="19">
        <v>390.75078480076098</v>
      </c>
      <c r="BN1162" s="19">
        <v>390.75078480076098</v>
      </c>
      <c r="BO1162" s="19">
        <v>390.75078480076098</v>
      </c>
      <c r="BP1162" s="19">
        <v>390.75078480076098</v>
      </c>
      <c r="BQ1162" s="19">
        <v>390.75078480076098</v>
      </c>
      <c r="BR1162" s="19">
        <v>390.75078480076098</v>
      </c>
      <c r="BS1162" s="19">
        <v>390.75078480076098</v>
      </c>
      <c r="BT1162" s="19">
        <v>390.75078480076098</v>
      </c>
      <c r="BU1162" s="19">
        <v>390.75078480076098</v>
      </c>
      <c r="BV1162" s="19">
        <v>390.75078480076098</v>
      </c>
      <c r="BW1162" s="19">
        <v>390.75078480076098</v>
      </c>
      <c r="BY1162" s="17" t="s">
        <v>6225</v>
      </c>
      <c r="BZ1162" s="19">
        <v>390.75078480076098</v>
      </c>
      <c r="CA1162" s="19">
        <v>390.75078480076098</v>
      </c>
      <c r="CB1162" s="19">
        <v>390.75078480076098</v>
      </c>
      <c r="CC1162" s="19">
        <v>390.75078480076098</v>
      </c>
      <c r="CD1162" s="19">
        <v>390.75078480076098</v>
      </c>
      <c r="CE1162" s="19">
        <v>390.75078480076098</v>
      </c>
      <c r="CF1162" s="19">
        <v>390.75078480076098</v>
      </c>
      <c r="CG1162" s="19">
        <v>390.75078480076098</v>
      </c>
      <c r="CH1162" s="19">
        <v>390.75078480076098</v>
      </c>
      <c r="CI1162" s="19">
        <v>390.75078480076098</v>
      </c>
      <c r="CJ1162" s="19">
        <v>390.75078480076098</v>
      </c>
      <c r="CK1162" s="19">
        <v>390.75078480076098</v>
      </c>
      <c r="CL1162" s="19">
        <v>390.75078480076098</v>
      </c>
      <c r="CM1162" s="19">
        <v>390.75078480076098</v>
      </c>
      <c r="CN1162" s="19">
        <v>390.75078480076098</v>
      </c>
      <c r="CO1162" s="19">
        <v>390.75078480076098</v>
      </c>
      <c r="CP1162" s="19">
        <v>390.75078480076098</v>
      </c>
      <c r="CQ1162" s="19">
        <v>390.75078480076098</v>
      </c>
      <c r="CR1162" s="19">
        <v>390.75078480076098</v>
      </c>
      <c r="CS1162" s="19">
        <v>390.75078480076098</v>
      </c>
      <c r="CU1162" s="17" t="s">
        <v>6226</v>
      </c>
      <c r="CV1162" s="19">
        <v>390.75078480076098</v>
      </c>
      <c r="CW1162" s="19">
        <v>390.75078480076098</v>
      </c>
      <c r="CX1162" s="19">
        <v>390.75078480076098</v>
      </c>
      <c r="CY1162" s="19">
        <v>390.75078480076098</v>
      </c>
      <c r="CZ1162" s="19">
        <v>390.75078480076098</v>
      </c>
      <c r="DA1162" s="19">
        <v>390.75078480076098</v>
      </c>
      <c r="DB1162" s="19">
        <v>390.75078480076098</v>
      </c>
      <c r="DC1162" s="19">
        <v>390.75078480076098</v>
      </c>
      <c r="DD1162" s="19">
        <v>390.75078480076098</v>
      </c>
      <c r="DE1162" s="19">
        <v>390.75078480076098</v>
      </c>
      <c r="DF1162" s="19">
        <v>390.75078480076098</v>
      </c>
      <c r="DG1162" s="19">
        <v>390.75078480076098</v>
      </c>
      <c r="DH1162" s="19">
        <v>390.75078480076098</v>
      </c>
      <c r="DI1162" s="19">
        <v>390.75078480076098</v>
      </c>
      <c r="DJ1162" s="19">
        <v>390.75078480076098</v>
      </c>
      <c r="DK1162" s="19">
        <v>390.75078480076098</v>
      </c>
      <c r="DL1162" s="19">
        <v>390.75078480076098</v>
      </c>
      <c r="DM1162" s="19">
        <v>390.75078480076098</v>
      </c>
      <c r="DN1162" s="19">
        <v>390.75078480076098</v>
      </c>
      <c r="DO1162" s="19">
        <v>390.75078480076098</v>
      </c>
    </row>
    <row r="1163" spans="1:230" x14ac:dyDescent="0.45">
      <c r="A1163" s="16" t="s">
        <v>6227</v>
      </c>
      <c r="B1163" s="3" t="s">
        <v>89</v>
      </c>
      <c r="C1163" s="16"/>
      <c r="H1163" s="3" t="s">
        <v>6228</v>
      </c>
      <c r="I1163" s="3" t="s">
        <v>175</v>
      </c>
      <c r="K1163" s="17" t="s">
        <v>6229</v>
      </c>
      <c r="L1163" s="26">
        <v>0</v>
      </c>
      <c r="M1163" s="26">
        <v>0</v>
      </c>
      <c r="N1163" s="26">
        <v>0</v>
      </c>
      <c r="O1163" s="26">
        <v>0</v>
      </c>
      <c r="P1163" s="26">
        <v>0</v>
      </c>
      <c r="Q1163" s="26">
        <v>0</v>
      </c>
      <c r="R1163" s="26">
        <v>0</v>
      </c>
      <c r="S1163" s="26">
        <v>0</v>
      </c>
      <c r="T1163" s="26">
        <v>0</v>
      </c>
      <c r="U1163" s="26">
        <v>0</v>
      </c>
      <c r="V1163" s="26">
        <v>0</v>
      </c>
      <c r="W1163" s="26">
        <v>0</v>
      </c>
      <c r="X1163" s="26">
        <v>0</v>
      </c>
      <c r="Y1163" s="26">
        <v>0</v>
      </c>
      <c r="Z1163" s="26">
        <v>0</v>
      </c>
      <c r="AA1163" s="26">
        <v>0</v>
      </c>
      <c r="AB1163" s="26">
        <v>0</v>
      </c>
      <c r="AC1163" s="26">
        <v>0</v>
      </c>
      <c r="AD1163" s="26">
        <v>0</v>
      </c>
      <c r="AE1163" s="26">
        <v>0</v>
      </c>
      <c r="AG1163" s="17" t="s">
        <v>6230</v>
      </c>
      <c r="AH1163" s="26">
        <v>0</v>
      </c>
      <c r="AI1163" s="26">
        <v>4.8357584412885268E-4</v>
      </c>
      <c r="AJ1163" s="26">
        <v>4.2135768934752023E-4</v>
      </c>
      <c r="AK1163" s="26">
        <v>3.8739865778584192E-4</v>
      </c>
      <c r="AL1163" s="26">
        <v>3.7918680526152868E-4</v>
      </c>
      <c r="AM1163" s="26">
        <v>0.24760194009921471</v>
      </c>
      <c r="AN1163" s="26">
        <v>0.3227739211231157</v>
      </c>
      <c r="AO1163" s="26">
        <v>0.30764751618692548</v>
      </c>
      <c r="AP1163" s="26">
        <v>0.31692904946503769</v>
      </c>
      <c r="AQ1163" s="26">
        <v>0.30912000297065179</v>
      </c>
      <c r="AR1163" s="26">
        <v>0.3114054831084162</v>
      </c>
      <c r="AS1163" s="26">
        <v>0.30732005610969942</v>
      </c>
      <c r="AT1163" s="26">
        <v>0.30842823923102353</v>
      </c>
      <c r="AU1163" s="26">
        <v>0.30718835913998671</v>
      </c>
      <c r="AV1163" s="26">
        <v>0.30569345850696772</v>
      </c>
      <c r="AW1163" s="26">
        <v>0.30330933382981867</v>
      </c>
      <c r="AX1163" s="26">
        <v>0.30207845308439951</v>
      </c>
      <c r="AY1163" s="26">
        <v>0.3013168926850695</v>
      </c>
      <c r="AZ1163" s="26">
        <v>0.30191426920885628</v>
      </c>
      <c r="BA1163" s="26">
        <v>0.30281396578472219</v>
      </c>
      <c r="BC1163" s="17" t="s">
        <v>6231</v>
      </c>
      <c r="BD1163" s="26">
        <v>0</v>
      </c>
      <c r="BE1163" s="26">
        <v>1.6740803569401E-3</v>
      </c>
      <c r="BF1163" s="26">
        <v>1.4586227492643621E-3</v>
      </c>
      <c r="BG1163" s="26">
        <v>1.341004612822029E-3</v>
      </c>
      <c r="BH1163" s="26">
        <v>1.3107208968916101E-3</v>
      </c>
      <c r="BI1163" s="26">
        <v>0.16039505539353341</v>
      </c>
      <c r="BJ1163" s="26">
        <v>0.36301157158645009</v>
      </c>
      <c r="BK1163" s="26">
        <v>0.55109930696461185</v>
      </c>
      <c r="BL1163" s="26">
        <v>0.68368877042461784</v>
      </c>
      <c r="BM1163" s="26">
        <v>0.75896221038878131</v>
      </c>
      <c r="BN1163" s="26">
        <v>0.84739455798969643</v>
      </c>
      <c r="BO1163" s="26">
        <v>0.92160509023380743</v>
      </c>
      <c r="BP1163" s="26">
        <v>1.0003098480848751</v>
      </c>
      <c r="BQ1163" s="26">
        <v>1.0638364533481739</v>
      </c>
      <c r="BR1163" s="26">
        <v>1.130480570754836</v>
      </c>
      <c r="BS1163" s="26">
        <v>1.1842311951653379</v>
      </c>
      <c r="BT1163" s="26">
        <v>1.24249321821239</v>
      </c>
      <c r="BU1163" s="26">
        <v>1.2881137670817979</v>
      </c>
      <c r="BV1163" s="26">
        <v>1.3421274978371449</v>
      </c>
      <c r="BW1163" s="26">
        <v>1.38025364248176</v>
      </c>
      <c r="BY1163" s="17" t="s">
        <v>6232</v>
      </c>
      <c r="BZ1163" s="26">
        <v>0</v>
      </c>
      <c r="CA1163" s="26">
        <v>2.8402391117565711E-3</v>
      </c>
      <c r="CB1163" s="26">
        <v>2.475968029976479E-3</v>
      </c>
      <c r="CC1163" s="26">
        <v>2.2775132885181851E-3</v>
      </c>
      <c r="CD1163" s="26">
        <v>2.228119105550529E-3</v>
      </c>
      <c r="CE1163" s="26">
        <v>0.28085956980481308</v>
      </c>
      <c r="CF1163" s="26">
        <v>0.28833432115658519</v>
      </c>
      <c r="CG1163" s="26">
        <v>0.29409442738239072</v>
      </c>
      <c r="CH1163" s="26">
        <v>0.30295214067551107</v>
      </c>
      <c r="CI1163" s="26">
        <v>0.31784564680676142</v>
      </c>
      <c r="CJ1163" s="26">
        <v>0.34165926872152352</v>
      </c>
      <c r="CK1163" s="26">
        <v>0.35367537575713631</v>
      </c>
      <c r="CL1163" s="26">
        <v>0.39042522911399491</v>
      </c>
      <c r="CM1163" s="26">
        <v>0.42059211253524192</v>
      </c>
      <c r="CN1163" s="26">
        <v>0.44596743132248662</v>
      </c>
      <c r="CO1163" s="26">
        <v>0.47433812154556088</v>
      </c>
      <c r="CP1163" s="26">
        <v>0.49929084059409468</v>
      </c>
      <c r="CQ1163" s="26">
        <v>0.52252979499173413</v>
      </c>
      <c r="CR1163" s="26">
        <v>0.54688773259352941</v>
      </c>
      <c r="CS1163" s="26">
        <v>0.5683978070317981</v>
      </c>
      <c r="CU1163" s="17" t="s">
        <v>6233</v>
      </c>
      <c r="CV1163" s="26">
        <v>0</v>
      </c>
      <c r="CW1163" s="26">
        <v>1.1535419071531351E-3</v>
      </c>
      <c r="CX1163" s="26">
        <v>1.005098023729065E-3</v>
      </c>
      <c r="CY1163" s="26">
        <v>9.240685270228287E-4</v>
      </c>
      <c r="CZ1163" s="26">
        <v>9.0374949941874185E-4</v>
      </c>
      <c r="DA1163" s="26">
        <v>0.487303072696674</v>
      </c>
      <c r="DB1163" s="26">
        <v>0.64616544876879267</v>
      </c>
      <c r="DC1163" s="26">
        <v>0.63011295802584455</v>
      </c>
      <c r="DD1163" s="26">
        <v>0.65615601260651901</v>
      </c>
      <c r="DE1163" s="26">
        <v>0.62269879274098405</v>
      </c>
      <c r="DF1163" s="26">
        <v>0.6460832861496062</v>
      </c>
      <c r="DG1163" s="26">
        <v>0.65190926286748896</v>
      </c>
      <c r="DH1163" s="26">
        <v>0.67394844605169668</v>
      </c>
      <c r="DI1163" s="26">
        <v>0.6863699734161598</v>
      </c>
      <c r="DJ1163" s="26">
        <v>0.70301908055028794</v>
      </c>
      <c r="DK1163" s="26">
        <v>0.71244859568774532</v>
      </c>
      <c r="DL1163" s="26">
        <v>0.72737741536656886</v>
      </c>
      <c r="DM1163" s="26">
        <v>0.73738186201988132</v>
      </c>
      <c r="DN1163" s="26">
        <v>0.7524356132250829</v>
      </c>
      <c r="DO1163" s="26">
        <v>0.76314906210225664</v>
      </c>
    </row>
    <row r="1164" spans="1:230" ht="15.4" x14ac:dyDescent="0.45">
      <c r="A1164" s="5"/>
      <c r="B1164" s="15" t="s">
        <v>6234</v>
      </c>
      <c r="C1164" s="5"/>
      <c r="D1164" s="5"/>
      <c r="E1164" s="5"/>
      <c r="F1164" s="5"/>
      <c r="G1164" s="5"/>
      <c r="H1164" s="5"/>
      <c r="I1164" s="5"/>
      <c r="J1164" s="5"/>
      <c r="K1164" s="5"/>
      <c r="L1164" s="5"/>
      <c r="M1164" s="5"/>
      <c r="N1164" s="5"/>
      <c r="O1164" s="5"/>
      <c r="P1164" s="5"/>
      <c r="Q1164" s="5"/>
      <c r="R1164" s="5"/>
      <c r="S1164" s="5"/>
      <c r="T1164" s="5"/>
      <c r="U1164" s="5"/>
      <c r="V1164" s="5"/>
      <c r="W1164" s="5"/>
      <c r="X1164" s="5"/>
      <c r="Y1164" s="5"/>
      <c r="Z1164" s="5"/>
      <c r="AA1164" s="5"/>
      <c r="AB1164" s="5"/>
      <c r="AC1164" s="5"/>
      <c r="AD1164" s="5"/>
      <c r="AE1164" s="5"/>
      <c r="AF1164" s="5"/>
      <c r="AG1164" s="5"/>
      <c r="AH1164" s="5"/>
      <c r="AI1164" s="5"/>
      <c r="AJ1164" s="5"/>
      <c r="AK1164" s="5"/>
      <c r="AL1164" s="5"/>
      <c r="AM1164" s="5"/>
      <c r="AN1164" s="5"/>
      <c r="AO1164" s="5"/>
      <c r="AP1164" s="5"/>
      <c r="AQ1164" s="5"/>
      <c r="AR1164" s="5"/>
      <c r="AS1164" s="5"/>
      <c r="AT1164" s="5"/>
      <c r="AU1164" s="5"/>
      <c r="AV1164" s="5"/>
      <c r="AW1164" s="5"/>
      <c r="AX1164" s="5"/>
      <c r="AY1164" s="5"/>
      <c r="AZ1164" s="5"/>
      <c r="BA1164" s="5"/>
      <c r="BB1164" s="5"/>
      <c r="BC1164" s="5"/>
      <c r="BD1164" s="5"/>
      <c r="BE1164" s="5"/>
      <c r="BF1164" s="5"/>
      <c r="BG1164" s="5"/>
      <c r="BH1164" s="5"/>
      <c r="BI1164" s="5"/>
      <c r="BJ1164" s="5"/>
      <c r="BK1164" s="5"/>
      <c r="BL1164" s="5"/>
      <c r="BM1164" s="5"/>
      <c r="BN1164" s="5"/>
      <c r="BO1164" s="5"/>
      <c r="BP1164" s="5"/>
      <c r="BQ1164" s="5"/>
      <c r="BR1164" s="5"/>
      <c r="BS1164" s="5"/>
      <c r="BT1164" s="5"/>
      <c r="BU1164" s="5"/>
      <c r="BV1164" s="5"/>
      <c r="BW1164" s="5"/>
      <c r="BX1164" s="5"/>
      <c r="BY1164" s="5"/>
      <c r="BZ1164" s="5"/>
      <c r="CA1164" s="5"/>
      <c r="CB1164" s="5"/>
      <c r="CC1164" s="5"/>
      <c r="CD1164" s="5"/>
      <c r="CE1164" s="5"/>
      <c r="CF1164" s="5"/>
      <c r="CG1164" s="5"/>
      <c r="CH1164" s="5"/>
      <c r="CI1164" s="5"/>
      <c r="CJ1164" s="5"/>
      <c r="CK1164" s="5"/>
      <c r="CL1164" s="5"/>
      <c r="CM1164" s="5"/>
      <c r="CN1164" s="5"/>
      <c r="CO1164" s="5"/>
      <c r="CP1164" s="5"/>
      <c r="CQ1164" s="5"/>
      <c r="CR1164" s="5"/>
      <c r="CS1164" s="5"/>
      <c r="CT1164" s="5"/>
      <c r="CU1164" s="5"/>
      <c r="CV1164" s="5"/>
      <c r="CW1164" s="5"/>
      <c r="CX1164" s="5"/>
      <c r="CY1164" s="5"/>
      <c r="CZ1164" s="5"/>
      <c r="DA1164" s="5"/>
      <c r="DB1164" s="5"/>
      <c r="DC1164" s="5"/>
      <c r="DD1164" s="5"/>
      <c r="DE1164" s="5"/>
      <c r="DF1164" s="5"/>
      <c r="DG1164" s="5"/>
      <c r="DH1164" s="5"/>
      <c r="DI1164" s="5"/>
      <c r="DJ1164" s="5"/>
      <c r="DK1164" s="5"/>
      <c r="DL1164" s="5"/>
      <c r="DM1164" s="5"/>
      <c r="DN1164" s="5"/>
      <c r="DO1164" s="5"/>
      <c r="DP1164" s="5"/>
      <c r="DQ1164" s="5"/>
      <c r="DR1164" s="5"/>
      <c r="DS1164" s="5"/>
      <c r="DT1164" s="5"/>
      <c r="DU1164" s="5"/>
      <c r="DV1164" s="5"/>
      <c r="DW1164" s="5"/>
      <c r="DX1164" s="5"/>
      <c r="DY1164" s="5"/>
      <c r="DZ1164" s="5"/>
      <c r="EA1164" s="5"/>
      <c r="EB1164" s="5"/>
      <c r="EC1164" s="5"/>
      <c r="ED1164" s="5"/>
      <c r="EE1164" s="5"/>
      <c r="EF1164" s="5"/>
      <c r="EG1164" s="5"/>
      <c r="EH1164" s="5"/>
      <c r="EI1164" s="5"/>
      <c r="EJ1164" s="5"/>
      <c r="EK1164" s="5"/>
      <c r="EL1164" s="5"/>
      <c r="EM1164" s="5"/>
      <c r="EN1164" s="5"/>
      <c r="EO1164" s="5"/>
      <c r="EP1164" s="5"/>
      <c r="EQ1164" s="5"/>
      <c r="ER1164" s="5"/>
      <c r="ES1164" s="5"/>
      <c r="ET1164" s="5"/>
      <c r="EU1164" s="5"/>
      <c r="EV1164" s="5"/>
      <c r="EW1164" s="5"/>
      <c r="EX1164" s="5"/>
      <c r="EY1164" s="5"/>
      <c r="EZ1164" s="5"/>
      <c r="FA1164" s="5"/>
      <c r="FB1164" s="5"/>
      <c r="FC1164" s="5"/>
      <c r="FD1164" s="5"/>
      <c r="FE1164" s="5"/>
      <c r="FF1164" s="5"/>
      <c r="FG1164" s="5"/>
      <c r="FH1164" s="5"/>
      <c r="FI1164" s="5"/>
      <c r="FJ1164" s="5"/>
      <c r="FK1164" s="5"/>
      <c r="FL1164" s="5"/>
      <c r="FM1164" s="5"/>
      <c r="FN1164" s="5"/>
      <c r="FO1164" s="5"/>
      <c r="FP1164" s="5"/>
      <c r="FQ1164" s="5"/>
      <c r="FR1164" s="5"/>
      <c r="FS1164" s="5"/>
      <c r="FT1164" s="5"/>
      <c r="FU1164" s="5"/>
      <c r="FV1164" s="5"/>
      <c r="FW1164" s="5"/>
      <c r="FX1164" s="5"/>
      <c r="FY1164" s="5"/>
      <c r="FZ1164" s="5"/>
      <c r="GA1164" s="5"/>
      <c r="GB1164" s="5"/>
      <c r="GC1164" s="5"/>
      <c r="GD1164" s="5"/>
      <c r="GE1164" s="5"/>
      <c r="GF1164" s="5"/>
      <c r="GG1164" s="5"/>
      <c r="GH1164" s="5"/>
      <c r="GI1164" s="5"/>
      <c r="GJ1164" s="5"/>
      <c r="GK1164" s="5"/>
      <c r="GL1164" s="5"/>
      <c r="GM1164" s="5"/>
      <c r="GN1164" s="5"/>
      <c r="GO1164" s="5"/>
      <c r="GP1164" s="5"/>
      <c r="GQ1164" s="5"/>
      <c r="GR1164" s="5"/>
      <c r="GS1164" s="5"/>
      <c r="GT1164" s="5"/>
      <c r="GU1164" s="5"/>
      <c r="GV1164" s="5"/>
      <c r="GW1164" s="5"/>
      <c r="GX1164" s="5"/>
      <c r="GY1164" s="5"/>
      <c r="GZ1164" s="5"/>
      <c r="HA1164" s="5"/>
      <c r="HB1164" s="5"/>
      <c r="HC1164" s="5"/>
      <c r="HD1164" s="5"/>
      <c r="HE1164" s="5"/>
      <c r="HF1164" s="5"/>
      <c r="HG1164" s="5"/>
      <c r="HH1164" s="5"/>
      <c r="HI1164" s="5"/>
      <c r="HJ1164" s="5"/>
      <c r="HK1164" s="5"/>
      <c r="HL1164" s="5"/>
      <c r="HM1164" s="5"/>
      <c r="HN1164" s="5"/>
      <c r="HO1164" s="5"/>
      <c r="HP1164" s="5"/>
      <c r="HQ1164" s="5"/>
      <c r="HR1164" s="5"/>
      <c r="HS1164" s="5"/>
      <c r="HT1164" s="5"/>
      <c r="HU1164" s="5"/>
      <c r="HV1164" s="5"/>
    </row>
    <row r="1165" spans="1:230" x14ac:dyDescent="0.45">
      <c r="A1165" s="16" t="s">
        <v>6235</v>
      </c>
      <c r="B1165" s="3" t="s">
        <v>89</v>
      </c>
      <c r="C1165" s="16"/>
      <c r="H1165" s="3" t="s">
        <v>232</v>
      </c>
      <c r="I1165" s="3" t="s">
        <v>233</v>
      </c>
      <c r="K1165" s="17" t="s">
        <v>6236</v>
      </c>
      <c r="L1165" s="21">
        <v>0</v>
      </c>
      <c r="M1165" s="21">
        <v>0</v>
      </c>
      <c r="N1165" s="21">
        <v>0</v>
      </c>
      <c r="O1165" s="21">
        <v>0</v>
      </c>
      <c r="P1165" s="21">
        <v>0</v>
      </c>
      <c r="Q1165" s="21">
        <v>0</v>
      </c>
      <c r="R1165" s="21">
        <v>0</v>
      </c>
      <c r="S1165" s="21">
        <v>0</v>
      </c>
      <c r="T1165" s="21">
        <v>0</v>
      </c>
      <c r="U1165" s="21">
        <v>0</v>
      </c>
      <c r="V1165" s="21">
        <v>0</v>
      </c>
      <c r="W1165" s="21">
        <v>0</v>
      </c>
      <c r="X1165" s="21">
        <v>0</v>
      </c>
      <c r="Y1165" s="21">
        <v>0</v>
      </c>
      <c r="Z1165" s="21">
        <v>0</v>
      </c>
      <c r="AA1165" s="21">
        <v>0</v>
      </c>
      <c r="AB1165" s="21">
        <v>0</v>
      </c>
      <c r="AC1165" s="21">
        <v>0</v>
      </c>
      <c r="AD1165" s="21">
        <v>0</v>
      </c>
      <c r="AE1165" s="21">
        <v>0</v>
      </c>
      <c r="AG1165" s="17" t="s">
        <v>6237</v>
      </c>
      <c r="AH1165" s="21">
        <v>0</v>
      </c>
      <c r="AI1165" s="21">
        <v>1.185544364064951E-5</v>
      </c>
      <c r="AJ1165" s="21">
        <v>1.3324948240890651E-5</v>
      </c>
      <c r="AK1165" s="21">
        <v>1.26042764380686E-5</v>
      </c>
      <c r="AL1165" s="21">
        <v>1.267764193102298E-5</v>
      </c>
      <c r="AM1165" s="21">
        <v>1.261657316771903E-2</v>
      </c>
      <c r="AN1165" s="21">
        <v>1.499557580039999E-2</v>
      </c>
      <c r="AO1165" s="21">
        <v>1.4224493005533981E-2</v>
      </c>
      <c r="AP1165" s="21">
        <v>1.403706654161389E-2</v>
      </c>
      <c r="AQ1165" s="21">
        <v>1.3133231135454169E-2</v>
      </c>
      <c r="AR1165" s="21">
        <v>1.2665893272181421E-2</v>
      </c>
      <c r="AS1165" s="21">
        <v>1.224637408519854E-2</v>
      </c>
      <c r="AT1165" s="21">
        <v>1.191204063300773E-2</v>
      </c>
      <c r="AU1165" s="21">
        <v>1.1565664691588359E-2</v>
      </c>
      <c r="AV1165" s="21">
        <v>1.122710199356438E-2</v>
      </c>
      <c r="AW1165" s="21">
        <v>1.0888185022071751E-2</v>
      </c>
      <c r="AX1165" s="21">
        <v>1.058401763665168E-2</v>
      </c>
      <c r="AY1165" s="21">
        <v>1.0301034005533611E-2</v>
      </c>
      <c r="AZ1165" s="21">
        <v>1.005380320491533E-2</v>
      </c>
      <c r="BA1165" s="21">
        <v>9.8226142451202057E-3</v>
      </c>
      <c r="BC1165" s="17" t="s">
        <v>6238</v>
      </c>
      <c r="BD1165" s="21">
        <v>0</v>
      </c>
      <c r="BE1165" s="21">
        <v>4.0952226609380678E-5</v>
      </c>
      <c r="BF1165" s="21">
        <v>4.554567015364838E-5</v>
      </c>
      <c r="BG1165" s="21">
        <v>4.3120856786665833E-5</v>
      </c>
      <c r="BH1165" s="21">
        <v>4.3234600529050918E-5</v>
      </c>
      <c r="BI1165" s="21">
        <v>7.2023485351359433E-3</v>
      </c>
      <c r="BJ1165" s="21">
        <v>1.6020162979748551E-2</v>
      </c>
      <c r="BK1165" s="21">
        <v>2.3431403990586169E-2</v>
      </c>
      <c r="BL1165" s="21">
        <v>2.8818982625900949E-2</v>
      </c>
      <c r="BM1165" s="21">
        <v>3.2377317126711221E-2</v>
      </c>
      <c r="BN1165" s="21">
        <v>3.5651259567140339E-2</v>
      </c>
      <c r="BO1165" s="21">
        <v>3.8795874460908153E-2</v>
      </c>
      <c r="BP1165" s="21">
        <v>4.1387551206021382E-2</v>
      </c>
      <c r="BQ1165" s="21">
        <v>4.3536203049423502E-2</v>
      </c>
      <c r="BR1165" s="21">
        <v>4.5315327587864378E-2</v>
      </c>
      <c r="BS1165" s="21">
        <v>4.6757736777178177E-2</v>
      </c>
      <c r="BT1165" s="21">
        <v>4.7911725732678781E-2</v>
      </c>
      <c r="BU1165" s="21">
        <v>4.8850747375187707E-2</v>
      </c>
      <c r="BV1165" s="21">
        <v>4.9538389304794143E-2</v>
      </c>
      <c r="BW1165" s="21">
        <v>5.013400809489376E-2</v>
      </c>
      <c r="BY1165" s="17" t="s">
        <v>6239</v>
      </c>
      <c r="BZ1165" s="21">
        <v>0</v>
      </c>
      <c r="CA1165" s="21">
        <v>6.9520335430725918E-5</v>
      </c>
      <c r="CB1165" s="21">
        <v>7.7654868658170607E-5</v>
      </c>
      <c r="CC1165" s="21">
        <v>7.354086128576366E-5</v>
      </c>
      <c r="CD1165" s="21">
        <v>7.3824755273869762E-5</v>
      </c>
      <c r="CE1165" s="21">
        <v>1.081536756756178E-2</v>
      </c>
      <c r="CF1165" s="21">
        <v>1.038026654915266E-2</v>
      </c>
      <c r="CG1165" s="21">
        <v>1.0033301344459299E-2</v>
      </c>
      <c r="CH1165" s="21">
        <v>9.7911358883416601E-3</v>
      </c>
      <c r="CI1165" s="21">
        <v>9.6200516882482285E-3</v>
      </c>
      <c r="CJ1165" s="21">
        <v>9.7249712809800177E-3</v>
      </c>
      <c r="CK1165" s="21">
        <v>9.6138530193307474E-3</v>
      </c>
      <c r="CL1165" s="21">
        <v>9.9344138741087849E-3</v>
      </c>
      <c r="CM1165" s="21">
        <v>1.0137711532190501E-2</v>
      </c>
      <c r="CN1165" s="21">
        <v>1.022831507842647E-2</v>
      </c>
      <c r="CO1165" s="21">
        <v>1.03663524700469E-2</v>
      </c>
      <c r="CP1165" s="21">
        <v>1.0440799564414179E-2</v>
      </c>
      <c r="CQ1165" s="21">
        <v>1.0476797476144519E-2</v>
      </c>
      <c r="CR1165" s="21">
        <v>1.0534053539951641E-2</v>
      </c>
      <c r="CS1165" s="21">
        <v>1.0544474609574981E-2</v>
      </c>
      <c r="CU1165" s="17" t="s">
        <v>6240</v>
      </c>
      <c r="CV1165" s="21">
        <v>0</v>
      </c>
      <c r="CW1165" s="21">
        <v>2.8244898731611178E-5</v>
      </c>
      <c r="CX1165" s="21">
        <v>3.1555962318978429E-5</v>
      </c>
      <c r="CY1165" s="21">
        <v>2.986464927496437E-5</v>
      </c>
      <c r="CZ1165" s="21">
        <v>2.9984333984812469E-5</v>
      </c>
      <c r="DA1165" s="21">
        <v>2.701648040895259E-2</v>
      </c>
      <c r="DB1165" s="21">
        <v>3.1141429445546469E-2</v>
      </c>
      <c r="DC1165" s="21">
        <v>2.992965639002676E-2</v>
      </c>
      <c r="DD1165" s="21">
        <v>2.946350596343382E-2</v>
      </c>
      <c r="DE1165" s="21">
        <v>2.7698757580724501E-2</v>
      </c>
      <c r="DF1165" s="21">
        <v>2.6808573481316801E-2</v>
      </c>
      <c r="DG1165" s="21">
        <v>2.6122340436959709E-2</v>
      </c>
      <c r="DH1165" s="21">
        <v>2.553583529583019E-2</v>
      </c>
      <c r="DI1165" s="21">
        <v>2.486386332266264E-2</v>
      </c>
      <c r="DJ1165" s="21">
        <v>2.4257364359931938E-2</v>
      </c>
      <c r="DK1165" s="21">
        <v>2.3585168422119301E-2</v>
      </c>
      <c r="DL1165" s="21">
        <v>2.3011016376492339E-2</v>
      </c>
      <c r="DM1165" s="21">
        <v>2.2413224683349831E-2</v>
      </c>
      <c r="DN1165" s="21">
        <v>2.1911881676231929E-2</v>
      </c>
      <c r="DO1165" s="21">
        <v>2.1394554240351211E-2</v>
      </c>
    </row>
    <row r="1166" spans="1:230" x14ac:dyDescent="0.45">
      <c r="A1166" s="16" t="s">
        <v>6241</v>
      </c>
      <c r="B1166" s="3" t="s">
        <v>89</v>
      </c>
      <c r="C1166" s="16"/>
      <c r="H1166" s="3" t="s">
        <v>232</v>
      </c>
      <c r="I1166" s="3" t="s">
        <v>233</v>
      </c>
      <c r="K1166" s="17" t="s">
        <v>6242</v>
      </c>
      <c r="L1166" s="21">
        <v>-8.3160742032836465E-2</v>
      </c>
      <c r="M1166" s="21">
        <v>-7.2975119135187172E-2</v>
      </c>
      <c r="N1166" s="21">
        <v>-8.1499462251317809E-2</v>
      </c>
      <c r="O1166" s="21">
        <v>-7.4682494400038227E-2</v>
      </c>
      <c r="P1166" s="21">
        <v>-7.9876566957509443E-2</v>
      </c>
      <c r="Q1166" s="21">
        <v>-7.2355280440146955E-2</v>
      </c>
      <c r="R1166" s="21">
        <v>-6.9067568650135205E-2</v>
      </c>
      <c r="S1166" s="21">
        <v>-6.6825410343122393E-2</v>
      </c>
      <c r="T1166" s="21">
        <v>-6.4526854841439218E-2</v>
      </c>
      <c r="U1166" s="21">
        <v>-6.1864828505244093E-2</v>
      </c>
      <c r="V1166" s="21">
        <v>-6.0006601426082003E-2</v>
      </c>
      <c r="W1166" s="21">
        <v>-5.8918601647239242E-2</v>
      </c>
      <c r="X1166" s="21">
        <v>-5.7768745139317262E-2</v>
      </c>
      <c r="Y1166" s="21">
        <v>-5.6726219467611347E-2</v>
      </c>
      <c r="Z1166" s="21">
        <v>-5.5715582553514012E-2</v>
      </c>
      <c r="AA1166" s="21">
        <v>-5.4741935315976847E-2</v>
      </c>
      <c r="AB1166" s="21">
        <v>-5.3801751462520551E-2</v>
      </c>
      <c r="AC1166" s="21">
        <v>-5.2894064476091893E-2</v>
      </c>
      <c r="AD1166" s="21">
        <v>-5.2019409244373482E-2</v>
      </c>
      <c r="AE1166" s="21">
        <v>-5.1177016495600233E-2</v>
      </c>
      <c r="AG1166" s="17" t="s">
        <v>6243</v>
      </c>
      <c r="AH1166" s="21">
        <v>-8.3160742032836465E-2</v>
      </c>
      <c r="AI1166" s="21">
        <v>-7.2963263691546529E-2</v>
      </c>
      <c r="AJ1166" s="21">
        <v>-8.1486137303076925E-2</v>
      </c>
      <c r="AK1166" s="21">
        <v>-7.4669890123600161E-2</v>
      </c>
      <c r="AL1166" s="21">
        <v>-7.9863889315578432E-2</v>
      </c>
      <c r="AM1166" s="21">
        <v>-6.7223050626683198E-2</v>
      </c>
      <c r="AN1166" s="21">
        <v>-6.1086985182214573E-2</v>
      </c>
      <c r="AO1166" s="21">
        <v>-5.9520805561735383E-2</v>
      </c>
      <c r="AP1166" s="21">
        <v>-5.7211923323476882E-2</v>
      </c>
      <c r="AQ1166" s="21">
        <v>-5.524841850658329E-2</v>
      </c>
      <c r="AR1166" s="21">
        <v>-5.3618681440550188E-2</v>
      </c>
      <c r="AS1166" s="21">
        <v>-5.2803541849410683E-2</v>
      </c>
      <c r="AT1166" s="21">
        <v>-5.1816519629344547E-2</v>
      </c>
      <c r="AU1166" s="21">
        <v>-5.097220856844533E-2</v>
      </c>
      <c r="AV1166" s="21">
        <v>-5.0158006965226543E-2</v>
      </c>
      <c r="AW1166" s="21">
        <v>-4.938944918393405E-2</v>
      </c>
      <c r="AX1166" s="21">
        <v>-4.8622335928108829E-2</v>
      </c>
      <c r="AY1166" s="21">
        <v>-4.7870958437547143E-2</v>
      </c>
      <c r="AZ1166" s="21">
        <v>-4.7119158573078017E-2</v>
      </c>
      <c r="BA1166" s="21">
        <v>-4.6388319069987687E-2</v>
      </c>
      <c r="BC1166" s="17" t="s">
        <v>6244</v>
      </c>
      <c r="BD1166" s="21">
        <v>-8.3160742032836465E-2</v>
      </c>
      <c r="BE1166" s="21">
        <v>-7.2934166908577791E-2</v>
      </c>
      <c r="BF1166" s="21">
        <v>-8.145391658116416E-2</v>
      </c>
      <c r="BG1166" s="21">
        <v>-7.4639373543251564E-2</v>
      </c>
      <c r="BH1166" s="21">
        <v>-7.9833332356980397E-2</v>
      </c>
      <c r="BI1166" s="21">
        <v>-6.9015483579293727E-2</v>
      </c>
      <c r="BJ1166" s="21">
        <v>-6.1145080395219202E-2</v>
      </c>
      <c r="BK1166" s="21">
        <v>-5.4797386381618671E-2</v>
      </c>
      <c r="BL1166" s="21">
        <v>-4.9949729009939672E-2</v>
      </c>
      <c r="BM1166" s="21">
        <v>-4.6305646758227167E-2</v>
      </c>
      <c r="BN1166" s="21">
        <v>-4.3079383385283138E-2</v>
      </c>
      <c r="BO1166" s="21">
        <v>-4.069925321545112E-2</v>
      </c>
      <c r="BP1166" s="21">
        <v>-3.8308118963291907E-2</v>
      </c>
      <c r="BQ1166" s="21">
        <v>-3.6415603530866883E-2</v>
      </c>
      <c r="BR1166" s="21">
        <v>-3.456345462451E-2</v>
      </c>
      <c r="BS1166" s="21">
        <v>-3.3080071526316708E-2</v>
      </c>
      <c r="BT1166" s="21">
        <v>-3.1584528454765823E-2</v>
      </c>
      <c r="BU1166" s="21">
        <v>-3.0420875319672729E-2</v>
      </c>
      <c r="BV1166" s="21">
        <v>-2.915076903629199E-2</v>
      </c>
      <c r="BW1166" s="21">
        <v>-2.8252949039685522E-2</v>
      </c>
      <c r="BY1166" s="17" t="s">
        <v>6245</v>
      </c>
      <c r="BZ1166" s="21">
        <v>-8.3160742032836465E-2</v>
      </c>
      <c r="CA1166" s="21">
        <v>-7.2905598799756458E-2</v>
      </c>
      <c r="CB1166" s="21">
        <v>-8.1421807382659639E-2</v>
      </c>
      <c r="CC1166" s="21">
        <v>-7.4608953538752465E-2</v>
      </c>
      <c r="CD1166" s="21">
        <v>-7.9802742202235585E-2</v>
      </c>
      <c r="CE1166" s="21">
        <v>-6.6270193657774576E-2</v>
      </c>
      <c r="CF1166" s="21">
        <v>-6.3307183737255468E-2</v>
      </c>
      <c r="CG1166" s="21">
        <v>-6.1308908975410123E-2</v>
      </c>
      <c r="CH1166" s="21">
        <v>-5.9151246327060897E-2</v>
      </c>
      <c r="CI1166" s="21">
        <v>-5.6566485947241257E-2</v>
      </c>
      <c r="CJ1166" s="21">
        <v>-5.4509266430656622E-2</v>
      </c>
      <c r="CK1166" s="21">
        <v>-5.3444794851761727E-2</v>
      </c>
      <c r="CL1166" s="21">
        <v>-5.1889452044513333E-2</v>
      </c>
      <c r="CM1166" s="21">
        <v>-5.0560656848610719E-2</v>
      </c>
      <c r="CN1166" s="21">
        <v>-4.9379530388958703E-2</v>
      </c>
      <c r="CO1166" s="21">
        <v>-4.8191261831403813E-2</v>
      </c>
      <c r="CP1166" s="21">
        <v>-4.7101059540859663E-2</v>
      </c>
      <c r="CQ1166" s="21">
        <v>-4.6083740313073662E-2</v>
      </c>
      <c r="CR1166" s="21">
        <v>-4.507917719570969E-2</v>
      </c>
      <c r="CS1166" s="21">
        <v>-4.4155996257667099E-2</v>
      </c>
      <c r="CU1166" s="17" t="s">
        <v>6246</v>
      </c>
      <c r="CV1166" s="21">
        <v>-8.3160742032836465E-2</v>
      </c>
      <c r="CW1166" s="21">
        <v>-7.2946874236455572E-2</v>
      </c>
      <c r="CX1166" s="21">
        <v>-8.1467906288998831E-2</v>
      </c>
      <c r="CY1166" s="21">
        <v>-7.4652629750763269E-2</v>
      </c>
      <c r="CZ1166" s="21">
        <v>-7.9846582623524634E-2</v>
      </c>
      <c r="DA1166" s="21">
        <v>-6.2365670047499863E-2</v>
      </c>
      <c r="DB1166" s="21">
        <v>-5.3018836685649932E-2</v>
      </c>
      <c r="DC1166" s="21">
        <v>-5.1829176929879713E-2</v>
      </c>
      <c r="DD1166" s="21">
        <v>-4.9418564496034517E-2</v>
      </c>
      <c r="DE1166" s="21">
        <v>-4.8325995911156647E-2</v>
      </c>
      <c r="DF1166" s="21">
        <v>-4.665901274986646E-2</v>
      </c>
      <c r="DG1166" s="21">
        <v>-4.587151162592068E-2</v>
      </c>
      <c r="DH1166" s="21">
        <v>-4.4773949339907783E-2</v>
      </c>
      <c r="DI1166" s="21">
        <v>-4.3990147090910557E-2</v>
      </c>
      <c r="DJ1166" s="21">
        <v>-4.315541829709843E-2</v>
      </c>
      <c r="DK1166" s="21">
        <v>-4.2495134088395982E-2</v>
      </c>
      <c r="DL1166" s="21">
        <v>-4.1747937299763262E-2</v>
      </c>
      <c r="DM1166" s="21">
        <v>-4.1110415513525289E-2</v>
      </c>
      <c r="DN1166" s="21">
        <v>-4.0391579160934318E-2</v>
      </c>
      <c r="DO1166" s="21">
        <v>-3.9767096222065798E-2</v>
      </c>
    </row>
    <row r="1167" spans="1:230" x14ac:dyDescent="0.45">
      <c r="A1167" s="16" t="s">
        <v>6247</v>
      </c>
      <c r="B1167" s="3" t="s">
        <v>89</v>
      </c>
      <c r="C1167" s="16"/>
      <c r="H1167" s="3" t="s">
        <v>6248</v>
      </c>
      <c r="I1167" s="3" t="s">
        <v>224</v>
      </c>
      <c r="K1167" s="17" t="s">
        <v>6249</v>
      </c>
      <c r="L1167" s="20">
        <v>0</v>
      </c>
      <c r="M1167" s="20">
        <v>0</v>
      </c>
      <c r="N1167" s="20">
        <v>0</v>
      </c>
      <c r="O1167" s="20">
        <v>0</v>
      </c>
      <c r="P1167" s="20">
        <v>0</v>
      </c>
      <c r="Q1167" s="20">
        <v>0</v>
      </c>
      <c r="R1167" s="20">
        <v>0</v>
      </c>
      <c r="S1167" s="20">
        <v>0</v>
      </c>
      <c r="T1167" s="20">
        <v>0</v>
      </c>
      <c r="U1167" s="20">
        <v>0</v>
      </c>
      <c r="V1167" s="20">
        <v>0</v>
      </c>
      <c r="W1167" s="20">
        <v>0</v>
      </c>
      <c r="X1167" s="20">
        <v>0</v>
      </c>
      <c r="Y1167" s="20">
        <v>0</v>
      </c>
      <c r="Z1167" s="20">
        <v>0</v>
      </c>
      <c r="AA1167" s="20">
        <v>0</v>
      </c>
      <c r="AB1167" s="20">
        <v>0</v>
      </c>
      <c r="AC1167" s="20">
        <v>0</v>
      </c>
      <c r="AD1167" s="20">
        <v>0</v>
      </c>
      <c r="AE1167" s="20">
        <v>0</v>
      </c>
      <c r="AG1167" s="17" t="s">
        <v>6250</v>
      </c>
      <c r="AH1167" s="20">
        <v>0</v>
      </c>
      <c r="AI1167" s="20">
        <v>6.7284215050895</v>
      </c>
      <c r="AJ1167" s="20">
        <v>7.7438294969178969</v>
      </c>
      <c r="AK1167" s="20">
        <v>7.6467518903009477</v>
      </c>
      <c r="AL1167" s="20">
        <v>8.0173480690573342</v>
      </c>
      <c r="AM1167" s="20">
        <v>3400.555651476272</v>
      </c>
      <c r="AN1167" s="20">
        <v>5581.6409843692381</v>
      </c>
      <c r="AO1167" s="20">
        <v>5375.7565318384077</v>
      </c>
      <c r="AP1167" s="20">
        <v>5644.042094354656</v>
      </c>
      <c r="AQ1167" s="20">
        <v>5349.3869828011366</v>
      </c>
      <c r="AR1167" s="20">
        <v>5409.2099316586682</v>
      </c>
      <c r="AS1167" s="20">
        <v>5420.5904700558394</v>
      </c>
      <c r="AT1167" s="20">
        <v>5520.5117371816741</v>
      </c>
      <c r="AU1167" s="20">
        <v>5580.8804357318659</v>
      </c>
      <c r="AV1167" s="20">
        <v>5634.15354892717</v>
      </c>
      <c r="AW1167" s="20">
        <v>5668.7722912583849</v>
      </c>
      <c r="AX1167" s="20">
        <v>5727.7476681398766</v>
      </c>
      <c r="AY1167" s="20">
        <v>5797.2793079161347</v>
      </c>
      <c r="AZ1167" s="20">
        <v>5899.2710693896079</v>
      </c>
      <c r="BA1167" s="20">
        <v>6010.4152408645386</v>
      </c>
      <c r="BC1167" s="17" t="s">
        <v>6251</v>
      </c>
      <c r="BD1167" s="20">
        <v>0</v>
      </c>
      <c r="BE1167" s="20">
        <v>23.24196804032545</v>
      </c>
      <c r="BF1167" s="20">
        <v>26.468988668217211</v>
      </c>
      <c r="BG1167" s="20">
        <v>26.160525339553711</v>
      </c>
      <c r="BH1167" s="20">
        <v>27.341586310292769</v>
      </c>
      <c r="BI1167" s="20">
        <v>2212.8908521466728</v>
      </c>
      <c r="BJ1167" s="20">
        <v>5540.3652284567434</v>
      </c>
      <c r="BK1167" s="20">
        <v>8851.502837984699</v>
      </c>
      <c r="BL1167" s="20">
        <v>11246.850480165651</v>
      </c>
      <c r="BM1167" s="20">
        <v>12579.240391753779</v>
      </c>
      <c r="BN1167" s="20">
        <v>14333.458799624361</v>
      </c>
      <c r="BO1167" s="20">
        <v>16150.159132512241</v>
      </c>
      <c r="BP1167" s="20">
        <v>18049.268315553611</v>
      </c>
      <c r="BQ1167" s="20">
        <v>19699.7950439983</v>
      </c>
      <c r="BR1167" s="20">
        <v>21444.134481326411</v>
      </c>
      <c r="BS1167" s="20">
        <v>22942.643640088841</v>
      </c>
      <c r="BT1167" s="20">
        <v>24570.30359690707</v>
      </c>
      <c r="BU1167" s="20">
        <v>25937.962321516959</v>
      </c>
      <c r="BV1167" s="20">
        <v>27532.268267687621</v>
      </c>
      <c r="BW1167" s="20">
        <v>28774.021832903141</v>
      </c>
      <c r="BY1167" s="17" t="s">
        <v>6252</v>
      </c>
      <c r="BZ1167" s="20">
        <v>0</v>
      </c>
      <c r="CA1167" s="20">
        <v>39.455471607092477</v>
      </c>
      <c r="CB1167" s="20">
        <v>45.129335710968007</v>
      </c>
      <c r="CC1167" s="20">
        <v>44.615708233184712</v>
      </c>
      <c r="CD1167" s="20">
        <v>46.686817813904781</v>
      </c>
      <c r="CE1167" s="20">
        <v>4032.690362471963</v>
      </c>
      <c r="CF1167" s="20">
        <v>4028.373745548517</v>
      </c>
      <c r="CG1167" s="20">
        <v>4059.0521838428322</v>
      </c>
      <c r="CH1167" s="20">
        <v>4146.5410441099448</v>
      </c>
      <c r="CI1167" s="20">
        <v>4282.3660336304974</v>
      </c>
      <c r="CJ1167" s="20">
        <v>4653.5314305588618</v>
      </c>
      <c r="CK1167" s="20">
        <v>4850.397648314618</v>
      </c>
      <c r="CL1167" s="20">
        <v>5451.0169517077884</v>
      </c>
      <c r="CM1167" s="20">
        <v>5978.1047936386458</v>
      </c>
      <c r="CN1167" s="20">
        <v>6421.4156313866843</v>
      </c>
      <c r="CO1167" s="20">
        <v>6935.8575820775222</v>
      </c>
      <c r="CP1167" s="20">
        <v>7408.1830547157879</v>
      </c>
      <c r="CQ1167" s="20">
        <v>7858.0498317446327</v>
      </c>
      <c r="CR1167" s="20">
        <v>8353.2467902352</v>
      </c>
      <c r="CS1167" s="20">
        <v>8810.3390035654593</v>
      </c>
      <c r="CU1167" s="17" t="s">
        <v>6253</v>
      </c>
      <c r="CV1167" s="20">
        <v>0</v>
      </c>
      <c r="CW1167" s="20">
        <v>16.030069375323361</v>
      </c>
      <c r="CX1167" s="20">
        <v>18.33883234603854</v>
      </c>
      <c r="CY1167" s="20">
        <v>18.11826045061753</v>
      </c>
      <c r="CZ1167" s="20">
        <v>18.962110105574538</v>
      </c>
      <c r="DA1167" s="20">
        <v>6618.9090730306116</v>
      </c>
      <c r="DB1167" s="20">
        <v>11224.55598949159</v>
      </c>
      <c r="DC1167" s="20">
        <v>11036.45550001332</v>
      </c>
      <c r="DD1167" s="20">
        <v>11657.37846283125</v>
      </c>
      <c r="DE1167" s="20">
        <v>10946.3063405182</v>
      </c>
      <c r="DF1167" s="20">
        <v>11302.78243967257</v>
      </c>
      <c r="DG1167" s="20">
        <v>11565.680055536101</v>
      </c>
      <c r="DH1167" s="20">
        <v>12052.704234925321</v>
      </c>
      <c r="DI1167" s="20">
        <v>12353.35038352013</v>
      </c>
      <c r="DJ1167" s="20">
        <v>12733.82840465871</v>
      </c>
      <c r="DK1167" s="20">
        <v>12971.147239584239</v>
      </c>
      <c r="DL1167" s="20">
        <v>13330.68275100857</v>
      </c>
      <c r="DM1167" s="20">
        <v>13600.58644664956</v>
      </c>
      <c r="DN1167" s="20">
        <v>13999.29947461045</v>
      </c>
      <c r="DO1167" s="20">
        <v>14321.8061302265</v>
      </c>
    </row>
    <row r="1168" spans="1:230" x14ac:dyDescent="0.45">
      <c r="A1168" s="16" t="s">
        <v>6254</v>
      </c>
      <c r="B1168" s="3" t="s">
        <v>89</v>
      </c>
      <c r="C1168" s="16"/>
      <c r="H1168" s="3" t="s">
        <v>6255</v>
      </c>
      <c r="I1168" s="3" t="s">
        <v>4288</v>
      </c>
      <c r="K1168" s="17" t="s">
        <v>6256</v>
      </c>
      <c r="L1168" s="24">
        <v>0</v>
      </c>
      <c r="M1168" s="24">
        <v>0</v>
      </c>
      <c r="N1168" s="24">
        <v>0</v>
      </c>
      <c r="O1168" s="24">
        <v>0</v>
      </c>
      <c r="P1168" s="24">
        <v>0</v>
      </c>
      <c r="Q1168" s="24">
        <v>0</v>
      </c>
      <c r="R1168" s="24">
        <v>0</v>
      </c>
      <c r="S1168" s="24">
        <v>0</v>
      </c>
      <c r="T1168" s="24">
        <v>0</v>
      </c>
      <c r="U1168" s="24">
        <v>0</v>
      </c>
      <c r="V1168" s="24">
        <v>0</v>
      </c>
      <c r="W1168" s="24">
        <v>0</v>
      </c>
      <c r="X1168" s="24">
        <v>0</v>
      </c>
      <c r="Y1168" s="24">
        <v>0</v>
      </c>
      <c r="Z1168" s="24">
        <v>0</v>
      </c>
      <c r="AA1168" s="24">
        <v>0</v>
      </c>
      <c r="AB1168" s="24">
        <v>0</v>
      </c>
      <c r="AC1168" s="24">
        <v>0</v>
      </c>
      <c r="AD1168" s="24">
        <v>0</v>
      </c>
      <c r="AE1168" s="24">
        <v>0</v>
      </c>
      <c r="AG1168" s="17" t="s">
        <v>6257</v>
      </c>
      <c r="AH1168" s="24">
        <v>0</v>
      </c>
      <c r="AI1168" s="24">
        <v>-2.1466685929309409E-3</v>
      </c>
      <c r="AJ1168" s="24">
        <v>-1.919852768757175E-3</v>
      </c>
      <c r="AK1168" s="24">
        <v>-1.7926791083621499E-3</v>
      </c>
      <c r="AL1168" s="24">
        <v>-1.818166166592091E-3</v>
      </c>
      <c r="AM1168" s="24">
        <v>-2.066972185681339</v>
      </c>
      <c r="AN1168" s="24">
        <v>-2.4009527780910491</v>
      </c>
      <c r="AO1168" s="24">
        <v>-2.5409081904487558</v>
      </c>
      <c r="AP1168" s="24">
        <v>-2.6220209828387051</v>
      </c>
      <c r="AQ1168" s="24">
        <v>-2.584291395111022</v>
      </c>
      <c r="AR1168" s="24">
        <v>-2.6319078464967141</v>
      </c>
      <c r="AS1168" s="24">
        <v>-2.6525859546614461</v>
      </c>
      <c r="AT1168" s="24">
        <v>-2.6952738927288831</v>
      </c>
      <c r="AU1168" s="24">
        <v>-2.728636034143451</v>
      </c>
      <c r="AV1168" s="24">
        <v>-2.7597235002561931</v>
      </c>
      <c r="AW1168" s="24">
        <v>-2.7838011855627718</v>
      </c>
      <c r="AX1168" s="24">
        <v>-2.816263899811891</v>
      </c>
      <c r="AY1168" s="24">
        <v>-2.85267945528875</v>
      </c>
      <c r="AZ1168" s="24">
        <v>-2.899795787977872</v>
      </c>
      <c r="BA1168" s="24">
        <v>-2.9499497053896051</v>
      </c>
      <c r="BC1168" s="17" t="s">
        <v>6258</v>
      </c>
      <c r="BD1168" s="24">
        <v>0</v>
      </c>
      <c r="BE1168" s="24">
        <v>-7.3110430246742641E-3</v>
      </c>
      <c r="BF1168" s="24">
        <v>-6.5304012842664072E-3</v>
      </c>
      <c r="BG1168" s="24">
        <v>-6.1195372016117199E-3</v>
      </c>
      <c r="BH1168" s="24">
        <v>-6.1841793934886927E-3</v>
      </c>
      <c r="BI1168" s="24">
        <v>-1.3536985912693349</v>
      </c>
      <c r="BJ1168" s="24">
        <v>-2.9271782300799321</v>
      </c>
      <c r="BK1168" s="24">
        <v>-4.5307143678837738</v>
      </c>
      <c r="BL1168" s="24">
        <v>-5.8049304133901574</v>
      </c>
      <c r="BM1168" s="24">
        <v>-6.4628887999164526</v>
      </c>
      <c r="BN1168" s="24">
        <v>-7.2478668275655389</v>
      </c>
      <c r="BO1168" s="24">
        <v>-7.977953242984511</v>
      </c>
      <c r="BP1168" s="24">
        <v>-8.7224029346368948</v>
      </c>
      <c r="BQ1168" s="24">
        <v>-9.3930981209532796</v>
      </c>
      <c r="BR1168" s="24">
        <v>-10.08044161681636</v>
      </c>
      <c r="BS1168" s="24">
        <v>-10.70249118465734</v>
      </c>
      <c r="BT1168" s="24">
        <v>-11.35161481016379</v>
      </c>
      <c r="BU1168" s="24">
        <v>-11.936959343000121</v>
      </c>
      <c r="BV1168" s="24">
        <v>-12.574446643435749</v>
      </c>
      <c r="BW1168" s="24">
        <v>-13.12970597168203</v>
      </c>
      <c r="BY1168" s="17" t="s">
        <v>6259</v>
      </c>
      <c r="BZ1168" s="24">
        <v>0</v>
      </c>
      <c r="CA1168" s="24">
        <v>-1.245874836338981E-2</v>
      </c>
      <c r="CB1168" s="24">
        <v>-1.113717647877145E-2</v>
      </c>
      <c r="CC1168" s="24">
        <v>-1.0431088457077841E-2</v>
      </c>
      <c r="CD1168" s="24">
        <v>-1.055569539907711E-2</v>
      </c>
      <c r="CE1168" s="24">
        <v>-2.428587269304797</v>
      </c>
      <c r="CF1168" s="24">
        <v>-2.4558688621329452</v>
      </c>
      <c r="CG1168" s="24">
        <v>-2.50260324441513</v>
      </c>
      <c r="CH1168" s="24">
        <v>-2.5676114239147121</v>
      </c>
      <c r="CI1168" s="24">
        <v>-2.644311870870339</v>
      </c>
      <c r="CJ1168" s="24">
        <v>-2.804787079374103</v>
      </c>
      <c r="CK1168" s="24">
        <v>-2.9144181341573359</v>
      </c>
      <c r="CL1168" s="24">
        <v>-3.1493859477736441</v>
      </c>
      <c r="CM1168" s="24">
        <v>-3.3591466523639379</v>
      </c>
      <c r="CN1168" s="24">
        <v>-3.5501169083034809</v>
      </c>
      <c r="CO1168" s="24">
        <v>-3.7602030456227018</v>
      </c>
      <c r="CP1168" s="24">
        <v>-3.959582297774308</v>
      </c>
      <c r="CQ1168" s="24">
        <v>-4.1550915948978204</v>
      </c>
      <c r="CR1168" s="24">
        <v>-4.3638929687958168</v>
      </c>
      <c r="CS1168" s="24">
        <v>-4.5613315473728324</v>
      </c>
      <c r="CU1168" s="17" t="s">
        <v>6260</v>
      </c>
      <c r="CV1168" s="24">
        <v>0</v>
      </c>
      <c r="CW1168" s="24">
        <v>-5.0730747952426603E-3</v>
      </c>
      <c r="CX1168" s="24">
        <v>-4.5338264447176346E-3</v>
      </c>
      <c r="CY1168" s="24">
        <v>-4.2420956946845768E-3</v>
      </c>
      <c r="CZ1168" s="24">
        <v>-4.2935739931247137E-3</v>
      </c>
      <c r="DA1168" s="24">
        <v>-4.1365660987293413</v>
      </c>
      <c r="DB1168" s="24">
        <v>-4.8414798406660804</v>
      </c>
      <c r="DC1168" s="24">
        <v>-5.0057216480519733</v>
      </c>
      <c r="DD1168" s="24">
        <v>-5.3657937084847793</v>
      </c>
      <c r="DE1168" s="24">
        <v>-5.2082261400319352</v>
      </c>
      <c r="DF1168" s="24">
        <v>-5.3964791041468141</v>
      </c>
      <c r="DG1168" s="24">
        <v>-5.5097934357869232</v>
      </c>
      <c r="DH1168" s="24">
        <v>-5.6998865002311856</v>
      </c>
      <c r="DI1168" s="24">
        <v>-5.8495869538723699</v>
      </c>
      <c r="DJ1168" s="24">
        <v>-6.0224364006924631</v>
      </c>
      <c r="DK1168" s="24">
        <v>-6.1566852015525173</v>
      </c>
      <c r="DL1168" s="24">
        <v>-6.3274966867275744</v>
      </c>
      <c r="DM1168" s="24">
        <v>-6.4771022118829382</v>
      </c>
      <c r="DN1168" s="24">
        <v>-6.6630293626423196</v>
      </c>
      <c r="DO1168" s="24">
        <v>-6.8295215878899249</v>
      </c>
    </row>
    <row r="1169" spans="1:230" x14ac:dyDescent="0.45">
      <c r="A1169" s="16" t="s">
        <v>6261</v>
      </c>
      <c r="B1169" s="3" t="s">
        <v>89</v>
      </c>
      <c r="C1169" s="16"/>
      <c r="H1169" s="3" t="s">
        <v>6262</v>
      </c>
      <c r="I1169" s="3" t="s">
        <v>4288</v>
      </c>
      <c r="K1169" s="17" t="s">
        <v>6263</v>
      </c>
      <c r="L1169" s="24">
        <v>-6.0680618074171404</v>
      </c>
      <c r="M1169" s="24">
        <v>-5.8054305470873926</v>
      </c>
      <c r="N1169" s="24">
        <v>-5.4921857430838248</v>
      </c>
      <c r="O1169" s="24">
        <v>-4.3029019330549527</v>
      </c>
      <c r="P1169" s="24">
        <v>-4.8968816140731004</v>
      </c>
      <c r="Q1169" s="24">
        <v>-4.3839023169664753</v>
      </c>
      <c r="R1169" s="24">
        <v>-4.4123245502187123</v>
      </c>
      <c r="S1169" s="24">
        <v>-4.3882217155399319</v>
      </c>
      <c r="T1169" s="24">
        <v>-4.3163602712375102</v>
      </c>
      <c r="U1169" s="24">
        <v>-4.2268685495174978</v>
      </c>
      <c r="V1169" s="24">
        <v>-4.2268685495174978</v>
      </c>
      <c r="W1169" s="24">
        <v>-4.2268685495174978</v>
      </c>
      <c r="X1169" s="24">
        <v>-4.2268685495174987</v>
      </c>
      <c r="Y1169" s="24">
        <v>-4.2268685495174987</v>
      </c>
      <c r="Z1169" s="24">
        <v>-4.2268685495174987</v>
      </c>
      <c r="AA1169" s="24">
        <v>-4.2268685495174987</v>
      </c>
      <c r="AB1169" s="24">
        <v>-4.2268685495174987</v>
      </c>
      <c r="AC1169" s="24">
        <v>-4.2268685495174987</v>
      </c>
      <c r="AD1169" s="24">
        <v>-4.2268685495174987</v>
      </c>
      <c r="AE1169" s="24">
        <v>-4.2268685495174996</v>
      </c>
      <c r="AG1169" s="17" t="s">
        <v>6264</v>
      </c>
      <c r="AH1169" s="24">
        <v>-6.0680618074171404</v>
      </c>
      <c r="AI1169" s="24">
        <v>-5.8032838784944616</v>
      </c>
      <c r="AJ1169" s="24">
        <v>-5.4902658903150678</v>
      </c>
      <c r="AK1169" s="24">
        <v>-4.3011092539465903</v>
      </c>
      <c r="AL1169" s="24">
        <v>-4.8950634479065078</v>
      </c>
      <c r="AM1169" s="24">
        <v>-2.3169301312851358</v>
      </c>
      <c r="AN1169" s="24">
        <v>-2.0113717721276632</v>
      </c>
      <c r="AO1169" s="24">
        <v>-1.8473135250911761</v>
      </c>
      <c r="AP1169" s="24">
        <v>-1.694339288398806</v>
      </c>
      <c r="AQ1169" s="24">
        <v>-1.6425771544064749</v>
      </c>
      <c r="AR1169" s="24">
        <v>-1.594960703020784</v>
      </c>
      <c r="AS1169" s="24">
        <v>-1.5742825948560519</v>
      </c>
      <c r="AT1169" s="24">
        <v>-1.5315946567886161</v>
      </c>
      <c r="AU1169" s="24">
        <v>-1.4982325153740479</v>
      </c>
      <c r="AV1169" s="24">
        <v>-1.4671450492613061</v>
      </c>
      <c r="AW1169" s="24">
        <v>-1.4430673639547269</v>
      </c>
      <c r="AX1169" s="24">
        <v>-1.4106046497056079</v>
      </c>
      <c r="AY1169" s="24">
        <v>-1.3741890942287489</v>
      </c>
      <c r="AZ1169" s="24">
        <v>-1.3270727615396269</v>
      </c>
      <c r="BA1169" s="24">
        <v>-1.2769188441278949</v>
      </c>
      <c r="BC1169" s="17" t="s">
        <v>6265</v>
      </c>
      <c r="BD1169" s="24">
        <v>-6.0680618074171404</v>
      </c>
      <c r="BE1169" s="24">
        <v>-5.7981195040627176</v>
      </c>
      <c r="BF1169" s="24">
        <v>-5.4856553417995588</v>
      </c>
      <c r="BG1169" s="24">
        <v>-4.2967823958533407</v>
      </c>
      <c r="BH1169" s="24">
        <v>-4.8906974346796108</v>
      </c>
      <c r="BI1169" s="24">
        <v>-3.0302037256971399</v>
      </c>
      <c r="BJ1169" s="24">
        <v>-1.48514632013878</v>
      </c>
      <c r="BK1169" s="24">
        <v>0.1424926523438419</v>
      </c>
      <c r="BL1169" s="24">
        <v>1.4885701421526469</v>
      </c>
      <c r="BM1169" s="24">
        <v>2.2360202503989561</v>
      </c>
      <c r="BN1169" s="24">
        <v>3.0209982780480411</v>
      </c>
      <c r="BO1169" s="24">
        <v>3.7510846934670128</v>
      </c>
      <c r="BP1169" s="24">
        <v>4.4955343851193961</v>
      </c>
      <c r="BQ1169" s="24">
        <v>5.1662295714357809</v>
      </c>
      <c r="BR1169" s="24">
        <v>5.8535730672988624</v>
      </c>
      <c r="BS1169" s="24">
        <v>6.4756226351398434</v>
      </c>
      <c r="BT1169" s="24">
        <v>7.1247462606462877</v>
      </c>
      <c r="BU1169" s="24">
        <v>7.7100907934826202</v>
      </c>
      <c r="BV1169" s="24">
        <v>8.3475780939182549</v>
      </c>
      <c r="BW1169" s="24">
        <v>8.9028374221645272</v>
      </c>
      <c r="BY1169" s="17" t="s">
        <v>6266</v>
      </c>
      <c r="BZ1169" s="24">
        <v>-6.0680618074171404</v>
      </c>
      <c r="CA1169" s="24">
        <v>-5.792971798724003</v>
      </c>
      <c r="CB1169" s="24">
        <v>-5.481048566605053</v>
      </c>
      <c r="CC1169" s="24">
        <v>-4.292470844597875</v>
      </c>
      <c r="CD1169" s="24">
        <v>-4.8863259186740224</v>
      </c>
      <c r="CE1169" s="24">
        <v>-1.9553150476616781</v>
      </c>
      <c r="CF1169" s="24">
        <v>-1.956455688085768</v>
      </c>
      <c r="CG1169" s="24">
        <v>-1.8856184711248021</v>
      </c>
      <c r="CH1169" s="24">
        <v>-1.748748847322799</v>
      </c>
      <c r="CI1169" s="24">
        <v>-1.582556678647159</v>
      </c>
      <c r="CJ1169" s="24">
        <v>-1.422081470143395</v>
      </c>
      <c r="CK1169" s="24">
        <v>-1.3124504153601619</v>
      </c>
      <c r="CL1169" s="24">
        <v>-1.077482601743855</v>
      </c>
      <c r="CM1169" s="24">
        <v>-0.86772189715356118</v>
      </c>
      <c r="CN1169" s="24">
        <v>-0.67675164121401732</v>
      </c>
      <c r="CO1169" s="24">
        <v>-0.46666550389479688</v>
      </c>
      <c r="CP1169" s="24">
        <v>-0.26728625174319071</v>
      </c>
      <c r="CQ1169" s="24">
        <v>-7.1776954619679145E-2</v>
      </c>
      <c r="CR1169" s="24">
        <v>0.1370244192783181</v>
      </c>
      <c r="CS1169" s="24">
        <v>0.33446299785533201</v>
      </c>
      <c r="CU1169" s="17" t="s">
        <v>6267</v>
      </c>
      <c r="CV1169" s="24">
        <v>-6.0680618074171404</v>
      </c>
      <c r="CW1169" s="24">
        <v>-5.8003574722921503</v>
      </c>
      <c r="CX1169" s="24">
        <v>-5.4876519166391073</v>
      </c>
      <c r="CY1169" s="24">
        <v>-4.298659837360268</v>
      </c>
      <c r="CZ1169" s="24">
        <v>-4.8925880400799748</v>
      </c>
      <c r="DA1169" s="24">
        <v>-0.24733621823713389</v>
      </c>
      <c r="DB1169" s="24">
        <v>0.42915529044736811</v>
      </c>
      <c r="DC1169" s="24">
        <v>0.61749993251204138</v>
      </c>
      <c r="DD1169" s="24">
        <v>1.0494334372472689</v>
      </c>
      <c r="DE1169" s="24">
        <v>0.98135759051443738</v>
      </c>
      <c r="DF1169" s="24">
        <v>1.1696105546293161</v>
      </c>
      <c r="DG1169" s="24">
        <v>1.2829248862694249</v>
      </c>
      <c r="DH1169" s="24">
        <v>1.473017950713688</v>
      </c>
      <c r="DI1169" s="24">
        <v>1.622718404354871</v>
      </c>
      <c r="DJ1169" s="24">
        <v>1.795567851174964</v>
      </c>
      <c r="DK1169" s="24">
        <v>1.9298166520350191</v>
      </c>
      <c r="DL1169" s="24">
        <v>2.1006281372100761</v>
      </c>
      <c r="DM1169" s="24">
        <v>2.25023366236544</v>
      </c>
      <c r="DN1169" s="24">
        <v>2.4361608131248218</v>
      </c>
      <c r="DO1169" s="24">
        <v>2.6026530383724249</v>
      </c>
    </row>
    <row r="1170" spans="1:230" x14ac:dyDescent="0.45">
      <c r="A1170" s="16" t="s">
        <v>6268</v>
      </c>
      <c r="B1170" s="3" t="s">
        <v>89</v>
      </c>
      <c r="C1170" s="16"/>
      <c r="H1170" s="3" t="s">
        <v>6269</v>
      </c>
      <c r="I1170" s="3" t="s">
        <v>92</v>
      </c>
      <c r="K1170" s="17" t="s">
        <v>6270</v>
      </c>
      <c r="L1170" s="21">
        <v>-1.1093938525510119E-2</v>
      </c>
      <c r="M1170" s="21">
        <v>-1.0229138380917191E-2</v>
      </c>
      <c r="N1170" s="21">
        <v>-9.4505038863622881E-3</v>
      </c>
      <c r="O1170" s="21">
        <v>-7.0925493893577701E-3</v>
      </c>
      <c r="P1170" s="21">
        <v>-7.743322498548825E-3</v>
      </c>
      <c r="Q1170" s="21">
        <v>-6.6128133565183352E-3</v>
      </c>
      <c r="R1170" s="21">
        <v>-6.3065962952749384E-3</v>
      </c>
      <c r="S1170" s="21">
        <v>-5.9606082718813812E-3</v>
      </c>
      <c r="T1170" s="21">
        <v>-5.5922286206600133E-3</v>
      </c>
      <c r="U1170" s="21">
        <v>-5.2260236595848891E-3</v>
      </c>
      <c r="V1170" s="21">
        <v>-4.9897302436529706E-3</v>
      </c>
      <c r="W1170" s="21">
        <v>-4.7665392365113749E-3</v>
      </c>
      <c r="X1170" s="21">
        <v>-4.5556442070028456E-3</v>
      </c>
      <c r="Y1170" s="21">
        <v>-4.3562927575918984E-3</v>
      </c>
      <c r="Z1170" s="21">
        <v>-4.1677826560462998E-3</v>
      </c>
      <c r="AA1170" s="21">
        <v>-3.9894582602186144E-3</v>
      </c>
      <c r="AB1170" s="21">
        <v>-3.8207072126126181E-3</v>
      </c>
      <c r="AC1170" s="21">
        <v>-3.6609573833559098E-3</v>
      </c>
      <c r="AD1170" s="21">
        <v>-3.5096740419692592E-3</v>
      </c>
      <c r="AE1170" s="21">
        <v>-3.3663572399403952E-3</v>
      </c>
      <c r="AG1170" s="17" t="s">
        <v>6271</v>
      </c>
      <c r="AH1170" s="21">
        <v>-1.1093938525510119E-2</v>
      </c>
      <c r="AI1170" s="21">
        <v>-1.0225355962039389E-2</v>
      </c>
      <c r="AJ1170" s="21">
        <v>-9.4472003607895729E-3</v>
      </c>
      <c r="AK1170" s="21">
        <v>-7.0895944846648094E-3</v>
      </c>
      <c r="AL1170" s="21">
        <v>-7.7404474756069984E-3</v>
      </c>
      <c r="AM1170" s="21">
        <v>-3.4949288123929008E-3</v>
      </c>
      <c r="AN1170" s="21">
        <v>-2.8748813969027131E-3</v>
      </c>
      <c r="AO1170" s="21">
        <v>-2.5092424658998791E-3</v>
      </c>
      <c r="AP1170" s="21">
        <v>-2.1951672395909569E-3</v>
      </c>
      <c r="AQ1170" s="21">
        <v>-2.0308526208135222E-3</v>
      </c>
      <c r="AR1170" s="21">
        <v>-1.8828178742888221E-3</v>
      </c>
      <c r="AS1170" s="21">
        <v>-1.775281078611941E-3</v>
      </c>
      <c r="AT1170" s="21">
        <v>-1.6507256480620971E-3</v>
      </c>
      <c r="AU1170" s="21">
        <v>-1.544107506408661E-3</v>
      </c>
      <c r="AV1170" s="21">
        <v>-1.446636349955446E-3</v>
      </c>
      <c r="AW1170" s="21">
        <v>-1.362014680072855E-3</v>
      </c>
      <c r="AX1170" s="21">
        <v>-1.275059135655007E-3</v>
      </c>
      <c r="AY1170" s="21">
        <v>-1.190206804803094E-3</v>
      </c>
      <c r="AZ1170" s="21">
        <v>-1.1019015066157569E-3</v>
      </c>
      <c r="BA1170" s="21">
        <v>-1.0169620714221041E-3</v>
      </c>
      <c r="BC1170" s="17" t="s">
        <v>6272</v>
      </c>
      <c r="BD1170" s="21">
        <v>-1.1093938525510119E-2</v>
      </c>
      <c r="BE1170" s="21">
        <v>-1.021625636119417E-2</v>
      </c>
      <c r="BF1170" s="21">
        <v>-9.4392669061137274E-3</v>
      </c>
      <c r="BG1170" s="21">
        <v>-7.0824624479127367E-3</v>
      </c>
      <c r="BH1170" s="21">
        <v>-7.7335436026704672E-3</v>
      </c>
      <c r="BI1170" s="21">
        <v>-4.5708526836262782E-3</v>
      </c>
      <c r="BJ1170" s="21">
        <v>-2.1227401053406569E-3</v>
      </c>
      <c r="BK1170" s="21">
        <v>1.9355058547640359E-4</v>
      </c>
      <c r="BL1170" s="21">
        <v>1.9285750098935431E-3</v>
      </c>
      <c r="BM1170" s="21">
        <v>2.764574908114846E-3</v>
      </c>
      <c r="BN1170" s="21">
        <v>3.5662255159840659E-3</v>
      </c>
      <c r="BO1170" s="21">
        <v>4.2300090862605012E-3</v>
      </c>
      <c r="BP1170" s="21">
        <v>4.8452074955794627E-3</v>
      </c>
      <c r="BQ1170" s="21">
        <v>5.3244164568760537E-3</v>
      </c>
      <c r="BR1170" s="21">
        <v>5.7717480494094879E-3</v>
      </c>
      <c r="BS1170" s="21">
        <v>6.1119067009467992E-3</v>
      </c>
      <c r="BT1170" s="21">
        <v>6.4401268000618154E-3</v>
      </c>
      <c r="BU1170" s="21">
        <v>6.6778309961795911E-3</v>
      </c>
      <c r="BV1170" s="21">
        <v>6.9312016227427841E-3</v>
      </c>
      <c r="BW1170" s="21">
        <v>7.090386384392521E-3</v>
      </c>
      <c r="BY1170" s="17" t="s">
        <v>6273</v>
      </c>
      <c r="BZ1170" s="21">
        <v>-1.1093938525510119E-2</v>
      </c>
      <c r="CA1170" s="21">
        <v>-1.020718613120402E-2</v>
      </c>
      <c r="CB1170" s="21">
        <v>-9.4313399442599519E-3</v>
      </c>
      <c r="CC1170" s="21">
        <v>-7.0753556416922126E-3</v>
      </c>
      <c r="CD1170" s="21">
        <v>-7.7266310283207922E-3</v>
      </c>
      <c r="CE1170" s="21">
        <v>-2.9494574761249879E-3</v>
      </c>
      <c r="CF1170" s="21">
        <v>-2.7963890810660508E-3</v>
      </c>
      <c r="CG1170" s="21">
        <v>-2.5612728310415158E-3</v>
      </c>
      <c r="CH1170" s="21">
        <v>-2.2656596622647042E-3</v>
      </c>
      <c r="CI1170" s="21">
        <v>-1.9566443924990801E-3</v>
      </c>
      <c r="CJ1170" s="21">
        <v>-1.6787375423167521E-3</v>
      </c>
      <c r="CK1170" s="21">
        <v>-1.480019150702942E-3</v>
      </c>
      <c r="CL1170" s="21">
        <v>-1.1612917021848409E-3</v>
      </c>
      <c r="CM1170" s="21">
        <v>-8.9429102700756011E-4</v>
      </c>
      <c r="CN1170" s="21">
        <v>-6.6729157049954125E-4</v>
      </c>
      <c r="CO1170" s="21">
        <v>-4.4045432865062701E-4</v>
      </c>
      <c r="CP1170" s="21">
        <v>-2.4160261855883219E-4</v>
      </c>
      <c r="CQ1170" s="21">
        <v>-6.2167150194370765E-5</v>
      </c>
      <c r="CR1170" s="21">
        <v>1.137747819273731E-4</v>
      </c>
      <c r="CS1170" s="21">
        <v>2.6637259264922978E-4</v>
      </c>
      <c r="CU1170" s="17" t="s">
        <v>6274</v>
      </c>
      <c r="CV1170" s="21">
        <v>-1.1093938525510119E-2</v>
      </c>
      <c r="CW1170" s="21">
        <v>-1.022019964955586E-2</v>
      </c>
      <c r="CX1170" s="21">
        <v>-9.4427024487488843E-3</v>
      </c>
      <c r="CY1170" s="21">
        <v>-7.0855570679669889E-3</v>
      </c>
      <c r="CZ1170" s="21">
        <v>-7.736533172050794E-3</v>
      </c>
      <c r="DA1170" s="21">
        <v>-3.7308957391209152E-4</v>
      </c>
      <c r="DB1170" s="21">
        <v>6.1339757174001493E-4</v>
      </c>
      <c r="DC1170" s="21">
        <v>8.3876236074926624E-4</v>
      </c>
      <c r="DD1170" s="21">
        <v>1.3596343526647351E-3</v>
      </c>
      <c r="DE1170" s="21">
        <v>1.2133327370985091E-3</v>
      </c>
      <c r="DF1170" s="21">
        <v>1.3807008875153729E-3</v>
      </c>
      <c r="DG1170" s="21">
        <v>1.446723913048622E-3</v>
      </c>
      <c r="DH1170" s="21">
        <v>1.587592709677719E-3</v>
      </c>
      <c r="DI1170" s="21">
        <v>1.6724050794787891E-3</v>
      </c>
      <c r="DJ1170" s="21">
        <v>1.770468246223459E-3</v>
      </c>
      <c r="DK1170" s="21">
        <v>1.821424748126453E-3</v>
      </c>
      <c r="DL1170" s="21">
        <v>1.8987780151743089E-3</v>
      </c>
      <c r="DM1170" s="21">
        <v>1.9489627945617431E-3</v>
      </c>
      <c r="DN1170" s="21">
        <v>2.0228048891804112E-3</v>
      </c>
      <c r="DO1170" s="21">
        <v>2.0728016015018991E-3</v>
      </c>
    </row>
    <row r="1171" spans="1:230" x14ac:dyDescent="0.45">
      <c r="A1171" s="16" t="s">
        <v>6275</v>
      </c>
      <c r="B1171" s="3" t="s">
        <v>89</v>
      </c>
      <c r="C1171" s="16"/>
      <c r="H1171" s="3" t="s">
        <v>6276</v>
      </c>
      <c r="I1171" s="3" t="s">
        <v>224</v>
      </c>
      <c r="K1171" s="17" t="s">
        <v>6277</v>
      </c>
      <c r="L1171" s="20">
        <v>24.458791125774969</v>
      </c>
      <c r="M1171" s="20">
        <v>14.049990430239671</v>
      </c>
      <c r="N1171" s="20">
        <v>12.94669276957797</v>
      </c>
      <c r="O1171" s="20">
        <v>14.000118847612811</v>
      </c>
      <c r="P1171" s="20">
        <v>13.771327968359991</v>
      </c>
      <c r="Q1171" s="20">
        <v>13.94667898719225</v>
      </c>
      <c r="R1171" s="20">
        <v>14.322559616694051</v>
      </c>
      <c r="S1171" s="20">
        <v>14.68720361606978</v>
      </c>
      <c r="T1171" s="20">
        <v>15.03493374680431</v>
      </c>
      <c r="U1171" s="20">
        <v>15.383252367841211</v>
      </c>
      <c r="V1171" s="20">
        <v>15.673132788891641</v>
      </c>
      <c r="W1171" s="20">
        <v>15.96372816148784</v>
      </c>
      <c r="X1171" s="20">
        <v>16.254955874209269</v>
      </c>
      <c r="Y1171" s="20">
        <v>16.546734051485231</v>
      </c>
      <c r="Z1171" s="20">
        <v>16.83898148358465</v>
      </c>
      <c r="AA1171" s="20">
        <v>17.131617549183812</v>
      </c>
      <c r="AB1171" s="20">
        <v>17.424562130894021</v>
      </c>
      <c r="AC1171" s="20">
        <v>17.717735524107411</v>
      </c>
      <c r="AD1171" s="20">
        <v>18.011058339493751</v>
      </c>
      <c r="AE1171" s="20">
        <v>18.304451399457172</v>
      </c>
      <c r="AG1171" s="17" t="s">
        <v>6278</v>
      </c>
      <c r="AH1171" s="20">
        <v>24.458791125774969</v>
      </c>
      <c r="AI1171" s="20">
        <v>14.049990430239671</v>
      </c>
      <c r="AJ1171" s="20">
        <v>12.94669276957797</v>
      </c>
      <c r="AK1171" s="20">
        <v>14.000118847612811</v>
      </c>
      <c r="AL1171" s="20">
        <v>13.771327968359991</v>
      </c>
      <c r="AM1171" s="20">
        <v>12.13892514060692</v>
      </c>
      <c r="AN1171" s="20">
        <v>12.456575740919799</v>
      </c>
      <c r="AO1171" s="20">
        <v>12.766850306330619</v>
      </c>
      <c r="AP1171" s="20">
        <v>13.048953657456259</v>
      </c>
      <c r="AQ1171" s="20">
        <v>13.3410883147393</v>
      </c>
      <c r="AR1171" s="20">
        <v>13.58891322078798</v>
      </c>
      <c r="AS1171" s="20">
        <v>13.845466509033059</v>
      </c>
      <c r="AT1171" s="20">
        <v>14.1065237070489</v>
      </c>
      <c r="AU1171" s="20">
        <v>14.366283693978851</v>
      </c>
      <c r="AV1171" s="20">
        <v>14.62820809673614</v>
      </c>
      <c r="AW1171" s="20">
        <v>14.89450914523608</v>
      </c>
      <c r="AX1171" s="20">
        <v>15.157495036205271</v>
      </c>
      <c r="AY1171" s="20">
        <v>15.418760517598059</v>
      </c>
      <c r="AZ1171" s="20">
        <v>15.67553989081784</v>
      </c>
      <c r="BA1171" s="20">
        <v>15.93106088407588</v>
      </c>
      <c r="BC1171" s="17" t="s">
        <v>6279</v>
      </c>
      <c r="BD1171" s="20">
        <v>24.458791125774969</v>
      </c>
      <c r="BE1171" s="20">
        <v>14.049990430239671</v>
      </c>
      <c r="BF1171" s="20">
        <v>12.94669276957797</v>
      </c>
      <c r="BG1171" s="20">
        <v>14.000118847612811</v>
      </c>
      <c r="BH1171" s="20">
        <v>13.771327968359991</v>
      </c>
      <c r="BI1171" s="20">
        <v>12.7506656608409</v>
      </c>
      <c r="BJ1171" s="20">
        <v>11.82634755667528</v>
      </c>
      <c r="BK1171" s="20">
        <v>11.114597052979491</v>
      </c>
      <c r="BL1171" s="20">
        <v>10.534463155258729</v>
      </c>
      <c r="BM1171" s="20">
        <v>10.176985126488299</v>
      </c>
      <c r="BN1171" s="20">
        <v>9.8546421249201988</v>
      </c>
      <c r="BO1171" s="20">
        <v>9.5809635403444577</v>
      </c>
      <c r="BP1171" s="20">
        <v>9.3483377238492782</v>
      </c>
      <c r="BQ1171" s="20">
        <v>9.1484139814282059</v>
      </c>
      <c r="BR1171" s="20">
        <v>8.975679582841531</v>
      </c>
      <c r="BS1171" s="20">
        <v>8.826832016705394</v>
      </c>
      <c r="BT1171" s="20">
        <v>8.6971149712848099</v>
      </c>
      <c r="BU1171" s="20">
        <v>8.5830259497769958</v>
      </c>
      <c r="BV1171" s="20">
        <v>8.4805977514724358</v>
      </c>
      <c r="BW1171" s="20">
        <v>8.3877863970220599</v>
      </c>
      <c r="BY1171" s="17" t="s">
        <v>6280</v>
      </c>
      <c r="BZ1171" s="20">
        <v>24.458791125774969</v>
      </c>
      <c r="CA1171" s="20">
        <v>14.049990430239671</v>
      </c>
      <c r="CB1171" s="20">
        <v>12.94669276957797</v>
      </c>
      <c r="CC1171" s="20">
        <v>14.000118847612811</v>
      </c>
      <c r="CD1171" s="20">
        <v>13.771327968359991</v>
      </c>
      <c r="CE1171" s="20">
        <v>12.58608523656436</v>
      </c>
      <c r="CF1171" s="20">
        <v>12.52113938655606</v>
      </c>
      <c r="CG1171" s="20">
        <v>12.47080690178192</v>
      </c>
      <c r="CH1171" s="20">
        <v>12.413881824605809</v>
      </c>
      <c r="CI1171" s="20">
        <v>12.38837265506262</v>
      </c>
      <c r="CJ1171" s="20">
        <v>12.337104854840449</v>
      </c>
      <c r="CK1171" s="20">
        <v>12.302563173841561</v>
      </c>
      <c r="CL1171" s="20">
        <v>12.28070400608318</v>
      </c>
      <c r="CM1171" s="20">
        <v>12.266005294552979</v>
      </c>
      <c r="CN1171" s="20">
        <v>12.37739405503819</v>
      </c>
      <c r="CO1171" s="20">
        <v>12.48903041758251</v>
      </c>
      <c r="CP1171" s="20">
        <v>12.596787286936751</v>
      </c>
      <c r="CQ1171" s="20">
        <v>12.702799687883211</v>
      </c>
      <c r="CR1171" s="20">
        <v>12.803980194818481</v>
      </c>
      <c r="CS1171" s="20">
        <v>12.903616916449341</v>
      </c>
      <c r="CU1171" s="17" t="s">
        <v>6281</v>
      </c>
      <c r="CV1171" s="20">
        <v>24.458791125774969</v>
      </c>
      <c r="CW1171" s="20">
        <v>14.049990430239671</v>
      </c>
      <c r="CX1171" s="20">
        <v>12.94669276957797</v>
      </c>
      <c r="CY1171" s="20">
        <v>14.000118847612811</v>
      </c>
      <c r="CZ1171" s="20">
        <v>13.771327968359991</v>
      </c>
      <c r="DA1171" s="20">
        <v>10.337651949225551</v>
      </c>
      <c r="DB1171" s="20">
        <v>10.600928130321771</v>
      </c>
      <c r="DC1171" s="20">
        <v>10.860552270019021</v>
      </c>
      <c r="DD1171" s="20">
        <v>11.0832477528069</v>
      </c>
      <c r="DE1171" s="20">
        <v>11.32476164908203</v>
      </c>
      <c r="DF1171" s="20">
        <v>11.5311431986323</v>
      </c>
      <c r="DG1171" s="20">
        <v>11.75382005217153</v>
      </c>
      <c r="DH1171" s="20">
        <v>11.98301441313111</v>
      </c>
      <c r="DI1171" s="20">
        <v>12.2097973985618</v>
      </c>
      <c r="DJ1171" s="20">
        <v>12.439975171684861</v>
      </c>
      <c r="DK1171" s="20">
        <v>12.67776932626443</v>
      </c>
      <c r="DL1171" s="20">
        <v>12.909102165429029</v>
      </c>
      <c r="DM1171" s="20">
        <v>13.137559674061659</v>
      </c>
      <c r="DN1171" s="20">
        <v>13.357832189996341</v>
      </c>
      <c r="DO1171" s="20">
        <v>13.5760758707862</v>
      </c>
    </row>
    <row r="1172" spans="1:230" x14ac:dyDescent="0.45">
      <c r="A1172" s="16" t="s">
        <v>6282</v>
      </c>
      <c r="B1172" s="3" t="s">
        <v>89</v>
      </c>
      <c r="C1172" s="16"/>
      <c r="H1172" s="3" t="s">
        <v>6283</v>
      </c>
      <c r="I1172" s="3" t="s">
        <v>224</v>
      </c>
      <c r="K1172" s="17" t="s">
        <v>6284</v>
      </c>
      <c r="L1172" s="20">
        <v>-45486.507920118507</v>
      </c>
      <c r="M1172" s="20">
        <v>-41416.194602968193</v>
      </c>
      <c r="N1172" s="20">
        <v>-47363.63161456582</v>
      </c>
      <c r="O1172" s="20">
        <v>-45308.313256368958</v>
      </c>
      <c r="P1172" s="20">
        <v>-50513.987013044018</v>
      </c>
      <c r="Q1172" s="20">
        <v>-47967.251525956453</v>
      </c>
      <c r="R1172" s="20">
        <v>-48322.187517731742</v>
      </c>
      <c r="S1172" s="20">
        <v>-49197.11268410497</v>
      </c>
      <c r="T1172" s="20">
        <v>-49805.036875017096</v>
      </c>
      <c r="U1172" s="20">
        <v>-50036.990829636001</v>
      </c>
      <c r="V1172" s="20">
        <v>-50832.410560465178</v>
      </c>
      <c r="W1172" s="20">
        <v>-52247.799069107918</v>
      </c>
      <c r="X1172" s="20">
        <v>-53599.640551191857</v>
      </c>
      <c r="Y1172" s="20">
        <v>-55040.89976111197</v>
      </c>
      <c r="Z1172" s="20">
        <v>-56505.452190949873</v>
      </c>
      <c r="AA1172" s="20">
        <v>-57999.595342086439</v>
      </c>
      <c r="AB1172" s="20">
        <v>-59521.16153134359</v>
      </c>
      <c r="AC1172" s="20">
        <v>-61070.43436413804</v>
      </c>
      <c r="AD1172" s="20">
        <v>-62649.466095760014</v>
      </c>
      <c r="AE1172" s="20">
        <v>-64258.932152792258</v>
      </c>
      <c r="AG1172" s="17" t="s">
        <v>6285</v>
      </c>
      <c r="AH1172" s="20">
        <v>-45486.507920118507</v>
      </c>
      <c r="AI1172" s="20">
        <v>-41409.466181463104</v>
      </c>
      <c r="AJ1172" s="20">
        <v>-47355.887785068902</v>
      </c>
      <c r="AK1172" s="20">
        <v>-45300.666504478657</v>
      </c>
      <c r="AL1172" s="20">
        <v>-50505.96966497496</v>
      </c>
      <c r="AM1172" s="20">
        <v>-44564.888120633586</v>
      </c>
      <c r="AN1172" s="20">
        <v>-42738.680549486729</v>
      </c>
      <c r="AO1172" s="20">
        <v>-43819.435798956823</v>
      </c>
      <c r="AP1172" s="20">
        <v>-44159.008800573087</v>
      </c>
      <c r="AQ1172" s="20">
        <v>-44685.561682781758</v>
      </c>
      <c r="AR1172" s="20">
        <v>-45421.116409238413</v>
      </c>
      <c r="AS1172" s="20">
        <v>-46825.090337399633</v>
      </c>
      <c r="AT1172" s="20">
        <v>-48076.980381843023</v>
      </c>
      <c r="AU1172" s="20">
        <v>-49457.838875022593</v>
      </c>
      <c r="AV1172" s="20">
        <v>-50869.087868635848</v>
      </c>
      <c r="AW1172" s="20">
        <v>-52328.585942424113</v>
      </c>
      <c r="AX1172" s="20">
        <v>-53791.146796109017</v>
      </c>
      <c r="AY1172" s="20">
        <v>-55270.856081215403</v>
      </c>
      <c r="AZ1172" s="20">
        <v>-56747.859507921727</v>
      </c>
      <c r="BA1172" s="20">
        <v>-58246.143521412341</v>
      </c>
      <c r="BC1172" s="17" t="s">
        <v>6286</v>
      </c>
      <c r="BD1172" s="20">
        <v>-45486.507920118507</v>
      </c>
      <c r="BE1172" s="20">
        <v>-41392.95263492786</v>
      </c>
      <c r="BF1172" s="20">
        <v>-47337.162625897603</v>
      </c>
      <c r="BG1172" s="20">
        <v>-45282.152731029397</v>
      </c>
      <c r="BH1172" s="20">
        <v>-50486.645426733718</v>
      </c>
      <c r="BI1172" s="20">
        <v>-45753.164660483417</v>
      </c>
      <c r="BJ1172" s="20">
        <v>-42779.326077214981</v>
      </c>
      <c r="BK1172" s="20">
        <v>-40342.037239557183</v>
      </c>
      <c r="BL1172" s="20">
        <v>-38553.685924259902</v>
      </c>
      <c r="BM1172" s="20">
        <v>-37452.544170640867</v>
      </c>
      <c r="BN1172" s="20">
        <v>-36493.133270176862</v>
      </c>
      <c r="BO1172" s="20">
        <v>-36091.257171974547</v>
      </c>
      <c r="BP1172" s="20">
        <v>-35543.465617487876</v>
      </c>
      <c r="BQ1172" s="20">
        <v>-35333.706397043607</v>
      </c>
      <c r="BR1172" s="20">
        <v>-35053.454407722718</v>
      </c>
      <c r="BS1172" s="20">
        <v>-35048.646916465121</v>
      </c>
      <c r="BT1172" s="20">
        <v>-34942.130487276911</v>
      </c>
      <c r="BU1172" s="20">
        <v>-35123.337333046751</v>
      </c>
      <c r="BV1172" s="20">
        <v>-35107.66736748437</v>
      </c>
      <c r="BW1172" s="20">
        <v>-35474.993654886683</v>
      </c>
      <c r="BY1172" s="17" t="s">
        <v>6287</v>
      </c>
      <c r="BZ1172" s="20">
        <v>-45486.507920118507</v>
      </c>
      <c r="CA1172" s="20">
        <v>-41376.739131361093</v>
      </c>
      <c r="CB1172" s="20">
        <v>-47318.502278854852</v>
      </c>
      <c r="CC1172" s="20">
        <v>-45263.697548135773</v>
      </c>
      <c r="CD1172" s="20">
        <v>-50467.300195230113</v>
      </c>
      <c r="CE1172" s="20">
        <v>-43933.200569733861</v>
      </c>
      <c r="CF1172" s="20">
        <v>-44292.012351953083</v>
      </c>
      <c r="CG1172" s="20">
        <v>-45135.844103547854</v>
      </c>
      <c r="CH1172" s="20">
        <v>-45655.874778984959</v>
      </c>
      <c r="CI1172" s="20">
        <v>-45751.629916292717</v>
      </c>
      <c r="CJ1172" s="20">
        <v>-46175.543101972267</v>
      </c>
      <c r="CK1172" s="20">
        <v>-47393.740255805656</v>
      </c>
      <c r="CL1172" s="20">
        <v>-48144.649347615938</v>
      </c>
      <c r="CM1172" s="20">
        <v>-49058.514238716387</v>
      </c>
      <c r="CN1172" s="20">
        <v>-50079.574972134636</v>
      </c>
      <c r="CO1172" s="20">
        <v>-51059.095172877322</v>
      </c>
      <c r="CP1172" s="20">
        <v>-52108.150701783838</v>
      </c>
      <c r="CQ1172" s="20">
        <v>-53207.369596557182</v>
      </c>
      <c r="CR1172" s="20">
        <v>-54291.012227380139</v>
      </c>
      <c r="CS1172" s="20">
        <v>-55443.192314743792</v>
      </c>
      <c r="CU1172" s="17" t="s">
        <v>6288</v>
      </c>
      <c r="CV1172" s="20">
        <v>-45486.507920118507</v>
      </c>
      <c r="CW1172" s="20">
        <v>-41400.164533592862</v>
      </c>
      <c r="CX1172" s="20">
        <v>-47345.292782219782</v>
      </c>
      <c r="CY1172" s="20">
        <v>-45290.19499591834</v>
      </c>
      <c r="CZ1172" s="20">
        <v>-50495.024902938443</v>
      </c>
      <c r="DA1172" s="20">
        <v>-41344.733425887869</v>
      </c>
      <c r="DB1172" s="20">
        <v>-37093.909896753772</v>
      </c>
      <c r="DC1172" s="20">
        <v>-38156.830532745596</v>
      </c>
      <c r="DD1172" s="20">
        <v>-38143.706726191856</v>
      </c>
      <c r="DE1172" s="20">
        <v>-39086.625998399053</v>
      </c>
      <c r="DF1172" s="20">
        <v>-39525.486131202357</v>
      </c>
      <c r="DG1172" s="20">
        <v>-40677.909105462517</v>
      </c>
      <c r="DH1172" s="20">
        <v>-41542.664374805463</v>
      </c>
      <c r="DI1172" s="20">
        <v>-42683.212440938907</v>
      </c>
      <c r="DJ1172" s="20">
        <v>-43767.224779979253</v>
      </c>
      <c r="DK1172" s="20">
        <v>-45023.994254279292</v>
      </c>
      <c r="DL1172" s="20">
        <v>-46185.963320369563</v>
      </c>
      <c r="DM1172" s="20">
        <v>-47465.267741638439</v>
      </c>
      <c r="DN1172" s="20">
        <v>-48645.513395000067</v>
      </c>
      <c r="DO1172" s="20">
        <v>-49932.397647037091</v>
      </c>
    </row>
    <row r="1173" spans="1:230" x14ac:dyDescent="0.45">
      <c r="A1173" s="16" t="s">
        <v>6289</v>
      </c>
      <c r="B1173" s="3" t="s">
        <v>89</v>
      </c>
      <c r="C1173" s="16"/>
      <c r="H1173" s="3" t="s">
        <v>6290</v>
      </c>
      <c r="I1173" s="3" t="s">
        <v>224</v>
      </c>
      <c r="K1173" s="17" t="s">
        <v>6291</v>
      </c>
      <c r="L1173" s="20">
        <v>0</v>
      </c>
      <c r="M1173" s="20">
        <v>0</v>
      </c>
      <c r="N1173" s="20">
        <v>0</v>
      </c>
      <c r="O1173" s="20">
        <v>0</v>
      </c>
      <c r="P1173" s="20">
        <v>0</v>
      </c>
      <c r="Q1173" s="20">
        <v>0</v>
      </c>
      <c r="R1173" s="20">
        <v>0</v>
      </c>
      <c r="S1173" s="20">
        <v>0</v>
      </c>
      <c r="T1173" s="20">
        <v>0</v>
      </c>
      <c r="U1173" s="20">
        <v>0</v>
      </c>
      <c r="V1173" s="20">
        <v>0</v>
      </c>
      <c r="W1173" s="20">
        <v>0</v>
      </c>
      <c r="X1173" s="20">
        <v>0</v>
      </c>
      <c r="Y1173" s="20">
        <v>0</v>
      </c>
      <c r="Z1173" s="20">
        <v>0</v>
      </c>
      <c r="AA1173" s="20">
        <v>0</v>
      </c>
      <c r="AB1173" s="20">
        <v>0</v>
      </c>
      <c r="AC1173" s="20">
        <v>0</v>
      </c>
      <c r="AD1173" s="20">
        <v>0</v>
      </c>
      <c r="AE1173" s="20">
        <v>0</v>
      </c>
      <c r="AG1173" s="17" t="s">
        <v>6292</v>
      </c>
      <c r="AH1173" s="20">
        <v>0</v>
      </c>
      <c r="AI1173" s="20">
        <v>0</v>
      </c>
      <c r="AJ1173" s="20">
        <v>0</v>
      </c>
      <c r="AK1173" s="20">
        <v>0</v>
      </c>
      <c r="AL1173" s="20">
        <v>0</v>
      </c>
      <c r="AM1173" s="20">
        <v>4963.4826723365268</v>
      </c>
      <c r="AN1173" s="20">
        <v>4909.8102122680439</v>
      </c>
      <c r="AO1173" s="20">
        <v>5096.367495149203</v>
      </c>
      <c r="AP1173" s="20">
        <v>5190.4642277042203</v>
      </c>
      <c r="AQ1173" s="20">
        <v>5272.9226843549932</v>
      </c>
      <c r="AR1173" s="20">
        <v>5320.2410224944288</v>
      </c>
      <c r="AS1173" s="20">
        <v>5439.2411389749777</v>
      </c>
      <c r="AT1173" s="20">
        <v>5531.8504808416074</v>
      </c>
      <c r="AU1173" s="20">
        <v>5641.17167588142</v>
      </c>
      <c r="AV1173" s="20">
        <v>5752.1130189750002</v>
      </c>
      <c r="AW1173" s="20">
        <v>5867.3621483586376</v>
      </c>
      <c r="AX1173" s="20">
        <v>5981.4068905288459</v>
      </c>
      <c r="AY1173" s="20">
        <v>6096.0895860935589</v>
      </c>
      <c r="AZ1173" s="20">
        <v>6209.005671333156</v>
      </c>
      <c r="BA1173" s="20">
        <v>6323.0646210280484</v>
      </c>
      <c r="BC1173" s="17" t="s">
        <v>6293</v>
      </c>
      <c r="BD1173" s="20">
        <v>0</v>
      </c>
      <c r="BE1173" s="20">
        <v>0</v>
      </c>
      <c r="BF1173" s="20">
        <v>0</v>
      </c>
      <c r="BG1173" s="20">
        <v>0</v>
      </c>
      <c r="BH1173" s="20">
        <v>0</v>
      </c>
      <c r="BI1173" s="20">
        <v>2561.8382576140439</v>
      </c>
      <c r="BJ1173" s="20">
        <v>5667.9244898829884</v>
      </c>
      <c r="BK1173" s="20">
        <v>8398.7828924387322</v>
      </c>
      <c r="BL1173" s="20">
        <v>10997.074098375921</v>
      </c>
      <c r="BM1173" s="20">
        <v>13607.909226225651</v>
      </c>
      <c r="BN1173" s="20">
        <v>15867.209464299291</v>
      </c>
      <c r="BO1173" s="20">
        <v>18253.221071247979</v>
      </c>
      <c r="BP1173" s="20">
        <v>20351.390424512821</v>
      </c>
      <c r="BQ1173" s="20">
        <v>22542.959902696541</v>
      </c>
      <c r="BR1173" s="20">
        <v>24513.620228927561</v>
      </c>
      <c r="BS1173" s="20">
        <v>26597.618254828671</v>
      </c>
      <c r="BT1173" s="20">
        <v>28434.691390417891</v>
      </c>
      <c r="BU1173" s="20">
        <v>30464.138571371641</v>
      </c>
      <c r="BV1173" s="20">
        <v>32129.186682897911</v>
      </c>
      <c r="BW1173" s="20">
        <v>34175.28716001712</v>
      </c>
      <c r="BY1173" s="17" t="s">
        <v>6294</v>
      </c>
      <c r="BZ1173" s="20">
        <v>0</v>
      </c>
      <c r="CA1173" s="20">
        <v>0</v>
      </c>
      <c r="CB1173" s="20">
        <v>0</v>
      </c>
      <c r="CC1173" s="20">
        <v>0</v>
      </c>
      <c r="CD1173" s="20">
        <v>0</v>
      </c>
      <c r="CE1173" s="20">
        <v>3137.255677444924</v>
      </c>
      <c r="CF1173" s="20">
        <v>3234.0389392392672</v>
      </c>
      <c r="CG1173" s="20">
        <v>3327.5011392486981</v>
      </c>
      <c r="CH1173" s="20">
        <v>3410.7447582966461</v>
      </c>
      <c r="CI1173" s="20">
        <v>3498.4433492759431</v>
      </c>
      <c r="CJ1173" s="20">
        <v>3584.6243905545439</v>
      </c>
      <c r="CK1173" s="20">
        <v>3674.9686501142569</v>
      </c>
      <c r="CL1173" s="20">
        <v>3766.4415798018258</v>
      </c>
      <c r="CM1173" s="20">
        <v>3858.4182372846089</v>
      </c>
      <c r="CN1173" s="20">
        <v>3951.9044017096289</v>
      </c>
      <c r="CO1173" s="20">
        <v>4047.3903605775181</v>
      </c>
      <c r="CP1173" s="20">
        <v>4142.5285949373419</v>
      </c>
      <c r="CQ1173" s="20">
        <v>4238.252068111271</v>
      </c>
      <c r="CR1173" s="20">
        <v>4333.418431236978</v>
      </c>
      <c r="CS1173" s="20">
        <v>4429.5238278634006</v>
      </c>
      <c r="CU1173" s="17" t="s">
        <v>6295</v>
      </c>
      <c r="CV1173" s="20">
        <v>0</v>
      </c>
      <c r="CW1173" s="20">
        <v>0</v>
      </c>
      <c r="CX1173" s="20">
        <v>0</v>
      </c>
      <c r="CY1173" s="20">
        <v>0</v>
      </c>
      <c r="CZ1173" s="20">
        <v>0</v>
      </c>
      <c r="DA1173" s="20">
        <v>11291.412098266501</v>
      </c>
      <c r="DB1173" s="20">
        <v>10563.12269456128</v>
      </c>
      <c r="DC1173" s="20">
        <v>10997.8675285505</v>
      </c>
      <c r="DD1173" s="20">
        <v>11084.021293626771</v>
      </c>
      <c r="DE1173" s="20">
        <v>11456.770052743581</v>
      </c>
      <c r="DF1173" s="20">
        <v>11407.12582635989</v>
      </c>
      <c r="DG1173" s="20">
        <v>11599.071927831041</v>
      </c>
      <c r="DH1173" s="20">
        <v>11640.238890809889</v>
      </c>
      <c r="DI1173" s="20">
        <v>11771.814692887679</v>
      </c>
      <c r="DJ1173" s="20">
        <v>11867.428179207631</v>
      </c>
      <c r="DK1173" s="20">
        <v>12017.560533752991</v>
      </c>
      <c r="DL1173" s="20">
        <v>12126.526085393631</v>
      </c>
      <c r="DM1173" s="20">
        <v>12277.27679700201</v>
      </c>
      <c r="DN1173" s="20">
        <v>12390.229128463379</v>
      </c>
      <c r="DO1173" s="20">
        <v>12541.64358822583</v>
      </c>
    </row>
    <row r="1174" spans="1:230" x14ac:dyDescent="0.45">
      <c r="A1174" s="16" t="s">
        <v>6296</v>
      </c>
      <c r="B1174" s="3" t="s">
        <v>89</v>
      </c>
      <c r="C1174" s="16"/>
      <c r="H1174" s="3" t="s">
        <v>6297</v>
      </c>
      <c r="I1174" s="3" t="s">
        <v>224</v>
      </c>
      <c r="K1174" s="17" t="s">
        <v>6298</v>
      </c>
      <c r="L1174" s="20">
        <v>0</v>
      </c>
      <c r="M1174" s="20">
        <v>0</v>
      </c>
      <c r="N1174" s="20">
        <v>0</v>
      </c>
      <c r="O1174" s="20">
        <v>0</v>
      </c>
      <c r="P1174" s="20">
        <v>0</v>
      </c>
      <c r="Q1174" s="20">
        <v>0</v>
      </c>
      <c r="R1174" s="20">
        <v>0</v>
      </c>
      <c r="S1174" s="20">
        <v>0</v>
      </c>
      <c r="T1174" s="20">
        <v>0</v>
      </c>
      <c r="U1174" s="20">
        <v>0</v>
      </c>
      <c r="V1174" s="20">
        <v>0</v>
      </c>
      <c r="W1174" s="20">
        <v>0</v>
      </c>
      <c r="X1174" s="20">
        <v>0</v>
      </c>
      <c r="Y1174" s="20">
        <v>0</v>
      </c>
      <c r="Z1174" s="20">
        <v>0</v>
      </c>
      <c r="AA1174" s="20">
        <v>0</v>
      </c>
      <c r="AB1174" s="20">
        <v>0</v>
      </c>
      <c r="AC1174" s="20">
        <v>0</v>
      </c>
      <c r="AD1174" s="20">
        <v>0</v>
      </c>
      <c r="AE1174" s="20">
        <v>0</v>
      </c>
      <c r="AG1174" s="17" t="s">
        <v>6299</v>
      </c>
      <c r="AH1174" s="20">
        <v>0</v>
      </c>
      <c r="AI1174" s="20">
        <v>6.7284215050895</v>
      </c>
      <c r="AJ1174" s="20">
        <v>7.7438294969178969</v>
      </c>
      <c r="AK1174" s="20">
        <v>7.6467518903009477</v>
      </c>
      <c r="AL1174" s="20">
        <v>8.0173480690573342</v>
      </c>
      <c r="AM1174" s="20">
        <v>8364.0383238127979</v>
      </c>
      <c r="AN1174" s="20">
        <v>10491.451196637279</v>
      </c>
      <c r="AO1174" s="20">
        <v>10472.124026987611</v>
      </c>
      <c r="AP1174" s="20">
        <v>10834.50632205888</v>
      </c>
      <c r="AQ1174" s="20">
        <v>10622.309667156131</v>
      </c>
      <c r="AR1174" s="20">
        <v>10729.45095415309</v>
      </c>
      <c r="AS1174" s="20">
        <v>10859.831609030811</v>
      </c>
      <c r="AT1174" s="20">
        <v>11052.362218023291</v>
      </c>
      <c r="AU1174" s="20">
        <v>11222.05211161329</v>
      </c>
      <c r="AV1174" s="20">
        <v>11386.26656790217</v>
      </c>
      <c r="AW1174" s="20">
        <v>11536.134439617021</v>
      </c>
      <c r="AX1174" s="20">
        <v>11709.154558668721</v>
      </c>
      <c r="AY1174" s="20">
        <v>11893.368894009691</v>
      </c>
      <c r="AZ1174" s="20">
        <v>12108.276740722769</v>
      </c>
      <c r="BA1174" s="20">
        <v>12333.479861892591</v>
      </c>
      <c r="BC1174" s="17" t="s">
        <v>6300</v>
      </c>
      <c r="BD1174" s="20">
        <v>0</v>
      </c>
      <c r="BE1174" s="20">
        <v>23.24196804032545</v>
      </c>
      <c r="BF1174" s="20">
        <v>26.468988668217211</v>
      </c>
      <c r="BG1174" s="20">
        <v>26.160525339553711</v>
      </c>
      <c r="BH1174" s="20">
        <v>27.341586310292769</v>
      </c>
      <c r="BI1174" s="20">
        <v>4774.7291097607158</v>
      </c>
      <c r="BJ1174" s="20">
        <v>11208.289718339731</v>
      </c>
      <c r="BK1174" s="20">
        <v>17250.285730423431</v>
      </c>
      <c r="BL1174" s="20">
        <v>22243.92457854157</v>
      </c>
      <c r="BM1174" s="20">
        <v>26187.14961797943</v>
      </c>
      <c r="BN1174" s="20">
        <v>30200.66826392365</v>
      </c>
      <c r="BO1174" s="20">
        <v>34403.380203760207</v>
      </c>
      <c r="BP1174" s="20">
        <v>38400.658740066428</v>
      </c>
      <c r="BQ1174" s="20">
        <v>42242.754946694833</v>
      </c>
      <c r="BR1174" s="20">
        <v>45957.754710253968</v>
      </c>
      <c r="BS1174" s="20">
        <v>49540.261894917523</v>
      </c>
      <c r="BT1174" s="20">
        <v>53004.994987324957</v>
      </c>
      <c r="BU1174" s="20">
        <v>56402.100892888593</v>
      </c>
      <c r="BV1174" s="20">
        <v>59661.454950585532</v>
      </c>
      <c r="BW1174" s="20">
        <v>62949.308992920262</v>
      </c>
      <c r="BY1174" s="17" t="s">
        <v>6301</v>
      </c>
      <c r="BZ1174" s="20">
        <v>0</v>
      </c>
      <c r="CA1174" s="20">
        <v>39.455471607092477</v>
      </c>
      <c r="CB1174" s="20">
        <v>45.129335710968007</v>
      </c>
      <c r="CC1174" s="20">
        <v>44.615708233184712</v>
      </c>
      <c r="CD1174" s="20">
        <v>46.686817813904781</v>
      </c>
      <c r="CE1174" s="20">
        <v>7169.9460399168893</v>
      </c>
      <c r="CF1174" s="20">
        <v>7262.4126847877851</v>
      </c>
      <c r="CG1174" s="20">
        <v>7386.5533230915316</v>
      </c>
      <c r="CH1174" s="20">
        <v>7557.2858024065936</v>
      </c>
      <c r="CI1174" s="20">
        <v>7780.8093829064383</v>
      </c>
      <c r="CJ1174" s="20">
        <v>8238.1558211134034</v>
      </c>
      <c r="CK1174" s="20">
        <v>8525.3662984288749</v>
      </c>
      <c r="CL1174" s="20">
        <v>9217.4585315096119</v>
      </c>
      <c r="CM1174" s="20">
        <v>9836.5230309232575</v>
      </c>
      <c r="CN1174" s="20">
        <v>10373.320033096319</v>
      </c>
      <c r="CO1174" s="20">
        <v>10983.24794265504</v>
      </c>
      <c r="CP1174" s="20">
        <v>11550.711649653131</v>
      </c>
      <c r="CQ1174" s="20">
        <v>12096.301899855909</v>
      </c>
      <c r="CR1174" s="20">
        <v>12686.66522147218</v>
      </c>
      <c r="CS1174" s="20">
        <v>13239.86283142886</v>
      </c>
      <c r="CU1174" s="17" t="s">
        <v>6302</v>
      </c>
      <c r="CV1174" s="20">
        <v>0</v>
      </c>
      <c r="CW1174" s="20">
        <v>16.030069375323361</v>
      </c>
      <c r="CX1174" s="20">
        <v>18.33883234603854</v>
      </c>
      <c r="CY1174" s="20">
        <v>18.11826045061753</v>
      </c>
      <c r="CZ1174" s="20">
        <v>18.962110105574538</v>
      </c>
      <c r="DA1174" s="20">
        <v>17910.32117129711</v>
      </c>
      <c r="DB1174" s="20">
        <v>21787.67868405288</v>
      </c>
      <c r="DC1174" s="20">
        <v>22034.32302856382</v>
      </c>
      <c r="DD1174" s="20">
        <v>22741.39975645802</v>
      </c>
      <c r="DE1174" s="20">
        <v>22403.076393261781</v>
      </c>
      <c r="DF1174" s="20">
        <v>22709.90826603246</v>
      </c>
      <c r="DG1174" s="20">
        <v>23164.751983367139</v>
      </c>
      <c r="DH1174" s="20">
        <v>23692.943125735212</v>
      </c>
      <c r="DI1174" s="20">
        <v>24125.165076407819</v>
      </c>
      <c r="DJ1174" s="20">
        <v>24601.25658386635</v>
      </c>
      <c r="DK1174" s="20">
        <v>24988.707773337232</v>
      </c>
      <c r="DL1174" s="20">
        <v>25457.208836402198</v>
      </c>
      <c r="DM1174" s="20">
        <v>25877.863243651569</v>
      </c>
      <c r="DN1174" s="20">
        <v>26389.528603073832</v>
      </c>
      <c r="DO1174" s="20">
        <v>26863.449718452332</v>
      </c>
    </row>
    <row r="1175" spans="1:230" x14ac:dyDescent="0.45">
      <c r="A1175" s="16" t="s">
        <v>6303</v>
      </c>
      <c r="B1175" s="3" t="s">
        <v>89</v>
      </c>
      <c r="C1175" s="16"/>
      <c r="H1175" s="3" t="s">
        <v>6304</v>
      </c>
      <c r="I1175" s="3" t="s">
        <v>224</v>
      </c>
      <c r="K1175" s="17" t="s">
        <v>6305</v>
      </c>
      <c r="L1175" s="20">
        <v>0</v>
      </c>
      <c r="M1175" s="20">
        <v>0</v>
      </c>
      <c r="N1175" s="20">
        <v>0</v>
      </c>
      <c r="O1175" s="20">
        <v>0</v>
      </c>
      <c r="P1175" s="20">
        <v>0</v>
      </c>
      <c r="Q1175" s="20">
        <v>0</v>
      </c>
      <c r="R1175" s="20">
        <v>0</v>
      </c>
      <c r="S1175" s="20">
        <v>0</v>
      </c>
      <c r="T1175" s="20">
        <v>0</v>
      </c>
      <c r="U1175" s="20">
        <v>0</v>
      </c>
      <c r="V1175" s="20">
        <v>0</v>
      </c>
      <c r="W1175" s="20">
        <v>0</v>
      </c>
      <c r="X1175" s="20">
        <v>0</v>
      </c>
      <c r="Y1175" s="20">
        <v>0</v>
      </c>
      <c r="Z1175" s="20">
        <v>0</v>
      </c>
      <c r="AA1175" s="20">
        <v>0</v>
      </c>
      <c r="AB1175" s="20">
        <v>0</v>
      </c>
      <c r="AC1175" s="20">
        <v>0</v>
      </c>
      <c r="AD1175" s="20">
        <v>0</v>
      </c>
      <c r="AE1175" s="20">
        <v>0</v>
      </c>
      <c r="AG1175" s="17" t="s">
        <v>6306</v>
      </c>
      <c r="AH1175" s="20">
        <v>0</v>
      </c>
      <c r="AI1175" s="20">
        <v>0</v>
      </c>
      <c r="AJ1175" s="20">
        <v>0</v>
      </c>
      <c r="AK1175" s="20">
        <v>0</v>
      </c>
      <c r="AL1175" s="20">
        <v>0</v>
      </c>
      <c r="AM1175" s="20">
        <v>0</v>
      </c>
      <c r="AN1175" s="20">
        <v>0</v>
      </c>
      <c r="AO1175" s="20">
        <v>0</v>
      </c>
      <c r="AP1175" s="20">
        <v>0</v>
      </c>
      <c r="AQ1175" s="20">
        <v>0</v>
      </c>
      <c r="AR1175" s="20">
        <v>0</v>
      </c>
      <c r="AS1175" s="20">
        <v>0</v>
      </c>
      <c r="AT1175" s="20">
        <v>0</v>
      </c>
      <c r="AU1175" s="20">
        <v>0</v>
      </c>
      <c r="AV1175" s="20">
        <v>0</v>
      </c>
      <c r="AW1175" s="20">
        <v>0</v>
      </c>
      <c r="AX1175" s="20">
        <v>0</v>
      </c>
      <c r="AY1175" s="20">
        <v>0</v>
      </c>
      <c r="AZ1175" s="20">
        <v>0</v>
      </c>
      <c r="BA1175" s="20">
        <v>0</v>
      </c>
      <c r="BC1175" s="17" t="s">
        <v>6307</v>
      </c>
      <c r="BD1175" s="20">
        <v>0</v>
      </c>
      <c r="BE1175" s="20">
        <v>0</v>
      </c>
      <c r="BF1175" s="20">
        <v>0</v>
      </c>
      <c r="BG1175" s="20">
        <v>0</v>
      </c>
      <c r="BH1175" s="20">
        <v>0</v>
      </c>
      <c r="BI1175" s="20">
        <v>0</v>
      </c>
      <c r="BJ1175" s="20">
        <v>0</v>
      </c>
      <c r="BK1175" s="20">
        <v>0</v>
      </c>
      <c r="BL1175" s="20">
        <v>0</v>
      </c>
      <c r="BM1175" s="20">
        <v>0</v>
      </c>
      <c r="BN1175" s="20">
        <v>0</v>
      </c>
      <c r="BO1175" s="20">
        <v>0</v>
      </c>
      <c r="BP1175" s="20">
        <v>0</v>
      </c>
      <c r="BQ1175" s="20">
        <v>0</v>
      </c>
      <c r="BR1175" s="20">
        <v>0</v>
      </c>
      <c r="BS1175" s="20">
        <v>0</v>
      </c>
      <c r="BT1175" s="20">
        <v>0</v>
      </c>
      <c r="BU1175" s="20">
        <v>0</v>
      </c>
      <c r="BV1175" s="20">
        <v>0</v>
      </c>
      <c r="BW1175" s="20">
        <v>0</v>
      </c>
      <c r="BY1175" s="17" t="s">
        <v>6308</v>
      </c>
      <c r="BZ1175" s="20">
        <v>0</v>
      </c>
      <c r="CA1175" s="20">
        <v>0</v>
      </c>
      <c r="CB1175" s="20">
        <v>0</v>
      </c>
      <c r="CC1175" s="20">
        <v>0</v>
      </c>
      <c r="CD1175" s="20">
        <v>0</v>
      </c>
      <c r="CE1175" s="20">
        <v>0</v>
      </c>
      <c r="CF1175" s="20">
        <v>0</v>
      </c>
      <c r="CG1175" s="20">
        <v>0</v>
      </c>
      <c r="CH1175" s="20">
        <v>0</v>
      </c>
      <c r="CI1175" s="20">
        <v>0</v>
      </c>
      <c r="CJ1175" s="20">
        <v>0</v>
      </c>
      <c r="CK1175" s="20">
        <v>0</v>
      </c>
      <c r="CL1175" s="20">
        <v>0</v>
      </c>
      <c r="CM1175" s="20">
        <v>0</v>
      </c>
      <c r="CN1175" s="20">
        <v>0</v>
      </c>
      <c r="CO1175" s="20">
        <v>0</v>
      </c>
      <c r="CP1175" s="20">
        <v>0</v>
      </c>
      <c r="CQ1175" s="20">
        <v>0</v>
      </c>
      <c r="CR1175" s="20">
        <v>0</v>
      </c>
      <c r="CS1175" s="20">
        <v>0</v>
      </c>
      <c r="CU1175" s="17" t="s">
        <v>6309</v>
      </c>
      <c r="CV1175" s="20">
        <v>0</v>
      </c>
      <c r="CW1175" s="20">
        <v>0</v>
      </c>
      <c r="CX1175" s="20">
        <v>0</v>
      </c>
      <c r="CY1175" s="20">
        <v>0</v>
      </c>
      <c r="CZ1175" s="20">
        <v>0</v>
      </c>
      <c r="DA1175" s="20">
        <v>0</v>
      </c>
      <c r="DB1175" s="20">
        <v>0</v>
      </c>
      <c r="DC1175" s="20">
        <v>0</v>
      </c>
      <c r="DD1175" s="20">
        <v>0</v>
      </c>
      <c r="DE1175" s="20">
        <v>0</v>
      </c>
      <c r="DF1175" s="20">
        <v>0</v>
      </c>
      <c r="DG1175" s="20">
        <v>0</v>
      </c>
      <c r="DH1175" s="20">
        <v>0</v>
      </c>
      <c r="DI1175" s="20">
        <v>0</v>
      </c>
      <c r="DJ1175" s="20">
        <v>0</v>
      </c>
      <c r="DK1175" s="20">
        <v>0</v>
      </c>
      <c r="DL1175" s="20">
        <v>0</v>
      </c>
      <c r="DM1175" s="20">
        <v>0</v>
      </c>
      <c r="DN1175" s="20">
        <v>0</v>
      </c>
      <c r="DO1175" s="20">
        <v>0</v>
      </c>
    </row>
    <row r="1176" spans="1:230" x14ac:dyDescent="0.45">
      <c r="A1176" s="16" t="s">
        <v>6310</v>
      </c>
      <c r="B1176" s="3" t="s">
        <v>89</v>
      </c>
      <c r="C1176" s="16"/>
      <c r="H1176" s="3" t="s">
        <v>6311</v>
      </c>
      <c r="I1176" s="3" t="s">
        <v>224</v>
      </c>
      <c r="K1176" s="17" t="s">
        <v>6312</v>
      </c>
      <c r="L1176" s="20">
        <v>-20468.132114972032</v>
      </c>
      <c r="M1176" s="20">
        <v>-17787.64061958855</v>
      </c>
      <c r="N1176" s="20">
        <v>-20540.103207515829</v>
      </c>
      <c r="O1176" s="20">
        <v>-22618.102293418229</v>
      </c>
      <c r="P1176" s="20">
        <v>-24027.45111735327</v>
      </c>
      <c r="Q1176" s="20">
        <v>-24315.535078067918</v>
      </c>
      <c r="R1176" s="20">
        <v>-24908.525234049059</v>
      </c>
      <c r="S1176" s="20">
        <v>-25640.911736128281</v>
      </c>
      <c r="T1176" s="20">
        <v>-26128.608957958069</v>
      </c>
      <c r="U1176" s="20">
        <v>-26303.50219606372</v>
      </c>
      <c r="V1176" s="20">
        <v>-26532.04736093805</v>
      </c>
      <c r="W1176" s="20">
        <v>-27374.89305224366</v>
      </c>
      <c r="X1176" s="20">
        <v>-28148.6579585369</v>
      </c>
      <c r="Y1176" s="20">
        <v>-29006.443963560541</v>
      </c>
      <c r="Z1176" s="20">
        <v>-29882.26642875429</v>
      </c>
      <c r="AA1176" s="20">
        <v>-30782.56558836644</v>
      </c>
      <c r="AB1176" s="20">
        <v>-31705.319498975361</v>
      </c>
      <c r="AC1176" s="20">
        <v>-32650.9606758716</v>
      </c>
      <c r="AD1176" s="20">
        <v>-33621.693637379503</v>
      </c>
      <c r="AE1176" s="20">
        <v>-34618.349629099343</v>
      </c>
      <c r="AG1176" s="17" t="s">
        <v>6313</v>
      </c>
      <c r="AH1176" s="20">
        <v>-20468.132114972032</v>
      </c>
      <c r="AI1176" s="20">
        <v>-17780.912198083472</v>
      </c>
      <c r="AJ1176" s="20">
        <v>-20532.359378018911</v>
      </c>
      <c r="AK1176" s="20">
        <v>-22610.455541527939</v>
      </c>
      <c r="AL1176" s="20">
        <v>-24019.43376928422</v>
      </c>
      <c r="AM1176" s="20">
        <v>-24307.12024188157</v>
      </c>
      <c r="AN1176" s="20">
        <v>-22706.036468657909</v>
      </c>
      <c r="AO1176" s="20">
        <v>-23665.859309898729</v>
      </c>
      <c r="AP1176" s="20">
        <v>-23926.030266087779</v>
      </c>
      <c r="AQ1176" s="20">
        <v>-24408.52949323443</v>
      </c>
      <c r="AR1176" s="20">
        <v>-24662.65307008717</v>
      </c>
      <c r="AS1176" s="20">
        <v>-25564.259267800411</v>
      </c>
      <c r="AT1176" s="20">
        <v>-26300.943586175079</v>
      </c>
      <c r="AU1176" s="20">
        <v>-27165.285888886039</v>
      </c>
      <c r="AV1176" s="20">
        <v>-28051.71889473802</v>
      </c>
      <c r="AW1176" s="20">
        <v>-28973.469604770969</v>
      </c>
      <c r="AX1176" s="20">
        <v>-29901.04308790034</v>
      </c>
      <c r="AY1176" s="20">
        <v>-30845.353099372802</v>
      </c>
      <c r="AZ1176" s="20">
        <v>-31792.410369353111</v>
      </c>
      <c r="BA1176" s="20">
        <v>-32759.586176590921</v>
      </c>
      <c r="BC1176" s="17" t="s">
        <v>6314</v>
      </c>
      <c r="BD1176" s="20">
        <v>-20468.132114972032</v>
      </c>
      <c r="BE1176" s="20">
        <v>-17764.398651548221</v>
      </c>
      <c r="BF1176" s="20">
        <v>-20513.634218847608</v>
      </c>
      <c r="BG1176" s="20">
        <v>-22591.94176807869</v>
      </c>
      <c r="BH1176" s="20">
        <v>-24000.109531042981</v>
      </c>
      <c r="BI1176" s="20">
        <v>-24286.83183511579</v>
      </c>
      <c r="BJ1176" s="20">
        <v>-23711.502785490229</v>
      </c>
      <c r="BK1176" s="20">
        <v>-22830.482829462569</v>
      </c>
      <c r="BL1176" s="20">
        <v>-22301.80670652198</v>
      </c>
      <c r="BM1176" s="20">
        <v>-22127.255630531159</v>
      </c>
      <c r="BN1176" s="20">
        <v>-21637.06151947676</v>
      </c>
      <c r="BO1176" s="20">
        <v>-21623.328527451809</v>
      </c>
      <c r="BP1176" s="20">
        <v>-21395.793062630251</v>
      </c>
      <c r="BQ1176" s="20">
        <v>-21453.11148866095</v>
      </c>
      <c r="BR1176" s="20">
        <v>-21396.059825602119</v>
      </c>
      <c r="BS1176" s="20">
        <v>-21575.677037163459</v>
      </c>
      <c r="BT1176" s="20">
        <v>-21623.0701011202</v>
      </c>
      <c r="BU1176" s="20">
        <v>-21933.649550175909</v>
      </c>
      <c r="BV1176" s="20">
        <v>-22029.973612723032</v>
      </c>
      <c r="BW1176" s="20">
        <v>-22495.338654909308</v>
      </c>
      <c r="BY1176" s="17" t="s">
        <v>6315</v>
      </c>
      <c r="BZ1176" s="20">
        <v>-20468.132114972032</v>
      </c>
      <c r="CA1176" s="20">
        <v>-17748.185147981461</v>
      </c>
      <c r="CB1176" s="20">
        <v>-20494.973871804861</v>
      </c>
      <c r="CC1176" s="20">
        <v>-22573.486585185052</v>
      </c>
      <c r="CD1176" s="20">
        <v>-23980.764299539369</v>
      </c>
      <c r="CE1176" s="20">
        <v>-24266.508948763709</v>
      </c>
      <c r="CF1176" s="20">
        <v>-24857.78957688947</v>
      </c>
      <c r="CG1176" s="20">
        <v>-25598.903389771509</v>
      </c>
      <c r="CH1176" s="20">
        <v>-26054.294687920061</v>
      </c>
      <c r="CI1176" s="20">
        <v>-26117.24266266933</v>
      </c>
      <c r="CJ1176" s="20">
        <v>-26087.21313734123</v>
      </c>
      <c r="CK1176" s="20">
        <v>-26829.530239113989</v>
      </c>
      <c r="CL1176" s="20">
        <v>-27098.901027081349</v>
      </c>
      <c r="CM1176" s="20">
        <v>-27529.093426911011</v>
      </c>
      <c r="CN1176" s="20">
        <v>-28053.201928128281</v>
      </c>
      <c r="CO1176" s="20">
        <v>-28525.743757835618</v>
      </c>
      <c r="CP1176" s="20">
        <v>-29070.393962088121</v>
      </c>
      <c r="CQ1176" s="20">
        <v>-29662.75251039083</v>
      </c>
      <c r="CR1176" s="20">
        <v>-30243.249520387159</v>
      </c>
      <c r="CS1176" s="20">
        <v>-30887.959697840739</v>
      </c>
      <c r="CU1176" s="17" t="s">
        <v>6316</v>
      </c>
      <c r="CV1176" s="20">
        <v>-20468.132114972032</v>
      </c>
      <c r="CW1176" s="20">
        <v>-17771.61055021323</v>
      </c>
      <c r="CX1176" s="20">
        <v>-20521.764375169791</v>
      </c>
      <c r="CY1176" s="20">
        <v>-22599.984032967619</v>
      </c>
      <c r="CZ1176" s="20">
        <v>-24008.489007247699</v>
      </c>
      <c r="DA1176" s="20">
        <v>-24295.630344001209</v>
      </c>
      <c r="DB1176" s="20">
        <v>-20248.97188654952</v>
      </c>
      <c r="DC1176" s="20">
        <v>-21209.350386071721</v>
      </c>
      <c r="DD1176" s="20">
        <v>-21151.526937209641</v>
      </c>
      <c r="DE1176" s="20">
        <v>-22059.147995913841</v>
      </c>
      <c r="DF1176" s="20">
        <v>-22099.640650218891</v>
      </c>
      <c r="DG1176" s="20">
        <v>-22818.514536311741</v>
      </c>
      <c r="DH1176" s="20">
        <v>-23233.369197786469</v>
      </c>
      <c r="DI1176" s="20">
        <v>-23925.356361850121</v>
      </c>
      <c r="DJ1176" s="20">
        <v>-24550.479327104222</v>
      </c>
      <c r="DK1176" s="20">
        <v>-25329.249350345261</v>
      </c>
      <c r="DL1176" s="20">
        <v>-26022.75644880586</v>
      </c>
      <c r="DM1176" s="20">
        <v>-26835.992148127341</v>
      </c>
      <c r="DN1176" s="20">
        <v>-27563.782685686339</v>
      </c>
      <c r="DO1176" s="20">
        <v>-28399.23158816815</v>
      </c>
    </row>
    <row r="1177" spans="1:230" x14ac:dyDescent="0.45">
      <c r="A1177" s="16" t="s">
        <v>6317</v>
      </c>
      <c r="B1177" s="3" t="s">
        <v>89</v>
      </c>
      <c r="C1177" s="16"/>
      <c r="H1177" s="3" t="s">
        <v>6318</v>
      </c>
      <c r="I1177" s="3" t="s">
        <v>224</v>
      </c>
      <c r="K1177" s="17" t="s">
        <v>6319</v>
      </c>
      <c r="L1177" s="20">
        <v>0</v>
      </c>
      <c r="M1177" s="20">
        <v>0</v>
      </c>
      <c r="N1177" s="20">
        <v>0</v>
      </c>
      <c r="O1177" s="20">
        <v>0</v>
      </c>
      <c r="P1177" s="20">
        <v>0</v>
      </c>
      <c r="Q1177" s="20">
        <v>0</v>
      </c>
      <c r="R1177" s="20">
        <v>0</v>
      </c>
      <c r="S1177" s="20">
        <v>0</v>
      </c>
      <c r="T1177" s="20">
        <v>0</v>
      </c>
      <c r="U1177" s="20">
        <v>0</v>
      </c>
      <c r="V1177" s="20">
        <v>0</v>
      </c>
      <c r="W1177" s="20">
        <v>0</v>
      </c>
      <c r="X1177" s="20">
        <v>0</v>
      </c>
      <c r="Y1177" s="20">
        <v>0</v>
      </c>
      <c r="Z1177" s="20">
        <v>0</v>
      </c>
      <c r="AA1177" s="20">
        <v>0</v>
      </c>
      <c r="AB1177" s="20">
        <v>0</v>
      </c>
      <c r="AC1177" s="20">
        <v>0</v>
      </c>
      <c r="AD1177" s="20">
        <v>0</v>
      </c>
      <c r="AE1177" s="20">
        <v>0</v>
      </c>
      <c r="AG1177" s="17" t="s">
        <v>6320</v>
      </c>
      <c r="AH1177" s="20">
        <v>0</v>
      </c>
      <c r="AI1177" s="20">
        <v>0</v>
      </c>
      <c r="AJ1177" s="20">
        <v>0</v>
      </c>
      <c r="AK1177" s="20">
        <v>0</v>
      </c>
      <c r="AL1177" s="20">
        <v>0</v>
      </c>
      <c r="AM1177" s="20">
        <v>2099.0766634810798</v>
      </c>
      <c r="AN1177" s="20">
        <v>1955.2896979502329</v>
      </c>
      <c r="AO1177" s="20">
        <v>2054.4959467065478</v>
      </c>
      <c r="AP1177" s="20">
        <v>2070.8999997900169</v>
      </c>
      <c r="AQ1177" s="20">
        <v>2071.864250054035</v>
      </c>
      <c r="AR1177" s="20">
        <v>2038.8336811798661</v>
      </c>
      <c r="AS1177" s="20">
        <v>2073.8936295414428</v>
      </c>
      <c r="AT1177" s="20">
        <v>2080.3023428327342</v>
      </c>
      <c r="AU1177" s="20">
        <v>2103.0702147258489</v>
      </c>
      <c r="AV1177" s="20">
        <v>2125.9443831949102</v>
      </c>
      <c r="AW1177" s="20">
        <v>2150.837639678497</v>
      </c>
      <c r="AX1177" s="20">
        <v>2174.8478399047508</v>
      </c>
      <c r="AY1177" s="20">
        <v>2199.2916112327789</v>
      </c>
      <c r="AZ1177" s="20">
        <v>2222.7466960500392</v>
      </c>
      <c r="BA1177" s="20">
        <v>2247.0205674893759</v>
      </c>
      <c r="BC1177" s="17" t="s">
        <v>6321</v>
      </c>
      <c r="BD1177" s="20">
        <v>0</v>
      </c>
      <c r="BE1177" s="20">
        <v>0</v>
      </c>
      <c r="BF1177" s="20">
        <v>0</v>
      </c>
      <c r="BG1177" s="20">
        <v>0</v>
      </c>
      <c r="BH1177" s="20">
        <v>0</v>
      </c>
      <c r="BI1177" s="20">
        <v>1048.2908599595489</v>
      </c>
      <c r="BJ1177" s="20">
        <v>2387.669428534492</v>
      </c>
      <c r="BK1177" s="20">
        <v>3544.5585254707771</v>
      </c>
      <c r="BL1177" s="20">
        <v>4712.0700832998582</v>
      </c>
      <c r="BM1177" s="20">
        <v>5908.3267564418329</v>
      </c>
      <c r="BN1177" s="20">
        <v>6811.1394683752696</v>
      </c>
      <c r="BO1177" s="20">
        <v>7879.1669863116476</v>
      </c>
      <c r="BP1177" s="20">
        <v>8683.2283628268433</v>
      </c>
      <c r="BQ1177" s="20">
        <v>9596.9293374529207</v>
      </c>
      <c r="BR1177" s="20">
        <v>10298.803358660251</v>
      </c>
      <c r="BS1177" s="20">
        <v>11114.919603099481</v>
      </c>
      <c r="BT1177" s="20">
        <v>11683.129583108161</v>
      </c>
      <c r="BU1177" s="20">
        <v>12441.227282406489</v>
      </c>
      <c r="BV1177" s="20">
        <v>12835.364572607439</v>
      </c>
      <c r="BW1177" s="20">
        <v>13610.949554694729</v>
      </c>
      <c r="BY1177" s="17" t="s">
        <v>6322</v>
      </c>
      <c r="BZ1177" s="20">
        <v>0</v>
      </c>
      <c r="CA1177" s="20">
        <v>0</v>
      </c>
      <c r="CB1177" s="20">
        <v>0</v>
      </c>
      <c r="CC1177" s="20">
        <v>0</v>
      </c>
      <c r="CD1177" s="20">
        <v>0</v>
      </c>
      <c r="CE1177" s="20">
        <v>0</v>
      </c>
      <c r="CF1177" s="20">
        <v>0</v>
      </c>
      <c r="CG1177" s="20">
        <v>0</v>
      </c>
      <c r="CH1177" s="20">
        <v>0</v>
      </c>
      <c r="CI1177" s="20">
        <v>0</v>
      </c>
      <c r="CJ1177" s="20">
        <v>0</v>
      </c>
      <c r="CK1177" s="20">
        <v>0</v>
      </c>
      <c r="CL1177" s="20">
        <v>0</v>
      </c>
      <c r="CM1177" s="20">
        <v>0</v>
      </c>
      <c r="CN1177" s="20">
        <v>0</v>
      </c>
      <c r="CO1177" s="20">
        <v>0</v>
      </c>
      <c r="CP1177" s="20">
        <v>0</v>
      </c>
      <c r="CQ1177" s="20">
        <v>0</v>
      </c>
      <c r="CR1177" s="20">
        <v>0</v>
      </c>
      <c r="CS1177" s="20">
        <v>0</v>
      </c>
      <c r="CU1177" s="17" t="s">
        <v>6323</v>
      </c>
      <c r="CV1177" s="20">
        <v>0</v>
      </c>
      <c r="CW1177" s="20">
        <v>0</v>
      </c>
      <c r="CX1177" s="20">
        <v>0</v>
      </c>
      <c r="CY1177" s="20">
        <v>0</v>
      </c>
      <c r="CZ1177" s="20">
        <v>0</v>
      </c>
      <c r="DA1177" s="20">
        <v>5244.1775976714362</v>
      </c>
      <c r="DB1177" s="20">
        <v>4325.5311581482838</v>
      </c>
      <c r="DC1177" s="20">
        <v>4572.9656639657696</v>
      </c>
      <c r="DD1177" s="20">
        <v>4501.9061201750173</v>
      </c>
      <c r="DE1177" s="20">
        <v>4701.0503300850014</v>
      </c>
      <c r="DF1177" s="20">
        <v>4484.9069421858676</v>
      </c>
      <c r="DG1177" s="20">
        <v>4495.5162252507198</v>
      </c>
      <c r="DH1177" s="20">
        <v>4348.276242712448</v>
      </c>
      <c r="DI1177" s="20">
        <v>4291.7109185585387</v>
      </c>
      <c r="DJ1177" s="20">
        <v>4194.5955783000309</v>
      </c>
      <c r="DK1177" s="20">
        <v>4143.7357346846484</v>
      </c>
      <c r="DL1177" s="20">
        <v>4055.383189165429</v>
      </c>
      <c r="DM1177" s="20">
        <v>4009.5224169999042</v>
      </c>
      <c r="DN1177" s="20">
        <v>3931.276131590555</v>
      </c>
      <c r="DO1177" s="20">
        <v>3891.65016076232</v>
      </c>
    </row>
    <row r="1178" spans="1:230" x14ac:dyDescent="0.45">
      <c r="A1178" s="16" t="s">
        <v>6324</v>
      </c>
      <c r="B1178" s="3" t="s">
        <v>89</v>
      </c>
      <c r="C1178" s="16"/>
      <c r="H1178" s="3" t="s">
        <v>6325</v>
      </c>
      <c r="I1178" s="3" t="s">
        <v>224</v>
      </c>
      <c r="K1178" s="17" t="s">
        <v>6326</v>
      </c>
      <c r="L1178" s="20">
        <v>0</v>
      </c>
      <c r="M1178" s="20">
        <v>0</v>
      </c>
      <c r="N1178" s="20">
        <v>0</v>
      </c>
      <c r="O1178" s="20">
        <v>0</v>
      </c>
      <c r="P1178" s="20">
        <v>0</v>
      </c>
      <c r="Q1178" s="20">
        <v>0</v>
      </c>
      <c r="R1178" s="20">
        <v>0</v>
      </c>
      <c r="S1178" s="20">
        <v>0</v>
      </c>
      <c r="T1178" s="20">
        <v>0</v>
      </c>
      <c r="U1178" s="20">
        <v>0</v>
      </c>
      <c r="V1178" s="20">
        <v>0</v>
      </c>
      <c r="W1178" s="20">
        <v>0</v>
      </c>
      <c r="X1178" s="20">
        <v>0</v>
      </c>
      <c r="Y1178" s="20">
        <v>0</v>
      </c>
      <c r="Z1178" s="20">
        <v>0</v>
      </c>
      <c r="AA1178" s="20">
        <v>0</v>
      </c>
      <c r="AB1178" s="20">
        <v>0</v>
      </c>
      <c r="AC1178" s="20">
        <v>0</v>
      </c>
      <c r="AD1178" s="20">
        <v>0</v>
      </c>
      <c r="AE1178" s="20">
        <v>0</v>
      </c>
      <c r="AG1178" s="17" t="s">
        <v>6327</v>
      </c>
      <c r="AH1178" s="20">
        <v>0</v>
      </c>
      <c r="AI1178" s="20">
        <v>0</v>
      </c>
      <c r="AJ1178" s="20">
        <v>0</v>
      </c>
      <c r="AK1178" s="20">
        <v>0</v>
      </c>
      <c r="AL1178" s="20">
        <v>0</v>
      </c>
      <c r="AM1178" s="20">
        <v>0</v>
      </c>
      <c r="AN1178" s="20">
        <v>0</v>
      </c>
      <c r="AO1178" s="20">
        <v>0</v>
      </c>
      <c r="AP1178" s="20">
        <v>0</v>
      </c>
      <c r="AQ1178" s="20">
        <v>0</v>
      </c>
      <c r="AR1178" s="20">
        <v>0</v>
      </c>
      <c r="AS1178" s="20">
        <v>0</v>
      </c>
      <c r="AT1178" s="20">
        <v>0</v>
      </c>
      <c r="AU1178" s="20">
        <v>0</v>
      </c>
      <c r="AV1178" s="20">
        <v>0</v>
      </c>
      <c r="AW1178" s="20">
        <v>0</v>
      </c>
      <c r="AX1178" s="20">
        <v>0</v>
      </c>
      <c r="AY1178" s="20">
        <v>0</v>
      </c>
      <c r="AZ1178" s="20">
        <v>0</v>
      </c>
      <c r="BA1178" s="20">
        <v>0</v>
      </c>
      <c r="BC1178" s="17" t="s">
        <v>6328</v>
      </c>
      <c r="BD1178" s="20">
        <v>0</v>
      </c>
      <c r="BE1178" s="20">
        <v>0</v>
      </c>
      <c r="BF1178" s="20">
        <v>0</v>
      </c>
      <c r="BG1178" s="20">
        <v>0</v>
      </c>
      <c r="BH1178" s="20">
        <v>0</v>
      </c>
      <c r="BI1178" s="20">
        <v>0</v>
      </c>
      <c r="BJ1178" s="20">
        <v>0</v>
      </c>
      <c r="BK1178" s="20">
        <v>0</v>
      </c>
      <c r="BL1178" s="20">
        <v>0</v>
      </c>
      <c r="BM1178" s="20">
        <v>0</v>
      </c>
      <c r="BN1178" s="20">
        <v>0</v>
      </c>
      <c r="BO1178" s="20">
        <v>0</v>
      </c>
      <c r="BP1178" s="20">
        <v>0</v>
      </c>
      <c r="BQ1178" s="20">
        <v>0</v>
      </c>
      <c r="BR1178" s="20">
        <v>0</v>
      </c>
      <c r="BS1178" s="20">
        <v>0</v>
      </c>
      <c r="BT1178" s="20">
        <v>0</v>
      </c>
      <c r="BU1178" s="20">
        <v>0</v>
      </c>
      <c r="BV1178" s="20">
        <v>0</v>
      </c>
      <c r="BW1178" s="20">
        <v>0</v>
      </c>
      <c r="BY1178" s="17" t="s">
        <v>6329</v>
      </c>
      <c r="BZ1178" s="20">
        <v>0</v>
      </c>
      <c r="CA1178" s="20">
        <v>0</v>
      </c>
      <c r="CB1178" s="20">
        <v>0</v>
      </c>
      <c r="CC1178" s="20">
        <v>0</v>
      </c>
      <c r="CD1178" s="20">
        <v>0</v>
      </c>
      <c r="CE1178" s="20">
        <v>0</v>
      </c>
      <c r="CF1178" s="20">
        <v>0</v>
      </c>
      <c r="CG1178" s="20">
        <v>0</v>
      </c>
      <c r="CH1178" s="20">
        <v>0</v>
      </c>
      <c r="CI1178" s="20">
        <v>0</v>
      </c>
      <c r="CJ1178" s="20">
        <v>0</v>
      </c>
      <c r="CK1178" s="20">
        <v>0</v>
      </c>
      <c r="CL1178" s="20">
        <v>0</v>
      </c>
      <c r="CM1178" s="20">
        <v>0</v>
      </c>
      <c r="CN1178" s="20">
        <v>0</v>
      </c>
      <c r="CO1178" s="20">
        <v>0</v>
      </c>
      <c r="CP1178" s="20">
        <v>0</v>
      </c>
      <c r="CQ1178" s="20">
        <v>0</v>
      </c>
      <c r="CR1178" s="20">
        <v>0</v>
      </c>
      <c r="CS1178" s="20">
        <v>0</v>
      </c>
      <c r="CU1178" s="17" t="s">
        <v>6330</v>
      </c>
      <c r="CV1178" s="20">
        <v>0</v>
      </c>
      <c r="CW1178" s="20">
        <v>0</v>
      </c>
      <c r="CX1178" s="20">
        <v>0</v>
      </c>
      <c r="CY1178" s="20">
        <v>0</v>
      </c>
      <c r="CZ1178" s="20">
        <v>0</v>
      </c>
      <c r="DA1178" s="20">
        <v>0</v>
      </c>
      <c r="DB1178" s="20">
        <v>0</v>
      </c>
      <c r="DC1178" s="20">
        <v>0</v>
      </c>
      <c r="DD1178" s="20">
        <v>0</v>
      </c>
      <c r="DE1178" s="20">
        <v>0</v>
      </c>
      <c r="DF1178" s="20">
        <v>0</v>
      </c>
      <c r="DG1178" s="20">
        <v>0</v>
      </c>
      <c r="DH1178" s="20">
        <v>0</v>
      </c>
      <c r="DI1178" s="20">
        <v>0</v>
      </c>
      <c r="DJ1178" s="20">
        <v>0</v>
      </c>
      <c r="DK1178" s="20">
        <v>0</v>
      </c>
      <c r="DL1178" s="20">
        <v>0</v>
      </c>
      <c r="DM1178" s="20">
        <v>0</v>
      </c>
      <c r="DN1178" s="20">
        <v>0</v>
      </c>
      <c r="DO1178" s="20">
        <v>0</v>
      </c>
    </row>
    <row r="1179" spans="1:230" x14ac:dyDescent="0.45">
      <c r="A1179" s="16" t="s">
        <v>6331</v>
      </c>
      <c r="B1179" s="3" t="s">
        <v>89</v>
      </c>
      <c r="C1179" s="16"/>
      <c r="H1179" s="3" t="s">
        <v>6332</v>
      </c>
      <c r="I1179" s="3" t="s">
        <v>6333</v>
      </c>
      <c r="K1179" s="17" t="s">
        <v>6334</v>
      </c>
      <c r="L1179" s="21">
        <v>0</v>
      </c>
      <c r="M1179" s="21">
        <v>0</v>
      </c>
      <c r="N1179" s="21">
        <v>0</v>
      </c>
      <c r="O1179" s="21">
        <v>0</v>
      </c>
      <c r="P1179" s="21">
        <v>0</v>
      </c>
      <c r="Q1179" s="21">
        <v>0</v>
      </c>
      <c r="R1179" s="21">
        <v>0</v>
      </c>
      <c r="S1179" s="21">
        <v>0</v>
      </c>
      <c r="T1179" s="21">
        <v>0</v>
      </c>
      <c r="U1179" s="21">
        <v>0</v>
      </c>
      <c r="V1179" s="21">
        <v>0</v>
      </c>
      <c r="W1179" s="21">
        <v>0</v>
      </c>
      <c r="X1179" s="21">
        <v>0</v>
      </c>
      <c r="Y1179" s="21">
        <v>0</v>
      </c>
      <c r="Z1179" s="21">
        <v>0</v>
      </c>
      <c r="AA1179" s="21">
        <v>0</v>
      </c>
      <c r="AB1179" s="21">
        <v>0</v>
      </c>
      <c r="AC1179" s="21">
        <v>0</v>
      </c>
      <c r="AD1179" s="21">
        <v>0</v>
      </c>
      <c r="AE1179" s="21">
        <v>0</v>
      </c>
      <c r="AG1179" s="17" t="s">
        <v>6335</v>
      </c>
      <c r="AH1179" s="21">
        <v>0</v>
      </c>
      <c r="AI1179" s="21">
        <v>1.185544364064951E-5</v>
      </c>
      <c r="AJ1179" s="21">
        <v>1.3324948240890651E-5</v>
      </c>
      <c r="AK1179" s="21">
        <v>1.26042764380686E-5</v>
      </c>
      <c r="AL1179" s="21">
        <v>1.267764193102298E-5</v>
      </c>
      <c r="AM1179" s="21">
        <v>1.261657316771903E-2</v>
      </c>
      <c r="AN1179" s="21">
        <v>1.499557580039999E-2</v>
      </c>
      <c r="AO1179" s="21">
        <v>1.4224493005533981E-2</v>
      </c>
      <c r="AP1179" s="21">
        <v>1.403706654161389E-2</v>
      </c>
      <c r="AQ1179" s="21">
        <v>1.3133231135454169E-2</v>
      </c>
      <c r="AR1179" s="21">
        <v>1.2665893272181421E-2</v>
      </c>
      <c r="AS1179" s="21">
        <v>1.224637408519854E-2</v>
      </c>
      <c r="AT1179" s="21">
        <v>1.191204063300773E-2</v>
      </c>
      <c r="AU1179" s="21">
        <v>1.1565664691588359E-2</v>
      </c>
      <c r="AV1179" s="21">
        <v>1.122710199356438E-2</v>
      </c>
      <c r="AW1179" s="21">
        <v>1.0888185022071751E-2</v>
      </c>
      <c r="AX1179" s="21">
        <v>1.058401763665168E-2</v>
      </c>
      <c r="AY1179" s="21">
        <v>1.0301034005533611E-2</v>
      </c>
      <c r="AZ1179" s="21">
        <v>1.005380320491533E-2</v>
      </c>
      <c r="BA1179" s="21">
        <v>9.8226142451202057E-3</v>
      </c>
      <c r="BC1179" s="17" t="s">
        <v>6336</v>
      </c>
      <c r="BD1179" s="21">
        <v>0</v>
      </c>
      <c r="BE1179" s="21">
        <v>4.0952226609380678E-5</v>
      </c>
      <c r="BF1179" s="21">
        <v>4.554567015364838E-5</v>
      </c>
      <c r="BG1179" s="21">
        <v>4.3120856786665833E-5</v>
      </c>
      <c r="BH1179" s="21">
        <v>4.3234600529050918E-5</v>
      </c>
      <c r="BI1179" s="21">
        <v>7.2023485351359433E-3</v>
      </c>
      <c r="BJ1179" s="21">
        <v>1.6020162979748551E-2</v>
      </c>
      <c r="BK1179" s="21">
        <v>2.3431403990586169E-2</v>
      </c>
      <c r="BL1179" s="21">
        <v>2.8818982625900949E-2</v>
      </c>
      <c r="BM1179" s="21">
        <v>3.2377317126711221E-2</v>
      </c>
      <c r="BN1179" s="21">
        <v>3.5651259567140339E-2</v>
      </c>
      <c r="BO1179" s="21">
        <v>3.8795874460908153E-2</v>
      </c>
      <c r="BP1179" s="21">
        <v>4.1387551206021382E-2</v>
      </c>
      <c r="BQ1179" s="21">
        <v>4.3536203049423502E-2</v>
      </c>
      <c r="BR1179" s="21">
        <v>4.5315327587864378E-2</v>
      </c>
      <c r="BS1179" s="21">
        <v>4.6757736777178177E-2</v>
      </c>
      <c r="BT1179" s="21">
        <v>4.7911725732678781E-2</v>
      </c>
      <c r="BU1179" s="21">
        <v>4.8850747375187707E-2</v>
      </c>
      <c r="BV1179" s="21">
        <v>4.9538389304794143E-2</v>
      </c>
      <c r="BW1179" s="21">
        <v>5.013400809489376E-2</v>
      </c>
      <c r="BY1179" s="17" t="s">
        <v>6337</v>
      </c>
      <c r="BZ1179" s="21">
        <v>0</v>
      </c>
      <c r="CA1179" s="21">
        <v>6.9520335430725918E-5</v>
      </c>
      <c r="CB1179" s="21">
        <v>7.7654868658170607E-5</v>
      </c>
      <c r="CC1179" s="21">
        <v>7.354086128576366E-5</v>
      </c>
      <c r="CD1179" s="21">
        <v>7.3824755273869762E-5</v>
      </c>
      <c r="CE1179" s="21">
        <v>1.081536756756178E-2</v>
      </c>
      <c r="CF1179" s="21">
        <v>1.038026654915266E-2</v>
      </c>
      <c r="CG1179" s="21">
        <v>1.0033301344459299E-2</v>
      </c>
      <c r="CH1179" s="21">
        <v>9.7911358883416601E-3</v>
      </c>
      <c r="CI1179" s="21">
        <v>9.6200516882482285E-3</v>
      </c>
      <c r="CJ1179" s="21">
        <v>9.7249712809800177E-3</v>
      </c>
      <c r="CK1179" s="21">
        <v>9.6138530193307474E-3</v>
      </c>
      <c r="CL1179" s="21">
        <v>9.9344138741087849E-3</v>
      </c>
      <c r="CM1179" s="21">
        <v>1.0137711532190501E-2</v>
      </c>
      <c r="CN1179" s="21">
        <v>1.022831507842647E-2</v>
      </c>
      <c r="CO1179" s="21">
        <v>1.03663524700469E-2</v>
      </c>
      <c r="CP1179" s="21">
        <v>1.0440799564414179E-2</v>
      </c>
      <c r="CQ1179" s="21">
        <v>1.0476797476144519E-2</v>
      </c>
      <c r="CR1179" s="21">
        <v>1.0534053539951641E-2</v>
      </c>
      <c r="CS1179" s="21">
        <v>1.0544474609574981E-2</v>
      </c>
      <c r="CU1179" s="17" t="s">
        <v>6338</v>
      </c>
      <c r="CV1179" s="21">
        <v>0</v>
      </c>
      <c r="CW1179" s="21">
        <v>2.8244898731611178E-5</v>
      </c>
      <c r="CX1179" s="21">
        <v>3.1555962318978429E-5</v>
      </c>
      <c r="CY1179" s="21">
        <v>2.986464927496437E-5</v>
      </c>
      <c r="CZ1179" s="21">
        <v>2.9984333984812469E-5</v>
      </c>
      <c r="DA1179" s="21">
        <v>2.701648040895259E-2</v>
      </c>
      <c r="DB1179" s="21">
        <v>3.1141429445546469E-2</v>
      </c>
      <c r="DC1179" s="21">
        <v>2.992965639002676E-2</v>
      </c>
      <c r="DD1179" s="21">
        <v>2.946350596343382E-2</v>
      </c>
      <c r="DE1179" s="21">
        <v>2.7698757580724501E-2</v>
      </c>
      <c r="DF1179" s="21">
        <v>2.6808573481316801E-2</v>
      </c>
      <c r="DG1179" s="21">
        <v>2.6122340436959709E-2</v>
      </c>
      <c r="DH1179" s="21">
        <v>2.553583529583019E-2</v>
      </c>
      <c r="DI1179" s="21">
        <v>2.486386332266264E-2</v>
      </c>
      <c r="DJ1179" s="21">
        <v>2.4257364359931938E-2</v>
      </c>
      <c r="DK1179" s="21">
        <v>2.3585168422119301E-2</v>
      </c>
      <c r="DL1179" s="21">
        <v>2.3011016376492339E-2</v>
      </c>
      <c r="DM1179" s="21">
        <v>2.2413224683349831E-2</v>
      </c>
      <c r="DN1179" s="21">
        <v>2.1911881676231929E-2</v>
      </c>
      <c r="DO1179" s="21">
        <v>2.1394554240351211E-2</v>
      </c>
    </row>
    <row r="1180" spans="1:230" ht="15.4" x14ac:dyDescent="0.45">
      <c r="A1180" s="5"/>
      <c r="B1180" s="15" t="s">
        <v>6339</v>
      </c>
      <c r="C1180" s="5"/>
      <c r="D1180" s="5"/>
      <c r="E1180" s="5"/>
      <c r="F1180" s="5"/>
      <c r="G1180" s="5"/>
      <c r="H1180" s="5"/>
      <c r="I1180" s="5"/>
      <c r="J1180" s="5"/>
      <c r="K1180" s="5"/>
      <c r="L1180" s="5"/>
      <c r="M1180" s="5"/>
      <c r="N1180" s="5"/>
      <c r="O1180" s="5"/>
      <c r="P1180" s="5"/>
      <c r="Q1180" s="5"/>
      <c r="R1180" s="5"/>
      <c r="S1180" s="5"/>
      <c r="T1180" s="5"/>
      <c r="U1180" s="5"/>
      <c r="V1180" s="5"/>
      <c r="W1180" s="5"/>
      <c r="X1180" s="5"/>
      <c r="Y1180" s="5"/>
      <c r="Z1180" s="5"/>
      <c r="AA1180" s="5"/>
      <c r="AB1180" s="5"/>
      <c r="AC1180" s="5"/>
      <c r="AD1180" s="5"/>
      <c r="AE1180" s="5"/>
      <c r="AF1180" s="5"/>
      <c r="AG1180" s="5"/>
      <c r="AH1180" s="5"/>
      <c r="AI1180" s="5"/>
      <c r="AJ1180" s="5"/>
      <c r="AK1180" s="5"/>
      <c r="AL1180" s="5"/>
      <c r="AM1180" s="5"/>
      <c r="AN1180" s="5"/>
      <c r="AO1180" s="5"/>
      <c r="AP1180" s="5"/>
      <c r="AQ1180" s="5"/>
      <c r="AR1180" s="5"/>
      <c r="AS1180" s="5"/>
      <c r="AT1180" s="5"/>
      <c r="AU1180" s="5"/>
      <c r="AV1180" s="5"/>
      <c r="AW1180" s="5"/>
      <c r="AX1180" s="5"/>
      <c r="AY1180" s="5"/>
      <c r="AZ1180" s="5"/>
      <c r="BA1180" s="5"/>
      <c r="BB1180" s="5"/>
      <c r="BC1180" s="5"/>
      <c r="BD1180" s="5"/>
      <c r="BE1180" s="5"/>
      <c r="BF1180" s="5"/>
      <c r="BG1180" s="5"/>
      <c r="BH1180" s="5"/>
      <c r="BI1180" s="5"/>
      <c r="BJ1180" s="5"/>
      <c r="BK1180" s="5"/>
      <c r="BL1180" s="5"/>
      <c r="BM1180" s="5"/>
      <c r="BN1180" s="5"/>
      <c r="BO1180" s="5"/>
      <c r="BP1180" s="5"/>
      <c r="BQ1180" s="5"/>
      <c r="BR1180" s="5"/>
      <c r="BS1180" s="5"/>
      <c r="BT1180" s="5"/>
      <c r="BU1180" s="5"/>
      <c r="BV1180" s="5"/>
      <c r="BW1180" s="5"/>
      <c r="BX1180" s="5"/>
      <c r="BY1180" s="5"/>
      <c r="BZ1180" s="5"/>
      <c r="CA1180" s="5"/>
      <c r="CB1180" s="5"/>
      <c r="CC1180" s="5"/>
      <c r="CD1180" s="5"/>
      <c r="CE1180" s="5"/>
      <c r="CF1180" s="5"/>
      <c r="CG1180" s="5"/>
      <c r="CH1180" s="5"/>
      <c r="CI1180" s="5"/>
      <c r="CJ1180" s="5"/>
      <c r="CK1180" s="5"/>
      <c r="CL1180" s="5"/>
      <c r="CM1180" s="5"/>
      <c r="CN1180" s="5"/>
      <c r="CO1180" s="5"/>
      <c r="CP1180" s="5"/>
      <c r="CQ1180" s="5"/>
      <c r="CR1180" s="5"/>
      <c r="CS1180" s="5"/>
      <c r="CT1180" s="5"/>
      <c r="CU1180" s="5"/>
      <c r="CV1180" s="5"/>
      <c r="CW1180" s="5"/>
      <c r="CX1180" s="5"/>
      <c r="CY1180" s="5"/>
      <c r="CZ1180" s="5"/>
      <c r="DA1180" s="5"/>
      <c r="DB1180" s="5"/>
      <c r="DC1180" s="5"/>
      <c r="DD1180" s="5"/>
      <c r="DE1180" s="5"/>
      <c r="DF1180" s="5"/>
      <c r="DG1180" s="5"/>
      <c r="DH1180" s="5"/>
      <c r="DI1180" s="5"/>
      <c r="DJ1180" s="5"/>
      <c r="DK1180" s="5"/>
      <c r="DL1180" s="5"/>
      <c r="DM1180" s="5"/>
      <c r="DN1180" s="5"/>
      <c r="DO1180" s="5"/>
      <c r="DP1180" s="5"/>
      <c r="DQ1180" s="5"/>
      <c r="DR1180" s="5"/>
      <c r="DS1180" s="5"/>
      <c r="DT1180" s="5"/>
      <c r="DU1180" s="5"/>
      <c r="DV1180" s="5"/>
      <c r="DW1180" s="5"/>
      <c r="DX1180" s="5"/>
      <c r="DY1180" s="5"/>
      <c r="DZ1180" s="5"/>
      <c r="EA1180" s="5"/>
      <c r="EB1180" s="5"/>
      <c r="EC1180" s="5"/>
      <c r="ED1180" s="5"/>
      <c r="EE1180" s="5"/>
      <c r="EF1180" s="5"/>
      <c r="EG1180" s="5"/>
      <c r="EH1180" s="5"/>
      <c r="EI1180" s="5"/>
      <c r="EJ1180" s="5"/>
      <c r="EK1180" s="5"/>
      <c r="EL1180" s="5"/>
      <c r="EM1180" s="5"/>
      <c r="EN1180" s="5"/>
      <c r="EO1180" s="5"/>
      <c r="EP1180" s="5"/>
      <c r="EQ1180" s="5"/>
      <c r="ER1180" s="5"/>
      <c r="ES1180" s="5"/>
      <c r="ET1180" s="5"/>
      <c r="EU1180" s="5"/>
      <c r="EV1180" s="5"/>
      <c r="EW1180" s="5"/>
      <c r="EX1180" s="5"/>
      <c r="EY1180" s="5"/>
      <c r="EZ1180" s="5"/>
      <c r="FA1180" s="5"/>
      <c r="FB1180" s="5"/>
      <c r="FC1180" s="5"/>
      <c r="FD1180" s="5"/>
      <c r="FE1180" s="5"/>
      <c r="FF1180" s="5"/>
      <c r="FG1180" s="5"/>
      <c r="FH1180" s="5"/>
      <c r="FI1180" s="5"/>
      <c r="FJ1180" s="5"/>
      <c r="FK1180" s="5"/>
      <c r="FL1180" s="5"/>
      <c r="FM1180" s="5"/>
      <c r="FN1180" s="5"/>
      <c r="FO1180" s="5"/>
      <c r="FP1180" s="5"/>
      <c r="FQ1180" s="5"/>
      <c r="FR1180" s="5"/>
      <c r="FS1180" s="5"/>
      <c r="FT1180" s="5"/>
      <c r="FU1180" s="5"/>
      <c r="FV1180" s="5"/>
      <c r="FW1180" s="5"/>
      <c r="FX1180" s="5"/>
      <c r="FY1180" s="5"/>
      <c r="FZ1180" s="5"/>
      <c r="GA1180" s="5"/>
      <c r="GB1180" s="5"/>
      <c r="GC1180" s="5"/>
      <c r="GD1180" s="5"/>
      <c r="GE1180" s="5"/>
      <c r="GF1180" s="5"/>
      <c r="GG1180" s="5"/>
      <c r="GH1180" s="5"/>
      <c r="GI1180" s="5"/>
      <c r="GJ1180" s="5"/>
      <c r="GK1180" s="5"/>
      <c r="GL1180" s="5"/>
      <c r="GM1180" s="5"/>
      <c r="GN1180" s="5"/>
      <c r="GO1180" s="5"/>
      <c r="GP1180" s="5"/>
      <c r="GQ1180" s="5"/>
      <c r="GR1180" s="5"/>
      <c r="GS1180" s="5"/>
      <c r="GT1180" s="5"/>
      <c r="GU1180" s="5"/>
      <c r="GV1180" s="5"/>
      <c r="GW1180" s="5"/>
      <c r="GX1180" s="5"/>
      <c r="GY1180" s="5"/>
      <c r="GZ1180" s="5"/>
      <c r="HA1180" s="5"/>
      <c r="HB1180" s="5"/>
      <c r="HC1180" s="5"/>
      <c r="HD1180" s="5"/>
      <c r="HE1180" s="5"/>
      <c r="HF1180" s="5"/>
      <c r="HG1180" s="5"/>
      <c r="HH1180" s="5"/>
      <c r="HI1180" s="5"/>
      <c r="HJ1180" s="5"/>
      <c r="HK1180" s="5"/>
      <c r="HL1180" s="5"/>
      <c r="HM1180" s="5"/>
      <c r="HN1180" s="5"/>
      <c r="HO1180" s="5"/>
      <c r="HP1180" s="5"/>
      <c r="HQ1180" s="5"/>
      <c r="HR1180" s="5"/>
      <c r="HS1180" s="5"/>
      <c r="HT1180" s="5"/>
      <c r="HU1180" s="5"/>
      <c r="HV1180" s="5"/>
    </row>
    <row r="1181" spans="1:230" x14ac:dyDescent="0.45">
      <c r="A1181" s="16" t="s">
        <v>6340</v>
      </c>
      <c r="B1181" s="3" t="s">
        <v>89</v>
      </c>
      <c r="C1181" s="16"/>
      <c r="H1181" s="3" t="s">
        <v>6341</v>
      </c>
      <c r="I1181" s="3" t="s">
        <v>6342</v>
      </c>
      <c r="K1181" s="17" t="s">
        <v>6343</v>
      </c>
      <c r="L1181" s="19">
        <v>7842.5</v>
      </c>
      <c r="M1181" s="19">
        <v>10155.5</v>
      </c>
      <c r="N1181" s="19">
        <v>13902.57</v>
      </c>
      <c r="O1181" s="19">
        <v>18136.3</v>
      </c>
      <c r="P1181" s="19">
        <v>21282.837793999999</v>
      </c>
      <c r="Q1181" s="19">
        <v>24832.633296</v>
      </c>
      <c r="R1181" s="19">
        <v>28382.772972999999</v>
      </c>
      <c r="S1181" s="19">
        <v>31810.495730999999</v>
      </c>
      <c r="T1181" s="19">
        <v>35221.975951</v>
      </c>
      <c r="U1181" s="19">
        <v>38906.903579999998</v>
      </c>
      <c r="V1181" s="19">
        <v>43079.429940702663</v>
      </c>
      <c r="W1181" s="19">
        <v>47699.434117134362</v>
      </c>
      <c r="X1181" s="19">
        <v>52814.905355679613</v>
      </c>
      <c r="Y1181" s="19">
        <v>58478.979454546497</v>
      </c>
      <c r="Z1181" s="19">
        <v>64750.490699828821</v>
      </c>
      <c r="AA1181" s="19">
        <v>71694.582993319651</v>
      </c>
      <c r="AB1181" s="19">
        <v>79383.386520028143</v>
      </c>
      <c r="AC1181" s="19">
        <v>87896.766984129994</v>
      </c>
      <c r="AD1181" s="19">
        <v>97323.155195870131</v>
      </c>
      <c r="AE1181" s="19">
        <v>107760.4656265637</v>
      </c>
      <c r="AG1181" s="17" t="s">
        <v>6344</v>
      </c>
      <c r="AH1181" s="19">
        <v>7842.5</v>
      </c>
      <c r="AI1181" s="19">
        <v>10155.5</v>
      </c>
      <c r="AJ1181" s="19">
        <v>13902.57</v>
      </c>
      <c r="AK1181" s="19">
        <v>18136.3</v>
      </c>
      <c r="AL1181" s="19">
        <v>21282.837793999999</v>
      </c>
      <c r="AM1181" s="19">
        <v>24832.633296</v>
      </c>
      <c r="AN1181" s="19">
        <v>28382.772972999999</v>
      </c>
      <c r="AO1181" s="19">
        <v>31810.495730999999</v>
      </c>
      <c r="AP1181" s="19">
        <v>35221.975951</v>
      </c>
      <c r="AQ1181" s="19">
        <v>38906.903579999998</v>
      </c>
      <c r="AR1181" s="19">
        <v>43079.429940702663</v>
      </c>
      <c r="AS1181" s="19">
        <v>47699.434117134362</v>
      </c>
      <c r="AT1181" s="19">
        <v>52814.905355679613</v>
      </c>
      <c r="AU1181" s="19">
        <v>58478.979454546497</v>
      </c>
      <c r="AV1181" s="19">
        <v>64750.490699828821</v>
      </c>
      <c r="AW1181" s="19">
        <v>71694.582993319651</v>
      </c>
      <c r="AX1181" s="19">
        <v>79383.386520028143</v>
      </c>
      <c r="AY1181" s="19">
        <v>87896.766984129994</v>
      </c>
      <c r="AZ1181" s="19">
        <v>97323.155195870131</v>
      </c>
      <c r="BA1181" s="19">
        <v>107760.4656265637</v>
      </c>
      <c r="BC1181" s="17" t="s">
        <v>6345</v>
      </c>
      <c r="BD1181" s="19">
        <v>7842.5</v>
      </c>
      <c r="BE1181" s="19">
        <v>10155.5</v>
      </c>
      <c r="BF1181" s="19">
        <v>13902.57</v>
      </c>
      <c r="BG1181" s="19">
        <v>18136.3</v>
      </c>
      <c r="BH1181" s="19">
        <v>21282.837793999999</v>
      </c>
      <c r="BI1181" s="19">
        <v>24832.633296</v>
      </c>
      <c r="BJ1181" s="19">
        <v>28382.772972999999</v>
      </c>
      <c r="BK1181" s="19">
        <v>31810.495730999999</v>
      </c>
      <c r="BL1181" s="19">
        <v>35221.975951</v>
      </c>
      <c r="BM1181" s="19">
        <v>38906.903579999998</v>
      </c>
      <c r="BN1181" s="19">
        <v>43079.429940702663</v>
      </c>
      <c r="BO1181" s="19">
        <v>47699.434117134362</v>
      </c>
      <c r="BP1181" s="19">
        <v>52814.905355679613</v>
      </c>
      <c r="BQ1181" s="19">
        <v>58478.979454546497</v>
      </c>
      <c r="BR1181" s="19">
        <v>64750.490699828821</v>
      </c>
      <c r="BS1181" s="19">
        <v>71694.582993319651</v>
      </c>
      <c r="BT1181" s="19">
        <v>79383.386520028143</v>
      </c>
      <c r="BU1181" s="19">
        <v>87896.766984129994</v>
      </c>
      <c r="BV1181" s="19">
        <v>97323.155195870131</v>
      </c>
      <c r="BW1181" s="19">
        <v>107760.4656265637</v>
      </c>
      <c r="BY1181" s="17" t="s">
        <v>6346</v>
      </c>
      <c r="BZ1181" s="19">
        <v>7842.5</v>
      </c>
      <c r="CA1181" s="19">
        <v>10155.5</v>
      </c>
      <c r="CB1181" s="19">
        <v>13902.57</v>
      </c>
      <c r="CC1181" s="19">
        <v>18136.3</v>
      </c>
      <c r="CD1181" s="19">
        <v>21282.837793999999</v>
      </c>
      <c r="CE1181" s="19">
        <v>24832.633296</v>
      </c>
      <c r="CF1181" s="19">
        <v>28382.772972999999</v>
      </c>
      <c r="CG1181" s="19">
        <v>31810.495730999999</v>
      </c>
      <c r="CH1181" s="19">
        <v>35221.975951</v>
      </c>
      <c r="CI1181" s="19">
        <v>38906.903579999998</v>
      </c>
      <c r="CJ1181" s="19">
        <v>43079.429940702663</v>
      </c>
      <c r="CK1181" s="19">
        <v>47699.434117134362</v>
      </c>
      <c r="CL1181" s="19">
        <v>52814.905355679613</v>
      </c>
      <c r="CM1181" s="19">
        <v>58478.979454546497</v>
      </c>
      <c r="CN1181" s="19">
        <v>64750.490699828821</v>
      </c>
      <c r="CO1181" s="19">
        <v>71694.582993319651</v>
      </c>
      <c r="CP1181" s="19">
        <v>79383.386520028143</v>
      </c>
      <c r="CQ1181" s="19">
        <v>87896.766984129994</v>
      </c>
      <c r="CR1181" s="19">
        <v>97323.155195870131</v>
      </c>
      <c r="CS1181" s="19">
        <v>107760.4656265637</v>
      </c>
      <c r="CU1181" s="17" t="s">
        <v>6347</v>
      </c>
      <c r="CV1181" s="19">
        <v>7842.5</v>
      </c>
      <c r="CW1181" s="19">
        <v>10155.5</v>
      </c>
      <c r="CX1181" s="19">
        <v>13902.57</v>
      </c>
      <c r="CY1181" s="19">
        <v>18136.3</v>
      </c>
      <c r="CZ1181" s="19">
        <v>21282.837793999999</v>
      </c>
      <c r="DA1181" s="19">
        <v>24832.633296</v>
      </c>
      <c r="DB1181" s="19">
        <v>28382.772972999999</v>
      </c>
      <c r="DC1181" s="19">
        <v>31810.495730999999</v>
      </c>
      <c r="DD1181" s="19">
        <v>35221.975951</v>
      </c>
      <c r="DE1181" s="19">
        <v>38906.903579999998</v>
      </c>
      <c r="DF1181" s="19">
        <v>43079.429940702663</v>
      </c>
      <c r="DG1181" s="19">
        <v>47699.434117134362</v>
      </c>
      <c r="DH1181" s="19">
        <v>52814.905355679613</v>
      </c>
      <c r="DI1181" s="19">
        <v>58478.979454546497</v>
      </c>
      <c r="DJ1181" s="19">
        <v>64750.490699828821</v>
      </c>
      <c r="DK1181" s="19">
        <v>71694.582993319651</v>
      </c>
      <c r="DL1181" s="19">
        <v>79383.386520028143</v>
      </c>
      <c r="DM1181" s="19">
        <v>87896.766984129994</v>
      </c>
      <c r="DN1181" s="19">
        <v>97323.155195870131</v>
      </c>
      <c r="DO1181" s="19">
        <v>107760.4656265637</v>
      </c>
    </row>
    <row r="1182" spans="1:230" x14ac:dyDescent="0.45">
      <c r="A1182" s="16" t="s">
        <v>6348</v>
      </c>
      <c r="B1182" s="3" t="s">
        <v>89</v>
      </c>
      <c r="C1182" s="16"/>
      <c r="H1182" s="3" t="s">
        <v>6341</v>
      </c>
      <c r="I1182" s="3" t="s">
        <v>6342</v>
      </c>
      <c r="K1182" s="17" t="s">
        <v>6349</v>
      </c>
      <c r="L1182" s="19">
        <v>475.23102599999999</v>
      </c>
      <c r="M1182" s="19">
        <v>393.82755900000001</v>
      </c>
      <c r="N1182" s="19">
        <v>383.10524299999997</v>
      </c>
      <c r="O1182" s="19">
        <v>364.64036199999998</v>
      </c>
      <c r="P1182" s="19">
        <v>429.64529599999997</v>
      </c>
      <c r="Q1182" s="19">
        <v>457.074772</v>
      </c>
      <c r="R1182" s="19">
        <v>508.46978100000001</v>
      </c>
      <c r="S1182" s="19">
        <v>560.081367</v>
      </c>
      <c r="T1182" s="19">
        <v>610.98192400000005</v>
      </c>
      <c r="U1182" s="19">
        <v>665.59464000000003</v>
      </c>
      <c r="V1182" s="19">
        <v>736.97557565405248</v>
      </c>
      <c r="W1182" s="19">
        <v>816.01167808476043</v>
      </c>
      <c r="X1182" s="19">
        <v>903.52391689474189</v>
      </c>
      <c r="Y1182" s="19">
        <v>1000.421305632369</v>
      </c>
      <c r="Z1182" s="19">
        <v>1107.7103439639991</v>
      </c>
      <c r="AA1182" s="19">
        <v>1226.5054724611609</v>
      </c>
      <c r="AB1182" s="19">
        <v>1358.0406485994381</v>
      </c>
      <c r="AC1182" s="19">
        <v>1503.6821642120999</v>
      </c>
      <c r="AD1182" s="19">
        <v>1664.9428375368891</v>
      </c>
      <c r="AE1182" s="19">
        <v>1843.4977272726239</v>
      </c>
      <c r="AG1182" s="17" t="s">
        <v>6350</v>
      </c>
      <c r="AH1182" s="19">
        <v>475.23102599999999</v>
      </c>
      <c r="AI1182" s="19">
        <v>393.82755900000001</v>
      </c>
      <c r="AJ1182" s="19">
        <v>383.10524299999997</v>
      </c>
      <c r="AK1182" s="19">
        <v>364.64036199999998</v>
      </c>
      <c r="AL1182" s="19">
        <v>429.64529599999997</v>
      </c>
      <c r="AM1182" s="19">
        <v>457.074772</v>
      </c>
      <c r="AN1182" s="19">
        <v>508.46978100000001</v>
      </c>
      <c r="AO1182" s="19">
        <v>560.081367</v>
      </c>
      <c r="AP1182" s="19">
        <v>610.98192400000005</v>
      </c>
      <c r="AQ1182" s="19">
        <v>665.59464000000003</v>
      </c>
      <c r="AR1182" s="19">
        <v>736.97557565405248</v>
      </c>
      <c r="AS1182" s="19">
        <v>816.01167808476043</v>
      </c>
      <c r="AT1182" s="19">
        <v>903.52391689474189</v>
      </c>
      <c r="AU1182" s="19">
        <v>1000.421305632369</v>
      </c>
      <c r="AV1182" s="19">
        <v>1107.7103439639991</v>
      </c>
      <c r="AW1182" s="19">
        <v>1226.5054724611609</v>
      </c>
      <c r="AX1182" s="19">
        <v>1358.0406485994381</v>
      </c>
      <c r="AY1182" s="19">
        <v>1503.6821642120999</v>
      </c>
      <c r="AZ1182" s="19">
        <v>1664.9428375368891</v>
      </c>
      <c r="BA1182" s="19">
        <v>1843.4977272726239</v>
      </c>
      <c r="BC1182" s="17" t="s">
        <v>6351</v>
      </c>
      <c r="BD1182" s="19">
        <v>475.23102599999999</v>
      </c>
      <c r="BE1182" s="19">
        <v>393.82755900000001</v>
      </c>
      <c r="BF1182" s="19">
        <v>383.10524299999997</v>
      </c>
      <c r="BG1182" s="19">
        <v>364.64036199999998</v>
      </c>
      <c r="BH1182" s="19">
        <v>429.64529599999997</v>
      </c>
      <c r="BI1182" s="19">
        <v>457.074772</v>
      </c>
      <c r="BJ1182" s="19">
        <v>508.46978100000001</v>
      </c>
      <c r="BK1182" s="19">
        <v>560.081367</v>
      </c>
      <c r="BL1182" s="19">
        <v>610.98192400000005</v>
      </c>
      <c r="BM1182" s="19">
        <v>665.59464000000003</v>
      </c>
      <c r="BN1182" s="19">
        <v>736.97557565405248</v>
      </c>
      <c r="BO1182" s="19">
        <v>816.01167808476043</v>
      </c>
      <c r="BP1182" s="19">
        <v>903.52391689474189</v>
      </c>
      <c r="BQ1182" s="19">
        <v>1000.421305632369</v>
      </c>
      <c r="BR1182" s="19">
        <v>1107.7103439639991</v>
      </c>
      <c r="BS1182" s="19">
        <v>1226.5054724611609</v>
      </c>
      <c r="BT1182" s="19">
        <v>1358.0406485994381</v>
      </c>
      <c r="BU1182" s="19">
        <v>1503.6821642120999</v>
      </c>
      <c r="BV1182" s="19">
        <v>1664.9428375368891</v>
      </c>
      <c r="BW1182" s="19">
        <v>1843.4977272726239</v>
      </c>
      <c r="BY1182" s="17" t="s">
        <v>6352</v>
      </c>
      <c r="BZ1182" s="19">
        <v>475.23102599999999</v>
      </c>
      <c r="CA1182" s="19">
        <v>393.82755900000001</v>
      </c>
      <c r="CB1182" s="19">
        <v>383.10524299999997</v>
      </c>
      <c r="CC1182" s="19">
        <v>364.64036199999998</v>
      </c>
      <c r="CD1182" s="19">
        <v>429.64529599999997</v>
      </c>
      <c r="CE1182" s="19">
        <v>457.074772</v>
      </c>
      <c r="CF1182" s="19">
        <v>508.46978100000001</v>
      </c>
      <c r="CG1182" s="19">
        <v>560.081367</v>
      </c>
      <c r="CH1182" s="19">
        <v>610.98192400000005</v>
      </c>
      <c r="CI1182" s="19">
        <v>665.59464000000003</v>
      </c>
      <c r="CJ1182" s="19">
        <v>736.97557565405248</v>
      </c>
      <c r="CK1182" s="19">
        <v>816.01167808476043</v>
      </c>
      <c r="CL1182" s="19">
        <v>903.52391689474189</v>
      </c>
      <c r="CM1182" s="19">
        <v>1000.421305632369</v>
      </c>
      <c r="CN1182" s="19">
        <v>1107.7103439639991</v>
      </c>
      <c r="CO1182" s="19">
        <v>1226.5054724611609</v>
      </c>
      <c r="CP1182" s="19">
        <v>1358.0406485994381</v>
      </c>
      <c r="CQ1182" s="19">
        <v>1503.6821642120999</v>
      </c>
      <c r="CR1182" s="19">
        <v>1664.9428375368891</v>
      </c>
      <c r="CS1182" s="19">
        <v>1843.4977272726239</v>
      </c>
      <c r="CU1182" s="17" t="s">
        <v>6353</v>
      </c>
      <c r="CV1182" s="19">
        <v>475.23102599999999</v>
      </c>
      <c r="CW1182" s="19">
        <v>393.82755900000001</v>
      </c>
      <c r="CX1182" s="19">
        <v>383.10524299999997</v>
      </c>
      <c r="CY1182" s="19">
        <v>364.64036199999998</v>
      </c>
      <c r="CZ1182" s="19">
        <v>429.64529599999997</v>
      </c>
      <c r="DA1182" s="19">
        <v>457.074772</v>
      </c>
      <c r="DB1182" s="19">
        <v>508.46978100000001</v>
      </c>
      <c r="DC1182" s="19">
        <v>560.081367</v>
      </c>
      <c r="DD1182" s="19">
        <v>610.98192400000005</v>
      </c>
      <c r="DE1182" s="19">
        <v>665.59464000000003</v>
      </c>
      <c r="DF1182" s="19">
        <v>736.97557565405248</v>
      </c>
      <c r="DG1182" s="19">
        <v>816.01167808476043</v>
      </c>
      <c r="DH1182" s="19">
        <v>903.52391689474189</v>
      </c>
      <c r="DI1182" s="19">
        <v>1000.421305632369</v>
      </c>
      <c r="DJ1182" s="19">
        <v>1107.7103439639991</v>
      </c>
      <c r="DK1182" s="19">
        <v>1226.5054724611609</v>
      </c>
      <c r="DL1182" s="19">
        <v>1358.0406485994381</v>
      </c>
      <c r="DM1182" s="19">
        <v>1503.6821642120999</v>
      </c>
      <c r="DN1182" s="19">
        <v>1664.9428375368891</v>
      </c>
      <c r="DO1182" s="19">
        <v>1843.4977272726239</v>
      </c>
    </row>
    <row r="1183" spans="1:230" x14ac:dyDescent="0.45">
      <c r="A1183" s="16" t="s">
        <v>6354</v>
      </c>
      <c r="B1183" s="3" t="s">
        <v>89</v>
      </c>
      <c r="C1183" s="16"/>
      <c r="H1183" s="3" t="s">
        <v>2354</v>
      </c>
      <c r="I1183" s="3" t="s">
        <v>100</v>
      </c>
      <c r="K1183" s="17" t="s">
        <v>6355</v>
      </c>
      <c r="L1183" s="19">
        <v>54.80176537514879</v>
      </c>
      <c r="M1183" s="19">
        <v>56.993835990154743</v>
      </c>
      <c r="N1183" s="19">
        <v>59.273589429760939</v>
      </c>
      <c r="O1183" s="19">
        <v>61.644533006951377</v>
      </c>
      <c r="P1183" s="19">
        <v>64.110314327229432</v>
      </c>
      <c r="Q1183" s="19">
        <v>66.674726900318603</v>
      </c>
      <c r="R1183" s="19">
        <v>69.341715976331358</v>
      </c>
      <c r="S1183" s="19">
        <v>72.115384615384613</v>
      </c>
      <c r="T1183" s="19">
        <v>75</v>
      </c>
      <c r="U1183" s="19">
        <v>78</v>
      </c>
      <c r="V1183" s="19">
        <v>81.12</v>
      </c>
      <c r="W1183" s="19">
        <v>84.364800000000002</v>
      </c>
      <c r="X1183" s="19">
        <v>87.739392000000009</v>
      </c>
      <c r="Y1183" s="19">
        <v>91.248967680000007</v>
      </c>
      <c r="Z1183" s="19">
        <v>94.898926387200021</v>
      </c>
      <c r="AA1183" s="19">
        <v>98.694883442688024</v>
      </c>
      <c r="AB1183" s="19">
        <v>102.6426787803955</v>
      </c>
      <c r="AC1183" s="19">
        <v>106.74838593161139</v>
      </c>
      <c r="AD1183" s="19">
        <v>111.0183213688758</v>
      </c>
      <c r="AE1183" s="19">
        <v>115.4590542236309</v>
      </c>
      <c r="AG1183" s="17" t="s">
        <v>6356</v>
      </c>
      <c r="AH1183" s="19">
        <v>54.80176537514879</v>
      </c>
      <c r="AI1183" s="19">
        <v>56.993835990154743</v>
      </c>
      <c r="AJ1183" s="19">
        <v>59.273589429760939</v>
      </c>
      <c r="AK1183" s="19">
        <v>61.644533006951377</v>
      </c>
      <c r="AL1183" s="19">
        <v>64.110314327229432</v>
      </c>
      <c r="AM1183" s="19">
        <v>66.674726900318603</v>
      </c>
      <c r="AN1183" s="19">
        <v>69.341715976331358</v>
      </c>
      <c r="AO1183" s="19">
        <v>72.115384615384613</v>
      </c>
      <c r="AP1183" s="19">
        <v>75</v>
      </c>
      <c r="AQ1183" s="19">
        <v>78</v>
      </c>
      <c r="AR1183" s="19">
        <v>81.12</v>
      </c>
      <c r="AS1183" s="19">
        <v>84.364800000000002</v>
      </c>
      <c r="AT1183" s="19">
        <v>87.739392000000009</v>
      </c>
      <c r="AU1183" s="19">
        <v>91.248967680000007</v>
      </c>
      <c r="AV1183" s="19">
        <v>94.898926387200021</v>
      </c>
      <c r="AW1183" s="19">
        <v>98.694883442688024</v>
      </c>
      <c r="AX1183" s="19">
        <v>102.6426787803955</v>
      </c>
      <c r="AY1183" s="19">
        <v>106.74838593161139</v>
      </c>
      <c r="AZ1183" s="19">
        <v>111.0183213688758</v>
      </c>
      <c r="BA1183" s="19">
        <v>115.4590542236309</v>
      </c>
      <c r="BC1183" s="17" t="s">
        <v>6357</v>
      </c>
      <c r="BD1183" s="19">
        <v>54.80176537514879</v>
      </c>
      <c r="BE1183" s="19">
        <v>56.993835990154743</v>
      </c>
      <c r="BF1183" s="19">
        <v>59.273589429760939</v>
      </c>
      <c r="BG1183" s="19">
        <v>61.644533006951377</v>
      </c>
      <c r="BH1183" s="19">
        <v>64.110314327229432</v>
      </c>
      <c r="BI1183" s="19">
        <v>66.674726900318603</v>
      </c>
      <c r="BJ1183" s="19">
        <v>69.341715976331358</v>
      </c>
      <c r="BK1183" s="19">
        <v>72.115384615384613</v>
      </c>
      <c r="BL1183" s="19">
        <v>75</v>
      </c>
      <c r="BM1183" s="19">
        <v>78</v>
      </c>
      <c r="BN1183" s="19">
        <v>81.12</v>
      </c>
      <c r="BO1183" s="19">
        <v>84.364800000000002</v>
      </c>
      <c r="BP1183" s="19">
        <v>87.739392000000009</v>
      </c>
      <c r="BQ1183" s="19">
        <v>91.248967680000007</v>
      </c>
      <c r="BR1183" s="19">
        <v>94.898926387200021</v>
      </c>
      <c r="BS1183" s="19">
        <v>98.694883442688024</v>
      </c>
      <c r="BT1183" s="19">
        <v>102.6426787803955</v>
      </c>
      <c r="BU1183" s="19">
        <v>106.74838593161139</v>
      </c>
      <c r="BV1183" s="19">
        <v>111.0183213688758</v>
      </c>
      <c r="BW1183" s="19">
        <v>115.4590542236309</v>
      </c>
      <c r="BY1183" s="17" t="s">
        <v>6358</v>
      </c>
      <c r="BZ1183" s="19">
        <v>54.80176537514879</v>
      </c>
      <c r="CA1183" s="19">
        <v>56.993835990154743</v>
      </c>
      <c r="CB1183" s="19">
        <v>59.273589429760939</v>
      </c>
      <c r="CC1183" s="19">
        <v>61.644533006951377</v>
      </c>
      <c r="CD1183" s="19">
        <v>64.110314327229432</v>
      </c>
      <c r="CE1183" s="19">
        <v>66.674726900318603</v>
      </c>
      <c r="CF1183" s="19">
        <v>69.341715976331358</v>
      </c>
      <c r="CG1183" s="19">
        <v>72.115384615384613</v>
      </c>
      <c r="CH1183" s="19">
        <v>75</v>
      </c>
      <c r="CI1183" s="19">
        <v>78</v>
      </c>
      <c r="CJ1183" s="19">
        <v>81.12</v>
      </c>
      <c r="CK1183" s="19">
        <v>84.364800000000002</v>
      </c>
      <c r="CL1183" s="19">
        <v>87.739392000000009</v>
      </c>
      <c r="CM1183" s="19">
        <v>91.248967680000007</v>
      </c>
      <c r="CN1183" s="19">
        <v>94.898926387200021</v>
      </c>
      <c r="CO1183" s="19">
        <v>98.694883442688024</v>
      </c>
      <c r="CP1183" s="19">
        <v>102.6426787803955</v>
      </c>
      <c r="CQ1183" s="19">
        <v>106.74838593161139</v>
      </c>
      <c r="CR1183" s="19">
        <v>111.0183213688758</v>
      </c>
      <c r="CS1183" s="19">
        <v>115.4590542236309</v>
      </c>
      <c r="CU1183" s="17" t="s">
        <v>6359</v>
      </c>
      <c r="CV1183" s="19">
        <v>54.80176537514879</v>
      </c>
      <c r="CW1183" s="19">
        <v>56.993835990154743</v>
      </c>
      <c r="CX1183" s="19">
        <v>59.273589429760939</v>
      </c>
      <c r="CY1183" s="19">
        <v>61.644533006951377</v>
      </c>
      <c r="CZ1183" s="19">
        <v>64.110314327229432</v>
      </c>
      <c r="DA1183" s="19">
        <v>66.674726900318603</v>
      </c>
      <c r="DB1183" s="19">
        <v>69.341715976331358</v>
      </c>
      <c r="DC1183" s="19">
        <v>72.115384615384613</v>
      </c>
      <c r="DD1183" s="19">
        <v>75</v>
      </c>
      <c r="DE1183" s="19">
        <v>78</v>
      </c>
      <c r="DF1183" s="19">
        <v>81.12</v>
      </c>
      <c r="DG1183" s="19">
        <v>84.364800000000002</v>
      </c>
      <c r="DH1183" s="19">
        <v>87.739392000000009</v>
      </c>
      <c r="DI1183" s="19">
        <v>91.248967680000007</v>
      </c>
      <c r="DJ1183" s="19">
        <v>94.898926387200021</v>
      </c>
      <c r="DK1183" s="19">
        <v>98.694883442688024</v>
      </c>
      <c r="DL1183" s="19">
        <v>102.6426787803955</v>
      </c>
      <c r="DM1183" s="19">
        <v>106.74838593161139</v>
      </c>
      <c r="DN1183" s="19">
        <v>111.0183213688758</v>
      </c>
      <c r="DO1183" s="19">
        <v>115.4590542236309</v>
      </c>
    </row>
    <row r="1184" spans="1:230" x14ac:dyDescent="0.45">
      <c r="A1184" s="16" t="s">
        <v>6360</v>
      </c>
      <c r="B1184" s="3" t="s">
        <v>89</v>
      </c>
      <c r="C1184" s="16"/>
      <c r="H1184" s="3" t="s">
        <v>6361</v>
      </c>
      <c r="I1184" s="3" t="s">
        <v>4288</v>
      </c>
      <c r="K1184" s="17" t="s">
        <v>6362</v>
      </c>
      <c r="L1184" s="27">
        <v>0</v>
      </c>
      <c r="M1184" s="27">
        <v>0</v>
      </c>
      <c r="N1184" s="27">
        <v>0</v>
      </c>
      <c r="O1184" s="27">
        <v>0</v>
      </c>
      <c r="P1184" s="27">
        <v>0</v>
      </c>
      <c r="Q1184" s="27">
        <v>0</v>
      </c>
      <c r="R1184" s="27">
        <v>0</v>
      </c>
      <c r="S1184" s="27">
        <v>0</v>
      </c>
      <c r="T1184" s="27">
        <v>0</v>
      </c>
      <c r="U1184" s="27">
        <v>0</v>
      </c>
      <c r="V1184" s="27">
        <v>0</v>
      </c>
      <c r="W1184" s="27">
        <v>0</v>
      </c>
      <c r="X1184" s="27">
        <v>0</v>
      </c>
      <c r="Y1184" s="27">
        <v>0</v>
      </c>
      <c r="Z1184" s="27">
        <v>0</v>
      </c>
      <c r="AA1184" s="27">
        <v>0</v>
      </c>
      <c r="AB1184" s="27">
        <v>0</v>
      </c>
      <c r="AC1184" s="27">
        <v>0</v>
      </c>
      <c r="AD1184" s="27">
        <v>0</v>
      </c>
      <c r="AE1184" s="27">
        <v>0</v>
      </c>
      <c r="AG1184" s="17" t="s">
        <v>6363</v>
      </c>
      <c r="AH1184" s="27">
        <v>0</v>
      </c>
      <c r="AI1184" s="27">
        <v>0</v>
      </c>
      <c r="AJ1184" s="27">
        <v>0</v>
      </c>
      <c r="AK1184" s="27">
        <v>0</v>
      </c>
      <c r="AL1184" s="27">
        <v>0</v>
      </c>
      <c r="AM1184" s="27">
        <v>0</v>
      </c>
      <c r="AN1184" s="27">
        <v>0</v>
      </c>
      <c r="AO1184" s="27">
        <v>0</v>
      </c>
      <c r="AP1184" s="27">
        <v>0</v>
      </c>
      <c r="AQ1184" s="27">
        <v>0</v>
      </c>
      <c r="AR1184" s="27">
        <v>0</v>
      </c>
      <c r="AS1184" s="27">
        <v>0</v>
      </c>
      <c r="AT1184" s="27">
        <v>0</v>
      </c>
      <c r="AU1184" s="27">
        <v>0</v>
      </c>
      <c r="AV1184" s="27">
        <v>0</v>
      </c>
      <c r="AW1184" s="27">
        <v>0</v>
      </c>
      <c r="AX1184" s="27">
        <v>0</v>
      </c>
      <c r="AY1184" s="27">
        <v>0</v>
      </c>
      <c r="AZ1184" s="27">
        <v>0</v>
      </c>
      <c r="BA1184" s="27">
        <v>0</v>
      </c>
      <c r="BC1184" s="17" t="s">
        <v>6364</v>
      </c>
      <c r="BD1184" s="27">
        <v>0</v>
      </c>
      <c r="BE1184" s="27">
        <v>0</v>
      </c>
      <c r="BF1184" s="27">
        <v>0</v>
      </c>
      <c r="BG1184" s="27">
        <v>0</v>
      </c>
      <c r="BH1184" s="27">
        <v>0</v>
      </c>
      <c r="BI1184" s="27">
        <v>0</v>
      </c>
      <c r="BJ1184" s="27">
        <v>0</v>
      </c>
      <c r="BK1184" s="27">
        <v>0</v>
      </c>
      <c r="BL1184" s="27">
        <v>0</v>
      </c>
      <c r="BM1184" s="27">
        <v>0</v>
      </c>
      <c r="BN1184" s="27">
        <v>0</v>
      </c>
      <c r="BO1184" s="27">
        <v>0</v>
      </c>
      <c r="BP1184" s="27">
        <v>0</v>
      </c>
      <c r="BQ1184" s="27">
        <v>0</v>
      </c>
      <c r="BR1184" s="27">
        <v>0</v>
      </c>
      <c r="BS1184" s="27">
        <v>0</v>
      </c>
      <c r="BT1184" s="27">
        <v>0</v>
      </c>
      <c r="BU1184" s="27">
        <v>0</v>
      </c>
      <c r="BV1184" s="27">
        <v>0</v>
      </c>
      <c r="BW1184" s="27">
        <v>0</v>
      </c>
      <c r="BY1184" s="17" t="s">
        <v>6365</v>
      </c>
      <c r="BZ1184" s="27">
        <v>0</v>
      </c>
      <c r="CA1184" s="27">
        <v>0</v>
      </c>
      <c r="CB1184" s="27">
        <v>0</v>
      </c>
      <c r="CC1184" s="27">
        <v>0</v>
      </c>
      <c r="CD1184" s="27">
        <v>0</v>
      </c>
      <c r="CE1184" s="27">
        <v>0</v>
      </c>
      <c r="CF1184" s="27">
        <v>0</v>
      </c>
      <c r="CG1184" s="27">
        <v>0</v>
      </c>
      <c r="CH1184" s="27">
        <v>0</v>
      </c>
      <c r="CI1184" s="27">
        <v>0</v>
      </c>
      <c r="CJ1184" s="27">
        <v>0</v>
      </c>
      <c r="CK1184" s="27">
        <v>0</v>
      </c>
      <c r="CL1184" s="27">
        <v>0</v>
      </c>
      <c r="CM1184" s="27">
        <v>0</v>
      </c>
      <c r="CN1184" s="27">
        <v>0</v>
      </c>
      <c r="CO1184" s="27">
        <v>0</v>
      </c>
      <c r="CP1184" s="27">
        <v>0</v>
      </c>
      <c r="CQ1184" s="27">
        <v>0</v>
      </c>
      <c r="CR1184" s="27">
        <v>0</v>
      </c>
      <c r="CS1184" s="27">
        <v>0</v>
      </c>
      <c r="CU1184" s="17" t="s">
        <v>6366</v>
      </c>
      <c r="CV1184" s="27">
        <v>0</v>
      </c>
      <c r="CW1184" s="27">
        <v>0</v>
      </c>
      <c r="CX1184" s="27">
        <v>0</v>
      </c>
      <c r="CY1184" s="27">
        <v>0</v>
      </c>
      <c r="CZ1184" s="27">
        <v>0</v>
      </c>
      <c r="DA1184" s="27">
        <v>0</v>
      </c>
      <c r="DB1184" s="27">
        <v>0</v>
      </c>
      <c r="DC1184" s="27">
        <v>0</v>
      </c>
      <c r="DD1184" s="27">
        <v>0</v>
      </c>
      <c r="DE1184" s="27">
        <v>0</v>
      </c>
      <c r="DF1184" s="27">
        <v>0</v>
      </c>
      <c r="DG1184" s="27">
        <v>0</v>
      </c>
      <c r="DH1184" s="27">
        <v>0</v>
      </c>
      <c r="DI1184" s="27">
        <v>0</v>
      </c>
      <c r="DJ1184" s="27">
        <v>0</v>
      </c>
      <c r="DK1184" s="27">
        <v>0</v>
      </c>
      <c r="DL1184" s="27">
        <v>0</v>
      </c>
      <c r="DM1184" s="27">
        <v>0</v>
      </c>
      <c r="DN1184" s="27">
        <v>0</v>
      </c>
      <c r="DO1184" s="27">
        <v>0</v>
      </c>
    </row>
    <row r="1185" spans="1:119" x14ac:dyDescent="0.45">
      <c r="A1185" s="16" t="s">
        <v>6367</v>
      </c>
      <c r="B1185" s="3" t="s">
        <v>89</v>
      </c>
      <c r="C1185" s="16"/>
      <c r="H1185" s="3" t="s">
        <v>6368</v>
      </c>
      <c r="I1185" s="3" t="s">
        <v>6333</v>
      </c>
      <c r="K1185" s="17" t="s">
        <v>6369</v>
      </c>
      <c r="L1185" s="21">
        <v>0</v>
      </c>
      <c r="M1185" s="21">
        <v>0</v>
      </c>
      <c r="N1185" s="21">
        <v>0</v>
      </c>
      <c r="O1185" s="21">
        <v>0</v>
      </c>
      <c r="P1185" s="21">
        <v>0</v>
      </c>
      <c r="Q1185" s="21">
        <v>0</v>
      </c>
      <c r="R1185" s="21">
        <v>0</v>
      </c>
      <c r="S1185" s="21">
        <v>0</v>
      </c>
      <c r="T1185" s="21">
        <v>0</v>
      </c>
      <c r="U1185" s="21">
        <v>0</v>
      </c>
      <c r="V1185" s="21">
        <v>0</v>
      </c>
      <c r="W1185" s="21">
        <v>0</v>
      </c>
      <c r="X1185" s="21">
        <v>0</v>
      </c>
      <c r="Y1185" s="21">
        <v>0</v>
      </c>
      <c r="Z1185" s="21">
        <v>0</v>
      </c>
      <c r="AA1185" s="21">
        <v>0</v>
      </c>
      <c r="AB1185" s="21">
        <v>0</v>
      </c>
      <c r="AC1185" s="21">
        <v>0</v>
      </c>
      <c r="AD1185" s="21">
        <v>0</v>
      </c>
      <c r="AE1185" s="21">
        <v>0</v>
      </c>
      <c r="AG1185" s="17" t="s">
        <v>6370</v>
      </c>
      <c r="AH1185" s="21">
        <v>0</v>
      </c>
      <c r="AI1185" s="21">
        <v>0</v>
      </c>
      <c r="AJ1185" s="21">
        <v>0</v>
      </c>
      <c r="AK1185" s="21">
        <v>0</v>
      </c>
      <c r="AL1185" s="21">
        <v>5.9205452550422482E-8</v>
      </c>
      <c r="AM1185" s="21">
        <v>-1.3201771312711821E-7</v>
      </c>
      <c r="AN1185" s="21">
        <v>5.9217675814382596E-4</v>
      </c>
      <c r="AO1185" s="21">
        <v>-7.5220772288970617E-4</v>
      </c>
      <c r="AP1185" s="21">
        <v>-5.1984963523404881E-4</v>
      </c>
      <c r="AQ1185" s="21">
        <v>-1.057590043190572E-3</v>
      </c>
      <c r="AR1185" s="21">
        <v>-3.5147061175809952E-4</v>
      </c>
      <c r="AS1185" s="21">
        <v>9.2018296975317215E-4</v>
      </c>
      <c r="AT1185" s="21">
        <v>1.890254042487135E-3</v>
      </c>
      <c r="AU1185" s="21">
        <v>3.082947986599967E-3</v>
      </c>
      <c r="AV1185" s="21">
        <v>4.8128755115701737E-3</v>
      </c>
      <c r="AW1185" s="21">
        <v>5.9860507882638879E-3</v>
      </c>
      <c r="AX1185" s="21">
        <v>6.8574162196372076E-3</v>
      </c>
      <c r="AY1185" s="21">
        <v>7.0731345479966143E-3</v>
      </c>
      <c r="AZ1185" s="21">
        <v>7.1052519026121976E-3</v>
      </c>
      <c r="BA1185" s="21">
        <v>7.1667395272041311E-3</v>
      </c>
      <c r="BC1185" s="17" t="s">
        <v>6371</v>
      </c>
      <c r="BD1185" s="21">
        <v>0</v>
      </c>
      <c r="BE1185" s="21">
        <v>0</v>
      </c>
      <c r="BF1185" s="21">
        <v>0</v>
      </c>
      <c r="BG1185" s="21">
        <v>0</v>
      </c>
      <c r="BH1185" s="21">
        <v>1.8812485809207181E-7</v>
      </c>
      <c r="BI1185" s="21">
        <v>-4.2152979852737081E-7</v>
      </c>
      <c r="BJ1185" s="21">
        <v>3.3582619979690201E-4</v>
      </c>
      <c r="BK1185" s="21">
        <v>-7.6898774917475723E-5</v>
      </c>
      <c r="BL1185" s="21">
        <v>-4.3971322822170948E-4</v>
      </c>
      <c r="BM1185" s="21">
        <v>-1.0727883395325621E-3</v>
      </c>
      <c r="BN1185" s="21">
        <v>-1.1991180586127541E-3</v>
      </c>
      <c r="BO1185" s="21">
        <v>-4.5897584161660359E-4</v>
      </c>
      <c r="BP1185" s="21">
        <v>8.4837283306014779E-4</v>
      </c>
      <c r="BQ1185" s="21">
        <v>2.6810960419315411E-3</v>
      </c>
      <c r="BR1185" s="21">
        <v>5.246481020818621E-3</v>
      </c>
      <c r="BS1185" s="21">
        <v>8.2015696291917132E-3</v>
      </c>
      <c r="BT1185" s="21">
        <v>1.13295894169808E-2</v>
      </c>
      <c r="BU1185" s="21">
        <v>1.4158574845371299E-2</v>
      </c>
      <c r="BV1185" s="21">
        <v>1.658902025963389E-2</v>
      </c>
      <c r="BW1185" s="21">
        <v>1.875000788299816E-2</v>
      </c>
      <c r="BY1185" s="17" t="s">
        <v>6372</v>
      </c>
      <c r="BZ1185" s="21">
        <v>0</v>
      </c>
      <c r="CA1185" s="21">
        <v>0</v>
      </c>
      <c r="CB1185" s="21">
        <v>0</v>
      </c>
      <c r="CC1185" s="21">
        <v>0</v>
      </c>
      <c r="CD1185" s="21">
        <v>3.1324986600135792E-7</v>
      </c>
      <c r="CE1185" s="21">
        <v>-7.6303938205089913E-7</v>
      </c>
      <c r="CF1185" s="21">
        <v>5.0368298558021128E-4</v>
      </c>
      <c r="CG1185" s="21">
        <v>-7.5784492412212521E-4</v>
      </c>
      <c r="CH1185" s="21">
        <v>-2.605619004071762E-4</v>
      </c>
      <c r="CI1185" s="21">
        <v>-8.6538971427405098E-4</v>
      </c>
      <c r="CJ1185" s="21">
        <v>-7.1936294217574224E-5</v>
      </c>
      <c r="CK1185" s="21">
        <v>7.6985520634769518E-4</v>
      </c>
      <c r="CL1185" s="21">
        <v>1.4112360147431949E-3</v>
      </c>
      <c r="CM1185" s="21">
        <v>2.272657403203599E-3</v>
      </c>
      <c r="CN1185" s="21">
        <v>3.5368558690463238E-3</v>
      </c>
      <c r="CO1185" s="21">
        <v>4.2954142486007971E-3</v>
      </c>
      <c r="CP1185" s="21">
        <v>4.9358387164240734E-3</v>
      </c>
      <c r="CQ1185" s="21">
        <v>5.0608358500852831E-3</v>
      </c>
      <c r="CR1185" s="21">
        <v>5.2428927818908991E-3</v>
      </c>
      <c r="CS1185" s="21">
        <v>5.4558029912540884E-3</v>
      </c>
      <c r="CU1185" s="17" t="s">
        <v>6373</v>
      </c>
      <c r="CV1185" s="21">
        <v>0</v>
      </c>
      <c r="CW1185" s="21">
        <v>0</v>
      </c>
      <c r="CX1185" s="21">
        <v>0</v>
      </c>
      <c r="CY1185" s="21">
        <v>0</v>
      </c>
      <c r="CZ1185" s="21">
        <v>1.345218464216424E-7</v>
      </c>
      <c r="DA1185" s="21">
        <v>-3.0101952278307967E-7</v>
      </c>
      <c r="DB1185" s="21">
        <v>1.2678975410970899E-3</v>
      </c>
      <c r="DC1185" s="21">
        <v>-1.656133126351531E-3</v>
      </c>
      <c r="DD1185" s="21">
        <v>-1.0259336541282231E-3</v>
      </c>
      <c r="DE1185" s="21">
        <v>-2.273187837007043E-3</v>
      </c>
      <c r="DF1185" s="21">
        <v>-6.71389126517501E-4</v>
      </c>
      <c r="DG1185" s="21">
        <v>1.940011609375594E-3</v>
      </c>
      <c r="DH1185" s="21">
        <v>3.9811140869759716E-3</v>
      </c>
      <c r="DI1185" s="21">
        <v>6.4773644799108474E-3</v>
      </c>
      <c r="DJ1185" s="21">
        <v>1.0128595762688399E-2</v>
      </c>
      <c r="DK1185" s="21">
        <v>1.255966933990656E-2</v>
      </c>
      <c r="DL1185" s="21">
        <v>1.4418851726394091E-2</v>
      </c>
      <c r="DM1185" s="21">
        <v>1.488472848458831E-2</v>
      </c>
      <c r="DN1185" s="21">
        <v>1.500619459242533E-2</v>
      </c>
      <c r="DO1185" s="21">
        <v>1.5190794035507309E-2</v>
      </c>
    </row>
    <row r="1186" spans="1:119" x14ac:dyDescent="0.45">
      <c r="A1186" s="16" t="s">
        <v>6374</v>
      </c>
      <c r="B1186" s="3" t="s">
        <v>89</v>
      </c>
      <c r="C1186" s="16"/>
      <c r="H1186" s="3" t="s">
        <v>6375</v>
      </c>
      <c r="I1186" s="3" t="s">
        <v>262</v>
      </c>
      <c r="K1186" s="17" t="s">
        <v>6376</v>
      </c>
      <c r="L1186" s="19">
        <v>0</v>
      </c>
      <c r="M1186" s="19">
        <v>0</v>
      </c>
      <c r="N1186" s="19">
        <v>0</v>
      </c>
      <c r="O1186" s="19">
        <v>0</v>
      </c>
      <c r="P1186" s="19">
        <v>0</v>
      </c>
      <c r="Q1186" s="19">
        <v>0</v>
      </c>
      <c r="R1186" s="19">
        <v>0</v>
      </c>
      <c r="S1186" s="19">
        <v>0</v>
      </c>
      <c r="T1186" s="19">
        <v>0</v>
      </c>
      <c r="U1186" s="19">
        <v>0</v>
      </c>
      <c r="V1186" s="19">
        <v>0</v>
      </c>
      <c r="W1186" s="19">
        <v>0</v>
      </c>
      <c r="X1186" s="19">
        <v>0</v>
      </c>
      <c r="Y1186" s="19">
        <v>0</v>
      </c>
      <c r="Z1186" s="19">
        <v>0</v>
      </c>
      <c r="AA1186" s="19">
        <v>0</v>
      </c>
      <c r="AB1186" s="19">
        <v>0</v>
      </c>
      <c r="AC1186" s="19">
        <v>0</v>
      </c>
      <c r="AD1186" s="19">
        <v>0</v>
      </c>
      <c r="AE1186" s="19">
        <v>0</v>
      </c>
      <c r="AG1186" s="17" t="s">
        <v>6377</v>
      </c>
      <c r="AH1186" s="19">
        <v>0</v>
      </c>
      <c r="AI1186" s="19">
        <v>0</v>
      </c>
      <c r="AJ1186" s="19">
        <v>0</v>
      </c>
      <c r="AK1186" s="19">
        <v>0</v>
      </c>
      <c r="AL1186" s="19">
        <v>0</v>
      </c>
      <c r="AM1186" s="19">
        <v>3.9249697010745883E-5</v>
      </c>
      <c r="AN1186" s="19">
        <v>-9.2364402121347666E-5</v>
      </c>
      <c r="AO1186" s="19">
        <v>0.43596270564921719</v>
      </c>
      <c r="AP1186" s="19">
        <v>-0.58059134399559298</v>
      </c>
      <c r="AQ1186" s="19">
        <v>-0.42046041441449228</v>
      </c>
      <c r="AR1186" s="19">
        <v>-0.89589895115705076</v>
      </c>
      <c r="AS1186" s="19">
        <v>-0.31167687943070632</v>
      </c>
      <c r="AT1186" s="19">
        <v>0.85377441211767291</v>
      </c>
      <c r="AU1186" s="19">
        <v>1.8340951371698111</v>
      </c>
      <c r="AV1186" s="19">
        <v>3.1266543771068882</v>
      </c>
      <c r="AW1186" s="19">
        <v>5.0992868719683884</v>
      </c>
      <c r="AX1186" s="19">
        <v>6.6223995728332739</v>
      </c>
      <c r="AY1186" s="19">
        <v>7.9174363191209522</v>
      </c>
      <c r="AZ1186" s="19">
        <v>8.5185147138784032</v>
      </c>
      <c r="BA1186" s="19">
        <v>8.9215028777168754</v>
      </c>
      <c r="BC1186" s="17" t="s">
        <v>6378</v>
      </c>
      <c r="BD1186" s="19">
        <v>0</v>
      </c>
      <c r="BE1186" s="19">
        <v>0</v>
      </c>
      <c r="BF1186" s="19">
        <v>0</v>
      </c>
      <c r="BG1186" s="19">
        <v>0</v>
      </c>
      <c r="BH1186" s="19">
        <v>0</v>
      </c>
      <c r="BI1186" s="19">
        <v>1.2471560239646351E-4</v>
      </c>
      <c r="BJ1186" s="19">
        <v>-2.9491760551536572E-4</v>
      </c>
      <c r="BK1186" s="19">
        <v>0.24723648248254901</v>
      </c>
      <c r="BL1186" s="19">
        <v>-5.9354300311383668E-2</v>
      </c>
      <c r="BM1186" s="19">
        <v>-0.35564515896669491</v>
      </c>
      <c r="BN1186" s="19">
        <v>-0.90877363529375543</v>
      </c>
      <c r="BO1186" s="19">
        <v>-1.0633531284677249</v>
      </c>
      <c r="BP1186" s="19">
        <v>-0.42585207750312293</v>
      </c>
      <c r="BQ1186" s="19">
        <v>0.82316791957509849</v>
      </c>
      <c r="BR1186" s="19">
        <v>2.7191054508169832</v>
      </c>
      <c r="BS1186" s="19">
        <v>5.5586959872900934</v>
      </c>
      <c r="BT1186" s="19">
        <v>9.073439756877633</v>
      </c>
      <c r="BU1186" s="19">
        <v>13.08091850599021</v>
      </c>
      <c r="BV1186" s="19">
        <v>17.05184983113395</v>
      </c>
      <c r="BW1186" s="19">
        <v>20.829520756387861</v>
      </c>
      <c r="BY1186" s="17" t="s">
        <v>6379</v>
      </c>
      <c r="BZ1186" s="19">
        <v>0</v>
      </c>
      <c r="CA1186" s="19">
        <v>0</v>
      </c>
      <c r="CB1186" s="19">
        <v>0</v>
      </c>
      <c r="CC1186" s="19">
        <v>0</v>
      </c>
      <c r="CD1186" s="19">
        <v>0</v>
      </c>
      <c r="CE1186" s="19">
        <v>2.076660476859615E-4</v>
      </c>
      <c r="CF1186" s="19">
        <v>-5.3385015314688644E-4</v>
      </c>
      <c r="CG1186" s="19">
        <v>0.37081326506518048</v>
      </c>
      <c r="CH1186" s="19">
        <v>-0.58494241636594779</v>
      </c>
      <c r="CI1186" s="19">
        <v>-0.21074548715705529</v>
      </c>
      <c r="CJ1186" s="19">
        <v>-0.73308343091173356</v>
      </c>
      <c r="CK1186" s="19">
        <v>-6.3791619980293035E-2</v>
      </c>
      <c r="CL1186" s="19">
        <v>0.71429563230412896</v>
      </c>
      <c r="CM1186" s="19">
        <v>1.3693085976070729</v>
      </c>
      <c r="CN1186" s="19">
        <v>2.3048764521090561</v>
      </c>
      <c r="CO1186" s="19">
        <v>3.747332059122527</v>
      </c>
      <c r="CP1186" s="19">
        <v>4.7520394482528454</v>
      </c>
      <c r="CQ1186" s="19">
        <v>5.6988211692371351</v>
      </c>
      <c r="CR1186" s="19">
        <v>6.0950070101077927</v>
      </c>
      <c r="CS1186" s="19">
        <v>6.5830858190970503</v>
      </c>
      <c r="CU1186" s="17" t="s">
        <v>6380</v>
      </c>
      <c r="CV1186" s="19">
        <v>0</v>
      </c>
      <c r="CW1186" s="19">
        <v>0</v>
      </c>
      <c r="CX1186" s="19">
        <v>0</v>
      </c>
      <c r="CY1186" s="19">
        <v>0</v>
      </c>
      <c r="CZ1186" s="19">
        <v>0</v>
      </c>
      <c r="DA1186" s="19">
        <v>8.9179990709453705E-5</v>
      </c>
      <c r="DB1186" s="19">
        <v>-2.1060422579921581E-4</v>
      </c>
      <c r="DC1186" s="19">
        <v>0.93343082939520627</v>
      </c>
      <c r="DD1186" s="19">
        <v>-1.278285942040043</v>
      </c>
      <c r="DE1186" s="19">
        <v>-0.82978703867377135</v>
      </c>
      <c r="DF1186" s="19">
        <v>-1.925648423101165</v>
      </c>
      <c r="DG1186" s="19">
        <v>-0.59537401090233288</v>
      </c>
      <c r="DH1186" s="19">
        <v>1.800003179520218</v>
      </c>
      <c r="DI1186" s="19">
        <v>3.8628363295724739</v>
      </c>
      <c r="DJ1186" s="19">
        <v>6.5691928930548329</v>
      </c>
      <c r="DK1186" s="19">
        <v>10.73134247499002</v>
      </c>
      <c r="DL1186" s="19">
        <v>13.894828462631271</v>
      </c>
      <c r="DM1186" s="19">
        <v>16.64771929865606</v>
      </c>
      <c r="DN1186" s="19">
        <v>17.926391438993051</v>
      </c>
      <c r="DO1186" s="19">
        <v>18.842091747750828</v>
      </c>
    </row>
  </sheetData>
  <pageMargins left="0.75" right="0.75" top="1" bottom="1" header="0.5" footer="0.5"/>
  <headerFooter>
    <oddFooter>&amp;R_x000D_&amp;1#&amp;"Aptos"&amp;10&amp;K000000 Official Use Only</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AE49"/>
  </sheetPr>
  <dimension ref="A2:AI200"/>
  <sheetViews>
    <sheetView zoomScale="80" workbookViewId="0">
      <pane xSplit="3" ySplit="15" topLeftCell="D16" activePane="bottomRight" state="frozen"/>
      <selection pane="topRight"/>
      <selection pane="bottomLeft"/>
      <selection pane="bottomRight"/>
    </sheetView>
  </sheetViews>
  <sheetFormatPr defaultColWidth="10.1328125" defaultRowHeight="14.25" x14ac:dyDescent="0.45"/>
  <cols>
    <col min="1" max="1" width="8" hidden="1" customWidth="1"/>
    <col min="2" max="2" width="44" customWidth="1"/>
    <col min="3" max="3" width="16" customWidth="1"/>
    <col min="4" max="23" width="11" customWidth="1"/>
  </cols>
  <sheetData>
    <row r="2" spans="1:35" ht="17.649999999999999" x14ac:dyDescent="0.5">
      <c r="A2" s="1" t="s">
        <v>6381</v>
      </c>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35" x14ac:dyDescent="0.45">
      <c r="A3" s="3" t="s">
        <v>6382</v>
      </c>
    </row>
    <row r="5" spans="1:35" x14ac:dyDescent="0.45">
      <c r="B5" s="6" t="s">
        <v>6383</v>
      </c>
      <c r="C5" s="28">
        <v>2030</v>
      </c>
    </row>
    <row r="10" spans="1:35" hidden="1" x14ac:dyDescent="0.45">
      <c r="B10" s="29" t="s">
        <v>6384</v>
      </c>
      <c r="C10" s="30">
        <f>MATCH($C$5,SCYear,0)</f>
        <v>9</v>
      </c>
    </row>
    <row r="11" spans="1:35" hidden="1" x14ac:dyDescent="0.45">
      <c r="B11" s="29" t="s">
        <v>6385</v>
      </c>
      <c r="D11" s="30">
        <v>11</v>
      </c>
      <c r="E11" s="30">
        <v>33</v>
      </c>
      <c r="F11" s="30">
        <v>55</v>
      </c>
      <c r="G11" s="30">
        <v>77</v>
      </c>
      <c r="H11" s="30">
        <v>99</v>
      </c>
      <c r="I11" s="30">
        <v>121</v>
      </c>
      <c r="J11" s="30">
        <v>143</v>
      </c>
      <c r="K11" s="30">
        <v>165</v>
      </c>
      <c r="L11" s="30">
        <v>187</v>
      </c>
      <c r="M11" s="30">
        <v>209</v>
      </c>
    </row>
    <row r="13" spans="1:35" x14ac:dyDescent="0.45">
      <c r="C13" s="6" t="s">
        <v>84</v>
      </c>
      <c r="D13" s="31">
        <f t="shared" ref="D13:M13" si="0">IF(INDEX(SSScen,D$11)="","",INDEX(SSScen,D$11))</f>
        <v>1</v>
      </c>
      <c r="E13" s="32">
        <f t="shared" si="0"/>
        <v>3</v>
      </c>
      <c r="F13" s="32">
        <f t="shared" si="0"/>
        <v>4</v>
      </c>
      <c r="G13" s="32">
        <f t="shared" si="0"/>
        <v>5</v>
      </c>
      <c r="H13" s="32">
        <f t="shared" si="0"/>
        <v>6</v>
      </c>
      <c r="I13" s="32" t="str">
        <f t="shared" si="0"/>
        <v/>
      </c>
      <c r="J13" s="32" t="str">
        <f t="shared" si="0"/>
        <v/>
      </c>
      <c r="K13" s="32" t="str">
        <f t="shared" si="0"/>
        <v/>
      </c>
      <c r="L13" s="32" t="str">
        <f t="shared" si="0"/>
        <v/>
      </c>
      <c r="M13" s="32" t="str">
        <f t="shared" si="0"/>
        <v/>
      </c>
    </row>
    <row r="14" spans="1:35" x14ac:dyDescent="0.45">
      <c r="C14" s="6" t="s">
        <v>6386</v>
      </c>
      <c r="D14" s="33" t="str">
        <f>IF(D$13="","","S1: "&amp;D$13)</f>
        <v>S1: 1</v>
      </c>
      <c r="E14" s="6" t="str">
        <f>IF(E$13="","","S2: "&amp;E$13)</f>
        <v>S2: 3</v>
      </c>
      <c r="F14" s="6" t="str">
        <f>IF(F$13="","","S3: "&amp;F$13)</f>
        <v>S3: 4</v>
      </c>
      <c r="G14" s="6" t="str">
        <f>IF(G$13="","","S4: "&amp;G$13)</f>
        <v>S4: 5</v>
      </c>
      <c r="H14" s="6" t="str">
        <f>IF(H$13="","","S5: "&amp;H$13)</f>
        <v>S5: 6</v>
      </c>
      <c r="I14" s="6" t="str">
        <f>IF(I$13="","","S6: "&amp;I$13)</f>
        <v/>
      </c>
      <c r="J14" s="6" t="str">
        <f>IF(J$13="","","S7: "&amp;J$13)</f>
        <v/>
      </c>
      <c r="K14" s="6" t="str">
        <f>IF(K$13="","","S8: "&amp;K$13)</f>
        <v/>
      </c>
      <c r="L14" s="6" t="str">
        <f>IF(L$13="","","S9: "&amp;L$13)</f>
        <v/>
      </c>
      <c r="M14" s="6" t="str">
        <f>IF(M$13="","","S10: "&amp;M$13)</f>
        <v/>
      </c>
    </row>
    <row r="15" spans="1:35" ht="54" customHeight="1" x14ac:dyDescent="0.45">
      <c r="C15" s="6" t="s">
        <v>6387</v>
      </c>
      <c r="D15" s="7" t="str">
        <f t="shared" ref="D15:M15" si="1">IF(D$13="","",INDEX(SSName,D$11+1))</f>
        <v>Baseline (no carbon price)</v>
      </c>
      <c r="E15" s="7" t="str">
        <f t="shared" si="1"/>
        <v>Carbon price $20/tCO2 from 2027</v>
      </c>
      <c r="F15" s="7" t="str">
        <f t="shared" si="1"/>
        <v>Package A: carbon tax to $50 by 2030 + feebates (transport, industry)</v>
      </c>
      <c r="G15" s="7" t="str">
        <f t="shared" si="1"/>
        <v>Package B: ETS on power and industry (cap -5% 2027 to -20% 2035) + carbon tax $25 elsewhere</v>
      </c>
      <c r="H15" s="7" t="str">
        <f t="shared" si="1"/>
        <v>Carbon price $50/tCO2 from 2027</v>
      </c>
      <c r="I15" s="7" t="str">
        <f t="shared" si="1"/>
        <v/>
      </c>
      <c r="J15" s="7" t="str">
        <f t="shared" si="1"/>
        <v/>
      </c>
      <c r="K15" s="7" t="str">
        <f t="shared" si="1"/>
        <v/>
      </c>
      <c r="L15" s="7" t="str">
        <f t="shared" si="1"/>
        <v/>
      </c>
      <c r="M15" s="7" t="str">
        <f t="shared" si="1"/>
        <v/>
      </c>
    </row>
    <row r="17" spans="1:13" ht="15.4" x14ac:dyDescent="0.45">
      <c r="A17" s="5"/>
      <c r="B17" s="15" t="s">
        <v>6388</v>
      </c>
      <c r="C17" s="5"/>
      <c r="D17" s="5"/>
      <c r="E17" s="5"/>
      <c r="F17" s="5"/>
      <c r="G17" s="5"/>
      <c r="H17" s="5"/>
      <c r="I17" s="5"/>
      <c r="J17" s="5"/>
      <c r="K17" s="5"/>
      <c r="L17" s="5"/>
      <c r="M17" s="5"/>
    </row>
    <row r="18" spans="1:13" x14ac:dyDescent="0.45">
      <c r="A18" s="29" t="s">
        <v>345</v>
      </c>
      <c r="B18" s="6" t="s">
        <v>6389</v>
      </c>
      <c r="C18" s="3" t="str">
        <f>IFERROR(INDEX(SSUnit,MATCH($A18,SSStem,0)),"")</f>
        <v>MtCO2</v>
      </c>
      <c r="D18" s="34">
        <f t="shared" ref="D18:M18" si="2">IF(D$13="","",IFERROR(INDEX(SSAll,MATCH($A18,SSStem,0),MATCH(D$13,SSScen,0)+SCYc),""))</f>
        <v>294.15935922164368</v>
      </c>
      <c r="E18" s="35">
        <f t="shared" si="2"/>
        <v>259.89699142201619</v>
      </c>
      <c r="F18" s="35">
        <f t="shared" si="2"/>
        <v>220.28322414594101</v>
      </c>
      <c r="G18" s="35">
        <f t="shared" si="2"/>
        <v>263.94460502233051</v>
      </c>
      <c r="H18" s="35">
        <f t="shared" si="2"/>
        <v>222.05405130772681</v>
      </c>
      <c r="I18" s="35" t="str">
        <f t="shared" si="2"/>
        <v/>
      </c>
      <c r="J18" s="35" t="str">
        <f t="shared" si="2"/>
        <v/>
      </c>
      <c r="K18" s="35" t="str">
        <f t="shared" si="2"/>
        <v/>
      </c>
      <c r="L18" s="35" t="str">
        <f t="shared" si="2"/>
        <v/>
      </c>
      <c r="M18" s="35" t="str">
        <f t="shared" si="2"/>
        <v/>
      </c>
    </row>
    <row r="19" spans="1:13" x14ac:dyDescent="0.45">
      <c r="A19" s="29" t="s">
        <v>345</v>
      </c>
      <c r="B19" s="3" t="s">
        <v>6390</v>
      </c>
      <c r="C19" s="3" t="str">
        <f>IFERROR(INDEX(SSUnit,MATCH($A19,SSStem,0)),"")</f>
        <v>MtCO2</v>
      </c>
      <c r="D19" s="36">
        <f t="shared" ref="D19:M19" si="3">IF(OR(D18="",$D18=""),"",D18-$D18)</f>
        <v>0</v>
      </c>
      <c r="E19" s="19">
        <f t="shared" si="3"/>
        <v>-34.262367799627498</v>
      </c>
      <c r="F19" s="19">
        <f t="shared" si="3"/>
        <v>-73.876135075702678</v>
      </c>
      <c r="G19" s="19">
        <f t="shared" si="3"/>
        <v>-30.214754199313177</v>
      </c>
      <c r="H19" s="19">
        <f t="shared" si="3"/>
        <v>-72.105307913916874</v>
      </c>
      <c r="I19" s="19" t="str">
        <f t="shared" si="3"/>
        <v/>
      </c>
      <c r="J19" s="19" t="str">
        <f t="shared" si="3"/>
        <v/>
      </c>
      <c r="K19" s="19" t="str">
        <f t="shared" si="3"/>
        <v/>
      </c>
      <c r="L19" s="19" t="str">
        <f t="shared" si="3"/>
        <v/>
      </c>
      <c r="M19" s="19" t="str">
        <f t="shared" si="3"/>
        <v/>
      </c>
    </row>
    <row r="20" spans="1:13" x14ac:dyDescent="0.45">
      <c r="A20" s="29" t="s">
        <v>345</v>
      </c>
      <c r="B20" s="37" t="s">
        <v>6391</v>
      </c>
      <c r="C20" s="37" t="s">
        <v>92</v>
      </c>
      <c r="D20" s="38">
        <f t="shared" ref="D20:M20" si="4">IF(OR(D18="",N($D18)=0),"",D18/$D18-1)</f>
        <v>0</v>
      </c>
      <c r="E20" s="39">
        <f t="shared" si="4"/>
        <v>-0.11647553180115355</v>
      </c>
      <c r="F20" s="39">
        <f t="shared" si="4"/>
        <v>-0.25114324178289482</v>
      </c>
      <c r="G20" s="39">
        <f t="shared" si="4"/>
        <v>-0.10271559701266186</v>
      </c>
      <c r="H20" s="39">
        <f t="shared" si="4"/>
        <v>-0.24512328319149912</v>
      </c>
      <c r="I20" s="39" t="str">
        <f t="shared" si="4"/>
        <v/>
      </c>
      <c r="J20" s="39" t="str">
        <f t="shared" si="4"/>
        <v/>
      </c>
      <c r="K20" s="39" t="str">
        <f t="shared" si="4"/>
        <v/>
      </c>
      <c r="L20" s="39" t="str">
        <f t="shared" si="4"/>
        <v/>
      </c>
      <c r="M20" s="39" t="str">
        <f t="shared" si="4"/>
        <v/>
      </c>
    </row>
    <row r="21" spans="1:13" x14ac:dyDescent="0.45">
      <c r="A21" s="29" t="s">
        <v>286</v>
      </c>
      <c r="B21" s="6" t="s">
        <v>6392</v>
      </c>
      <c r="C21" s="3" t="str">
        <f>IFERROR(INDEX(SSUnit,MATCH($A21,SSStem,0)),"")</f>
        <v>Mt CO2e</v>
      </c>
      <c r="D21" s="34">
        <f t="shared" ref="D21:M21" si="5">IF(D$13="","",IFERROR(INDEX(SSAll,MATCH($A21,SSStem,0),MATCH(D$13,SSScen,0)+SCYc),""))</f>
        <v>535.27504767227538</v>
      </c>
      <c r="E21" s="35">
        <f t="shared" si="5"/>
        <v>489.47111041577108</v>
      </c>
      <c r="F21" s="35">
        <f t="shared" si="5"/>
        <v>436.46543209312551</v>
      </c>
      <c r="G21" s="35">
        <f t="shared" si="5"/>
        <v>491.49111285579983</v>
      </c>
      <c r="H21" s="35">
        <f t="shared" si="5"/>
        <v>440.44458362160611</v>
      </c>
      <c r="I21" s="35" t="str">
        <f t="shared" si="5"/>
        <v/>
      </c>
      <c r="J21" s="35" t="str">
        <f t="shared" si="5"/>
        <v/>
      </c>
      <c r="K21" s="35" t="str">
        <f t="shared" si="5"/>
        <v/>
      </c>
      <c r="L21" s="35" t="str">
        <f t="shared" si="5"/>
        <v/>
      </c>
      <c r="M21" s="35" t="str">
        <f t="shared" si="5"/>
        <v/>
      </c>
    </row>
    <row r="22" spans="1:13" x14ac:dyDescent="0.45">
      <c r="A22" s="29" t="s">
        <v>286</v>
      </c>
      <c r="B22" s="3" t="s">
        <v>6390</v>
      </c>
      <c r="C22" s="3" t="str">
        <f>IFERROR(INDEX(SSUnit,MATCH($A22,SSStem,0)),"")</f>
        <v>Mt CO2e</v>
      </c>
      <c r="D22" s="36">
        <f t="shared" ref="D22:M22" si="6">IF(OR(D21="",$D21=""),"",D21-$D21)</f>
        <v>0</v>
      </c>
      <c r="E22" s="19">
        <f t="shared" si="6"/>
        <v>-45.803937256504298</v>
      </c>
      <c r="F22" s="19">
        <f t="shared" si="6"/>
        <v>-98.809615579149863</v>
      </c>
      <c r="G22" s="19">
        <f t="shared" si="6"/>
        <v>-43.783934816475551</v>
      </c>
      <c r="H22" s="19">
        <f t="shared" si="6"/>
        <v>-94.830464050669264</v>
      </c>
      <c r="I22" s="19" t="str">
        <f t="shared" si="6"/>
        <v/>
      </c>
      <c r="J22" s="19" t="str">
        <f t="shared" si="6"/>
        <v/>
      </c>
      <c r="K22" s="19" t="str">
        <f t="shared" si="6"/>
        <v/>
      </c>
      <c r="L22" s="19" t="str">
        <f t="shared" si="6"/>
        <v/>
      </c>
      <c r="M22" s="19" t="str">
        <f t="shared" si="6"/>
        <v/>
      </c>
    </row>
    <row r="23" spans="1:13" x14ac:dyDescent="0.45">
      <c r="A23" s="29" t="s">
        <v>286</v>
      </c>
      <c r="B23" s="37" t="s">
        <v>6391</v>
      </c>
      <c r="C23" s="37" t="s">
        <v>92</v>
      </c>
      <c r="D23" s="38">
        <f t="shared" ref="D23:M23" si="7">IF(OR(D21="",N($D21)=0),"",D21/$D21-1)</f>
        <v>0</v>
      </c>
      <c r="E23" s="39">
        <f t="shared" si="7"/>
        <v>-8.55708433555602E-2</v>
      </c>
      <c r="F23" s="39">
        <f t="shared" si="7"/>
        <v>-0.18459596801464673</v>
      </c>
      <c r="G23" s="39">
        <f t="shared" si="7"/>
        <v>-8.1797077982388E-2</v>
      </c>
      <c r="H23" s="39">
        <f t="shared" si="7"/>
        <v>-0.17716212340376014</v>
      </c>
      <c r="I23" s="39" t="str">
        <f t="shared" si="7"/>
        <v/>
      </c>
      <c r="J23" s="39" t="str">
        <f t="shared" si="7"/>
        <v/>
      </c>
      <c r="K23" s="39" t="str">
        <f t="shared" si="7"/>
        <v/>
      </c>
      <c r="L23" s="39" t="str">
        <f t="shared" si="7"/>
        <v/>
      </c>
      <c r="M23" s="39" t="str">
        <f t="shared" si="7"/>
        <v/>
      </c>
    </row>
    <row r="24" spans="1:13" x14ac:dyDescent="0.45">
      <c r="A24" s="29" t="s">
        <v>230</v>
      </c>
      <c r="B24" s="6" t="s">
        <v>6393</v>
      </c>
      <c r="C24" s="3" t="str">
        <f>IFERROR(INDEX(SSUnit,MATCH($A24,SSStem,0)),"")</f>
        <v>% of GDP</v>
      </c>
      <c r="D24" s="40">
        <f t="shared" ref="D24:M24" si="8">IF(D$13="","",IFERROR(INDEX(SSAll,MATCH($A24,SSStem,0),MATCH(D$13,SSScen,0)+SCYc),""))</f>
        <v>-6.4507375747590426E-2</v>
      </c>
      <c r="E24" s="41">
        <f t="shared" si="8"/>
        <v>-5.0470309205976532E-2</v>
      </c>
      <c r="F24" s="41">
        <f t="shared" si="8"/>
        <v>-3.5688393121689477E-2</v>
      </c>
      <c r="G24" s="41">
        <f t="shared" si="8"/>
        <v>-5.4716239859248762E-2</v>
      </c>
      <c r="H24" s="41">
        <f t="shared" si="8"/>
        <v>-3.5043869784156613E-2</v>
      </c>
      <c r="I24" s="41" t="str">
        <f t="shared" si="8"/>
        <v/>
      </c>
      <c r="J24" s="41" t="str">
        <f t="shared" si="8"/>
        <v/>
      </c>
      <c r="K24" s="41" t="str">
        <f t="shared" si="8"/>
        <v/>
      </c>
      <c r="L24" s="41" t="str">
        <f t="shared" si="8"/>
        <v/>
      </c>
      <c r="M24" s="41" t="str">
        <f t="shared" si="8"/>
        <v/>
      </c>
    </row>
    <row r="25" spans="1:13" x14ac:dyDescent="0.45">
      <c r="A25" s="29" t="s">
        <v>230</v>
      </c>
      <c r="B25" s="3" t="s">
        <v>6390</v>
      </c>
      <c r="C25" s="3" t="str">
        <f>IFERROR(INDEX(SSUnit,MATCH($A25,SSStem,0)),"")</f>
        <v>% of GDP</v>
      </c>
      <c r="D25" s="42">
        <f t="shared" ref="D25:M25" si="9">IF(OR(D24="",$D24=""),"",D24-$D24)</f>
        <v>0</v>
      </c>
      <c r="E25" s="21">
        <f t="shared" si="9"/>
        <v>1.4037066541613893E-2</v>
      </c>
      <c r="F25" s="21">
        <f t="shared" si="9"/>
        <v>2.8818982625900949E-2</v>
      </c>
      <c r="G25" s="21">
        <f t="shared" si="9"/>
        <v>9.7911358883416635E-3</v>
      </c>
      <c r="H25" s="21">
        <f t="shared" si="9"/>
        <v>2.9463505963433813E-2</v>
      </c>
      <c r="I25" s="21" t="str">
        <f t="shared" si="9"/>
        <v/>
      </c>
      <c r="J25" s="21" t="str">
        <f t="shared" si="9"/>
        <v/>
      </c>
      <c r="K25" s="21" t="str">
        <f t="shared" si="9"/>
        <v/>
      </c>
      <c r="L25" s="21" t="str">
        <f t="shared" si="9"/>
        <v/>
      </c>
      <c r="M25" s="21" t="str">
        <f t="shared" si="9"/>
        <v/>
      </c>
    </row>
    <row r="26" spans="1:13" x14ac:dyDescent="0.45">
      <c r="A26" s="29" t="s">
        <v>230</v>
      </c>
      <c r="B26" s="37" t="s">
        <v>6391</v>
      </c>
      <c r="C26" s="37" t="s">
        <v>92</v>
      </c>
      <c r="D26" s="43"/>
      <c r="E26" s="43"/>
      <c r="F26" s="43"/>
      <c r="G26" s="43"/>
      <c r="H26" s="43"/>
      <c r="I26" s="43"/>
      <c r="J26" s="43"/>
      <c r="K26" s="43"/>
      <c r="L26" s="43"/>
      <c r="M26" s="43"/>
    </row>
    <row r="27" spans="1:13" x14ac:dyDescent="0.45">
      <c r="A27" s="29" t="s">
        <v>6367</v>
      </c>
      <c r="B27" s="6" t="s">
        <v>6394</v>
      </c>
      <c r="C27" s="3" t="str">
        <f>IFERROR(INDEX(SSUnit,MATCH($A27,SSStem,0)),"")</f>
        <v>share of GDP</v>
      </c>
      <c r="D27" s="40">
        <f t="shared" ref="D27:M27" si="10">IF(D$13="","",IFERROR(INDEX(SSAll,MATCH($A27,SSStem,0),MATCH(D$13,SSScen,0)+SCYc),""))</f>
        <v>0</v>
      </c>
      <c r="E27" s="41">
        <f t="shared" si="10"/>
        <v>-5.1984963523404881E-4</v>
      </c>
      <c r="F27" s="41">
        <f t="shared" si="10"/>
        <v>-4.3971322822170948E-4</v>
      </c>
      <c r="G27" s="41">
        <f t="shared" si="10"/>
        <v>-2.605619004071762E-4</v>
      </c>
      <c r="H27" s="41">
        <f t="shared" si="10"/>
        <v>-1.0259336541282231E-3</v>
      </c>
      <c r="I27" s="41" t="str">
        <f t="shared" si="10"/>
        <v/>
      </c>
      <c r="J27" s="41" t="str">
        <f t="shared" si="10"/>
        <v/>
      </c>
      <c r="K27" s="41" t="str">
        <f t="shared" si="10"/>
        <v/>
      </c>
      <c r="L27" s="41" t="str">
        <f t="shared" si="10"/>
        <v/>
      </c>
      <c r="M27" s="41" t="str">
        <f t="shared" si="10"/>
        <v/>
      </c>
    </row>
    <row r="28" spans="1:13" x14ac:dyDescent="0.45">
      <c r="A28" s="29" t="s">
        <v>6367</v>
      </c>
      <c r="B28" s="3" t="s">
        <v>6390</v>
      </c>
      <c r="C28" s="3" t="str">
        <f>IFERROR(INDEX(SSUnit,MATCH($A28,SSStem,0)),"")</f>
        <v>share of GDP</v>
      </c>
      <c r="D28" s="42">
        <f t="shared" ref="D28:M28" si="11">IF(OR(D27="",$D27=""),"",D27-$D27)</f>
        <v>0</v>
      </c>
      <c r="E28" s="21">
        <f t="shared" si="11"/>
        <v>-5.1984963523404881E-4</v>
      </c>
      <c r="F28" s="21">
        <f t="shared" si="11"/>
        <v>-4.3971322822170948E-4</v>
      </c>
      <c r="G28" s="21">
        <f t="shared" si="11"/>
        <v>-2.605619004071762E-4</v>
      </c>
      <c r="H28" s="21">
        <f t="shared" si="11"/>
        <v>-1.0259336541282231E-3</v>
      </c>
      <c r="I28" s="21" t="str">
        <f t="shared" si="11"/>
        <v/>
      </c>
      <c r="J28" s="21" t="str">
        <f t="shared" si="11"/>
        <v/>
      </c>
      <c r="K28" s="21" t="str">
        <f t="shared" si="11"/>
        <v/>
      </c>
      <c r="L28" s="21" t="str">
        <f t="shared" si="11"/>
        <v/>
      </c>
      <c r="M28" s="21" t="str">
        <f t="shared" si="11"/>
        <v/>
      </c>
    </row>
    <row r="29" spans="1:13" x14ac:dyDescent="0.45">
      <c r="A29" s="29" t="s">
        <v>6367</v>
      </c>
      <c r="B29" s="37" t="s">
        <v>6391</v>
      </c>
      <c r="C29" s="37" t="s">
        <v>92</v>
      </c>
      <c r="D29" s="43"/>
      <c r="E29" s="43"/>
      <c r="F29" s="43"/>
      <c r="G29" s="43"/>
      <c r="H29" s="43"/>
      <c r="I29" s="43"/>
      <c r="J29" s="43"/>
      <c r="K29" s="43"/>
      <c r="L29" s="43"/>
      <c r="M29" s="43"/>
    </row>
    <row r="30" spans="1:13" x14ac:dyDescent="0.45">
      <c r="A30" s="29" t="s">
        <v>4355</v>
      </c>
      <c r="B30" s="6" t="s">
        <v>6395</v>
      </c>
      <c r="C30" s="3" t="str">
        <f>IFERROR(INDEX(SSUnit,MATCH($A30,SSStem,0)),"")</f>
        <v>mixed</v>
      </c>
      <c r="D30" s="40">
        <f t="shared" ref="D30:M30" si="12">IF(D$13="","",IFERROR(INDEX(SSAll,MATCH($A30,SSStem,0),MATCH(D$13,SSScen,0)+SCYc),""))</f>
        <v>0</v>
      </c>
      <c r="E30" s="41">
        <f t="shared" si="12"/>
        <v>1.328936073783093E-2</v>
      </c>
      <c r="F30" s="41">
        <f t="shared" si="12"/>
        <v>2.615385418558891E-2</v>
      </c>
      <c r="G30" s="41">
        <f t="shared" si="12"/>
        <v>1.117548944180871E-2</v>
      </c>
      <c r="H30" s="41">
        <f t="shared" si="12"/>
        <v>2.6085172877153819E-2</v>
      </c>
      <c r="I30" s="41" t="str">
        <f t="shared" si="12"/>
        <v/>
      </c>
      <c r="J30" s="41" t="str">
        <f t="shared" si="12"/>
        <v/>
      </c>
      <c r="K30" s="41" t="str">
        <f t="shared" si="12"/>
        <v/>
      </c>
      <c r="L30" s="41" t="str">
        <f t="shared" si="12"/>
        <v/>
      </c>
      <c r="M30" s="41" t="str">
        <f t="shared" si="12"/>
        <v/>
      </c>
    </row>
    <row r="31" spans="1:13" x14ac:dyDescent="0.45">
      <c r="A31" s="29" t="s">
        <v>4355</v>
      </c>
      <c r="B31" s="3" t="s">
        <v>6390</v>
      </c>
      <c r="C31" s="3" t="str">
        <f>IFERROR(INDEX(SSUnit,MATCH($A31,SSStem,0)),"")</f>
        <v>mixed</v>
      </c>
      <c r="D31" s="42">
        <f t="shared" ref="D31:M31" si="13">IF(OR(D30="",$D30=""),"",D30-$D30)</f>
        <v>0</v>
      </c>
      <c r="E31" s="21">
        <f t="shared" si="13"/>
        <v>1.328936073783093E-2</v>
      </c>
      <c r="F31" s="21">
        <f t="shared" si="13"/>
        <v>2.615385418558891E-2</v>
      </c>
      <c r="G31" s="21">
        <f t="shared" si="13"/>
        <v>1.117548944180871E-2</v>
      </c>
      <c r="H31" s="21">
        <f t="shared" si="13"/>
        <v>2.6085172877153819E-2</v>
      </c>
      <c r="I31" s="21" t="str">
        <f t="shared" si="13"/>
        <v/>
      </c>
      <c r="J31" s="21" t="str">
        <f t="shared" si="13"/>
        <v/>
      </c>
      <c r="K31" s="21" t="str">
        <f t="shared" si="13"/>
        <v/>
      </c>
      <c r="L31" s="21" t="str">
        <f t="shared" si="13"/>
        <v/>
      </c>
      <c r="M31" s="21" t="str">
        <f t="shared" si="13"/>
        <v/>
      </c>
    </row>
    <row r="32" spans="1:13" x14ac:dyDescent="0.45">
      <c r="A32" s="29" t="s">
        <v>4355</v>
      </c>
      <c r="B32" s="37" t="s">
        <v>6391</v>
      </c>
      <c r="C32" s="37" t="s">
        <v>92</v>
      </c>
      <c r="D32" s="43"/>
      <c r="E32" s="43"/>
      <c r="F32" s="43"/>
      <c r="G32" s="43"/>
      <c r="H32" s="43"/>
      <c r="I32" s="43"/>
      <c r="J32" s="43"/>
      <c r="K32" s="43"/>
      <c r="L32" s="43"/>
      <c r="M32" s="43"/>
    </row>
    <row r="34" spans="1:23" ht="15.4" x14ac:dyDescent="0.45">
      <c r="A34" s="5"/>
      <c r="B34" s="15" t="s">
        <v>6396</v>
      </c>
      <c r="C34" s="5"/>
      <c r="D34" s="5"/>
      <c r="E34" s="5"/>
      <c r="F34" s="5"/>
      <c r="G34" s="5"/>
      <c r="H34" s="5"/>
      <c r="I34" s="5"/>
      <c r="J34" s="5"/>
      <c r="K34" s="5"/>
      <c r="L34" s="5"/>
      <c r="M34" s="5"/>
      <c r="N34" s="5"/>
      <c r="O34" s="5"/>
      <c r="P34" s="5"/>
      <c r="Q34" s="5"/>
      <c r="R34" s="5"/>
      <c r="S34" s="5"/>
      <c r="T34" s="5"/>
      <c r="U34" s="5"/>
      <c r="V34" s="5"/>
      <c r="W34" s="5"/>
    </row>
    <row r="35" spans="1:23" x14ac:dyDescent="0.45">
      <c r="A35" s="29" t="str">
        <f>INDEX(CSCatStem,MATCH($B35,CSCatLab,0))</f>
        <v>mit.co2.tot.tot</v>
      </c>
      <c r="B35" s="10" t="str">
        <f>$B$133</f>
        <v>CO2 emissions from fuel combustion | All sectors | All fuels</v>
      </c>
      <c r="C35" s="6" t="str">
        <f>INDEX(CSCatUnit,MATCH($B35,CSCatLab,0))</f>
        <v>MtCO2</v>
      </c>
    </row>
    <row r="36" spans="1:23" x14ac:dyDescent="0.45">
      <c r="C36" s="8" t="s">
        <v>6383</v>
      </c>
      <c r="D36" s="44">
        <v>2022</v>
      </c>
      <c r="E36" s="45">
        <v>2023</v>
      </c>
      <c r="F36" s="45">
        <v>2024</v>
      </c>
      <c r="G36" s="45">
        <v>2025</v>
      </c>
      <c r="H36" s="45">
        <v>2026</v>
      </c>
      <c r="I36" s="45">
        <v>2027</v>
      </c>
      <c r="J36" s="45">
        <v>2028</v>
      </c>
      <c r="K36" s="45">
        <v>2029</v>
      </c>
      <c r="L36" s="45">
        <v>2030</v>
      </c>
      <c r="M36" s="45">
        <v>2031</v>
      </c>
      <c r="N36" s="45">
        <v>2032</v>
      </c>
      <c r="O36" s="45">
        <v>2033</v>
      </c>
      <c r="P36" s="45">
        <v>2034</v>
      </c>
      <c r="Q36" s="45">
        <v>2035</v>
      </c>
      <c r="R36" s="45">
        <v>2036</v>
      </c>
      <c r="S36" s="45">
        <v>2037</v>
      </c>
      <c r="T36" s="45">
        <v>2038</v>
      </c>
      <c r="U36" s="45">
        <v>2039</v>
      </c>
      <c r="V36" s="45">
        <v>2040</v>
      </c>
      <c r="W36" s="45">
        <v>2041</v>
      </c>
    </row>
    <row r="37" spans="1:23" x14ac:dyDescent="0.45">
      <c r="A37" s="29" t="str">
        <f t="shared" ref="A37:A46" si="14">$A$35</f>
        <v>mit.co2.tot.tot</v>
      </c>
      <c r="B37" s="30">
        <f>INDEX($D$13:$M$13,ROWS($B$37:B37))</f>
        <v>1</v>
      </c>
      <c r="C37" s="6" t="str">
        <f>INDEX($D$14:$M$14,ROWS($B$37:B37))</f>
        <v>S1: 1</v>
      </c>
      <c r="D37" s="24">
        <f t="shared" ref="D37:M46" si="15">IF($B37="",NA(),IFERROR(INDEX(SSAll,MATCH($A37,SSStem,0),MATCH($B37,SSScen,0)+MATCH(D$36,SCYear,0)),""))</f>
        <v>211.05353640000001</v>
      </c>
      <c r="E37" s="24">
        <f t="shared" si="15"/>
        <v>207.04102830294221</v>
      </c>
      <c r="F37" s="24">
        <f t="shared" si="15"/>
        <v>242.71474311576381</v>
      </c>
      <c r="G37" s="24">
        <f t="shared" si="15"/>
        <v>257.68997748983497</v>
      </c>
      <c r="H37" s="24">
        <f t="shared" si="15"/>
        <v>264.57773753673689</v>
      </c>
      <c r="I37" s="24">
        <f t="shared" si="15"/>
        <v>271.55231492051871</v>
      </c>
      <c r="J37" s="24">
        <f t="shared" si="15"/>
        <v>279.61463350408837</v>
      </c>
      <c r="K37" s="24">
        <f t="shared" si="15"/>
        <v>287.62218124538617</v>
      </c>
      <c r="L37" s="24">
        <f t="shared" si="15"/>
        <v>294.15935922164368</v>
      </c>
      <c r="M37" s="24">
        <f t="shared" si="15"/>
        <v>297.48408684570808</v>
      </c>
      <c r="N37" s="24">
        <f t="shared" ref="N37:W46" si="16">IF($B37="",NA(),IFERROR(INDEX(SSAll,MATCH($A37,SSStem,0),MATCH($B37,SSScen,0)+MATCH(N$36,SCYear,0)),""))</f>
        <v>300.43720378961552</v>
      </c>
      <c r="O37" s="24">
        <f t="shared" si="16"/>
        <v>306.34351053084748</v>
      </c>
      <c r="P37" s="24">
        <f t="shared" si="16"/>
        <v>311.68393210140539</v>
      </c>
      <c r="Q37" s="24">
        <f t="shared" si="16"/>
        <v>317.52871593879098</v>
      </c>
      <c r="R37" s="24">
        <f t="shared" si="16"/>
        <v>323.42567658890391</v>
      </c>
      <c r="S37" s="24">
        <f t="shared" si="16"/>
        <v>329.42969215015819</v>
      </c>
      <c r="T37" s="24">
        <f t="shared" si="16"/>
        <v>335.52508070341258</v>
      </c>
      <c r="U37" s="24">
        <f t="shared" si="16"/>
        <v>341.7133561710508</v>
      </c>
      <c r="V37" s="24">
        <f t="shared" si="16"/>
        <v>348.00495779395749</v>
      </c>
      <c r="W37" s="24">
        <f t="shared" si="16"/>
        <v>354.40262232420667</v>
      </c>
    </row>
    <row r="38" spans="1:23" x14ac:dyDescent="0.45">
      <c r="A38" s="29" t="str">
        <f t="shared" si="14"/>
        <v>mit.co2.tot.tot</v>
      </c>
      <c r="B38" s="30">
        <f>INDEX($D$13:$M$13,ROWS($B$37:B38))</f>
        <v>3</v>
      </c>
      <c r="C38" s="6" t="str">
        <f>INDEX($D$14:$M$14,ROWS($B$37:B38))</f>
        <v>S2: 3</v>
      </c>
      <c r="D38" s="24">
        <f t="shared" si="15"/>
        <v>211.05353640000001</v>
      </c>
      <c r="E38" s="24">
        <f t="shared" si="15"/>
        <v>206.98760399179039</v>
      </c>
      <c r="F38" s="24">
        <f t="shared" si="15"/>
        <v>242.66324823627789</v>
      </c>
      <c r="G38" s="24">
        <f t="shared" si="15"/>
        <v>257.64034486118982</v>
      </c>
      <c r="H38" s="24">
        <f t="shared" si="15"/>
        <v>264.52808195659583</v>
      </c>
      <c r="I38" s="24">
        <f t="shared" si="15"/>
        <v>248.50895853227971</v>
      </c>
      <c r="J38" s="24">
        <f t="shared" si="15"/>
        <v>245.8389413846545</v>
      </c>
      <c r="K38" s="24">
        <f t="shared" si="15"/>
        <v>255.18012253591391</v>
      </c>
      <c r="L38" s="24">
        <f t="shared" si="15"/>
        <v>259.89699142201619</v>
      </c>
      <c r="M38" s="24">
        <f t="shared" si="15"/>
        <v>264.03258022036431</v>
      </c>
      <c r="N38" s="24">
        <f t="shared" si="16"/>
        <v>266.41116283973389</v>
      </c>
      <c r="O38" s="24">
        <f t="shared" si="16"/>
        <v>272.37444608891138</v>
      </c>
      <c r="P38" s="24">
        <f t="shared" si="16"/>
        <v>277.01861466642379</v>
      </c>
      <c r="Q38" s="24">
        <f t="shared" si="16"/>
        <v>282.49852349518648</v>
      </c>
      <c r="R38" s="24">
        <f t="shared" si="16"/>
        <v>288.05975792980138</v>
      </c>
      <c r="S38" s="24">
        <f t="shared" si="16"/>
        <v>293.83681659393051</v>
      </c>
      <c r="T38" s="24">
        <f t="shared" si="16"/>
        <v>299.55370548296128</v>
      </c>
      <c r="U38" s="24">
        <f t="shared" si="16"/>
        <v>305.30261819864143</v>
      </c>
      <c r="V38" s="24">
        <f t="shared" si="16"/>
        <v>310.9631779607115</v>
      </c>
      <c r="W38" s="24">
        <f t="shared" si="16"/>
        <v>316.68102204919029</v>
      </c>
    </row>
    <row r="39" spans="1:23" x14ac:dyDescent="0.45">
      <c r="A39" s="29" t="str">
        <f t="shared" si="14"/>
        <v>mit.co2.tot.tot</v>
      </c>
      <c r="B39" s="30">
        <f>INDEX($D$13:$M$13,ROWS($B$37:B39))</f>
        <v>4</v>
      </c>
      <c r="C39" s="6" t="str">
        <f>INDEX($D$14:$M$14,ROWS($B$37:B39))</f>
        <v>S3: 4</v>
      </c>
      <c r="D39" s="24">
        <f t="shared" si="15"/>
        <v>211.05353640000001</v>
      </c>
      <c r="E39" s="24">
        <f t="shared" si="15"/>
        <v>206.85609343168881</v>
      </c>
      <c r="F39" s="24">
        <f t="shared" si="15"/>
        <v>242.53649537197961</v>
      </c>
      <c r="G39" s="24">
        <f t="shared" si="15"/>
        <v>257.51818374906497</v>
      </c>
      <c r="H39" s="24">
        <f t="shared" si="15"/>
        <v>264.40610579395792</v>
      </c>
      <c r="I39" s="24">
        <f t="shared" si="15"/>
        <v>256.511647265009</v>
      </c>
      <c r="J39" s="24">
        <f t="shared" si="15"/>
        <v>243.24367863414051</v>
      </c>
      <c r="K39" s="24">
        <f t="shared" si="15"/>
        <v>229.39518523804171</v>
      </c>
      <c r="L39" s="24">
        <f t="shared" si="15"/>
        <v>220.28322414594101</v>
      </c>
      <c r="M39" s="24">
        <f t="shared" si="15"/>
        <v>215.21492403928411</v>
      </c>
      <c r="N39" s="24">
        <f t="shared" si="16"/>
        <v>207.32838465195391</v>
      </c>
      <c r="O39" s="24">
        <f t="shared" si="16"/>
        <v>203.19027482156659</v>
      </c>
      <c r="P39" s="24">
        <f t="shared" si="16"/>
        <v>197.33803146051781</v>
      </c>
      <c r="Q39" s="24">
        <f t="shared" si="16"/>
        <v>193.627236833236</v>
      </c>
      <c r="R39" s="24">
        <f t="shared" si="16"/>
        <v>188.9813407358086</v>
      </c>
      <c r="S39" s="24">
        <f t="shared" si="16"/>
        <v>185.9934460035681</v>
      </c>
      <c r="T39" s="24">
        <f t="shared" si="16"/>
        <v>181.9407095740375</v>
      </c>
      <c r="U39" s="24">
        <f t="shared" si="16"/>
        <v>179.6578176908038</v>
      </c>
      <c r="V39" s="24">
        <f t="shared" si="16"/>
        <v>175.72158349541999</v>
      </c>
      <c r="W39" s="24">
        <f t="shared" si="16"/>
        <v>174.25869525754109</v>
      </c>
    </row>
    <row r="40" spans="1:23" x14ac:dyDescent="0.45">
      <c r="A40" s="29" t="str">
        <f t="shared" si="14"/>
        <v>mit.co2.tot.tot</v>
      </c>
      <c r="B40" s="30">
        <f>INDEX($D$13:$M$13,ROWS($B$37:B40))</f>
        <v>5</v>
      </c>
      <c r="C40" s="6" t="str">
        <f>INDEX($D$14:$M$14,ROWS($B$37:B40))</f>
        <v>S4: 5</v>
      </c>
      <c r="D40" s="24">
        <f t="shared" si="15"/>
        <v>211.05353640000001</v>
      </c>
      <c r="E40" s="24">
        <f t="shared" si="15"/>
        <v>206.7272622499039</v>
      </c>
      <c r="F40" s="24">
        <f t="shared" si="15"/>
        <v>242.41216703597181</v>
      </c>
      <c r="G40" s="24">
        <f t="shared" si="15"/>
        <v>257.39820438189957</v>
      </c>
      <c r="H40" s="24">
        <f t="shared" si="15"/>
        <v>264.28597446439471</v>
      </c>
      <c r="I40" s="24">
        <f t="shared" si="15"/>
        <v>244.9890036472554</v>
      </c>
      <c r="J40" s="24">
        <f t="shared" si="15"/>
        <v>251.83345797676989</v>
      </c>
      <c r="K40" s="24">
        <f t="shared" si="15"/>
        <v>258.77434742832821</v>
      </c>
      <c r="L40" s="24">
        <f t="shared" si="15"/>
        <v>263.94460502233051</v>
      </c>
      <c r="M40" s="24">
        <f t="shared" si="15"/>
        <v>265.14983333921731</v>
      </c>
      <c r="N40" s="24">
        <f t="shared" si="16"/>
        <v>264.68423589173591</v>
      </c>
      <c r="O40" s="24">
        <f t="shared" si="16"/>
        <v>268.48302628516291</v>
      </c>
      <c r="P40" s="24">
        <f t="shared" si="16"/>
        <v>267.93010833306431</v>
      </c>
      <c r="Q40" s="24">
        <f t="shared" si="16"/>
        <v>268.65853005369621</v>
      </c>
      <c r="R40" s="24">
        <f t="shared" si="16"/>
        <v>269.88922021715217</v>
      </c>
      <c r="S40" s="24">
        <f t="shared" si="16"/>
        <v>270.56974833537078</v>
      </c>
      <c r="T40" s="24">
        <f t="shared" si="16"/>
        <v>271.75789572051087</v>
      </c>
      <c r="U40" s="24">
        <f t="shared" si="16"/>
        <v>273.17764569827648</v>
      </c>
      <c r="V40" s="24">
        <f t="shared" si="16"/>
        <v>274.39707925412188</v>
      </c>
      <c r="W40" s="24">
        <f t="shared" si="16"/>
        <v>276.05871740837449</v>
      </c>
    </row>
    <row r="41" spans="1:23" x14ac:dyDescent="0.45">
      <c r="A41" s="29" t="str">
        <f t="shared" si="14"/>
        <v>mit.co2.tot.tot</v>
      </c>
      <c r="B41" s="30">
        <f>INDEX($D$13:$M$13,ROWS($B$37:B41))</f>
        <v>6</v>
      </c>
      <c r="C41" s="6" t="str">
        <f>INDEX($D$14:$M$14,ROWS($B$37:B41))</f>
        <v>S5: 6</v>
      </c>
      <c r="D41" s="24">
        <f t="shared" si="15"/>
        <v>211.05353640000001</v>
      </c>
      <c r="E41" s="24">
        <f t="shared" si="15"/>
        <v>206.913593095572</v>
      </c>
      <c r="F41" s="24">
        <f t="shared" si="15"/>
        <v>242.59191349109801</v>
      </c>
      <c r="G41" s="24">
        <f t="shared" si="15"/>
        <v>257.57159297320089</v>
      </c>
      <c r="H41" s="24">
        <f t="shared" si="15"/>
        <v>264.45939329273858</v>
      </c>
      <c r="I41" s="24">
        <f t="shared" si="15"/>
        <v>226.16316752596961</v>
      </c>
      <c r="J41" s="24">
        <f t="shared" si="15"/>
        <v>211.61098715110819</v>
      </c>
      <c r="K41" s="24">
        <f t="shared" si="15"/>
        <v>220.31939479863331</v>
      </c>
      <c r="L41" s="24">
        <f t="shared" si="15"/>
        <v>222.05405130772681</v>
      </c>
      <c r="M41" s="24">
        <f t="shared" si="15"/>
        <v>229.52180441626049</v>
      </c>
      <c r="N41" s="24">
        <f t="shared" si="16"/>
        <v>228.54136312776311</v>
      </c>
      <c r="O41" s="24">
        <f t="shared" si="16"/>
        <v>232.39383558900909</v>
      </c>
      <c r="P41" s="24">
        <f t="shared" si="16"/>
        <v>233.2313114959745</v>
      </c>
      <c r="Q41" s="24">
        <f t="shared" si="16"/>
        <v>235.87704785807699</v>
      </c>
      <c r="R41" s="24">
        <f t="shared" si="16"/>
        <v>237.80395800274749</v>
      </c>
      <c r="S41" s="24">
        <f t="shared" si="16"/>
        <v>240.82192639814451</v>
      </c>
      <c r="T41" s="24">
        <f t="shared" si="16"/>
        <v>243.01640633613141</v>
      </c>
      <c r="U41" s="24">
        <f t="shared" si="16"/>
        <v>246.0466416484756</v>
      </c>
      <c r="V41" s="24">
        <f t="shared" si="16"/>
        <v>248.32062498733939</v>
      </c>
      <c r="W41" s="24">
        <f t="shared" si="16"/>
        <v>251.36393501958679</v>
      </c>
    </row>
    <row r="42" spans="1:23" x14ac:dyDescent="0.45">
      <c r="A42" s="29" t="str">
        <f t="shared" si="14"/>
        <v>mit.co2.tot.tot</v>
      </c>
      <c r="B42" s="30" t="str">
        <f>INDEX($D$13:$M$13,ROWS($B$37:B42))</f>
        <v/>
      </c>
      <c r="C42" s="6" t="str">
        <f>INDEX($D$14:$M$14,ROWS($B$37:B42))</f>
        <v/>
      </c>
      <c r="D42" s="24" t="e">
        <f t="shared" si="15"/>
        <v>#N/A</v>
      </c>
      <c r="E42" s="24" t="e">
        <f t="shared" si="15"/>
        <v>#N/A</v>
      </c>
      <c r="F42" s="24" t="e">
        <f t="shared" si="15"/>
        <v>#N/A</v>
      </c>
      <c r="G42" s="24" t="e">
        <f t="shared" si="15"/>
        <v>#N/A</v>
      </c>
      <c r="H42" s="24" t="e">
        <f t="shared" si="15"/>
        <v>#N/A</v>
      </c>
      <c r="I42" s="24" t="e">
        <f t="shared" si="15"/>
        <v>#N/A</v>
      </c>
      <c r="J42" s="24" t="e">
        <f t="shared" si="15"/>
        <v>#N/A</v>
      </c>
      <c r="K42" s="24" t="e">
        <f t="shared" si="15"/>
        <v>#N/A</v>
      </c>
      <c r="L42" s="24" t="e">
        <f t="shared" si="15"/>
        <v>#N/A</v>
      </c>
      <c r="M42" s="24" t="e">
        <f t="shared" si="15"/>
        <v>#N/A</v>
      </c>
      <c r="N42" s="24" t="e">
        <f t="shared" si="16"/>
        <v>#N/A</v>
      </c>
      <c r="O42" s="24" t="e">
        <f t="shared" si="16"/>
        <v>#N/A</v>
      </c>
      <c r="P42" s="24" t="e">
        <f t="shared" si="16"/>
        <v>#N/A</v>
      </c>
      <c r="Q42" s="24" t="e">
        <f t="shared" si="16"/>
        <v>#N/A</v>
      </c>
      <c r="R42" s="24" t="e">
        <f t="shared" si="16"/>
        <v>#N/A</v>
      </c>
      <c r="S42" s="24" t="e">
        <f t="shared" si="16"/>
        <v>#N/A</v>
      </c>
      <c r="T42" s="24" t="e">
        <f t="shared" si="16"/>
        <v>#N/A</v>
      </c>
      <c r="U42" s="24" t="e">
        <f t="shared" si="16"/>
        <v>#N/A</v>
      </c>
      <c r="V42" s="24" t="e">
        <f t="shared" si="16"/>
        <v>#N/A</v>
      </c>
      <c r="W42" s="24" t="e">
        <f t="shared" si="16"/>
        <v>#N/A</v>
      </c>
    </row>
    <row r="43" spans="1:23" x14ac:dyDescent="0.45">
      <c r="A43" s="29" t="str">
        <f t="shared" si="14"/>
        <v>mit.co2.tot.tot</v>
      </c>
      <c r="B43" s="30" t="str">
        <f>INDEX($D$13:$M$13,ROWS($B$37:B43))</f>
        <v/>
      </c>
      <c r="C43" s="6" t="str">
        <f>INDEX($D$14:$M$14,ROWS($B$37:B43))</f>
        <v/>
      </c>
      <c r="D43" s="24" t="e">
        <f t="shared" si="15"/>
        <v>#N/A</v>
      </c>
      <c r="E43" s="24" t="e">
        <f t="shared" si="15"/>
        <v>#N/A</v>
      </c>
      <c r="F43" s="24" t="e">
        <f t="shared" si="15"/>
        <v>#N/A</v>
      </c>
      <c r="G43" s="24" t="e">
        <f t="shared" si="15"/>
        <v>#N/A</v>
      </c>
      <c r="H43" s="24" t="e">
        <f t="shared" si="15"/>
        <v>#N/A</v>
      </c>
      <c r="I43" s="24" t="e">
        <f t="shared" si="15"/>
        <v>#N/A</v>
      </c>
      <c r="J43" s="24" t="e">
        <f t="shared" si="15"/>
        <v>#N/A</v>
      </c>
      <c r="K43" s="24" t="e">
        <f t="shared" si="15"/>
        <v>#N/A</v>
      </c>
      <c r="L43" s="24" t="e">
        <f t="shared" si="15"/>
        <v>#N/A</v>
      </c>
      <c r="M43" s="24" t="e">
        <f t="shared" si="15"/>
        <v>#N/A</v>
      </c>
      <c r="N43" s="24" t="e">
        <f t="shared" si="16"/>
        <v>#N/A</v>
      </c>
      <c r="O43" s="24" t="e">
        <f t="shared" si="16"/>
        <v>#N/A</v>
      </c>
      <c r="P43" s="24" t="e">
        <f t="shared" si="16"/>
        <v>#N/A</v>
      </c>
      <c r="Q43" s="24" t="e">
        <f t="shared" si="16"/>
        <v>#N/A</v>
      </c>
      <c r="R43" s="24" t="e">
        <f t="shared" si="16"/>
        <v>#N/A</v>
      </c>
      <c r="S43" s="24" t="e">
        <f t="shared" si="16"/>
        <v>#N/A</v>
      </c>
      <c r="T43" s="24" t="e">
        <f t="shared" si="16"/>
        <v>#N/A</v>
      </c>
      <c r="U43" s="24" t="e">
        <f t="shared" si="16"/>
        <v>#N/A</v>
      </c>
      <c r="V43" s="24" t="e">
        <f t="shared" si="16"/>
        <v>#N/A</v>
      </c>
      <c r="W43" s="24" t="e">
        <f t="shared" si="16"/>
        <v>#N/A</v>
      </c>
    </row>
    <row r="44" spans="1:23" x14ac:dyDescent="0.45">
      <c r="A44" s="29" t="str">
        <f t="shared" si="14"/>
        <v>mit.co2.tot.tot</v>
      </c>
      <c r="B44" s="30" t="str">
        <f>INDEX($D$13:$M$13,ROWS($B$37:B44))</f>
        <v/>
      </c>
      <c r="C44" s="6" t="str">
        <f>INDEX($D$14:$M$14,ROWS($B$37:B44))</f>
        <v/>
      </c>
      <c r="D44" s="24" t="e">
        <f t="shared" si="15"/>
        <v>#N/A</v>
      </c>
      <c r="E44" s="24" t="e">
        <f t="shared" si="15"/>
        <v>#N/A</v>
      </c>
      <c r="F44" s="24" t="e">
        <f t="shared" si="15"/>
        <v>#N/A</v>
      </c>
      <c r="G44" s="24" t="e">
        <f t="shared" si="15"/>
        <v>#N/A</v>
      </c>
      <c r="H44" s="24" t="e">
        <f t="shared" si="15"/>
        <v>#N/A</v>
      </c>
      <c r="I44" s="24" t="e">
        <f t="shared" si="15"/>
        <v>#N/A</v>
      </c>
      <c r="J44" s="24" t="e">
        <f t="shared" si="15"/>
        <v>#N/A</v>
      </c>
      <c r="K44" s="24" t="e">
        <f t="shared" si="15"/>
        <v>#N/A</v>
      </c>
      <c r="L44" s="24" t="e">
        <f t="shared" si="15"/>
        <v>#N/A</v>
      </c>
      <c r="M44" s="24" t="e">
        <f t="shared" si="15"/>
        <v>#N/A</v>
      </c>
      <c r="N44" s="24" t="e">
        <f t="shared" si="16"/>
        <v>#N/A</v>
      </c>
      <c r="O44" s="24" t="e">
        <f t="shared" si="16"/>
        <v>#N/A</v>
      </c>
      <c r="P44" s="24" t="e">
        <f t="shared" si="16"/>
        <v>#N/A</v>
      </c>
      <c r="Q44" s="24" t="e">
        <f t="shared" si="16"/>
        <v>#N/A</v>
      </c>
      <c r="R44" s="24" t="e">
        <f t="shared" si="16"/>
        <v>#N/A</v>
      </c>
      <c r="S44" s="24" t="e">
        <f t="shared" si="16"/>
        <v>#N/A</v>
      </c>
      <c r="T44" s="24" t="e">
        <f t="shared" si="16"/>
        <v>#N/A</v>
      </c>
      <c r="U44" s="24" t="e">
        <f t="shared" si="16"/>
        <v>#N/A</v>
      </c>
      <c r="V44" s="24" t="e">
        <f t="shared" si="16"/>
        <v>#N/A</v>
      </c>
      <c r="W44" s="24" t="e">
        <f t="shared" si="16"/>
        <v>#N/A</v>
      </c>
    </row>
    <row r="45" spans="1:23" x14ac:dyDescent="0.45">
      <c r="A45" s="29" t="str">
        <f t="shared" si="14"/>
        <v>mit.co2.tot.tot</v>
      </c>
      <c r="B45" s="30" t="str">
        <f>INDEX($D$13:$M$13,ROWS($B$37:B45))</f>
        <v/>
      </c>
      <c r="C45" s="6" t="str">
        <f>INDEX($D$14:$M$14,ROWS($B$37:B45))</f>
        <v/>
      </c>
      <c r="D45" s="24" t="e">
        <f t="shared" si="15"/>
        <v>#N/A</v>
      </c>
      <c r="E45" s="24" t="e">
        <f t="shared" si="15"/>
        <v>#N/A</v>
      </c>
      <c r="F45" s="24" t="e">
        <f t="shared" si="15"/>
        <v>#N/A</v>
      </c>
      <c r="G45" s="24" t="e">
        <f t="shared" si="15"/>
        <v>#N/A</v>
      </c>
      <c r="H45" s="24" t="e">
        <f t="shared" si="15"/>
        <v>#N/A</v>
      </c>
      <c r="I45" s="24" t="e">
        <f t="shared" si="15"/>
        <v>#N/A</v>
      </c>
      <c r="J45" s="24" t="e">
        <f t="shared" si="15"/>
        <v>#N/A</v>
      </c>
      <c r="K45" s="24" t="e">
        <f t="shared" si="15"/>
        <v>#N/A</v>
      </c>
      <c r="L45" s="24" t="e">
        <f t="shared" si="15"/>
        <v>#N/A</v>
      </c>
      <c r="M45" s="24" t="e">
        <f t="shared" si="15"/>
        <v>#N/A</v>
      </c>
      <c r="N45" s="24" t="e">
        <f t="shared" si="16"/>
        <v>#N/A</v>
      </c>
      <c r="O45" s="24" t="e">
        <f t="shared" si="16"/>
        <v>#N/A</v>
      </c>
      <c r="P45" s="24" t="e">
        <f t="shared" si="16"/>
        <v>#N/A</v>
      </c>
      <c r="Q45" s="24" t="e">
        <f t="shared" si="16"/>
        <v>#N/A</v>
      </c>
      <c r="R45" s="24" t="e">
        <f t="shared" si="16"/>
        <v>#N/A</v>
      </c>
      <c r="S45" s="24" t="e">
        <f t="shared" si="16"/>
        <v>#N/A</v>
      </c>
      <c r="T45" s="24" t="e">
        <f t="shared" si="16"/>
        <v>#N/A</v>
      </c>
      <c r="U45" s="24" t="e">
        <f t="shared" si="16"/>
        <v>#N/A</v>
      </c>
      <c r="V45" s="24" t="e">
        <f t="shared" si="16"/>
        <v>#N/A</v>
      </c>
      <c r="W45" s="24" t="e">
        <f t="shared" si="16"/>
        <v>#N/A</v>
      </c>
    </row>
    <row r="46" spans="1:23" x14ac:dyDescent="0.45">
      <c r="A46" s="29" t="str">
        <f t="shared" si="14"/>
        <v>mit.co2.tot.tot</v>
      </c>
      <c r="B46" s="30" t="str">
        <f>INDEX($D$13:$M$13,ROWS($B$37:B46))</f>
        <v/>
      </c>
      <c r="C46" s="6" t="str">
        <f>INDEX($D$14:$M$14,ROWS($B$37:B46))</f>
        <v/>
      </c>
      <c r="D46" s="24" t="e">
        <f t="shared" si="15"/>
        <v>#N/A</v>
      </c>
      <c r="E46" s="24" t="e">
        <f t="shared" si="15"/>
        <v>#N/A</v>
      </c>
      <c r="F46" s="24" t="e">
        <f t="shared" si="15"/>
        <v>#N/A</v>
      </c>
      <c r="G46" s="24" t="e">
        <f t="shared" si="15"/>
        <v>#N/A</v>
      </c>
      <c r="H46" s="24" t="e">
        <f t="shared" si="15"/>
        <v>#N/A</v>
      </c>
      <c r="I46" s="24" t="e">
        <f t="shared" si="15"/>
        <v>#N/A</v>
      </c>
      <c r="J46" s="24" t="e">
        <f t="shared" si="15"/>
        <v>#N/A</v>
      </c>
      <c r="K46" s="24" t="e">
        <f t="shared" si="15"/>
        <v>#N/A</v>
      </c>
      <c r="L46" s="24" t="e">
        <f t="shared" si="15"/>
        <v>#N/A</v>
      </c>
      <c r="M46" s="24" t="e">
        <f t="shared" si="15"/>
        <v>#N/A</v>
      </c>
      <c r="N46" s="24" t="e">
        <f t="shared" si="16"/>
        <v>#N/A</v>
      </c>
      <c r="O46" s="24" t="e">
        <f t="shared" si="16"/>
        <v>#N/A</v>
      </c>
      <c r="P46" s="24" t="e">
        <f t="shared" si="16"/>
        <v>#N/A</v>
      </c>
      <c r="Q46" s="24" t="e">
        <f t="shared" si="16"/>
        <v>#N/A</v>
      </c>
      <c r="R46" s="24" t="e">
        <f t="shared" si="16"/>
        <v>#N/A</v>
      </c>
      <c r="S46" s="24" t="e">
        <f t="shared" si="16"/>
        <v>#N/A</v>
      </c>
      <c r="T46" s="24" t="e">
        <f t="shared" si="16"/>
        <v>#N/A</v>
      </c>
      <c r="U46" s="24" t="e">
        <f t="shared" si="16"/>
        <v>#N/A</v>
      </c>
      <c r="V46" s="24" t="e">
        <f t="shared" si="16"/>
        <v>#N/A</v>
      </c>
      <c r="W46" s="24" t="e">
        <f t="shared" si="16"/>
        <v>#N/A</v>
      </c>
    </row>
    <row r="52" spans="1:23" x14ac:dyDescent="0.45">
      <c r="A52" s="29" t="str">
        <f>INDEX(CSCatStem,MATCH($B52,CSCatLab,0))</f>
        <v>mit.ghg.tot.tot</v>
      </c>
      <c r="B52" s="10" t="str">
        <f>$B$185</f>
        <v>GHG emissions | All sectors | All fuels</v>
      </c>
      <c r="C52" s="6" t="str">
        <f>INDEX(CSCatUnit,MATCH($B52,CSCatLab,0))</f>
        <v>Mt CO2e</v>
      </c>
    </row>
    <row r="53" spans="1:23" x14ac:dyDescent="0.45">
      <c r="C53" s="8" t="s">
        <v>6383</v>
      </c>
      <c r="D53" s="44">
        <v>2022</v>
      </c>
      <c r="E53" s="45">
        <v>2023</v>
      </c>
      <c r="F53" s="45">
        <v>2024</v>
      </c>
      <c r="G53" s="45">
        <v>2025</v>
      </c>
      <c r="H53" s="45">
        <v>2026</v>
      </c>
      <c r="I53" s="45">
        <v>2027</v>
      </c>
      <c r="J53" s="45">
        <v>2028</v>
      </c>
      <c r="K53" s="45">
        <v>2029</v>
      </c>
      <c r="L53" s="45">
        <v>2030</v>
      </c>
      <c r="M53" s="45">
        <v>2031</v>
      </c>
      <c r="N53" s="45">
        <v>2032</v>
      </c>
      <c r="O53" s="45">
        <v>2033</v>
      </c>
      <c r="P53" s="45">
        <v>2034</v>
      </c>
      <c r="Q53" s="45">
        <v>2035</v>
      </c>
      <c r="R53" s="45">
        <v>2036</v>
      </c>
      <c r="S53" s="45">
        <v>2037</v>
      </c>
      <c r="T53" s="45">
        <v>2038</v>
      </c>
      <c r="U53" s="45">
        <v>2039</v>
      </c>
      <c r="V53" s="45">
        <v>2040</v>
      </c>
      <c r="W53" s="45">
        <v>2041</v>
      </c>
    </row>
    <row r="54" spans="1:23" x14ac:dyDescent="0.45">
      <c r="A54" s="29" t="str">
        <f t="shared" ref="A54:A63" si="17">$A$52</f>
        <v>mit.ghg.tot.tot</v>
      </c>
      <c r="B54" s="30">
        <f>INDEX($D$13:$M$13,ROWS($B$54:B54))</f>
        <v>1</v>
      </c>
      <c r="C54" s="6" t="str">
        <f>INDEX($D$14:$M$14,ROWS($B$54:B54))</f>
        <v>S1: 1</v>
      </c>
      <c r="D54" s="24">
        <f t="shared" ref="D54:M63" si="18">IF($B54="",NA(),IFERROR(INDEX(SSAll,MATCH($A54,SSStem,0),MATCH($B54,SSScen,0)+MATCH(D$53,SCYear,0)),""))</f>
        <v>400.90737196203099</v>
      </c>
      <c r="E54" s="24">
        <f t="shared" si="18"/>
        <v>411.84937392728278</v>
      </c>
      <c r="F54" s="24">
        <f t="shared" si="18"/>
        <v>455.59124511957918</v>
      </c>
      <c r="G54" s="24">
        <f t="shared" si="18"/>
        <v>477.36702358274403</v>
      </c>
      <c r="H54" s="24">
        <f t="shared" si="18"/>
        <v>487.86793242195552</v>
      </c>
      <c r="I54" s="24">
        <f t="shared" si="18"/>
        <v>498.99405062650891</v>
      </c>
      <c r="J54" s="24">
        <f t="shared" si="18"/>
        <v>511.73279510283589</v>
      </c>
      <c r="K54" s="24">
        <f t="shared" si="18"/>
        <v>524.32273215725093</v>
      </c>
      <c r="L54" s="24">
        <f t="shared" si="18"/>
        <v>535.27504767227538</v>
      </c>
      <c r="M54" s="24">
        <f t="shared" si="18"/>
        <v>543.04626669383117</v>
      </c>
      <c r="N54" s="24">
        <f t="shared" ref="N54:W63" si="19">IF($B54="",NA(),IFERROR(INDEX(SSAll,MATCH($A54,SSStem,0),MATCH($B54,SSScen,0)+MATCH(N$53,SCYear,0)),""))</f>
        <v>550.45421029158126</v>
      </c>
      <c r="O54" s="24">
        <f t="shared" si="19"/>
        <v>560.8952017747755</v>
      </c>
      <c r="P54" s="24">
        <f t="shared" si="19"/>
        <v>570.8122366465351</v>
      </c>
      <c r="Q54" s="24">
        <f t="shared" si="19"/>
        <v>581.2828013793843</v>
      </c>
      <c r="R54" s="24">
        <f t="shared" si="19"/>
        <v>591.84817645878991</v>
      </c>
      <c r="S54" s="24">
        <f t="shared" si="19"/>
        <v>602.56642492217588</v>
      </c>
      <c r="T54" s="24">
        <f t="shared" si="19"/>
        <v>613.41224247905666</v>
      </c>
      <c r="U54" s="24">
        <f t="shared" si="19"/>
        <v>624.38499383423209</v>
      </c>
      <c r="V54" s="24">
        <f t="shared" si="19"/>
        <v>635.48581898463704</v>
      </c>
      <c r="W54" s="24">
        <f t="shared" si="19"/>
        <v>646.70672490742345</v>
      </c>
    </row>
    <row r="55" spans="1:23" x14ac:dyDescent="0.45">
      <c r="A55" s="29" t="str">
        <f t="shared" si="17"/>
        <v>mit.ghg.tot.tot</v>
      </c>
      <c r="B55" s="30">
        <f>INDEX($D$13:$M$13,ROWS($B$54:B55))</f>
        <v>3</v>
      </c>
      <c r="C55" s="6" t="str">
        <f>INDEX($D$14:$M$14,ROWS($B$54:B55))</f>
        <v>S2: 3</v>
      </c>
      <c r="D55" s="24">
        <f t="shared" si="18"/>
        <v>400.90737196203099</v>
      </c>
      <c r="E55" s="24">
        <f t="shared" si="18"/>
        <v>411.79560061694713</v>
      </c>
      <c r="F55" s="24">
        <f t="shared" si="18"/>
        <v>455.53941406350992</v>
      </c>
      <c r="G55" s="24">
        <f t="shared" si="18"/>
        <v>477.31709211980808</v>
      </c>
      <c r="H55" s="24">
        <f t="shared" si="18"/>
        <v>487.8179842896306</v>
      </c>
      <c r="I55" s="24">
        <f t="shared" si="18"/>
        <v>465.63503896757481</v>
      </c>
      <c r="J55" s="24">
        <f t="shared" si="18"/>
        <v>467.13581487532463</v>
      </c>
      <c r="K55" s="24">
        <f t="shared" si="18"/>
        <v>480.7699538755503</v>
      </c>
      <c r="L55" s="24">
        <f t="shared" si="18"/>
        <v>489.47111041577108</v>
      </c>
      <c r="M55" s="24">
        <f t="shared" si="18"/>
        <v>497.72232152895958</v>
      </c>
      <c r="N55" s="24">
        <f t="shared" si="19"/>
        <v>504.17230628465512</v>
      </c>
      <c r="O55" s="24">
        <f t="shared" si="19"/>
        <v>514.35412865688249</v>
      </c>
      <c r="P55" s="24">
        <f t="shared" si="19"/>
        <v>523.27749111482353</v>
      </c>
      <c r="Q55" s="24">
        <f t="shared" si="19"/>
        <v>533.07070769233678</v>
      </c>
      <c r="R55" s="24">
        <f t="shared" si="19"/>
        <v>542.99866514615292</v>
      </c>
      <c r="S55" s="24">
        <f t="shared" si="19"/>
        <v>553.2201392707085</v>
      </c>
      <c r="T55" s="24">
        <f t="shared" si="19"/>
        <v>563.38161472505806</v>
      </c>
      <c r="U55" s="24">
        <f t="shared" si="19"/>
        <v>573.5878023652765</v>
      </c>
      <c r="V55" s="24">
        <f t="shared" si="19"/>
        <v>583.68301509417574</v>
      </c>
      <c r="W55" s="24">
        <f t="shared" si="19"/>
        <v>593.83213132882952</v>
      </c>
    </row>
    <row r="56" spans="1:23" x14ac:dyDescent="0.45">
      <c r="A56" s="29" t="str">
        <f t="shared" si="17"/>
        <v>mit.ghg.tot.tot</v>
      </c>
      <c r="B56" s="30">
        <f>INDEX($D$13:$M$13,ROWS($B$54:B56))</f>
        <v>4</v>
      </c>
      <c r="C56" s="6" t="str">
        <f>INDEX($D$14:$M$14,ROWS($B$54:B56))</f>
        <v>S3: 4</v>
      </c>
      <c r="D56" s="24">
        <f t="shared" si="18"/>
        <v>400.90737196203099</v>
      </c>
      <c r="E56" s="24">
        <f t="shared" si="18"/>
        <v>411.66321731161719</v>
      </c>
      <c r="F56" s="24">
        <f t="shared" si="18"/>
        <v>455.41182046586499</v>
      </c>
      <c r="G56" s="24">
        <f t="shared" si="18"/>
        <v>477.19418270997289</v>
      </c>
      <c r="H56" s="24">
        <f t="shared" si="18"/>
        <v>487.69527857458928</v>
      </c>
      <c r="I56" s="24">
        <f t="shared" si="18"/>
        <v>477.38428246086261</v>
      </c>
      <c r="J56" s="24">
        <f t="shared" si="18"/>
        <v>461.57626503353191</v>
      </c>
      <c r="K56" s="24">
        <f t="shared" si="18"/>
        <v>446.30518069148468</v>
      </c>
      <c r="L56" s="24">
        <f t="shared" si="18"/>
        <v>436.46543209312551</v>
      </c>
      <c r="M56" s="24">
        <f t="shared" si="18"/>
        <v>431.76533606723319</v>
      </c>
      <c r="N56" s="24">
        <f t="shared" si="19"/>
        <v>424.51219669120871</v>
      </c>
      <c r="O56" s="24">
        <f t="shared" si="19"/>
        <v>421.32575605307062</v>
      </c>
      <c r="P56" s="24">
        <f t="shared" si="19"/>
        <v>416.64517918081663</v>
      </c>
      <c r="Q56" s="24">
        <f t="shared" si="19"/>
        <v>414.31754625021568</v>
      </c>
      <c r="R56" s="24">
        <f t="shared" si="19"/>
        <v>411.19850309148768</v>
      </c>
      <c r="S56" s="24">
        <f t="shared" si="19"/>
        <v>409.90037638311071</v>
      </c>
      <c r="T56" s="24">
        <f t="shared" si="19"/>
        <v>407.62889364191261</v>
      </c>
      <c r="U56" s="24">
        <f t="shared" si="19"/>
        <v>407.22968907459938</v>
      </c>
      <c r="V56" s="24">
        <f t="shared" si="19"/>
        <v>405.20201110553018</v>
      </c>
      <c r="W56" s="24">
        <f t="shared" si="19"/>
        <v>405.6995104862749</v>
      </c>
    </row>
    <row r="57" spans="1:23" x14ac:dyDescent="0.45">
      <c r="A57" s="29" t="str">
        <f t="shared" si="17"/>
        <v>mit.ghg.tot.tot</v>
      </c>
      <c r="B57" s="30">
        <f>INDEX($D$13:$M$13,ROWS($B$54:B57))</f>
        <v>5</v>
      </c>
      <c r="C57" s="6" t="str">
        <f>INDEX($D$14:$M$14,ROWS($B$54:B57))</f>
        <v>S4: 5</v>
      </c>
      <c r="D57" s="24">
        <f t="shared" si="18"/>
        <v>400.90737196203099</v>
      </c>
      <c r="E57" s="24">
        <f t="shared" si="18"/>
        <v>411.53354123828802</v>
      </c>
      <c r="F57" s="24">
        <f t="shared" si="18"/>
        <v>455.28667719301279</v>
      </c>
      <c r="G57" s="24">
        <f t="shared" si="18"/>
        <v>477.07347695302229</v>
      </c>
      <c r="H57" s="24">
        <f t="shared" si="18"/>
        <v>487.57443489942739</v>
      </c>
      <c r="I57" s="24">
        <f t="shared" si="18"/>
        <v>461.15429194009579</v>
      </c>
      <c r="J57" s="24">
        <f t="shared" si="18"/>
        <v>471.89426051866059</v>
      </c>
      <c r="K57" s="24">
        <f t="shared" si="18"/>
        <v>482.68862586436438</v>
      </c>
      <c r="L57" s="24">
        <f t="shared" si="18"/>
        <v>491.49111285579983</v>
      </c>
      <c r="M57" s="24">
        <f t="shared" si="18"/>
        <v>496.44294588534069</v>
      </c>
      <c r="N57" s="24">
        <f t="shared" si="19"/>
        <v>499.67590889429681</v>
      </c>
      <c r="O57" s="24">
        <f t="shared" si="19"/>
        <v>507.33400003779701</v>
      </c>
      <c r="P57" s="24">
        <f t="shared" si="19"/>
        <v>510.64017211261029</v>
      </c>
      <c r="Q57" s="24">
        <f t="shared" si="19"/>
        <v>515.27240179799344</v>
      </c>
      <c r="R57" s="24">
        <f t="shared" si="19"/>
        <v>520.58302349196936</v>
      </c>
      <c r="S57" s="24">
        <f t="shared" si="19"/>
        <v>525.39496387409338</v>
      </c>
      <c r="T57" s="24">
        <f t="shared" si="19"/>
        <v>530.7190416509759</v>
      </c>
      <c r="U57" s="24">
        <f t="shared" si="19"/>
        <v>536.29485787172064</v>
      </c>
      <c r="V57" s="24">
        <f t="shared" si="19"/>
        <v>541.65018135187745</v>
      </c>
      <c r="W57" s="24">
        <f t="shared" si="19"/>
        <v>547.45832016529755</v>
      </c>
    </row>
    <row r="58" spans="1:23" x14ac:dyDescent="0.45">
      <c r="A58" s="29" t="str">
        <f t="shared" si="17"/>
        <v>mit.ghg.tot.tot</v>
      </c>
      <c r="B58" s="30">
        <f>INDEX($D$13:$M$13,ROWS($B$54:B58))</f>
        <v>6</v>
      </c>
      <c r="C58" s="6" t="str">
        <f>INDEX($D$14:$M$14,ROWS($B$54:B58))</f>
        <v>S5: 6</v>
      </c>
      <c r="D58" s="24">
        <f t="shared" si="18"/>
        <v>400.90737196203099</v>
      </c>
      <c r="E58" s="24">
        <f t="shared" si="18"/>
        <v>411.72110083897269</v>
      </c>
      <c r="F58" s="24">
        <f t="shared" si="18"/>
        <v>455.46760837735269</v>
      </c>
      <c r="G58" s="24">
        <f t="shared" si="18"/>
        <v>477.24792122531449</v>
      </c>
      <c r="H58" s="24">
        <f t="shared" si="18"/>
        <v>487.74888661403412</v>
      </c>
      <c r="I58" s="24">
        <f t="shared" si="18"/>
        <v>433.34049041204139</v>
      </c>
      <c r="J58" s="24">
        <f t="shared" si="18"/>
        <v>422.45350127955612</v>
      </c>
      <c r="K58" s="24">
        <f t="shared" si="18"/>
        <v>435.11944427290553</v>
      </c>
      <c r="L58" s="24">
        <f t="shared" si="18"/>
        <v>440.44458362160611</v>
      </c>
      <c r="M58" s="24">
        <f t="shared" si="18"/>
        <v>451.74461793218939</v>
      </c>
      <c r="N58" s="24">
        <f t="shared" si="19"/>
        <v>454.43160872536203</v>
      </c>
      <c r="O58" s="24">
        <f t="shared" si="19"/>
        <v>462.16895184035099</v>
      </c>
      <c r="P58" s="24">
        <f t="shared" si="19"/>
        <v>466.94377128022421</v>
      </c>
      <c r="Q58" s="24">
        <f t="shared" si="19"/>
        <v>473.55953492827382</v>
      </c>
      <c r="R58" s="24">
        <f t="shared" si="19"/>
        <v>479.50642503214573</v>
      </c>
      <c r="S58" s="24">
        <f t="shared" si="19"/>
        <v>486.65607204619067</v>
      </c>
      <c r="T58" s="24">
        <f t="shared" si="19"/>
        <v>492.94304537712731</v>
      </c>
      <c r="U58" s="24">
        <f t="shared" si="19"/>
        <v>500.07424810412738</v>
      </c>
      <c r="V58" s="24">
        <f t="shared" si="19"/>
        <v>506.38203527067873</v>
      </c>
      <c r="W58" s="24">
        <f t="shared" si="19"/>
        <v>513.45264465397645</v>
      </c>
    </row>
    <row r="59" spans="1:23" x14ac:dyDescent="0.45">
      <c r="A59" s="29" t="str">
        <f t="shared" si="17"/>
        <v>mit.ghg.tot.tot</v>
      </c>
      <c r="B59" s="30" t="str">
        <f>INDEX($D$13:$M$13,ROWS($B$54:B59))</f>
        <v/>
      </c>
      <c r="C59" s="6" t="str">
        <f>INDEX($D$14:$M$14,ROWS($B$54:B59))</f>
        <v/>
      </c>
      <c r="D59" s="24" t="e">
        <f t="shared" si="18"/>
        <v>#N/A</v>
      </c>
      <c r="E59" s="24" t="e">
        <f t="shared" si="18"/>
        <v>#N/A</v>
      </c>
      <c r="F59" s="24" t="e">
        <f t="shared" si="18"/>
        <v>#N/A</v>
      </c>
      <c r="G59" s="24" t="e">
        <f t="shared" si="18"/>
        <v>#N/A</v>
      </c>
      <c r="H59" s="24" t="e">
        <f t="shared" si="18"/>
        <v>#N/A</v>
      </c>
      <c r="I59" s="24" t="e">
        <f t="shared" si="18"/>
        <v>#N/A</v>
      </c>
      <c r="J59" s="24" t="e">
        <f t="shared" si="18"/>
        <v>#N/A</v>
      </c>
      <c r="K59" s="24" t="e">
        <f t="shared" si="18"/>
        <v>#N/A</v>
      </c>
      <c r="L59" s="24" t="e">
        <f t="shared" si="18"/>
        <v>#N/A</v>
      </c>
      <c r="M59" s="24" t="e">
        <f t="shared" si="18"/>
        <v>#N/A</v>
      </c>
      <c r="N59" s="24" t="e">
        <f t="shared" si="19"/>
        <v>#N/A</v>
      </c>
      <c r="O59" s="24" t="e">
        <f t="shared" si="19"/>
        <v>#N/A</v>
      </c>
      <c r="P59" s="24" t="e">
        <f t="shared" si="19"/>
        <v>#N/A</v>
      </c>
      <c r="Q59" s="24" t="e">
        <f t="shared" si="19"/>
        <v>#N/A</v>
      </c>
      <c r="R59" s="24" t="e">
        <f t="shared" si="19"/>
        <v>#N/A</v>
      </c>
      <c r="S59" s="24" t="e">
        <f t="shared" si="19"/>
        <v>#N/A</v>
      </c>
      <c r="T59" s="24" t="e">
        <f t="shared" si="19"/>
        <v>#N/A</v>
      </c>
      <c r="U59" s="24" t="e">
        <f t="shared" si="19"/>
        <v>#N/A</v>
      </c>
      <c r="V59" s="24" t="e">
        <f t="shared" si="19"/>
        <v>#N/A</v>
      </c>
      <c r="W59" s="24" t="e">
        <f t="shared" si="19"/>
        <v>#N/A</v>
      </c>
    </row>
    <row r="60" spans="1:23" x14ac:dyDescent="0.45">
      <c r="A60" s="29" t="str">
        <f t="shared" si="17"/>
        <v>mit.ghg.tot.tot</v>
      </c>
      <c r="B60" s="30" t="str">
        <f>INDEX($D$13:$M$13,ROWS($B$54:B60))</f>
        <v/>
      </c>
      <c r="C60" s="6" t="str">
        <f>INDEX($D$14:$M$14,ROWS($B$54:B60))</f>
        <v/>
      </c>
      <c r="D60" s="24" t="e">
        <f t="shared" si="18"/>
        <v>#N/A</v>
      </c>
      <c r="E60" s="24" t="e">
        <f t="shared" si="18"/>
        <v>#N/A</v>
      </c>
      <c r="F60" s="24" t="e">
        <f t="shared" si="18"/>
        <v>#N/A</v>
      </c>
      <c r="G60" s="24" t="e">
        <f t="shared" si="18"/>
        <v>#N/A</v>
      </c>
      <c r="H60" s="24" t="e">
        <f t="shared" si="18"/>
        <v>#N/A</v>
      </c>
      <c r="I60" s="24" t="e">
        <f t="shared" si="18"/>
        <v>#N/A</v>
      </c>
      <c r="J60" s="24" t="e">
        <f t="shared" si="18"/>
        <v>#N/A</v>
      </c>
      <c r="K60" s="24" t="e">
        <f t="shared" si="18"/>
        <v>#N/A</v>
      </c>
      <c r="L60" s="24" t="e">
        <f t="shared" si="18"/>
        <v>#N/A</v>
      </c>
      <c r="M60" s="24" t="e">
        <f t="shared" si="18"/>
        <v>#N/A</v>
      </c>
      <c r="N60" s="24" t="e">
        <f t="shared" si="19"/>
        <v>#N/A</v>
      </c>
      <c r="O60" s="24" t="e">
        <f t="shared" si="19"/>
        <v>#N/A</v>
      </c>
      <c r="P60" s="24" t="e">
        <f t="shared" si="19"/>
        <v>#N/A</v>
      </c>
      <c r="Q60" s="24" t="e">
        <f t="shared" si="19"/>
        <v>#N/A</v>
      </c>
      <c r="R60" s="24" t="e">
        <f t="shared" si="19"/>
        <v>#N/A</v>
      </c>
      <c r="S60" s="24" t="e">
        <f t="shared" si="19"/>
        <v>#N/A</v>
      </c>
      <c r="T60" s="24" t="e">
        <f t="shared" si="19"/>
        <v>#N/A</v>
      </c>
      <c r="U60" s="24" t="e">
        <f t="shared" si="19"/>
        <v>#N/A</v>
      </c>
      <c r="V60" s="24" t="e">
        <f t="shared" si="19"/>
        <v>#N/A</v>
      </c>
      <c r="W60" s="24" t="e">
        <f t="shared" si="19"/>
        <v>#N/A</v>
      </c>
    </row>
    <row r="61" spans="1:23" x14ac:dyDescent="0.45">
      <c r="A61" s="29" t="str">
        <f t="shared" si="17"/>
        <v>mit.ghg.tot.tot</v>
      </c>
      <c r="B61" s="30" t="str">
        <f>INDEX($D$13:$M$13,ROWS($B$54:B61))</f>
        <v/>
      </c>
      <c r="C61" s="6" t="str">
        <f>INDEX($D$14:$M$14,ROWS($B$54:B61))</f>
        <v/>
      </c>
      <c r="D61" s="24" t="e">
        <f t="shared" si="18"/>
        <v>#N/A</v>
      </c>
      <c r="E61" s="24" t="e">
        <f t="shared" si="18"/>
        <v>#N/A</v>
      </c>
      <c r="F61" s="24" t="e">
        <f t="shared" si="18"/>
        <v>#N/A</v>
      </c>
      <c r="G61" s="24" t="e">
        <f t="shared" si="18"/>
        <v>#N/A</v>
      </c>
      <c r="H61" s="24" t="e">
        <f t="shared" si="18"/>
        <v>#N/A</v>
      </c>
      <c r="I61" s="24" t="e">
        <f t="shared" si="18"/>
        <v>#N/A</v>
      </c>
      <c r="J61" s="24" t="e">
        <f t="shared" si="18"/>
        <v>#N/A</v>
      </c>
      <c r="K61" s="24" t="e">
        <f t="shared" si="18"/>
        <v>#N/A</v>
      </c>
      <c r="L61" s="24" t="e">
        <f t="shared" si="18"/>
        <v>#N/A</v>
      </c>
      <c r="M61" s="24" t="e">
        <f t="shared" si="18"/>
        <v>#N/A</v>
      </c>
      <c r="N61" s="24" t="e">
        <f t="shared" si="19"/>
        <v>#N/A</v>
      </c>
      <c r="O61" s="24" t="e">
        <f t="shared" si="19"/>
        <v>#N/A</v>
      </c>
      <c r="P61" s="24" t="e">
        <f t="shared" si="19"/>
        <v>#N/A</v>
      </c>
      <c r="Q61" s="24" t="e">
        <f t="shared" si="19"/>
        <v>#N/A</v>
      </c>
      <c r="R61" s="24" t="e">
        <f t="shared" si="19"/>
        <v>#N/A</v>
      </c>
      <c r="S61" s="24" t="e">
        <f t="shared" si="19"/>
        <v>#N/A</v>
      </c>
      <c r="T61" s="24" t="e">
        <f t="shared" si="19"/>
        <v>#N/A</v>
      </c>
      <c r="U61" s="24" t="e">
        <f t="shared" si="19"/>
        <v>#N/A</v>
      </c>
      <c r="V61" s="24" t="e">
        <f t="shared" si="19"/>
        <v>#N/A</v>
      </c>
      <c r="W61" s="24" t="e">
        <f t="shared" si="19"/>
        <v>#N/A</v>
      </c>
    </row>
    <row r="62" spans="1:23" x14ac:dyDescent="0.45">
      <c r="A62" s="29" t="str">
        <f t="shared" si="17"/>
        <v>mit.ghg.tot.tot</v>
      </c>
      <c r="B62" s="30" t="str">
        <f>INDEX($D$13:$M$13,ROWS($B$54:B62))</f>
        <v/>
      </c>
      <c r="C62" s="6" t="str">
        <f>INDEX($D$14:$M$14,ROWS($B$54:B62))</f>
        <v/>
      </c>
      <c r="D62" s="24" t="e">
        <f t="shared" si="18"/>
        <v>#N/A</v>
      </c>
      <c r="E62" s="24" t="e">
        <f t="shared" si="18"/>
        <v>#N/A</v>
      </c>
      <c r="F62" s="24" t="e">
        <f t="shared" si="18"/>
        <v>#N/A</v>
      </c>
      <c r="G62" s="24" t="e">
        <f t="shared" si="18"/>
        <v>#N/A</v>
      </c>
      <c r="H62" s="24" t="e">
        <f t="shared" si="18"/>
        <v>#N/A</v>
      </c>
      <c r="I62" s="24" t="e">
        <f t="shared" si="18"/>
        <v>#N/A</v>
      </c>
      <c r="J62" s="24" t="e">
        <f t="shared" si="18"/>
        <v>#N/A</v>
      </c>
      <c r="K62" s="24" t="e">
        <f t="shared" si="18"/>
        <v>#N/A</v>
      </c>
      <c r="L62" s="24" t="e">
        <f t="shared" si="18"/>
        <v>#N/A</v>
      </c>
      <c r="M62" s="24" t="e">
        <f t="shared" si="18"/>
        <v>#N/A</v>
      </c>
      <c r="N62" s="24" t="e">
        <f t="shared" si="19"/>
        <v>#N/A</v>
      </c>
      <c r="O62" s="24" t="e">
        <f t="shared" si="19"/>
        <v>#N/A</v>
      </c>
      <c r="P62" s="24" t="e">
        <f t="shared" si="19"/>
        <v>#N/A</v>
      </c>
      <c r="Q62" s="24" t="e">
        <f t="shared" si="19"/>
        <v>#N/A</v>
      </c>
      <c r="R62" s="24" t="e">
        <f t="shared" si="19"/>
        <v>#N/A</v>
      </c>
      <c r="S62" s="24" t="e">
        <f t="shared" si="19"/>
        <v>#N/A</v>
      </c>
      <c r="T62" s="24" t="e">
        <f t="shared" si="19"/>
        <v>#N/A</v>
      </c>
      <c r="U62" s="24" t="e">
        <f t="shared" si="19"/>
        <v>#N/A</v>
      </c>
      <c r="V62" s="24" t="e">
        <f t="shared" si="19"/>
        <v>#N/A</v>
      </c>
      <c r="W62" s="24" t="e">
        <f t="shared" si="19"/>
        <v>#N/A</v>
      </c>
    </row>
    <row r="63" spans="1:23" x14ac:dyDescent="0.45">
      <c r="A63" s="29" t="str">
        <f t="shared" si="17"/>
        <v>mit.ghg.tot.tot</v>
      </c>
      <c r="B63" s="30" t="str">
        <f>INDEX($D$13:$M$13,ROWS($B$54:B63))</f>
        <v/>
      </c>
      <c r="C63" s="6" t="str">
        <f>INDEX($D$14:$M$14,ROWS($B$54:B63))</f>
        <v/>
      </c>
      <c r="D63" s="24" t="e">
        <f t="shared" si="18"/>
        <v>#N/A</v>
      </c>
      <c r="E63" s="24" t="e">
        <f t="shared" si="18"/>
        <v>#N/A</v>
      </c>
      <c r="F63" s="24" t="e">
        <f t="shared" si="18"/>
        <v>#N/A</v>
      </c>
      <c r="G63" s="24" t="e">
        <f t="shared" si="18"/>
        <v>#N/A</v>
      </c>
      <c r="H63" s="24" t="e">
        <f t="shared" si="18"/>
        <v>#N/A</v>
      </c>
      <c r="I63" s="24" t="e">
        <f t="shared" si="18"/>
        <v>#N/A</v>
      </c>
      <c r="J63" s="24" t="e">
        <f t="shared" si="18"/>
        <v>#N/A</v>
      </c>
      <c r="K63" s="24" t="e">
        <f t="shared" si="18"/>
        <v>#N/A</v>
      </c>
      <c r="L63" s="24" t="e">
        <f t="shared" si="18"/>
        <v>#N/A</v>
      </c>
      <c r="M63" s="24" t="e">
        <f t="shared" si="18"/>
        <v>#N/A</v>
      </c>
      <c r="N63" s="24" t="e">
        <f t="shared" si="19"/>
        <v>#N/A</v>
      </c>
      <c r="O63" s="24" t="e">
        <f t="shared" si="19"/>
        <v>#N/A</v>
      </c>
      <c r="P63" s="24" t="e">
        <f t="shared" si="19"/>
        <v>#N/A</v>
      </c>
      <c r="Q63" s="24" t="e">
        <f t="shared" si="19"/>
        <v>#N/A</v>
      </c>
      <c r="R63" s="24" t="e">
        <f t="shared" si="19"/>
        <v>#N/A</v>
      </c>
      <c r="S63" s="24" t="e">
        <f t="shared" si="19"/>
        <v>#N/A</v>
      </c>
      <c r="T63" s="24" t="e">
        <f t="shared" si="19"/>
        <v>#N/A</v>
      </c>
      <c r="U63" s="24" t="e">
        <f t="shared" si="19"/>
        <v>#N/A</v>
      </c>
      <c r="V63" s="24" t="e">
        <f t="shared" si="19"/>
        <v>#N/A</v>
      </c>
      <c r="W63" s="24" t="e">
        <f t="shared" si="19"/>
        <v>#N/A</v>
      </c>
    </row>
    <row r="69" spans="1:23" x14ac:dyDescent="0.45">
      <c r="A69" s="29" t="str">
        <f>INDEX(CSCatStem,MATCH($B69,CSCatLab,0))</f>
        <v>mit.rpct.all.tot</v>
      </c>
      <c r="B69" s="10" t="str">
        <f>$B$105</f>
        <v xml:space="preserve">Revenue as a share of baseline real GDP | All sectors | </v>
      </c>
      <c r="C69" s="6" t="str">
        <f>INDEX(CSCatUnit,MATCH($B69,CSCatLab,0))</f>
        <v>% of GDP</v>
      </c>
    </row>
    <row r="70" spans="1:23" x14ac:dyDescent="0.45">
      <c r="C70" s="8" t="s">
        <v>6383</v>
      </c>
      <c r="D70" s="44">
        <v>2022</v>
      </c>
      <c r="E70" s="45">
        <v>2023</v>
      </c>
      <c r="F70" s="45">
        <v>2024</v>
      </c>
      <c r="G70" s="45">
        <v>2025</v>
      </c>
      <c r="H70" s="45">
        <v>2026</v>
      </c>
      <c r="I70" s="45">
        <v>2027</v>
      </c>
      <c r="J70" s="45">
        <v>2028</v>
      </c>
      <c r="K70" s="45">
        <v>2029</v>
      </c>
      <c r="L70" s="45">
        <v>2030</v>
      </c>
      <c r="M70" s="45">
        <v>2031</v>
      </c>
      <c r="N70" s="45">
        <v>2032</v>
      </c>
      <c r="O70" s="45">
        <v>2033</v>
      </c>
      <c r="P70" s="45">
        <v>2034</v>
      </c>
      <c r="Q70" s="45">
        <v>2035</v>
      </c>
      <c r="R70" s="45">
        <v>2036</v>
      </c>
      <c r="S70" s="45">
        <v>2037</v>
      </c>
      <c r="T70" s="45">
        <v>2038</v>
      </c>
      <c r="U70" s="45">
        <v>2039</v>
      </c>
      <c r="V70" s="45">
        <v>2040</v>
      </c>
      <c r="W70" s="45">
        <v>2041</v>
      </c>
    </row>
    <row r="71" spans="1:23" x14ac:dyDescent="0.45">
      <c r="A71" s="29" t="str">
        <f t="shared" ref="A71:A80" si="20">$A$69</f>
        <v>mit.rpct.all.tot</v>
      </c>
      <c r="B71" s="30">
        <f>INDEX($D$13:$M$13,ROWS($B$71:B71))</f>
        <v>1</v>
      </c>
      <c r="C71" s="6" t="str">
        <f>INDEX($D$14:$M$14,ROWS($B$71:B71))</f>
        <v>S1: 1</v>
      </c>
      <c r="D71" s="24">
        <f t="shared" ref="D71:M80" si="21">IF($B71="",NA(),IFERROR(INDEX(SSAll,MATCH($A71,SSStem,0),MATCH($B71,SSScen,0)+MATCH(D$70,SCYear,0)),""))</f>
        <v>-8.3116025229717228E-2</v>
      </c>
      <c r="E71" s="24">
        <f t="shared" si="21"/>
        <v>-7.2950363125241696E-2</v>
      </c>
      <c r="F71" s="24">
        <f t="shared" si="21"/>
        <v>-8.1477184641626899E-2</v>
      </c>
      <c r="G71" s="24">
        <f t="shared" si="21"/>
        <v>-7.4659417756431548E-2</v>
      </c>
      <c r="H71" s="24">
        <f t="shared" si="21"/>
        <v>-7.9854790683934473E-2</v>
      </c>
      <c r="I71" s="24">
        <f t="shared" si="21"/>
        <v>-7.2334242839758672E-2</v>
      </c>
      <c r="J71" s="24">
        <f t="shared" si="21"/>
        <v>-6.9047097218265338E-2</v>
      </c>
      <c r="K71" s="24">
        <f t="shared" si="21"/>
        <v>-6.6805460424216812E-2</v>
      </c>
      <c r="L71" s="24">
        <f t="shared" si="21"/>
        <v>-6.4507375747590426E-2</v>
      </c>
      <c r="M71" s="24">
        <f t="shared" si="21"/>
        <v>-6.1845808930849032E-2</v>
      </c>
      <c r="N71" s="24">
        <f t="shared" ref="N71:W80" si="22">IF($B71="",NA(),IFERROR(INDEX(SSAll,MATCH($A71,SSStem,0),MATCH($B71,SSScen,0)+MATCH(N$70,SCYear,0)),""))</f>
        <v>-5.9988099619419838E-2</v>
      </c>
      <c r="O71" s="24">
        <f t="shared" si="22"/>
        <v>-5.8900599730276053E-2</v>
      </c>
      <c r="P71" s="24">
        <f t="shared" si="22"/>
        <v>-5.7751225835204548E-2</v>
      </c>
      <c r="Q71" s="24">
        <f t="shared" si="22"/>
        <v>-5.6709166082376902E-2</v>
      </c>
      <c r="R71" s="24">
        <f t="shared" si="22"/>
        <v>-5.5698978958168999E-2</v>
      </c>
      <c r="S71" s="24">
        <f t="shared" si="22"/>
        <v>-5.472576592903193E-2</v>
      </c>
      <c r="T71" s="24">
        <f t="shared" si="22"/>
        <v>-5.378600123290489E-2</v>
      </c>
      <c r="U71" s="24">
        <f t="shared" si="22"/>
        <v>-5.2878718866470151E-2</v>
      </c>
      <c r="V71" s="24">
        <f t="shared" si="22"/>
        <v>-5.2004454214856492E-2</v>
      </c>
      <c r="W71" s="24">
        <f t="shared" si="22"/>
        <v>-5.1162438487845831E-2</v>
      </c>
    </row>
    <row r="72" spans="1:23" x14ac:dyDescent="0.45">
      <c r="A72" s="29" t="str">
        <f t="shared" si="20"/>
        <v>mit.rpct.all.tot</v>
      </c>
      <c r="B72" s="30">
        <f>INDEX($D$13:$M$13,ROWS($B$71:B72))</f>
        <v>3</v>
      </c>
      <c r="C72" s="6" t="str">
        <f>INDEX($D$14:$M$14,ROWS($B$71:B72))</f>
        <v>S2: 3</v>
      </c>
      <c r="D72" s="24">
        <f t="shared" si="21"/>
        <v>-8.3116025229717228E-2</v>
      </c>
      <c r="E72" s="24">
        <f t="shared" si="21"/>
        <v>-7.2938507681601053E-2</v>
      </c>
      <c r="F72" s="24">
        <f t="shared" si="21"/>
        <v>-8.1463859693386001E-2</v>
      </c>
      <c r="G72" s="24">
        <f t="shared" si="21"/>
        <v>-7.4646813479993482E-2</v>
      </c>
      <c r="H72" s="24">
        <f t="shared" si="21"/>
        <v>-7.9842113042003462E-2</v>
      </c>
      <c r="I72" s="24">
        <f t="shared" si="21"/>
        <v>-5.9717669672039647E-2</v>
      </c>
      <c r="J72" s="24">
        <f t="shared" si="21"/>
        <v>-5.4051521417865352E-2</v>
      </c>
      <c r="K72" s="24">
        <f t="shared" si="21"/>
        <v>-5.2580967418682831E-2</v>
      </c>
      <c r="L72" s="24">
        <f t="shared" si="21"/>
        <v>-5.0470309205976532E-2</v>
      </c>
      <c r="M72" s="24">
        <f t="shared" si="21"/>
        <v>-4.8712577795394847E-2</v>
      </c>
      <c r="N72" s="24">
        <f t="shared" si="22"/>
        <v>-4.7322206347238417E-2</v>
      </c>
      <c r="O72" s="24">
        <f t="shared" si="22"/>
        <v>-4.6654225645077513E-2</v>
      </c>
      <c r="P72" s="24">
        <f t="shared" si="22"/>
        <v>-4.5839185202196819E-2</v>
      </c>
      <c r="Q72" s="24">
        <f t="shared" si="22"/>
        <v>-4.5143501390788543E-2</v>
      </c>
      <c r="R72" s="24">
        <f t="shared" si="22"/>
        <v>-4.4471876964604619E-2</v>
      </c>
      <c r="S72" s="24">
        <f t="shared" si="22"/>
        <v>-4.3837580906960182E-2</v>
      </c>
      <c r="T72" s="24">
        <f t="shared" si="22"/>
        <v>-4.3201983596253213E-2</v>
      </c>
      <c r="U72" s="24">
        <f t="shared" si="22"/>
        <v>-4.2577684860936542E-2</v>
      </c>
      <c r="V72" s="24">
        <f t="shared" si="22"/>
        <v>-4.1950651009941158E-2</v>
      </c>
      <c r="W72" s="24">
        <f t="shared" si="22"/>
        <v>-4.1339824242725629E-2</v>
      </c>
    </row>
    <row r="73" spans="1:23" x14ac:dyDescent="0.45">
      <c r="A73" s="29" t="str">
        <f t="shared" si="20"/>
        <v>mit.rpct.all.tot</v>
      </c>
      <c r="B73" s="30">
        <f>INDEX($D$13:$M$13,ROWS($B$71:B73))</f>
        <v>4</v>
      </c>
      <c r="C73" s="6" t="str">
        <f>INDEX($D$14:$M$14,ROWS($B$71:B73))</f>
        <v>S3: 4</v>
      </c>
      <c r="D73" s="24">
        <f t="shared" si="21"/>
        <v>-8.3116025229717228E-2</v>
      </c>
      <c r="E73" s="24">
        <f t="shared" si="21"/>
        <v>-7.2909410898632315E-2</v>
      </c>
      <c r="F73" s="24">
        <f t="shared" si="21"/>
        <v>-8.143163897147325E-2</v>
      </c>
      <c r="G73" s="24">
        <f t="shared" si="21"/>
        <v>-7.4616296899644885E-2</v>
      </c>
      <c r="H73" s="24">
        <f t="shared" si="21"/>
        <v>-7.9811556083405427E-2</v>
      </c>
      <c r="I73" s="24">
        <f t="shared" si="21"/>
        <v>-6.5131894304622739E-2</v>
      </c>
      <c r="J73" s="24">
        <f t="shared" si="21"/>
        <v>-5.3026934238516787E-2</v>
      </c>
      <c r="K73" s="24">
        <f t="shared" si="21"/>
        <v>-4.3374056433630639E-2</v>
      </c>
      <c r="L73" s="24">
        <f t="shared" si="21"/>
        <v>-3.5688393121689477E-2</v>
      </c>
      <c r="M73" s="24">
        <f t="shared" si="21"/>
        <v>-2.9468491804137801E-2</v>
      </c>
      <c r="N73" s="24">
        <f t="shared" si="22"/>
        <v>-2.4336840052279499E-2</v>
      </c>
      <c r="O73" s="24">
        <f t="shared" si="22"/>
        <v>-2.010472526936791E-2</v>
      </c>
      <c r="P73" s="24">
        <f t="shared" si="22"/>
        <v>-1.6363674629183159E-2</v>
      </c>
      <c r="Q73" s="24">
        <f t="shared" si="22"/>
        <v>-1.31729630329534E-2</v>
      </c>
      <c r="R73" s="24">
        <f t="shared" si="22"/>
        <v>-1.0383651370304611E-2</v>
      </c>
      <c r="S73" s="24">
        <f t="shared" si="22"/>
        <v>-7.9680291518537446E-3</v>
      </c>
      <c r="T73" s="24">
        <f t="shared" si="22"/>
        <v>-5.8742755002261053E-3</v>
      </c>
      <c r="U73" s="24">
        <f t="shared" si="22"/>
        <v>-4.0279714912824427E-3</v>
      </c>
      <c r="V73" s="24">
        <f t="shared" si="22"/>
        <v>-2.466064910062341E-3</v>
      </c>
      <c r="W73" s="24">
        <f t="shared" si="22"/>
        <v>-1.0284303929520701E-3</v>
      </c>
    </row>
    <row r="74" spans="1:23" x14ac:dyDescent="0.45">
      <c r="A74" s="29" t="str">
        <f t="shared" si="20"/>
        <v>mit.rpct.all.tot</v>
      </c>
      <c r="B74" s="30">
        <f>INDEX($D$13:$M$13,ROWS($B$71:B74))</f>
        <v>5</v>
      </c>
      <c r="C74" s="6" t="str">
        <f>INDEX($D$14:$M$14,ROWS($B$71:B74))</f>
        <v>S4: 5</v>
      </c>
      <c r="D74" s="24">
        <f t="shared" si="21"/>
        <v>-8.3116025229717228E-2</v>
      </c>
      <c r="E74" s="24">
        <f t="shared" si="21"/>
        <v>-7.2880842789810968E-2</v>
      </c>
      <c r="F74" s="24">
        <f t="shared" si="21"/>
        <v>-8.1399529772968729E-2</v>
      </c>
      <c r="G74" s="24">
        <f t="shared" si="21"/>
        <v>-7.4585876895145786E-2</v>
      </c>
      <c r="H74" s="24">
        <f t="shared" si="21"/>
        <v>-7.9780965928660616E-2</v>
      </c>
      <c r="I74" s="24">
        <f t="shared" si="21"/>
        <v>-6.1518875272196898E-2</v>
      </c>
      <c r="J74" s="24">
        <f t="shared" si="21"/>
        <v>-5.8666830669112692E-2</v>
      </c>
      <c r="K74" s="24">
        <f t="shared" si="21"/>
        <v>-5.6772159079757509E-2</v>
      </c>
      <c r="L74" s="24">
        <f t="shared" si="21"/>
        <v>-5.4716239859248762E-2</v>
      </c>
      <c r="M74" s="24">
        <f t="shared" si="21"/>
        <v>-5.2225757242600798E-2</v>
      </c>
      <c r="N74" s="24">
        <f t="shared" si="22"/>
        <v>-5.0263128338439822E-2</v>
      </c>
      <c r="O74" s="24">
        <f t="shared" si="22"/>
        <v>-4.9286746710945309E-2</v>
      </c>
      <c r="P74" s="24">
        <f t="shared" si="22"/>
        <v>-4.7816811961095759E-2</v>
      </c>
      <c r="Q74" s="24">
        <f t="shared" si="22"/>
        <v>-4.6571454550186388E-2</v>
      </c>
      <c r="R74" s="24">
        <f t="shared" si="22"/>
        <v>-4.547066387974253E-2</v>
      </c>
      <c r="S74" s="24">
        <f t="shared" si="22"/>
        <v>-4.4359413458985031E-2</v>
      </c>
      <c r="T74" s="24">
        <f t="shared" si="22"/>
        <v>-4.33452016684907E-2</v>
      </c>
      <c r="U74" s="24">
        <f t="shared" si="22"/>
        <v>-4.2401921390325628E-2</v>
      </c>
      <c r="V74" s="24">
        <f t="shared" si="22"/>
        <v>-4.1470400674904838E-2</v>
      </c>
      <c r="W74" s="24">
        <f t="shared" si="22"/>
        <v>-4.0617963878270852E-2</v>
      </c>
    </row>
    <row r="75" spans="1:23" x14ac:dyDescent="0.45">
      <c r="A75" s="29" t="str">
        <f t="shared" si="20"/>
        <v>mit.rpct.all.tot</v>
      </c>
      <c r="B75" s="30">
        <f>INDEX($D$13:$M$13,ROWS($B$71:B75))</f>
        <v>6</v>
      </c>
      <c r="C75" s="6" t="str">
        <f>INDEX($D$14:$M$14,ROWS($B$71:B75))</f>
        <v>S5: 6</v>
      </c>
      <c r="D75" s="24">
        <f t="shared" si="21"/>
        <v>-8.3116025229717228E-2</v>
      </c>
      <c r="E75" s="24">
        <f t="shared" si="21"/>
        <v>-7.2922118226510083E-2</v>
      </c>
      <c r="F75" s="24">
        <f t="shared" si="21"/>
        <v>-8.1445628679307921E-2</v>
      </c>
      <c r="G75" s="24">
        <f t="shared" si="21"/>
        <v>-7.462955310715659E-2</v>
      </c>
      <c r="H75" s="24">
        <f t="shared" si="21"/>
        <v>-7.9824806349949665E-2</v>
      </c>
      <c r="I75" s="24">
        <f t="shared" si="21"/>
        <v>-4.5317762430806083E-2</v>
      </c>
      <c r="J75" s="24">
        <f t="shared" si="21"/>
        <v>-3.7905667772718872E-2</v>
      </c>
      <c r="K75" s="24">
        <f t="shared" si="21"/>
        <v>-3.6875804034190052E-2</v>
      </c>
      <c r="L75" s="24">
        <f t="shared" si="21"/>
        <v>-3.5043869784156613E-2</v>
      </c>
      <c r="M75" s="24">
        <f t="shared" si="21"/>
        <v>-3.4147051350124531E-2</v>
      </c>
      <c r="N75" s="24">
        <f t="shared" si="22"/>
        <v>-3.3179526138103037E-2</v>
      </c>
      <c r="O75" s="24">
        <f t="shared" si="22"/>
        <v>-3.2778259293316347E-2</v>
      </c>
      <c r="P75" s="24">
        <f t="shared" si="22"/>
        <v>-3.2215390539374361E-2</v>
      </c>
      <c r="Q75" s="24">
        <f t="shared" si="22"/>
        <v>-3.1845302759714263E-2</v>
      </c>
      <c r="R75" s="24">
        <f t="shared" si="22"/>
        <v>-3.1441614598237057E-2</v>
      </c>
      <c r="S75" s="24">
        <f t="shared" si="22"/>
        <v>-3.1140597506912629E-2</v>
      </c>
      <c r="T75" s="24">
        <f t="shared" si="22"/>
        <v>-3.077498485641255E-2</v>
      </c>
      <c r="U75" s="24">
        <f t="shared" si="22"/>
        <v>-3.046549418312032E-2</v>
      </c>
      <c r="V75" s="24">
        <f t="shared" si="22"/>
        <v>-3.009257253862456E-2</v>
      </c>
      <c r="W75" s="24">
        <f t="shared" si="22"/>
        <v>-2.976788424749462E-2</v>
      </c>
    </row>
    <row r="76" spans="1:23" x14ac:dyDescent="0.45">
      <c r="A76" s="29" t="str">
        <f t="shared" si="20"/>
        <v>mit.rpct.all.tot</v>
      </c>
      <c r="B76" s="30" t="str">
        <f>INDEX($D$13:$M$13,ROWS($B$71:B76))</f>
        <v/>
      </c>
      <c r="C76" s="6" t="str">
        <f>INDEX($D$14:$M$14,ROWS($B$71:B76))</f>
        <v/>
      </c>
      <c r="D76" s="24" t="e">
        <f t="shared" si="21"/>
        <v>#N/A</v>
      </c>
      <c r="E76" s="24" t="e">
        <f t="shared" si="21"/>
        <v>#N/A</v>
      </c>
      <c r="F76" s="24" t="e">
        <f t="shared" si="21"/>
        <v>#N/A</v>
      </c>
      <c r="G76" s="24" t="e">
        <f t="shared" si="21"/>
        <v>#N/A</v>
      </c>
      <c r="H76" s="24" t="e">
        <f t="shared" si="21"/>
        <v>#N/A</v>
      </c>
      <c r="I76" s="24" t="e">
        <f t="shared" si="21"/>
        <v>#N/A</v>
      </c>
      <c r="J76" s="24" t="e">
        <f t="shared" si="21"/>
        <v>#N/A</v>
      </c>
      <c r="K76" s="24" t="e">
        <f t="shared" si="21"/>
        <v>#N/A</v>
      </c>
      <c r="L76" s="24" t="e">
        <f t="shared" si="21"/>
        <v>#N/A</v>
      </c>
      <c r="M76" s="24" t="e">
        <f t="shared" si="21"/>
        <v>#N/A</v>
      </c>
      <c r="N76" s="24" t="e">
        <f t="shared" si="22"/>
        <v>#N/A</v>
      </c>
      <c r="O76" s="24" t="e">
        <f t="shared" si="22"/>
        <v>#N/A</v>
      </c>
      <c r="P76" s="24" t="e">
        <f t="shared" si="22"/>
        <v>#N/A</v>
      </c>
      <c r="Q76" s="24" t="e">
        <f t="shared" si="22"/>
        <v>#N/A</v>
      </c>
      <c r="R76" s="24" t="e">
        <f t="shared" si="22"/>
        <v>#N/A</v>
      </c>
      <c r="S76" s="24" t="e">
        <f t="shared" si="22"/>
        <v>#N/A</v>
      </c>
      <c r="T76" s="24" t="e">
        <f t="shared" si="22"/>
        <v>#N/A</v>
      </c>
      <c r="U76" s="24" t="e">
        <f t="shared" si="22"/>
        <v>#N/A</v>
      </c>
      <c r="V76" s="24" t="e">
        <f t="shared" si="22"/>
        <v>#N/A</v>
      </c>
      <c r="W76" s="24" t="e">
        <f t="shared" si="22"/>
        <v>#N/A</v>
      </c>
    </row>
    <row r="77" spans="1:23" x14ac:dyDescent="0.45">
      <c r="A77" s="29" t="str">
        <f t="shared" si="20"/>
        <v>mit.rpct.all.tot</v>
      </c>
      <c r="B77" s="30" t="str">
        <f>INDEX($D$13:$M$13,ROWS($B$71:B77))</f>
        <v/>
      </c>
      <c r="C77" s="6" t="str">
        <f>INDEX($D$14:$M$14,ROWS($B$71:B77))</f>
        <v/>
      </c>
      <c r="D77" s="24" t="e">
        <f t="shared" si="21"/>
        <v>#N/A</v>
      </c>
      <c r="E77" s="24" t="e">
        <f t="shared" si="21"/>
        <v>#N/A</v>
      </c>
      <c r="F77" s="24" t="e">
        <f t="shared" si="21"/>
        <v>#N/A</v>
      </c>
      <c r="G77" s="24" t="e">
        <f t="shared" si="21"/>
        <v>#N/A</v>
      </c>
      <c r="H77" s="24" t="e">
        <f t="shared" si="21"/>
        <v>#N/A</v>
      </c>
      <c r="I77" s="24" t="e">
        <f t="shared" si="21"/>
        <v>#N/A</v>
      </c>
      <c r="J77" s="24" t="e">
        <f t="shared" si="21"/>
        <v>#N/A</v>
      </c>
      <c r="K77" s="24" t="e">
        <f t="shared" si="21"/>
        <v>#N/A</v>
      </c>
      <c r="L77" s="24" t="e">
        <f t="shared" si="21"/>
        <v>#N/A</v>
      </c>
      <c r="M77" s="24" t="e">
        <f t="shared" si="21"/>
        <v>#N/A</v>
      </c>
      <c r="N77" s="24" t="e">
        <f t="shared" si="22"/>
        <v>#N/A</v>
      </c>
      <c r="O77" s="24" t="e">
        <f t="shared" si="22"/>
        <v>#N/A</v>
      </c>
      <c r="P77" s="24" t="e">
        <f t="shared" si="22"/>
        <v>#N/A</v>
      </c>
      <c r="Q77" s="24" t="e">
        <f t="shared" si="22"/>
        <v>#N/A</v>
      </c>
      <c r="R77" s="24" t="e">
        <f t="shared" si="22"/>
        <v>#N/A</v>
      </c>
      <c r="S77" s="24" t="e">
        <f t="shared" si="22"/>
        <v>#N/A</v>
      </c>
      <c r="T77" s="24" t="e">
        <f t="shared" si="22"/>
        <v>#N/A</v>
      </c>
      <c r="U77" s="24" t="e">
        <f t="shared" si="22"/>
        <v>#N/A</v>
      </c>
      <c r="V77" s="24" t="e">
        <f t="shared" si="22"/>
        <v>#N/A</v>
      </c>
      <c r="W77" s="24" t="e">
        <f t="shared" si="22"/>
        <v>#N/A</v>
      </c>
    </row>
    <row r="78" spans="1:23" x14ac:dyDescent="0.45">
      <c r="A78" s="29" t="str">
        <f t="shared" si="20"/>
        <v>mit.rpct.all.tot</v>
      </c>
      <c r="B78" s="30" t="str">
        <f>INDEX($D$13:$M$13,ROWS($B$71:B78))</f>
        <v/>
      </c>
      <c r="C78" s="6" t="str">
        <f>INDEX($D$14:$M$14,ROWS($B$71:B78))</f>
        <v/>
      </c>
      <c r="D78" s="24" t="e">
        <f t="shared" si="21"/>
        <v>#N/A</v>
      </c>
      <c r="E78" s="24" t="e">
        <f t="shared" si="21"/>
        <v>#N/A</v>
      </c>
      <c r="F78" s="24" t="e">
        <f t="shared" si="21"/>
        <v>#N/A</v>
      </c>
      <c r="G78" s="24" t="e">
        <f t="shared" si="21"/>
        <v>#N/A</v>
      </c>
      <c r="H78" s="24" t="e">
        <f t="shared" si="21"/>
        <v>#N/A</v>
      </c>
      <c r="I78" s="24" t="e">
        <f t="shared" si="21"/>
        <v>#N/A</v>
      </c>
      <c r="J78" s="24" t="e">
        <f t="shared" si="21"/>
        <v>#N/A</v>
      </c>
      <c r="K78" s="24" t="e">
        <f t="shared" si="21"/>
        <v>#N/A</v>
      </c>
      <c r="L78" s="24" t="e">
        <f t="shared" si="21"/>
        <v>#N/A</v>
      </c>
      <c r="M78" s="24" t="e">
        <f t="shared" si="21"/>
        <v>#N/A</v>
      </c>
      <c r="N78" s="24" t="e">
        <f t="shared" si="22"/>
        <v>#N/A</v>
      </c>
      <c r="O78" s="24" t="e">
        <f t="shared" si="22"/>
        <v>#N/A</v>
      </c>
      <c r="P78" s="24" t="e">
        <f t="shared" si="22"/>
        <v>#N/A</v>
      </c>
      <c r="Q78" s="24" t="e">
        <f t="shared" si="22"/>
        <v>#N/A</v>
      </c>
      <c r="R78" s="24" t="e">
        <f t="shared" si="22"/>
        <v>#N/A</v>
      </c>
      <c r="S78" s="24" t="e">
        <f t="shared" si="22"/>
        <v>#N/A</v>
      </c>
      <c r="T78" s="24" t="e">
        <f t="shared" si="22"/>
        <v>#N/A</v>
      </c>
      <c r="U78" s="24" t="e">
        <f t="shared" si="22"/>
        <v>#N/A</v>
      </c>
      <c r="V78" s="24" t="e">
        <f t="shared" si="22"/>
        <v>#N/A</v>
      </c>
      <c r="W78" s="24" t="e">
        <f t="shared" si="22"/>
        <v>#N/A</v>
      </c>
    </row>
    <row r="79" spans="1:23" x14ac:dyDescent="0.45">
      <c r="A79" s="29" t="str">
        <f t="shared" si="20"/>
        <v>mit.rpct.all.tot</v>
      </c>
      <c r="B79" s="30" t="str">
        <f>INDEX($D$13:$M$13,ROWS($B$71:B79))</f>
        <v/>
      </c>
      <c r="C79" s="6" t="str">
        <f>INDEX($D$14:$M$14,ROWS($B$71:B79))</f>
        <v/>
      </c>
      <c r="D79" s="24" t="e">
        <f t="shared" si="21"/>
        <v>#N/A</v>
      </c>
      <c r="E79" s="24" t="e">
        <f t="shared" si="21"/>
        <v>#N/A</v>
      </c>
      <c r="F79" s="24" t="e">
        <f t="shared" si="21"/>
        <v>#N/A</v>
      </c>
      <c r="G79" s="24" t="e">
        <f t="shared" si="21"/>
        <v>#N/A</v>
      </c>
      <c r="H79" s="24" t="e">
        <f t="shared" si="21"/>
        <v>#N/A</v>
      </c>
      <c r="I79" s="24" t="e">
        <f t="shared" si="21"/>
        <v>#N/A</v>
      </c>
      <c r="J79" s="24" t="e">
        <f t="shared" si="21"/>
        <v>#N/A</v>
      </c>
      <c r="K79" s="24" t="e">
        <f t="shared" si="21"/>
        <v>#N/A</v>
      </c>
      <c r="L79" s="24" t="e">
        <f t="shared" si="21"/>
        <v>#N/A</v>
      </c>
      <c r="M79" s="24" t="e">
        <f t="shared" si="21"/>
        <v>#N/A</v>
      </c>
      <c r="N79" s="24" t="e">
        <f t="shared" si="22"/>
        <v>#N/A</v>
      </c>
      <c r="O79" s="24" t="e">
        <f t="shared" si="22"/>
        <v>#N/A</v>
      </c>
      <c r="P79" s="24" t="e">
        <f t="shared" si="22"/>
        <v>#N/A</v>
      </c>
      <c r="Q79" s="24" t="e">
        <f t="shared" si="22"/>
        <v>#N/A</v>
      </c>
      <c r="R79" s="24" t="e">
        <f t="shared" si="22"/>
        <v>#N/A</v>
      </c>
      <c r="S79" s="24" t="e">
        <f t="shared" si="22"/>
        <v>#N/A</v>
      </c>
      <c r="T79" s="24" t="e">
        <f t="shared" si="22"/>
        <v>#N/A</v>
      </c>
      <c r="U79" s="24" t="e">
        <f t="shared" si="22"/>
        <v>#N/A</v>
      </c>
      <c r="V79" s="24" t="e">
        <f t="shared" si="22"/>
        <v>#N/A</v>
      </c>
      <c r="W79" s="24" t="e">
        <f t="shared" si="22"/>
        <v>#N/A</v>
      </c>
    </row>
    <row r="80" spans="1:23" x14ac:dyDescent="0.45">
      <c r="A80" s="29" t="str">
        <f t="shared" si="20"/>
        <v>mit.rpct.all.tot</v>
      </c>
      <c r="B80" s="30" t="str">
        <f>INDEX($D$13:$M$13,ROWS($B$71:B80))</f>
        <v/>
      </c>
      <c r="C80" s="6" t="str">
        <f>INDEX($D$14:$M$14,ROWS($B$71:B80))</f>
        <v/>
      </c>
      <c r="D80" s="24" t="e">
        <f t="shared" si="21"/>
        <v>#N/A</v>
      </c>
      <c r="E80" s="24" t="e">
        <f t="shared" si="21"/>
        <v>#N/A</v>
      </c>
      <c r="F80" s="24" t="e">
        <f t="shared" si="21"/>
        <v>#N/A</v>
      </c>
      <c r="G80" s="24" t="e">
        <f t="shared" si="21"/>
        <v>#N/A</v>
      </c>
      <c r="H80" s="24" t="e">
        <f t="shared" si="21"/>
        <v>#N/A</v>
      </c>
      <c r="I80" s="24" t="e">
        <f t="shared" si="21"/>
        <v>#N/A</v>
      </c>
      <c r="J80" s="24" t="e">
        <f t="shared" si="21"/>
        <v>#N/A</v>
      </c>
      <c r="K80" s="24" t="e">
        <f t="shared" si="21"/>
        <v>#N/A</v>
      </c>
      <c r="L80" s="24" t="e">
        <f t="shared" si="21"/>
        <v>#N/A</v>
      </c>
      <c r="M80" s="24" t="e">
        <f t="shared" si="21"/>
        <v>#N/A</v>
      </c>
      <c r="N80" s="24" t="e">
        <f t="shared" si="22"/>
        <v>#N/A</v>
      </c>
      <c r="O80" s="24" t="e">
        <f t="shared" si="22"/>
        <v>#N/A</v>
      </c>
      <c r="P80" s="24" t="e">
        <f t="shared" si="22"/>
        <v>#N/A</v>
      </c>
      <c r="Q80" s="24" t="e">
        <f t="shared" si="22"/>
        <v>#N/A</v>
      </c>
      <c r="R80" s="24" t="e">
        <f t="shared" si="22"/>
        <v>#N/A</v>
      </c>
      <c r="S80" s="24" t="e">
        <f t="shared" si="22"/>
        <v>#N/A</v>
      </c>
      <c r="T80" s="24" t="e">
        <f t="shared" si="22"/>
        <v>#N/A</v>
      </c>
      <c r="U80" s="24" t="e">
        <f t="shared" si="22"/>
        <v>#N/A</v>
      </c>
      <c r="V80" s="24" t="e">
        <f t="shared" si="22"/>
        <v>#N/A</v>
      </c>
      <c r="W80" s="24" t="e">
        <f t="shared" si="22"/>
        <v>#N/A</v>
      </c>
    </row>
    <row r="86" spans="1:23" x14ac:dyDescent="0.45">
      <c r="A86" s="29" t="str">
        <f>INDEX(CSCatStem,MATCH($B86,CSCatLab,0))</f>
        <v>mit.gdp.eff.tot.tot</v>
      </c>
      <c r="B86" s="10" t="str">
        <f>$B$195</f>
        <v>GDP effect of the revenue use (level, vs baseline) | All sectors | All fuels</v>
      </c>
      <c r="C86" s="6" t="str">
        <f>INDEX(CSCatUnit,MATCH($B86,CSCatLab,0))</f>
        <v>share of GDP</v>
      </c>
    </row>
    <row r="87" spans="1:23" x14ac:dyDescent="0.45">
      <c r="C87" s="8" t="s">
        <v>6383</v>
      </c>
      <c r="D87" s="44">
        <v>2022</v>
      </c>
      <c r="E87" s="45">
        <v>2023</v>
      </c>
      <c r="F87" s="45">
        <v>2024</v>
      </c>
      <c r="G87" s="45">
        <v>2025</v>
      </c>
      <c r="H87" s="45">
        <v>2026</v>
      </c>
      <c r="I87" s="45">
        <v>2027</v>
      </c>
      <c r="J87" s="45">
        <v>2028</v>
      </c>
      <c r="K87" s="45">
        <v>2029</v>
      </c>
      <c r="L87" s="45">
        <v>2030</v>
      </c>
      <c r="M87" s="45">
        <v>2031</v>
      </c>
      <c r="N87" s="45">
        <v>2032</v>
      </c>
      <c r="O87" s="45">
        <v>2033</v>
      </c>
      <c r="P87" s="45">
        <v>2034</v>
      </c>
      <c r="Q87" s="45">
        <v>2035</v>
      </c>
      <c r="R87" s="45">
        <v>2036</v>
      </c>
      <c r="S87" s="45">
        <v>2037</v>
      </c>
      <c r="T87" s="45">
        <v>2038</v>
      </c>
      <c r="U87" s="45">
        <v>2039</v>
      </c>
      <c r="V87" s="45">
        <v>2040</v>
      </c>
      <c r="W87" s="45">
        <v>2041</v>
      </c>
    </row>
    <row r="88" spans="1:23" x14ac:dyDescent="0.45">
      <c r="A88" s="29" t="str">
        <f t="shared" ref="A88:A97" si="23">$A$86</f>
        <v>mit.gdp.eff.tot.tot</v>
      </c>
      <c r="B88" s="30">
        <f>INDEX($D$13:$M$13,ROWS($B$88:B88))</f>
        <v>1</v>
      </c>
      <c r="C88" s="6" t="str">
        <f>INDEX($D$14:$M$14,ROWS($B$88:B88))</f>
        <v>S1: 1</v>
      </c>
      <c r="D88" s="24">
        <f t="shared" ref="D88:M97" si="24">IF($B88="",NA(),IFERROR(INDEX(SSAll,MATCH($A88,SSStem,0),MATCH($B88,SSScen,0)+MATCH(D$87,SCYear,0)),""))</f>
        <v>0</v>
      </c>
      <c r="E88" s="24">
        <f t="shared" si="24"/>
        <v>0</v>
      </c>
      <c r="F88" s="24">
        <f t="shared" si="24"/>
        <v>0</v>
      </c>
      <c r="G88" s="24">
        <f t="shared" si="24"/>
        <v>0</v>
      </c>
      <c r="H88" s="24">
        <f t="shared" si="24"/>
        <v>0</v>
      </c>
      <c r="I88" s="24">
        <f t="shared" si="24"/>
        <v>0</v>
      </c>
      <c r="J88" s="24">
        <f t="shared" si="24"/>
        <v>0</v>
      </c>
      <c r="K88" s="24">
        <f t="shared" si="24"/>
        <v>0</v>
      </c>
      <c r="L88" s="24">
        <f t="shared" si="24"/>
        <v>0</v>
      </c>
      <c r="M88" s="24">
        <f t="shared" si="24"/>
        <v>0</v>
      </c>
      <c r="N88" s="24">
        <f t="shared" ref="N88:W97" si="25">IF($B88="",NA(),IFERROR(INDEX(SSAll,MATCH($A88,SSStem,0),MATCH($B88,SSScen,0)+MATCH(N$87,SCYear,0)),""))</f>
        <v>0</v>
      </c>
      <c r="O88" s="24">
        <f t="shared" si="25"/>
        <v>0</v>
      </c>
      <c r="P88" s="24">
        <f t="shared" si="25"/>
        <v>0</v>
      </c>
      <c r="Q88" s="24">
        <f t="shared" si="25"/>
        <v>0</v>
      </c>
      <c r="R88" s="24">
        <f t="shared" si="25"/>
        <v>0</v>
      </c>
      <c r="S88" s="24">
        <f t="shared" si="25"/>
        <v>0</v>
      </c>
      <c r="T88" s="24">
        <f t="shared" si="25"/>
        <v>0</v>
      </c>
      <c r="U88" s="24">
        <f t="shared" si="25"/>
        <v>0</v>
      </c>
      <c r="V88" s="24">
        <f t="shared" si="25"/>
        <v>0</v>
      </c>
      <c r="W88" s="24">
        <f t="shared" si="25"/>
        <v>0</v>
      </c>
    </row>
    <row r="89" spans="1:23" x14ac:dyDescent="0.45">
      <c r="A89" s="29" t="str">
        <f t="shared" si="23"/>
        <v>mit.gdp.eff.tot.tot</v>
      </c>
      <c r="B89" s="30">
        <f>INDEX($D$13:$M$13,ROWS($B$88:B89))</f>
        <v>3</v>
      </c>
      <c r="C89" s="6" t="str">
        <f>INDEX($D$14:$M$14,ROWS($B$88:B89))</f>
        <v>S2: 3</v>
      </c>
      <c r="D89" s="24">
        <f t="shared" si="24"/>
        <v>0</v>
      </c>
      <c r="E89" s="24">
        <f t="shared" si="24"/>
        <v>0</v>
      </c>
      <c r="F89" s="24">
        <f t="shared" si="24"/>
        <v>0</v>
      </c>
      <c r="G89" s="24">
        <f t="shared" si="24"/>
        <v>0</v>
      </c>
      <c r="H89" s="24">
        <f t="shared" si="24"/>
        <v>5.9205452550422482E-8</v>
      </c>
      <c r="I89" s="24">
        <f t="shared" si="24"/>
        <v>-1.3201771312711821E-7</v>
      </c>
      <c r="J89" s="24">
        <f t="shared" si="24"/>
        <v>5.9217675814382596E-4</v>
      </c>
      <c r="K89" s="24">
        <f t="shared" si="24"/>
        <v>-7.5220772288970617E-4</v>
      </c>
      <c r="L89" s="24">
        <f t="shared" si="24"/>
        <v>-5.1984963523404881E-4</v>
      </c>
      <c r="M89" s="24">
        <f t="shared" si="24"/>
        <v>-1.057590043190572E-3</v>
      </c>
      <c r="N89" s="24">
        <f t="shared" si="25"/>
        <v>-3.5147061175809952E-4</v>
      </c>
      <c r="O89" s="24">
        <f t="shared" si="25"/>
        <v>9.2018296975317215E-4</v>
      </c>
      <c r="P89" s="24">
        <f t="shared" si="25"/>
        <v>1.890254042487135E-3</v>
      </c>
      <c r="Q89" s="24">
        <f t="shared" si="25"/>
        <v>3.082947986599967E-3</v>
      </c>
      <c r="R89" s="24">
        <f t="shared" si="25"/>
        <v>4.8128755115701737E-3</v>
      </c>
      <c r="S89" s="24">
        <f t="shared" si="25"/>
        <v>5.9860507882638879E-3</v>
      </c>
      <c r="T89" s="24">
        <f t="shared" si="25"/>
        <v>6.8574162196372076E-3</v>
      </c>
      <c r="U89" s="24">
        <f t="shared" si="25"/>
        <v>7.0731345479966143E-3</v>
      </c>
      <c r="V89" s="24">
        <f t="shared" si="25"/>
        <v>7.1052519026121976E-3</v>
      </c>
      <c r="W89" s="24">
        <f t="shared" si="25"/>
        <v>7.1667395272041311E-3</v>
      </c>
    </row>
    <row r="90" spans="1:23" x14ac:dyDescent="0.45">
      <c r="A90" s="29" t="str">
        <f t="shared" si="23"/>
        <v>mit.gdp.eff.tot.tot</v>
      </c>
      <c r="B90" s="30">
        <f>INDEX($D$13:$M$13,ROWS($B$88:B90))</f>
        <v>4</v>
      </c>
      <c r="C90" s="6" t="str">
        <f>INDEX($D$14:$M$14,ROWS($B$88:B90))</f>
        <v>S3: 4</v>
      </c>
      <c r="D90" s="24">
        <f t="shared" si="24"/>
        <v>0</v>
      </c>
      <c r="E90" s="24">
        <f t="shared" si="24"/>
        <v>0</v>
      </c>
      <c r="F90" s="24">
        <f t="shared" si="24"/>
        <v>0</v>
      </c>
      <c r="G90" s="24">
        <f t="shared" si="24"/>
        <v>0</v>
      </c>
      <c r="H90" s="24">
        <f t="shared" si="24"/>
        <v>1.8812485809207181E-7</v>
      </c>
      <c r="I90" s="24">
        <f t="shared" si="24"/>
        <v>-4.2152979852737081E-7</v>
      </c>
      <c r="J90" s="24">
        <f t="shared" si="24"/>
        <v>3.3582619979690201E-4</v>
      </c>
      <c r="K90" s="24">
        <f t="shared" si="24"/>
        <v>-7.6898774917475723E-5</v>
      </c>
      <c r="L90" s="24">
        <f t="shared" si="24"/>
        <v>-4.3971322822170948E-4</v>
      </c>
      <c r="M90" s="24">
        <f t="shared" si="24"/>
        <v>-1.0727883395325621E-3</v>
      </c>
      <c r="N90" s="24">
        <f t="shared" si="25"/>
        <v>-1.1991180586127541E-3</v>
      </c>
      <c r="O90" s="24">
        <f t="shared" si="25"/>
        <v>-4.5897584161660359E-4</v>
      </c>
      <c r="P90" s="24">
        <f t="shared" si="25"/>
        <v>8.4837283306014779E-4</v>
      </c>
      <c r="Q90" s="24">
        <f t="shared" si="25"/>
        <v>2.6810960419315411E-3</v>
      </c>
      <c r="R90" s="24">
        <f t="shared" si="25"/>
        <v>5.246481020818621E-3</v>
      </c>
      <c r="S90" s="24">
        <f t="shared" si="25"/>
        <v>8.2015696291917132E-3</v>
      </c>
      <c r="T90" s="24">
        <f t="shared" si="25"/>
        <v>1.13295894169808E-2</v>
      </c>
      <c r="U90" s="24">
        <f t="shared" si="25"/>
        <v>1.4158574845371299E-2</v>
      </c>
      <c r="V90" s="24">
        <f t="shared" si="25"/>
        <v>1.658902025963389E-2</v>
      </c>
      <c r="W90" s="24">
        <f t="shared" si="25"/>
        <v>1.875000788299816E-2</v>
      </c>
    </row>
    <row r="91" spans="1:23" x14ac:dyDescent="0.45">
      <c r="A91" s="29" t="str">
        <f t="shared" si="23"/>
        <v>mit.gdp.eff.tot.tot</v>
      </c>
      <c r="B91" s="30">
        <f>INDEX($D$13:$M$13,ROWS($B$88:B91))</f>
        <v>5</v>
      </c>
      <c r="C91" s="6" t="str">
        <f>INDEX($D$14:$M$14,ROWS($B$88:B91))</f>
        <v>S4: 5</v>
      </c>
      <c r="D91" s="24">
        <f t="shared" si="24"/>
        <v>0</v>
      </c>
      <c r="E91" s="24">
        <f t="shared" si="24"/>
        <v>0</v>
      </c>
      <c r="F91" s="24">
        <f t="shared" si="24"/>
        <v>0</v>
      </c>
      <c r="G91" s="24">
        <f t="shared" si="24"/>
        <v>0</v>
      </c>
      <c r="H91" s="24">
        <f t="shared" si="24"/>
        <v>3.1324986600135792E-7</v>
      </c>
      <c r="I91" s="24">
        <f t="shared" si="24"/>
        <v>-7.6303938205089913E-7</v>
      </c>
      <c r="J91" s="24">
        <f t="shared" si="24"/>
        <v>5.0368298558021128E-4</v>
      </c>
      <c r="K91" s="24">
        <f t="shared" si="24"/>
        <v>-7.5784492412212521E-4</v>
      </c>
      <c r="L91" s="24">
        <f t="shared" si="24"/>
        <v>-2.605619004071762E-4</v>
      </c>
      <c r="M91" s="24">
        <f t="shared" si="24"/>
        <v>-8.6538971427405098E-4</v>
      </c>
      <c r="N91" s="24">
        <f t="shared" si="25"/>
        <v>-7.1936294217574224E-5</v>
      </c>
      <c r="O91" s="24">
        <f t="shared" si="25"/>
        <v>7.6985520634769518E-4</v>
      </c>
      <c r="P91" s="24">
        <f t="shared" si="25"/>
        <v>1.4112360147431949E-3</v>
      </c>
      <c r="Q91" s="24">
        <f t="shared" si="25"/>
        <v>2.272657403203599E-3</v>
      </c>
      <c r="R91" s="24">
        <f t="shared" si="25"/>
        <v>3.5368558690463238E-3</v>
      </c>
      <c r="S91" s="24">
        <f t="shared" si="25"/>
        <v>4.2954142486007971E-3</v>
      </c>
      <c r="T91" s="24">
        <f t="shared" si="25"/>
        <v>4.9358387164240734E-3</v>
      </c>
      <c r="U91" s="24">
        <f t="shared" si="25"/>
        <v>5.0608358500852831E-3</v>
      </c>
      <c r="V91" s="24">
        <f t="shared" si="25"/>
        <v>5.2428927818908991E-3</v>
      </c>
      <c r="W91" s="24">
        <f t="shared" si="25"/>
        <v>5.4558029912540884E-3</v>
      </c>
    </row>
    <row r="92" spans="1:23" x14ac:dyDescent="0.45">
      <c r="A92" s="29" t="str">
        <f t="shared" si="23"/>
        <v>mit.gdp.eff.tot.tot</v>
      </c>
      <c r="B92" s="30">
        <f>INDEX($D$13:$M$13,ROWS($B$88:B92))</f>
        <v>6</v>
      </c>
      <c r="C92" s="6" t="str">
        <f>INDEX($D$14:$M$14,ROWS($B$88:B92))</f>
        <v>S5: 6</v>
      </c>
      <c r="D92" s="24">
        <f t="shared" si="24"/>
        <v>0</v>
      </c>
      <c r="E92" s="24">
        <f t="shared" si="24"/>
        <v>0</v>
      </c>
      <c r="F92" s="24">
        <f t="shared" si="24"/>
        <v>0</v>
      </c>
      <c r="G92" s="24">
        <f t="shared" si="24"/>
        <v>0</v>
      </c>
      <c r="H92" s="24">
        <f t="shared" si="24"/>
        <v>1.345218464216424E-7</v>
      </c>
      <c r="I92" s="24">
        <f t="shared" si="24"/>
        <v>-3.0101952278307967E-7</v>
      </c>
      <c r="J92" s="24">
        <f t="shared" si="24"/>
        <v>1.2678975410970899E-3</v>
      </c>
      <c r="K92" s="24">
        <f t="shared" si="24"/>
        <v>-1.656133126351531E-3</v>
      </c>
      <c r="L92" s="24">
        <f t="shared" si="24"/>
        <v>-1.0259336541282231E-3</v>
      </c>
      <c r="M92" s="24">
        <f t="shared" si="24"/>
        <v>-2.273187837007043E-3</v>
      </c>
      <c r="N92" s="24">
        <f t="shared" si="25"/>
        <v>-6.71389126517501E-4</v>
      </c>
      <c r="O92" s="24">
        <f t="shared" si="25"/>
        <v>1.940011609375594E-3</v>
      </c>
      <c r="P92" s="24">
        <f t="shared" si="25"/>
        <v>3.9811140869759716E-3</v>
      </c>
      <c r="Q92" s="24">
        <f t="shared" si="25"/>
        <v>6.4773644799108474E-3</v>
      </c>
      <c r="R92" s="24">
        <f t="shared" si="25"/>
        <v>1.0128595762688399E-2</v>
      </c>
      <c r="S92" s="24">
        <f t="shared" si="25"/>
        <v>1.255966933990656E-2</v>
      </c>
      <c r="T92" s="24">
        <f t="shared" si="25"/>
        <v>1.4418851726394091E-2</v>
      </c>
      <c r="U92" s="24">
        <f t="shared" si="25"/>
        <v>1.488472848458831E-2</v>
      </c>
      <c r="V92" s="24">
        <f t="shared" si="25"/>
        <v>1.500619459242533E-2</v>
      </c>
      <c r="W92" s="24">
        <f t="shared" si="25"/>
        <v>1.5190794035507309E-2</v>
      </c>
    </row>
    <row r="93" spans="1:23" x14ac:dyDescent="0.45">
      <c r="A93" s="29" t="str">
        <f t="shared" si="23"/>
        <v>mit.gdp.eff.tot.tot</v>
      </c>
      <c r="B93" s="30" t="str">
        <f>INDEX($D$13:$M$13,ROWS($B$88:B93))</f>
        <v/>
      </c>
      <c r="C93" s="6" t="str">
        <f>INDEX($D$14:$M$14,ROWS($B$88:B93))</f>
        <v/>
      </c>
      <c r="D93" s="24" t="e">
        <f t="shared" si="24"/>
        <v>#N/A</v>
      </c>
      <c r="E93" s="24" t="e">
        <f t="shared" si="24"/>
        <v>#N/A</v>
      </c>
      <c r="F93" s="24" t="e">
        <f t="shared" si="24"/>
        <v>#N/A</v>
      </c>
      <c r="G93" s="24" t="e">
        <f t="shared" si="24"/>
        <v>#N/A</v>
      </c>
      <c r="H93" s="24" t="e">
        <f t="shared" si="24"/>
        <v>#N/A</v>
      </c>
      <c r="I93" s="24" t="e">
        <f t="shared" si="24"/>
        <v>#N/A</v>
      </c>
      <c r="J93" s="24" t="e">
        <f t="shared" si="24"/>
        <v>#N/A</v>
      </c>
      <c r="K93" s="24" t="e">
        <f t="shared" si="24"/>
        <v>#N/A</v>
      </c>
      <c r="L93" s="24" t="e">
        <f t="shared" si="24"/>
        <v>#N/A</v>
      </c>
      <c r="M93" s="24" t="e">
        <f t="shared" si="24"/>
        <v>#N/A</v>
      </c>
      <c r="N93" s="24" t="e">
        <f t="shared" si="25"/>
        <v>#N/A</v>
      </c>
      <c r="O93" s="24" t="e">
        <f t="shared" si="25"/>
        <v>#N/A</v>
      </c>
      <c r="P93" s="24" t="e">
        <f t="shared" si="25"/>
        <v>#N/A</v>
      </c>
      <c r="Q93" s="24" t="e">
        <f t="shared" si="25"/>
        <v>#N/A</v>
      </c>
      <c r="R93" s="24" t="e">
        <f t="shared" si="25"/>
        <v>#N/A</v>
      </c>
      <c r="S93" s="24" t="e">
        <f t="shared" si="25"/>
        <v>#N/A</v>
      </c>
      <c r="T93" s="24" t="e">
        <f t="shared" si="25"/>
        <v>#N/A</v>
      </c>
      <c r="U93" s="24" t="e">
        <f t="shared" si="25"/>
        <v>#N/A</v>
      </c>
      <c r="V93" s="24" t="e">
        <f t="shared" si="25"/>
        <v>#N/A</v>
      </c>
      <c r="W93" s="24" t="e">
        <f t="shared" si="25"/>
        <v>#N/A</v>
      </c>
    </row>
    <row r="94" spans="1:23" x14ac:dyDescent="0.45">
      <c r="A94" s="29" t="str">
        <f t="shared" si="23"/>
        <v>mit.gdp.eff.tot.tot</v>
      </c>
      <c r="B94" s="30" t="str">
        <f>INDEX($D$13:$M$13,ROWS($B$88:B94))</f>
        <v/>
      </c>
      <c r="C94" s="6" t="str">
        <f>INDEX($D$14:$M$14,ROWS($B$88:B94))</f>
        <v/>
      </c>
      <c r="D94" s="24" t="e">
        <f t="shared" si="24"/>
        <v>#N/A</v>
      </c>
      <c r="E94" s="24" t="e">
        <f t="shared" si="24"/>
        <v>#N/A</v>
      </c>
      <c r="F94" s="24" t="e">
        <f t="shared" si="24"/>
        <v>#N/A</v>
      </c>
      <c r="G94" s="24" t="e">
        <f t="shared" si="24"/>
        <v>#N/A</v>
      </c>
      <c r="H94" s="24" t="e">
        <f t="shared" si="24"/>
        <v>#N/A</v>
      </c>
      <c r="I94" s="24" t="e">
        <f t="shared" si="24"/>
        <v>#N/A</v>
      </c>
      <c r="J94" s="24" t="e">
        <f t="shared" si="24"/>
        <v>#N/A</v>
      </c>
      <c r="K94" s="24" t="e">
        <f t="shared" si="24"/>
        <v>#N/A</v>
      </c>
      <c r="L94" s="24" t="e">
        <f t="shared" si="24"/>
        <v>#N/A</v>
      </c>
      <c r="M94" s="24" t="e">
        <f t="shared" si="24"/>
        <v>#N/A</v>
      </c>
      <c r="N94" s="24" t="e">
        <f t="shared" si="25"/>
        <v>#N/A</v>
      </c>
      <c r="O94" s="24" t="e">
        <f t="shared" si="25"/>
        <v>#N/A</v>
      </c>
      <c r="P94" s="24" t="e">
        <f t="shared" si="25"/>
        <v>#N/A</v>
      </c>
      <c r="Q94" s="24" t="e">
        <f t="shared" si="25"/>
        <v>#N/A</v>
      </c>
      <c r="R94" s="24" t="e">
        <f t="shared" si="25"/>
        <v>#N/A</v>
      </c>
      <c r="S94" s="24" t="e">
        <f t="shared" si="25"/>
        <v>#N/A</v>
      </c>
      <c r="T94" s="24" t="e">
        <f t="shared" si="25"/>
        <v>#N/A</v>
      </c>
      <c r="U94" s="24" t="e">
        <f t="shared" si="25"/>
        <v>#N/A</v>
      </c>
      <c r="V94" s="24" t="e">
        <f t="shared" si="25"/>
        <v>#N/A</v>
      </c>
      <c r="W94" s="24" t="e">
        <f t="shared" si="25"/>
        <v>#N/A</v>
      </c>
    </row>
    <row r="95" spans="1:23" x14ac:dyDescent="0.45">
      <c r="A95" s="29" t="str">
        <f t="shared" si="23"/>
        <v>mit.gdp.eff.tot.tot</v>
      </c>
      <c r="B95" s="30" t="str">
        <f>INDEX($D$13:$M$13,ROWS($B$88:B95))</f>
        <v/>
      </c>
      <c r="C95" s="6" t="str">
        <f>INDEX($D$14:$M$14,ROWS($B$88:B95))</f>
        <v/>
      </c>
      <c r="D95" s="24" t="e">
        <f t="shared" si="24"/>
        <v>#N/A</v>
      </c>
      <c r="E95" s="24" t="e">
        <f t="shared" si="24"/>
        <v>#N/A</v>
      </c>
      <c r="F95" s="24" t="e">
        <f t="shared" si="24"/>
        <v>#N/A</v>
      </c>
      <c r="G95" s="24" t="e">
        <f t="shared" si="24"/>
        <v>#N/A</v>
      </c>
      <c r="H95" s="24" t="e">
        <f t="shared" si="24"/>
        <v>#N/A</v>
      </c>
      <c r="I95" s="24" t="e">
        <f t="shared" si="24"/>
        <v>#N/A</v>
      </c>
      <c r="J95" s="24" t="e">
        <f t="shared" si="24"/>
        <v>#N/A</v>
      </c>
      <c r="K95" s="24" t="e">
        <f t="shared" si="24"/>
        <v>#N/A</v>
      </c>
      <c r="L95" s="24" t="e">
        <f t="shared" si="24"/>
        <v>#N/A</v>
      </c>
      <c r="M95" s="24" t="e">
        <f t="shared" si="24"/>
        <v>#N/A</v>
      </c>
      <c r="N95" s="24" t="e">
        <f t="shared" si="25"/>
        <v>#N/A</v>
      </c>
      <c r="O95" s="24" t="e">
        <f t="shared" si="25"/>
        <v>#N/A</v>
      </c>
      <c r="P95" s="24" t="e">
        <f t="shared" si="25"/>
        <v>#N/A</v>
      </c>
      <c r="Q95" s="24" t="e">
        <f t="shared" si="25"/>
        <v>#N/A</v>
      </c>
      <c r="R95" s="24" t="e">
        <f t="shared" si="25"/>
        <v>#N/A</v>
      </c>
      <c r="S95" s="24" t="e">
        <f t="shared" si="25"/>
        <v>#N/A</v>
      </c>
      <c r="T95" s="24" t="e">
        <f t="shared" si="25"/>
        <v>#N/A</v>
      </c>
      <c r="U95" s="24" t="e">
        <f t="shared" si="25"/>
        <v>#N/A</v>
      </c>
      <c r="V95" s="24" t="e">
        <f t="shared" si="25"/>
        <v>#N/A</v>
      </c>
      <c r="W95" s="24" t="e">
        <f t="shared" si="25"/>
        <v>#N/A</v>
      </c>
    </row>
    <row r="96" spans="1:23" x14ac:dyDescent="0.45">
      <c r="A96" s="29" t="str">
        <f t="shared" si="23"/>
        <v>mit.gdp.eff.tot.tot</v>
      </c>
      <c r="B96" s="30" t="str">
        <f>INDEX($D$13:$M$13,ROWS($B$88:B96))</f>
        <v/>
      </c>
      <c r="C96" s="6" t="str">
        <f>INDEX($D$14:$M$14,ROWS($B$88:B96))</f>
        <v/>
      </c>
      <c r="D96" s="24" t="e">
        <f t="shared" si="24"/>
        <v>#N/A</v>
      </c>
      <c r="E96" s="24" t="e">
        <f t="shared" si="24"/>
        <v>#N/A</v>
      </c>
      <c r="F96" s="24" t="e">
        <f t="shared" si="24"/>
        <v>#N/A</v>
      </c>
      <c r="G96" s="24" t="e">
        <f t="shared" si="24"/>
        <v>#N/A</v>
      </c>
      <c r="H96" s="24" t="e">
        <f t="shared" si="24"/>
        <v>#N/A</v>
      </c>
      <c r="I96" s="24" t="e">
        <f t="shared" si="24"/>
        <v>#N/A</v>
      </c>
      <c r="J96" s="24" t="e">
        <f t="shared" si="24"/>
        <v>#N/A</v>
      </c>
      <c r="K96" s="24" t="e">
        <f t="shared" si="24"/>
        <v>#N/A</v>
      </c>
      <c r="L96" s="24" t="e">
        <f t="shared" si="24"/>
        <v>#N/A</v>
      </c>
      <c r="M96" s="24" t="e">
        <f t="shared" si="24"/>
        <v>#N/A</v>
      </c>
      <c r="N96" s="24" t="e">
        <f t="shared" si="25"/>
        <v>#N/A</v>
      </c>
      <c r="O96" s="24" t="e">
        <f t="shared" si="25"/>
        <v>#N/A</v>
      </c>
      <c r="P96" s="24" t="e">
        <f t="shared" si="25"/>
        <v>#N/A</v>
      </c>
      <c r="Q96" s="24" t="e">
        <f t="shared" si="25"/>
        <v>#N/A</v>
      </c>
      <c r="R96" s="24" t="e">
        <f t="shared" si="25"/>
        <v>#N/A</v>
      </c>
      <c r="S96" s="24" t="e">
        <f t="shared" si="25"/>
        <v>#N/A</v>
      </c>
      <c r="T96" s="24" t="e">
        <f t="shared" si="25"/>
        <v>#N/A</v>
      </c>
      <c r="U96" s="24" t="e">
        <f t="shared" si="25"/>
        <v>#N/A</v>
      </c>
      <c r="V96" s="24" t="e">
        <f t="shared" si="25"/>
        <v>#N/A</v>
      </c>
      <c r="W96" s="24" t="e">
        <f t="shared" si="25"/>
        <v>#N/A</v>
      </c>
    </row>
    <row r="97" spans="1:23" x14ac:dyDescent="0.45">
      <c r="A97" s="29" t="str">
        <f t="shared" si="23"/>
        <v>mit.gdp.eff.tot.tot</v>
      </c>
      <c r="B97" s="30" t="str">
        <f>INDEX($D$13:$M$13,ROWS($B$88:B97))</f>
        <v/>
      </c>
      <c r="C97" s="6" t="str">
        <f>INDEX($D$14:$M$14,ROWS($B$88:B97))</f>
        <v/>
      </c>
      <c r="D97" s="24" t="e">
        <f t="shared" si="24"/>
        <v>#N/A</v>
      </c>
      <c r="E97" s="24" t="e">
        <f t="shared" si="24"/>
        <v>#N/A</v>
      </c>
      <c r="F97" s="24" t="e">
        <f t="shared" si="24"/>
        <v>#N/A</v>
      </c>
      <c r="G97" s="24" t="e">
        <f t="shared" si="24"/>
        <v>#N/A</v>
      </c>
      <c r="H97" s="24" t="e">
        <f t="shared" si="24"/>
        <v>#N/A</v>
      </c>
      <c r="I97" s="24" t="e">
        <f t="shared" si="24"/>
        <v>#N/A</v>
      </c>
      <c r="J97" s="24" t="e">
        <f t="shared" si="24"/>
        <v>#N/A</v>
      </c>
      <c r="K97" s="24" t="e">
        <f t="shared" si="24"/>
        <v>#N/A</v>
      </c>
      <c r="L97" s="24" t="e">
        <f t="shared" si="24"/>
        <v>#N/A</v>
      </c>
      <c r="M97" s="24" t="e">
        <f t="shared" si="24"/>
        <v>#N/A</v>
      </c>
      <c r="N97" s="24" t="e">
        <f t="shared" si="25"/>
        <v>#N/A</v>
      </c>
      <c r="O97" s="24" t="e">
        <f t="shared" si="25"/>
        <v>#N/A</v>
      </c>
      <c r="P97" s="24" t="e">
        <f t="shared" si="25"/>
        <v>#N/A</v>
      </c>
      <c r="Q97" s="24" t="e">
        <f t="shared" si="25"/>
        <v>#N/A</v>
      </c>
      <c r="R97" s="24" t="e">
        <f t="shared" si="25"/>
        <v>#N/A</v>
      </c>
      <c r="S97" s="24" t="e">
        <f t="shared" si="25"/>
        <v>#N/A</v>
      </c>
      <c r="T97" s="24" t="e">
        <f t="shared" si="25"/>
        <v>#N/A</v>
      </c>
      <c r="U97" s="24" t="e">
        <f t="shared" si="25"/>
        <v>#N/A</v>
      </c>
      <c r="V97" s="24" t="e">
        <f t="shared" si="25"/>
        <v>#N/A</v>
      </c>
      <c r="W97" s="24" t="e">
        <f t="shared" si="25"/>
        <v>#N/A</v>
      </c>
    </row>
    <row r="104" spans="1:23" ht="15.4" x14ac:dyDescent="0.45">
      <c r="A104" s="5"/>
      <c r="B104" s="15" t="s">
        <v>6397</v>
      </c>
      <c r="C104" s="5"/>
    </row>
    <row r="105" spans="1:23" x14ac:dyDescent="0.45">
      <c r="A105" s="29" t="s">
        <v>230</v>
      </c>
      <c r="B105" s="3" t="str">
        <f t="shared" ref="B105:B136" si="26">IFERROR(INDEX(SSDesc,MATCH($A105,SSStem,0)),$A105)</f>
        <v xml:space="preserve">Revenue as a share of baseline real GDP | All sectors | </v>
      </c>
      <c r="C105" s="3" t="str">
        <f t="shared" ref="C105:C136" si="27">IFERROR(INDEX(SSUnit,MATCH($A105,SSStem,0)),"")</f>
        <v>% of GDP</v>
      </c>
    </row>
    <row r="106" spans="1:23" x14ac:dyDescent="0.45">
      <c r="A106" s="29" t="s">
        <v>6235</v>
      </c>
      <c r="B106" s="3" t="str">
        <f t="shared" si="26"/>
        <v xml:space="preserve">Revenue as a share of baseline real GDP | All sectors | </v>
      </c>
      <c r="C106" s="3" t="str">
        <f t="shared" si="27"/>
        <v>% of GDP</v>
      </c>
    </row>
    <row r="107" spans="1:23" x14ac:dyDescent="0.45">
      <c r="A107" s="29" t="s">
        <v>6241</v>
      </c>
      <c r="B107" s="3" t="str">
        <f t="shared" si="26"/>
        <v xml:space="preserve">Revenue as a share of baseline real GDP | All sectors | </v>
      </c>
      <c r="C107" s="3" t="str">
        <f t="shared" si="27"/>
        <v>% of GDP</v>
      </c>
    </row>
    <row r="108" spans="1:23" x14ac:dyDescent="0.45">
      <c r="A108" s="29" t="s">
        <v>239</v>
      </c>
      <c r="B108" s="3" t="str">
        <f t="shared" si="26"/>
        <v xml:space="preserve">Revenue as a share of baseline real GDP | All sectors | </v>
      </c>
      <c r="C108" s="3" t="str">
        <f t="shared" si="27"/>
        <v>% of GDP</v>
      </c>
    </row>
    <row r="109" spans="1:23" x14ac:dyDescent="0.45">
      <c r="A109" s="29" t="s">
        <v>6247</v>
      </c>
      <c r="B109" s="3" t="str">
        <f t="shared" si="26"/>
        <v>Base erosion: change in existing taxes net of subsidies against scenario 1 | All sectors | All fuels</v>
      </c>
      <c r="C109" s="3" t="str">
        <f t="shared" si="27"/>
        <v>USD m real</v>
      </c>
    </row>
    <row r="110" spans="1:23" x14ac:dyDescent="0.45">
      <c r="A110" s="29" t="s">
        <v>6340</v>
      </c>
      <c r="B110" s="3" t="str">
        <f t="shared" si="26"/>
        <v xml:space="preserve">Nominal GDP (local currency, USD) | All sectors | </v>
      </c>
      <c r="C110" s="3" t="str">
        <f t="shared" si="27"/>
        <v>bn nominal (LCU or USD, by row)</v>
      </c>
    </row>
    <row r="111" spans="1:23" x14ac:dyDescent="0.45">
      <c r="A111" s="29" t="s">
        <v>6348</v>
      </c>
      <c r="B111" s="3" t="str">
        <f t="shared" si="26"/>
        <v xml:space="preserve">Nominal GDP (local currency, USD) | All sectors | </v>
      </c>
      <c r="C111" s="3" t="str">
        <f t="shared" si="27"/>
        <v>bn nominal (LCU or USD, by row)</v>
      </c>
    </row>
    <row r="112" spans="1:23" x14ac:dyDescent="0.45">
      <c r="A112" s="29" t="s">
        <v>4685</v>
      </c>
      <c r="B112" s="3" t="str">
        <f t="shared" si="26"/>
        <v>Grid emission intensity | Power | All fuels</v>
      </c>
      <c r="C112" s="3" t="str">
        <f t="shared" si="27"/>
        <v>tCO2 per MWh</v>
      </c>
    </row>
    <row r="113" spans="1:3" x14ac:dyDescent="0.45">
      <c r="A113" s="29" t="s">
        <v>6012</v>
      </c>
      <c r="B113" s="3" t="str">
        <f t="shared" si="26"/>
        <v>Energy-related GHGs including the forcing of the local pollutants | Energy | All fuels</v>
      </c>
      <c r="C113" s="3" t="str">
        <f t="shared" si="27"/>
        <v>Mt CO2e</v>
      </c>
    </row>
    <row r="114" spans="1:3" x14ac:dyDescent="0.45">
      <c r="A114" s="29" t="s">
        <v>1272</v>
      </c>
      <c r="B114" s="3" t="str">
        <f t="shared" si="26"/>
        <v>Implicit carbon price by fuel: existing taxes, subsidies and new policies per tonne of CO2 | All sectors | All fuels</v>
      </c>
      <c r="C114" s="3" t="str">
        <f t="shared" si="27"/>
        <v>USD/tCO2</v>
      </c>
    </row>
    <row r="115" spans="1:3" x14ac:dyDescent="0.45">
      <c r="A115" s="29" t="s">
        <v>783</v>
      </c>
      <c r="B115" s="3" t="str">
        <f t="shared" si="26"/>
        <v>Effective carbon rate, economy-wide: revenue net of subsidies (incl. electricity VAT and subsidy gap) per tonne of energy CO2 | All sectors | All fuels</v>
      </c>
      <c r="C115" s="3" t="str">
        <f t="shared" si="27"/>
        <v>USD/tCO2</v>
      </c>
    </row>
    <row r="116" spans="1:3" x14ac:dyDescent="0.45">
      <c r="A116" s="29" t="s">
        <v>106</v>
      </c>
      <c r="B116" s="3" t="str">
        <f t="shared" si="26"/>
        <v>Effective carbon tax: carbon price x share of energy CO2 covered by it | All sectors | All fuels</v>
      </c>
      <c r="C116" s="3" t="str">
        <f t="shared" si="27"/>
        <v>USD/tCO2</v>
      </c>
    </row>
    <row r="117" spans="1:3" x14ac:dyDescent="0.45">
      <c r="A117" s="29" t="s">
        <v>6151</v>
      </c>
      <c r="B117" s="3" t="str">
        <f t="shared" si="26"/>
        <v>Share of energy CO2 covered by the carbon tax or the ETS | All sectors | All fuels</v>
      </c>
      <c r="C117" s="3" t="str">
        <f t="shared" si="27"/>
        <v>%</v>
      </c>
    </row>
    <row r="118" spans="1:3" x14ac:dyDescent="0.45">
      <c r="A118" s="29" t="s">
        <v>6254</v>
      </c>
      <c r="B118" s="3" t="str">
        <f t="shared" si="26"/>
        <v>Change in net energy imports against scenario 1 (positive = more imports) | All sectors | All fuels</v>
      </c>
      <c r="C118" s="3" t="str">
        <f t="shared" si="27"/>
        <v>USD bn real</v>
      </c>
    </row>
    <row r="119" spans="1:3" x14ac:dyDescent="0.45">
      <c r="A119" s="29" t="s">
        <v>6261</v>
      </c>
      <c r="B119" s="3" t="str">
        <f t="shared" si="26"/>
        <v>Energy trade balance of the scenario: baseline - change in net imports | All sectors | All fuels</v>
      </c>
      <c r="C119" s="3" t="str">
        <f t="shared" si="27"/>
        <v>USD bn real</v>
      </c>
    </row>
    <row r="120" spans="1:3" x14ac:dyDescent="0.45">
      <c r="A120" s="29" t="s">
        <v>6268</v>
      </c>
      <c r="B120" s="3" t="str">
        <f t="shared" si="26"/>
        <v>Energy trade balance of the scenario, % of baseline real GDP | All sectors | All fuels</v>
      </c>
      <c r="C120" s="3" t="str">
        <f t="shared" si="27"/>
        <v>%</v>
      </c>
    </row>
    <row r="121" spans="1:3" x14ac:dyDescent="0.45">
      <c r="A121" s="29" t="s">
        <v>6354</v>
      </c>
      <c r="B121" s="3" t="str">
        <f t="shared" si="26"/>
        <v xml:space="preserve">Social cost of carbon: target-consistent, Ricke national and global, manual, US EPA; selected national and global | All sectors | </v>
      </c>
      <c r="C121" s="3" t="str">
        <f t="shared" si="27"/>
        <v>USD/tCO2 real</v>
      </c>
    </row>
    <row r="122" spans="1:3" x14ac:dyDescent="0.45">
      <c r="A122" s="29" t="s">
        <v>4285</v>
      </c>
      <c r="B122" s="3" t="str">
        <f t="shared" si="26"/>
        <v xml:space="preserve">Climate damages avoided against scenario 1 (national, global) | All sectors | </v>
      </c>
      <c r="C122" s="3" t="str">
        <f t="shared" si="27"/>
        <v>USD bn real</v>
      </c>
    </row>
    <row r="123" spans="1:3" x14ac:dyDescent="0.45">
      <c r="A123" s="29" t="s">
        <v>4314</v>
      </c>
      <c r="B123" s="3" t="str">
        <f t="shared" si="26"/>
        <v>Efficiency (deadweight) cost of energy use (positive = cost; negative = gain from lower subsidised use) | All sectors | All fuels</v>
      </c>
      <c r="C123" s="3" t="str">
        <f t="shared" si="27"/>
        <v>USD bn real</v>
      </c>
    </row>
    <row r="124" spans="1:3" x14ac:dyDescent="0.45">
      <c r="A124" s="29" t="s">
        <v>6360</v>
      </c>
      <c r="B124" s="3" t="str">
        <f t="shared" si="26"/>
        <v>Efficiency cost of the methane fee: area under the abatement curve | All sectors | All fuels</v>
      </c>
      <c r="C124" s="3" t="str">
        <f t="shared" si="27"/>
        <v>USD bn real</v>
      </c>
    </row>
    <row r="125" spans="1:3" x14ac:dyDescent="0.45">
      <c r="A125" s="29" t="s">
        <v>4322</v>
      </c>
      <c r="B125" s="3" t="str">
        <f t="shared" si="26"/>
        <v xml:space="preserve">Welfare, national: avoided damages and co-benefits - efficiency costs (USD bn real; % of baseline real GDP) | All sectors | </v>
      </c>
      <c r="C125" s="3" t="str">
        <f t="shared" si="27"/>
        <v>mixed</v>
      </c>
    </row>
    <row r="126" spans="1:3" x14ac:dyDescent="0.45">
      <c r="A126" s="29" t="s">
        <v>4355</v>
      </c>
      <c r="B126" s="3" t="str">
        <f t="shared" si="26"/>
        <v xml:space="preserve">Welfare, national: avoided damages and co-benefits - efficiency costs (USD bn real; % of baseline real GDP) | All sectors | </v>
      </c>
      <c r="C126" s="3" t="str">
        <f t="shared" si="27"/>
        <v>mixed</v>
      </c>
    </row>
    <row r="127" spans="1:3" x14ac:dyDescent="0.45">
      <c r="A127" s="29" t="s">
        <v>2694</v>
      </c>
      <c r="B127" s="3" t="str">
        <f t="shared" si="26"/>
        <v>Fuel use | All sectors | All fuels</v>
      </c>
      <c r="C127" s="3" t="str">
        <f t="shared" si="27"/>
        <v>ktoe</v>
      </c>
    </row>
    <row r="128" spans="1:3" x14ac:dyDescent="0.45">
      <c r="A128" s="29" t="s">
        <v>2807</v>
      </c>
      <c r="B128" s="3" t="str">
        <f t="shared" si="26"/>
        <v>Fuel use | Transport | All fuels</v>
      </c>
      <c r="C128" s="3" t="str">
        <f t="shared" si="27"/>
        <v>ktoe</v>
      </c>
    </row>
    <row r="129" spans="1:3" x14ac:dyDescent="0.45">
      <c r="A129" s="29" t="s">
        <v>3072</v>
      </c>
      <c r="B129" s="3" t="str">
        <f t="shared" si="26"/>
        <v>Fuel use | Buildings | All fuels</v>
      </c>
      <c r="C129" s="3" t="str">
        <f t="shared" si="27"/>
        <v>ktoe</v>
      </c>
    </row>
    <row r="130" spans="1:3" x14ac:dyDescent="0.45">
      <c r="A130" s="29" t="s">
        <v>3268</v>
      </c>
      <c r="B130" s="3" t="str">
        <f t="shared" si="26"/>
        <v>Fuel use | Industry | All fuels</v>
      </c>
      <c r="C130" s="3" t="str">
        <f t="shared" si="27"/>
        <v>ktoe</v>
      </c>
    </row>
    <row r="131" spans="1:3" x14ac:dyDescent="0.45">
      <c r="A131" s="29" t="s">
        <v>5969</v>
      </c>
      <c r="B131" s="3" t="str">
        <f t="shared" si="26"/>
        <v>Fuel use | Other energy use | All fuels</v>
      </c>
      <c r="C131" s="3" t="str">
        <f t="shared" si="27"/>
        <v>ktoe</v>
      </c>
    </row>
    <row r="132" spans="1:3" x14ac:dyDescent="0.45">
      <c r="A132" s="29" t="s">
        <v>5976</v>
      </c>
      <c r="B132" s="3" t="str">
        <f t="shared" si="26"/>
        <v>Change in fuel use vs scenario 1 | All sectors | All fuels</v>
      </c>
      <c r="C132" s="3" t="str">
        <f t="shared" si="27"/>
        <v>%</v>
      </c>
    </row>
    <row r="133" spans="1:3" x14ac:dyDescent="0.45">
      <c r="A133" s="29" t="s">
        <v>345</v>
      </c>
      <c r="B133" s="3" t="str">
        <f t="shared" si="26"/>
        <v>CO2 emissions from fuel combustion | All sectors | All fuels</v>
      </c>
      <c r="C133" s="3" t="str">
        <f t="shared" si="27"/>
        <v>MtCO2</v>
      </c>
    </row>
    <row r="134" spans="1:3" x14ac:dyDescent="0.45">
      <c r="A134" s="29" t="s">
        <v>418</v>
      </c>
      <c r="B134" s="3" t="str">
        <f t="shared" si="26"/>
        <v>CO2 emissions from fuel combustion | Transport | All fuels</v>
      </c>
      <c r="C134" s="3" t="str">
        <f t="shared" si="27"/>
        <v>MtCO2</v>
      </c>
    </row>
    <row r="135" spans="1:3" x14ac:dyDescent="0.45">
      <c r="A135" s="29" t="s">
        <v>426</v>
      </c>
      <c r="B135" s="3" t="str">
        <f t="shared" si="26"/>
        <v>CO2 emissions from fuel combustion | Buildings | All fuels</v>
      </c>
      <c r="C135" s="3" t="str">
        <f t="shared" si="27"/>
        <v>MtCO2</v>
      </c>
    </row>
    <row r="136" spans="1:3" x14ac:dyDescent="0.45">
      <c r="A136" s="29" t="s">
        <v>434</v>
      </c>
      <c r="B136" s="3" t="str">
        <f t="shared" si="26"/>
        <v>CO2 emissions from fuel combustion | Industry | All fuels</v>
      </c>
      <c r="C136" s="3" t="str">
        <f t="shared" si="27"/>
        <v>MtCO2</v>
      </c>
    </row>
    <row r="137" spans="1:3" x14ac:dyDescent="0.45">
      <c r="A137" s="29" t="s">
        <v>6158</v>
      </c>
      <c r="B137" s="3" t="str">
        <f t="shared" ref="B137:B168" si="28">IFERROR(INDEX(SSDesc,MATCH($A137,SSStem,0)),$A137)</f>
        <v>Change in CO2 emissions vs scenario 1 | All sectors | All fuels</v>
      </c>
      <c r="C137" s="3" t="str">
        <f t="shared" ref="C137:C168" si="29">IFERROR(INDEX(SSUnit,MATCH($A137,SSStem,0)),"")</f>
        <v>MtCO2</v>
      </c>
    </row>
    <row r="138" spans="1:3" x14ac:dyDescent="0.45">
      <c r="A138" s="29" t="s">
        <v>450</v>
      </c>
      <c r="B138" s="3" t="str">
        <f t="shared" si="28"/>
        <v>Change in CO2 emissions vs scenario 1 | All sectors | All fuels</v>
      </c>
      <c r="C138" s="3" t="str">
        <f t="shared" si="29"/>
        <v>%</v>
      </c>
    </row>
    <row r="139" spans="1:3" x14ac:dyDescent="0.45">
      <c r="A139" s="29" t="s">
        <v>6275</v>
      </c>
      <c r="B139" s="3" t="str">
        <f t="shared" si="28"/>
        <v>Revenue from existing taxes (excise and other taxes + VAT; incl. the change in existing carbon pricing) | All sectors | All fuels</v>
      </c>
      <c r="C139" s="3" t="str">
        <f t="shared" si="29"/>
        <v>USD m real</v>
      </c>
    </row>
    <row r="140" spans="1:3" x14ac:dyDescent="0.45">
      <c r="A140" s="29" t="s">
        <v>6282</v>
      </c>
      <c r="B140" s="3" t="str">
        <f t="shared" si="28"/>
        <v>Existing consumer subsidies (negative = fiscal cost) | All sectors | All fuels</v>
      </c>
      <c r="C140" s="3" t="str">
        <f t="shared" si="29"/>
        <v>USD m real</v>
      </c>
    </row>
    <row r="141" spans="1:3" x14ac:dyDescent="0.45">
      <c r="A141" s="29" t="s">
        <v>6289</v>
      </c>
      <c r="B141" s="3" t="str">
        <f t="shared" si="28"/>
        <v>Revenue from new policies (carbon tax, excise, auctioned ETS, VAT on them) | All sectors | All fuels</v>
      </c>
      <c r="C141" s="3" t="str">
        <f t="shared" si="29"/>
        <v>USD m real</v>
      </c>
    </row>
    <row r="142" spans="1:3" x14ac:dyDescent="0.45">
      <c r="A142" s="29" t="s">
        <v>221</v>
      </c>
      <c r="B142" s="3" t="str">
        <f t="shared" si="28"/>
        <v>Total revenue (net existing + new policies + methane fee) | All sectors | All fuels</v>
      </c>
      <c r="C142" s="3" t="str">
        <f t="shared" si="29"/>
        <v>USD m real</v>
      </c>
    </row>
    <row r="143" spans="1:3" x14ac:dyDescent="0.45">
      <c r="A143" s="29" t="s">
        <v>6296</v>
      </c>
      <c r="B143" s="3" t="str">
        <f t="shared" si="28"/>
        <v>Change in total revenue vs scenario 1 (fiscal effect) | All sectors | All fuels</v>
      </c>
      <c r="C143" s="3" t="str">
        <f t="shared" si="29"/>
        <v>USD m real</v>
      </c>
    </row>
    <row r="144" spans="1:3" x14ac:dyDescent="0.45">
      <c r="A144" s="29" t="s">
        <v>3906</v>
      </c>
      <c r="B144" s="3" t="str">
        <f t="shared" si="28"/>
        <v>Fuel use | Power | All fuels</v>
      </c>
      <c r="C144" s="3" t="str">
        <f t="shared" si="29"/>
        <v>ktoe</v>
      </c>
    </row>
    <row r="145" spans="1:3" x14ac:dyDescent="0.45">
      <c r="A145" s="29" t="s">
        <v>6303</v>
      </c>
      <c r="B145" s="3" t="str">
        <f t="shared" si="28"/>
        <v>Revenue from existing taxes (excise and other taxes + VAT; incl. the change in existing carbon pricing) | Power | All fuels</v>
      </c>
      <c r="C145" s="3" t="str">
        <f t="shared" si="29"/>
        <v>USD m real</v>
      </c>
    </row>
    <row r="146" spans="1:3" x14ac:dyDescent="0.45">
      <c r="A146" s="29" t="s">
        <v>6310</v>
      </c>
      <c r="B146" s="3" t="str">
        <f t="shared" si="28"/>
        <v>Existing consumer subsidies (negative = fiscal cost) | Power | All fuels</v>
      </c>
      <c r="C146" s="3" t="str">
        <f t="shared" si="29"/>
        <v>USD m real</v>
      </c>
    </row>
    <row r="147" spans="1:3" x14ac:dyDescent="0.45">
      <c r="A147" s="29" t="s">
        <v>6317</v>
      </c>
      <c r="B147" s="3" t="str">
        <f t="shared" si="28"/>
        <v>Revenue from new policies (carbon tax, excise, auctioned ETS, VAT on them) | Power | All fuels</v>
      </c>
      <c r="C147" s="3" t="str">
        <f t="shared" si="29"/>
        <v>USD m real</v>
      </c>
    </row>
    <row r="148" spans="1:3" x14ac:dyDescent="0.45">
      <c r="A148" s="29" t="s">
        <v>6324</v>
      </c>
      <c r="B148" s="3" t="str">
        <f t="shared" si="28"/>
        <v>Revenue from existing carbon pricing (memo: level; the part embedded in the price data is in rtx) | All sectors | All fuels</v>
      </c>
      <c r="C148" s="3" t="str">
        <f t="shared" si="29"/>
        <v>USD m real</v>
      </c>
    </row>
    <row r="149" spans="1:3" x14ac:dyDescent="0.45">
      <c r="A149" s="29" t="s">
        <v>5905</v>
      </c>
      <c r="B149" s="3" t="str">
        <f t="shared" si="28"/>
        <v>Existing carbon tax: factor on the data rates</v>
      </c>
      <c r="C149" s="3" t="str">
        <f t="shared" si="29"/>
        <v>factor</v>
      </c>
    </row>
    <row r="150" spans="1:3" x14ac:dyDescent="0.45">
      <c r="A150" s="29" t="s">
        <v>5913</v>
      </c>
      <c r="B150" s="3" t="str">
        <f t="shared" si="28"/>
        <v>Existing ETS: factor on the data prices (national and EU ETS)</v>
      </c>
      <c r="C150" s="3" t="str">
        <f t="shared" si="29"/>
        <v>factor</v>
      </c>
    </row>
    <row r="151" spans="1:3" x14ac:dyDescent="0.45">
      <c r="A151" s="29" t="s">
        <v>98</v>
      </c>
      <c r="B151" s="3" t="str">
        <f t="shared" si="28"/>
        <v>Carbon price trajectory used</v>
      </c>
      <c r="C151" s="3" t="str">
        <f t="shared" si="29"/>
        <v>USD/tCO2 real</v>
      </c>
    </row>
    <row r="152" spans="1:3" x14ac:dyDescent="0.45">
      <c r="A152" s="29" t="s">
        <v>115</v>
      </c>
      <c r="B152" s="3" t="str">
        <f t="shared" si="28"/>
        <v>ETS permit price used</v>
      </c>
      <c r="C152" s="3" t="str">
        <f t="shared" si="29"/>
        <v>USD/tCO2 real</v>
      </c>
    </row>
    <row r="153" spans="1:3" x14ac:dyDescent="0.45">
      <c r="A153" s="29" t="s">
        <v>6164</v>
      </c>
      <c r="B153" s="3" t="str">
        <f t="shared" si="28"/>
        <v>CO2 emissions covered by the new ETS | All sectors | All fuels</v>
      </c>
      <c r="C153" s="3" t="str">
        <f t="shared" si="29"/>
        <v>MtCO2</v>
      </c>
    </row>
    <row r="154" spans="1:3" x14ac:dyDescent="0.45">
      <c r="A154" s="29" t="s">
        <v>6171</v>
      </c>
      <c r="B154" s="3" t="str">
        <f t="shared" si="28"/>
        <v>ETS cap | All sectors | All fuels</v>
      </c>
      <c r="C154" s="3" t="str">
        <f t="shared" si="29"/>
        <v>MtCO2</v>
      </c>
    </row>
    <row r="155" spans="1:3" x14ac:dyDescent="0.45">
      <c r="A155" s="29" t="s">
        <v>5920</v>
      </c>
      <c r="B155" s="3" t="str">
        <f t="shared" si="28"/>
        <v>Retail price before new taxes and subsidies | All sectors | Gasoline</v>
      </c>
      <c r="C155" s="3" t="str">
        <f t="shared" si="29"/>
        <v>USD/GJ real</v>
      </c>
    </row>
    <row r="156" spans="1:3" x14ac:dyDescent="0.45">
      <c r="A156" s="29" t="s">
        <v>5927</v>
      </c>
      <c r="B156" s="3" t="str">
        <f t="shared" si="28"/>
        <v>Retail price before new taxes and subsidies | All sectors | Diesel</v>
      </c>
      <c r="C156" s="3" t="str">
        <f t="shared" si="29"/>
        <v>USD/GJ real</v>
      </c>
    </row>
    <row r="157" spans="1:3" x14ac:dyDescent="0.45">
      <c r="A157" s="29" t="s">
        <v>5934</v>
      </c>
      <c r="B157" s="3" t="str">
        <f t="shared" si="28"/>
        <v>Retail price before new taxes and subsidies | Residential | Natural gas</v>
      </c>
      <c r="C157" s="3" t="str">
        <f t="shared" si="29"/>
        <v>USD/GJ real</v>
      </c>
    </row>
    <row r="158" spans="1:3" x14ac:dyDescent="0.45">
      <c r="A158" s="29" t="s">
        <v>5941</v>
      </c>
      <c r="B158" s="3" t="str">
        <f t="shared" si="28"/>
        <v>After-tax price | Road | Gasoline</v>
      </c>
      <c r="C158" s="3" t="str">
        <f t="shared" si="29"/>
        <v>USD/GJ real</v>
      </c>
    </row>
    <row r="159" spans="1:3" x14ac:dyDescent="0.45">
      <c r="A159" s="29" t="s">
        <v>800</v>
      </c>
      <c r="B159" s="3" t="str">
        <f t="shared" si="28"/>
        <v>End-user electricity price | Residential | Electricity</v>
      </c>
      <c r="C159" s="3" t="str">
        <f t="shared" si="29"/>
        <v>USD/kWh real</v>
      </c>
    </row>
    <row r="160" spans="1:3" x14ac:dyDescent="0.45">
      <c r="A160" s="29" t="s">
        <v>791</v>
      </c>
      <c r="B160" s="3" t="str">
        <f t="shared" si="28"/>
        <v>End-user electricity price | Industry | Electricity</v>
      </c>
      <c r="C160" s="3" t="str">
        <f t="shared" si="29"/>
        <v>USD/kWh real</v>
      </c>
    </row>
    <row r="161" spans="1:3" x14ac:dyDescent="0.45">
      <c r="A161" s="29" t="s">
        <v>6019</v>
      </c>
      <c r="B161" s="3" t="str">
        <f t="shared" si="28"/>
        <v>Average generation cost (weighted by generation shares)</v>
      </c>
      <c r="C161" s="3" t="str">
        <f t="shared" si="29"/>
        <v>USD/kWh</v>
      </c>
    </row>
    <row r="162" spans="1:3" x14ac:dyDescent="0.45">
      <c r="A162" s="29" t="s">
        <v>410</v>
      </c>
      <c r="B162" s="3" t="str">
        <f t="shared" si="28"/>
        <v>CO2 emissions from fuel combustion | Power | All fuels</v>
      </c>
      <c r="C162" s="3" t="str">
        <f t="shared" si="29"/>
        <v>MtCO2</v>
      </c>
    </row>
    <row r="163" spans="1:3" x14ac:dyDescent="0.45">
      <c r="A163" s="29" t="s">
        <v>2722</v>
      </c>
      <c r="B163" s="3" t="str">
        <f t="shared" si="28"/>
        <v>Generation, total</v>
      </c>
      <c r="C163" s="3" t="str">
        <f t="shared" si="29"/>
        <v>MWy</v>
      </c>
    </row>
    <row r="164" spans="1:3" x14ac:dyDescent="0.45">
      <c r="A164" s="29" t="s">
        <v>4678</v>
      </c>
      <c r="B164" s="3" t="str">
        <f t="shared" si="28"/>
        <v>Variable renewable share of generation (wind, solar, other renewables)</v>
      </c>
      <c r="C164" s="3" t="str">
        <f t="shared" si="29"/>
        <v>share</v>
      </c>
    </row>
    <row r="165" spans="1:3" x14ac:dyDescent="0.45">
      <c r="A165" s="29" t="s">
        <v>6027</v>
      </c>
      <c r="B165" s="3" t="str">
        <f t="shared" si="28"/>
        <v>Generation share | Power | Natural gas</v>
      </c>
      <c r="C165" s="3" t="str">
        <f t="shared" si="29"/>
        <v>share</v>
      </c>
    </row>
    <row r="166" spans="1:3" x14ac:dyDescent="0.45">
      <c r="A166" s="29" t="s">
        <v>6034</v>
      </c>
      <c r="B166" s="3" t="str">
        <f t="shared" si="28"/>
        <v>New investment, total</v>
      </c>
      <c r="C166" s="3" t="str">
        <f t="shared" si="29"/>
        <v>USD m real</v>
      </c>
    </row>
    <row r="167" spans="1:3" x14ac:dyDescent="0.45">
      <c r="A167" s="29" t="s">
        <v>3783</v>
      </c>
      <c r="B167" s="3" t="str">
        <f t="shared" si="28"/>
        <v>Electricity demand, total</v>
      </c>
      <c r="C167" s="3" t="str">
        <f t="shared" si="29"/>
        <v>ktoe</v>
      </c>
    </row>
    <row r="168" spans="1:3" x14ac:dyDescent="0.45">
      <c r="A168" s="29" t="s">
        <v>5983</v>
      </c>
      <c r="B168" s="3" t="str">
        <f t="shared" si="28"/>
        <v>Electricity demand (memo: power model H; not in the fuel totals; sector policies do not act on it) | Transport | Electricity</v>
      </c>
      <c r="C168" s="3" t="str">
        <f t="shared" si="29"/>
        <v>ktoe</v>
      </c>
    </row>
    <row r="169" spans="1:3" x14ac:dyDescent="0.45">
      <c r="A169" s="29" t="s">
        <v>5990</v>
      </c>
      <c r="B169" s="3" t="str">
        <f t="shared" ref="B169:B200" si="30">IFERROR(INDEX(SSDesc,MATCH($A169,SSStem,0)),$A169)</f>
        <v>Electricity demand (memo: power model H; not in the fuel totals; sector policies do not act on it) | Buildings | Electricity</v>
      </c>
      <c r="C169" s="3" t="str">
        <f t="shared" ref="C169:C200" si="31">IFERROR(INDEX(SSUnit,MATCH($A169,SSStem,0)),"")</f>
        <v>ktoe</v>
      </c>
    </row>
    <row r="170" spans="1:3" x14ac:dyDescent="0.45">
      <c r="A170" s="29" t="s">
        <v>5997</v>
      </c>
      <c r="B170" s="3" t="str">
        <f t="shared" si="30"/>
        <v>Electricity demand (memo: power model H; not in the fuel totals; sector policies do not act on it) | Industry | Electricity</v>
      </c>
      <c r="C170" s="3" t="str">
        <f t="shared" si="31"/>
        <v>ktoe</v>
      </c>
    </row>
    <row r="171" spans="1:3" x14ac:dyDescent="0.45">
      <c r="A171" s="29" t="s">
        <v>6004</v>
      </c>
      <c r="B171" s="3" t="str">
        <f t="shared" si="30"/>
        <v>Electricity demand (memo: power model H; not in the fuel totals; sector policies do not act on it) | Other energy use | Electricity</v>
      </c>
      <c r="C171" s="3" t="str">
        <f t="shared" si="31"/>
        <v>ktoe</v>
      </c>
    </row>
    <row r="172" spans="1:3" x14ac:dyDescent="0.45">
      <c r="A172" s="29" t="s">
        <v>6041</v>
      </c>
      <c r="B172" s="3" t="str">
        <f t="shared" si="30"/>
        <v>Required generation (incl. net exports, transmission and statistical differences, own use)</v>
      </c>
      <c r="C172" s="3" t="str">
        <f t="shared" si="31"/>
        <v>MWy</v>
      </c>
    </row>
    <row r="173" spans="1:3" x14ac:dyDescent="0.45">
      <c r="A173" s="29" t="s">
        <v>6048</v>
      </c>
      <c r="B173" s="3" t="str">
        <f t="shared" si="30"/>
        <v>Nameplate capacity, total</v>
      </c>
      <c r="C173" s="3" t="str">
        <f t="shared" si="31"/>
        <v>MW</v>
      </c>
    </row>
    <row r="174" spans="1:3" x14ac:dyDescent="0.45">
      <c r="A174" s="29" t="s">
        <v>6055</v>
      </c>
      <c r="B174" s="3" t="str">
        <f t="shared" si="30"/>
        <v>Nameplate capacity | Power | Wind</v>
      </c>
      <c r="C174" s="3" t="str">
        <f t="shared" si="31"/>
        <v>MW</v>
      </c>
    </row>
    <row r="175" spans="1:3" x14ac:dyDescent="0.45">
      <c r="A175" s="29" t="s">
        <v>6062</v>
      </c>
      <c r="B175" s="3" t="str">
        <f t="shared" si="30"/>
        <v>Nameplate capacity | Power | Solar</v>
      </c>
      <c r="C175" s="3" t="str">
        <f t="shared" si="31"/>
        <v>MW</v>
      </c>
    </row>
    <row r="176" spans="1:3" x14ac:dyDescent="0.45">
      <c r="A176" s="29" t="s">
        <v>6069</v>
      </c>
      <c r="B176" s="3" t="str">
        <f t="shared" si="30"/>
        <v>New nameplate investment, total</v>
      </c>
      <c r="C176" s="3" t="str">
        <f t="shared" si="31"/>
        <v>MW</v>
      </c>
    </row>
    <row r="177" spans="1:3" x14ac:dyDescent="0.45">
      <c r="A177" s="29" t="s">
        <v>6076</v>
      </c>
      <c r="B177" s="3" t="str">
        <f t="shared" si="30"/>
        <v>Generation share | Power | Coal</v>
      </c>
      <c r="C177" s="3" t="str">
        <f t="shared" si="31"/>
        <v>share</v>
      </c>
    </row>
    <row r="178" spans="1:3" x14ac:dyDescent="0.45">
      <c r="A178" s="29" t="s">
        <v>6083</v>
      </c>
      <c r="B178" s="3" t="str">
        <f t="shared" si="30"/>
        <v>Generation share | Power | Other oil products</v>
      </c>
      <c r="C178" s="3" t="str">
        <f t="shared" si="31"/>
        <v>share</v>
      </c>
    </row>
    <row r="179" spans="1:3" x14ac:dyDescent="0.45">
      <c r="A179" s="29" t="s">
        <v>6090</v>
      </c>
      <c r="B179" s="3" t="str">
        <f t="shared" si="30"/>
        <v>Generation share | Power | Wind</v>
      </c>
      <c r="C179" s="3" t="str">
        <f t="shared" si="31"/>
        <v>share</v>
      </c>
    </row>
    <row r="180" spans="1:3" x14ac:dyDescent="0.45">
      <c r="A180" s="29" t="s">
        <v>6097</v>
      </c>
      <c r="B180" s="3" t="str">
        <f t="shared" si="30"/>
        <v>Generation share | Power | Solar</v>
      </c>
      <c r="C180" s="3" t="str">
        <f t="shared" si="31"/>
        <v>share</v>
      </c>
    </row>
    <row r="181" spans="1:3" x14ac:dyDescent="0.45">
      <c r="A181" s="29" t="s">
        <v>6104</v>
      </c>
      <c r="B181" s="3" t="str">
        <f t="shared" si="30"/>
        <v>Generation share | Power | Hydro</v>
      </c>
      <c r="C181" s="3" t="str">
        <f t="shared" si="31"/>
        <v>share</v>
      </c>
    </row>
    <row r="182" spans="1:3" x14ac:dyDescent="0.45">
      <c r="A182" s="29" t="s">
        <v>6111</v>
      </c>
      <c r="B182" s="3" t="str">
        <f t="shared" si="30"/>
        <v>Average new policy cost per kWh consumed</v>
      </c>
      <c r="C182" s="3" t="str">
        <f t="shared" si="31"/>
        <v>USD/kWh</v>
      </c>
    </row>
    <row r="183" spans="1:3" x14ac:dyDescent="0.45">
      <c r="A183" s="29" t="s">
        <v>5948</v>
      </c>
      <c r="B183" s="3" t="str">
        <f t="shared" si="30"/>
        <v>New-policy cost per user group (carbon tax, ETS at the tax-equivalent price, fuel price reform; memo, revenue: prnew in M) | Residential | Electricity</v>
      </c>
      <c r="C183" s="3" t="str">
        <f t="shared" si="31"/>
        <v>USD m real</v>
      </c>
    </row>
    <row r="184" spans="1:3" x14ac:dyDescent="0.45">
      <c r="A184" s="29" t="s">
        <v>5955</v>
      </c>
      <c r="B184" s="3" t="str">
        <f t="shared" si="30"/>
        <v>New-policy cost per user group (carbon tax, ETS at the tax-equivalent price, fuel price reform; memo, revenue: prnew in M) | Industry | Electricity</v>
      </c>
      <c r="C184" s="3" t="str">
        <f t="shared" si="31"/>
        <v>USD m real</v>
      </c>
    </row>
    <row r="185" spans="1:3" x14ac:dyDescent="0.45">
      <c r="A185" s="29" t="s">
        <v>286</v>
      </c>
      <c r="B185" s="3" t="str">
        <f t="shared" si="30"/>
        <v>GHG emissions | All sectors | All fuels</v>
      </c>
      <c r="C185" s="3" t="str">
        <f t="shared" si="31"/>
        <v>Mt CO2e</v>
      </c>
    </row>
    <row r="186" spans="1:3" x14ac:dyDescent="0.45">
      <c r="A186" s="29" t="s">
        <v>458</v>
      </c>
      <c r="B186" s="3" t="str">
        <f t="shared" si="30"/>
        <v>GHG emissions | All sectors | CH4</v>
      </c>
      <c r="C186" s="3" t="str">
        <f t="shared" si="31"/>
        <v>Mt CO2e</v>
      </c>
    </row>
    <row r="187" spans="1:3" x14ac:dyDescent="0.45">
      <c r="A187" s="29" t="s">
        <v>465</v>
      </c>
      <c r="B187" s="3" t="str">
        <f t="shared" si="30"/>
        <v>GHG emissions | All sectors | N2O</v>
      </c>
      <c r="C187" s="3" t="str">
        <f t="shared" si="31"/>
        <v>Mt CO2e</v>
      </c>
    </row>
    <row r="188" spans="1:3" x14ac:dyDescent="0.45">
      <c r="A188" s="29" t="s">
        <v>6118</v>
      </c>
      <c r="B188" s="3" t="str">
        <f t="shared" si="30"/>
        <v>Change in GHG emissions vs scenario 1 | All sectors | All fuels</v>
      </c>
      <c r="C188" s="3" t="str">
        <f t="shared" si="31"/>
        <v>Mt CO2e</v>
      </c>
    </row>
    <row r="189" spans="1:3" x14ac:dyDescent="0.45">
      <c r="A189" s="29" t="s">
        <v>6178</v>
      </c>
      <c r="B189" s="3" t="str">
        <f t="shared" si="30"/>
        <v>Revenue from the methane fee | All sectors | All fuels</v>
      </c>
      <c r="C189" s="3" t="str">
        <f t="shared" si="31"/>
        <v>USD m real</v>
      </c>
    </row>
    <row r="190" spans="1:3" x14ac:dyDescent="0.45">
      <c r="A190" s="29" t="s">
        <v>6185</v>
      </c>
      <c r="B190" s="3" t="str">
        <f t="shared" si="30"/>
        <v>Local air pollutant emissions | All sectors | PM2.5</v>
      </c>
      <c r="C190" s="3" t="str">
        <f t="shared" si="31"/>
        <v>kt</v>
      </c>
    </row>
    <row r="191" spans="1:3" x14ac:dyDescent="0.45">
      <c r="A191" s="29" t="s">
        <v>6193</v>
      </c>
      <c r="B191" s="3" t="str">
        <f t="shared" si="30"/>
        <v>Local air pollutant emissions | All sectors | NOx</v>
      </c>
      <c r="C191" s="3" t="str">
        <f t="shared" si="31"/>
        <v>kt</v>
      </c>
    </row>
    <row r="192" spans="1:3" x14ac:dyDescent="0.45">
      <c r="A192" s="29" t="s">
        <v>6200</v>
      </c>
      <c r="B192" s="3" t="str">
        <f t="shared" si="30"/>
        <v>Local air pollutant emissions | All sectors | SO2</v>
      </c>
      <c r="C192" s="3" t="str">
        <f t="shared" si="31"/>
        <v>kt</v>
      </c>
    </row>
    <row r="193" spans="1:3" x14ac:dyDescent="0.45">
      <c r="A193" s="29" t="s">
        <v>6207</v>
      </c>
      <c r="B193" s="3" t="str">
        <f t="shared" si="30"/>
        <v>Local air pollutant emissions | All sectors | Black carbon</v>
      </c>
      <c r="C193" s="3" t="str">
        <f t="shared" si="31"/>
        <v>kt</v>
      </c>
    </row>
    <row r="194" spans="1:3" x14ac:dyDescent="0.45">
      <c r="A194" s="29" t="s">
        <v>6214</v>
      </c>
      <c r="B194" s="3" t="str">
        <f t="shared" si="30"/>
        <v>Forcing of local air pollutants (memo, not in the GHG totals) | All sectors | All fuels</v>
      </c>
      <c r="C194" s="3" t="str">
        <f t="shared" si="31"/>
        <v>Mt CO2e</v>
      </c>
    </row>
    <row r="195" spans="1:3" x14ac:dyDescent="0.45">
      <c r="A195" s="29" t="s">
        <v>6367</v>
      </c>
      <c r="B195" s="3" t="str">
        <f t="shared" si="30"/>
        <v>GDP effect of the revenue use (level, vs baseline) | All sectors | All fuels</v>
      </c>
      <c r="C195" s="3" t="str">
        <f t="shared" si="31"/>
        <v>share of GDP</v>
      </c>
    </row>
    <row r="196" spans="1:3" x14ac:dyDescent="0.45">
      <c r="A196" s="29" t="s">
        <v>268</v>
      </c>
      <c r="B196" s="3" t="str">
        <f t="shared" si="30"/>
        <v>Real GDP after the feedback | All sectors | All fuels</v>
      </c>
      <c r="C196" s="3" t="str">
        <f t="shared" si="31"/>
        <v>USD bn</v>
      </c>
    </row>
    <row r="197" spans="1:3" x14ac:dyDescent="0.45">
      <c r="A197" s="29" t="s">
        <v>6331</v>
      </c>
      <c r="B197" s="3" t="str">
        <f t="shared" si="30"/>
        <v>Fiscal space: total revenue above scenario 1 | All sectors | All fuels</v>
      </c>
      <c r="C197" s="3" t="str">
        <f t="shared" si="31"/>
        <v>share of GDP</v>
      </c>
    </row>
    <row r="198" spans="1:3" x14ac:dyDescent="0.45">
      <c r="A198" s="29" t="s">
        <v>6221</v>
      </c>
      <c r="B198" s="3" t="str">
        <f t="shared" si="30"/>
        <v xml:space="preserve">NDC target, GHGs incl. LULUCF | All sectors | </v>
      </c>
      <c r="C198" s="3" t="str">
        <f t="shared" si="31"/>
        <v>Mt CO2e</v>
      </c>
    </row>
    <row r="199" spans="1:3" x14ac:dyDescent="0.45">
      <c r="A199" s="29" t="s">
        <v>6227</v>
      </c>
      <c r="B199" s="3" t="str">
        <f t="shared" si="30"/>
        <v>Share of the NDC reduction achieved | All sectors | All fuels</v>
      </c>
      <c r="C199" s="3" t="str">
        <f t="shared" si="31"/>
        <v>share</v>
      </c>
    </row>
    <row r="200" spans="1:3" x14ac:dyDescent="0.45">
      <c r="A200" s="29" t="s">
        <v>6374</v>
      </c>
      <c r="B200" s="3" t="str">
        <f t="shared" si="30"/>
        <v>Change in real GDP level against the baseline (memo) | All sectors | All fuels</v>
      </c>
      <c r="C200" s="3" t="str">
        <f t="shared" si="31"/>
        <v>USD bn</v>
      </c>
    </row>
  </sheetData>
  <conditionalFormatting sqref="D37:W46">
    <cfRule type="expression" dxfId="3" priority="1">
      <formula>ISNA(D37)</formula>
    </cfRule>
  </conditionalFormatting>
  <conditionalFormatting sqref="D54:W63">
    <cfRule type="expression" dxfId="2" priority="2">
      <formula>ISNA(D54)</formula>
    </cfRule>
  </conditionalFormatting>
  <conditionalFormatting sqref="D71:W80">
    <cfRule type="expression" dxfId="1" priority="3">
      <formula>ISNA(D71)</formula>
    </cfRule>
  </conditionalFormatting>
  <conditionalFormatting sqref="D88:W97">
    <cfRule type="expression" dxfId="0" priority="4">
      <formula>ISNA(D88)</formula>
    </cfRule>
  </conditionalFormatting>
  <dataValidations count="2">
    <dataValidation type="list" sqref="C5" xr:uid="{00000000-0002-0000-0300-000000000000}">
      <formula1>"2022,2023,2024,2025,2026,2027,2028,2029,2030,2031,2032,2033,2034,2035,2036,2037,2038,2039,2040,2041"</formula1>
    </dataValidation>
    <dataValidation type="list" sqref="B35 B86 B69 B52" xr:uid="{00000000-0002-0000-0300-000001000000}">
      <formula1>$B$105:$B$200</formula1>
    </dataValidation>
  </dataValidations>
  <pageMargins left="0.75" right="0.75" top="1" bottom="1" header="0.5" footer="0.5"/>
  <headerFooter>
    <oddFooter>&amp;R_x000D_&amp;1#&amp;"Aptos"&amp;10&amp;K000000 Official Use Only</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UserGuide</vt:lpstr>
      <vt:lpstr>Settings</vt:lpstr>
      <vt:lpstr>StoredScenarios</vt:lpstr>
      <vt:lpstr>CompareStored</vt:lpstr>
      <vt:lpstr>CSCatLab</vt:lpstr>
      <vt:lpstr>CSCatStem</vt:lpstr>
      <vt:lpstr>CSCatUnit</vt:lpstr>
      <vt:lpstr>DataRows</vt:lpstr>
      <vt:lpstr>DataSource</vt:lpstr>
      <vt:lpstr>DataSrcTable</vt:lpstr>
      <vt:lpstr>ModTable</vt:lpstr>
      <vt:lpstr>SCYc</vt:lpstr>
      <vt:lpstr>SCYear</vt:lpstr>
      <vt:lpstr>SSAll</vt:lpstr>
      <vt:lpstr>SSDesc</vt:lpstr>
      <vt:lpstr>SSName</vt:lpstr>
      <vt:lpstr>SSScen</vt:lpstr>
      <vt:lpstr>SSStem</vt:lpstr>
      <vt:lpstr>SSUnit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Stephen John Stretton</cp:lastModifiedBy>
  <dcterms:created xsi:type="dcterms:W3CDTF">2026-10-31T07:21:49Z</dcterms:created>
  <dcterms:modified xsi:type="dcterms:W3CDTF">2026-10-31T08:35:55Z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1bf45b6-5649-4236-82a3-f45024cd282e_Enabled">
    <vt:lpwstr>true</vt:lpwstr>
  </property>
  <property fmtid="{D5CDD505-2E9C-101B-9397-08002B2CF9AE}" pid="3" name="MSIP_Label_f1bf45b6-5649-4236-82a3-f45024cd282e_SetDate">
    <vt:lpwstr>2026-10-31T08:35:55Z</vt:lpwstr>
  </property>
  <property fmtid="{D5CDD505-2E9C-101B-9397-08002B2CF9AE}" pid="4" name="MSIP_Label_f1bf45b6-5649-4236-82a3-f45024cd282e_Method">
    <vt:lpwstr>Standard</vt:lpwstr>
  </property>
  <property fmtid="{D5CDD505-2E9C-101B-9397-08002B2CF9AE}" pid="5" name="MSIP_Label_f1bf45b6-5649-4236-82a3-f45024cd282e_Name">
    <vt:lpwstr>Official Use Only</vt:lpwstr>
  </property>
  <property fmtid="{D5CDD505-2E9C-101B-9397-08002B2CF9AE}" pid="6" name="MSIP_Label_f1bf45b6-5649-4236-82a3-f45024cd282e_SiteId">
    <vt:lpwstr>31a2fec0-266b-4c67-b56e-2796d8f59c36</vt:lpwstr>
  </property>
  <property fmtid="{D5CDD505-2E9C-101B-9397-08002B2CF9AE}" pid="7" name="MSIP_Label_f1bf45b6-5649-4236-82a3-f45024cd282e_ActionId">
    <vt:lpwstr>599c4284-9f72-4e66-afbb-63405a927a0f</vt:lpwstr>
  </property>
  <property fmtid="{D5CDD505-2E9C-101B-9397-08002B2CF9AE}" pid="8" name="MSIP_Label_f1bf45b6-5649-4236-82a3-f45024cd282e_ContentBits">
    <vt:lpwstr>2</vt:lpwstr>
  </property>
  <property fmtid="{D5CDD505-2E9C-101B-9397-08002B2CF9AE}" pid="9" name="MSIP_Label_f1bf45b6-5649-4236-82a3-f45024cd282e_Tag">
    <vt:lpwstr>10, 3, 0, 1</vt:lpwstr>
  </property>
</Properties>
</file>